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9400" windowHeight="13440" tabRatio="915"/>
  </bookViews>
  <sheets>
    <sheet name="周报" sheetId="12" r:id="rId1"/>
    <sheet name="启后私享1号FOF周净值" sheetId="4" r:id="rId2"/>
    <sheet name="子基金及业绩基准周净值" sheetId="5" r:id="rId3"/>
    <sheet name="业绩归因" sheetId="7" r:id="rId4"/>
    <sheet name="draft" sheetId="35" r:id="rId5"/>
    <sheet name="监控指标" sheetId="8" r:id="rId6"/>
    <sheet name="调仓指令" sheetId="6" r:id="rId7"/>
    <sheet name="【套利】鸣石量化24号" sheetId="9" r:id="rId8"/>
    <sheet name="【套利】因诺期权1号" sheetId="11" r:id="rId9"/>
    <sheet name="【中性】致远量化对冲6号" sheetId="16" r:id="rId10"/>
    <sheet name="【中性】磐松市场中性2号" sheetId="18" r:id="rId11"/>
    <sheet name="【中性】世纪前沿松柏量化对冲6号" sheetId="21" r:id="rId12"/>
    <sheet name="【打板】瀛岳核心" sheetId="22" r:id="rId13"/>
    <sheet name="【转债】艮岳康柏1号" sheetId="24" r:id="rId14"/>
    <sheet name="【套利】哲萌龙泉进取2号" sheetId="26" r:id="rId15"/>
    <sheet name="【打板】锡和骐骥1号" sheetId="28" r:id="rId16"/>
    <sheet name="【打板】特夫郁金香弦理1号" sheetId="29" r:id="rId17"/>
    <sheet name="【套利】交叉智能量化套利2号" sheetId="30" r:id="rId18"/>
    <sheet name="【打板】创世纪顾锝屠龙1号" sheetId="36" r:id="rId19"/>
    <sheet name="【宏观】远澜藤枫6号" sheetId="37" r:id="rId20"/>
    <sheet name="【多空】悦海盈和18号" sheetId="38" r:id="rId21"/>
    <sheet name="【多空】玄元元中10号" sheetId="39" r:id="rId22"/>
    <sheet name="【多空】玄元元中12号" sheetId="40" r:id="rId23"/>
    <sheet name="【多空】磐松多空对冲5号" sheetId="41" r:id="rId24"/>
    <sheet name="【中性】垒昂金鹿13号" sheetId="43" r:id="rId25"/>
    <sheet name="【择时多头】悦海盈和12号" sheetId="44" r:id="rId26"/>
    <sheet name="【指增保护】因诺天跃19" sheetId="45" r:id="rId27"/>
    <sheet name="【指增保护】念觉500指增稳健Plus27号" sheetId="46" r:id="rId28"/>
    <sheet name="【指增保护】天算指增保护6号" sheetId="47" r:id="rId29"/>
    <sheet name="【已赎回】【中性】量子智盈6号" sheetId="42" r:id="rId30"/>
    <sheet name="【已赎回】【打板】顾锝群英8号" sheetId="23" r:id="rId31"/>
    <sheet name="【已赎回】【套利】鸣石量化CTA套利1号" sheetId="32" r:id="rId32"/>
    <sheet name="【已赎回】【套利】盛冠达量化套利6号" sheetId="10" r:id="rId33"/>
    <sheet name="【已赎回】【中性】量游鸿雁8号" sheetId="19" r:id="rId34"/>
    <sheet name="【已赎回】【套利】德贝尊享CTA8号" sheetId="27" r:id="rId35"/>
    <sheet name="【已赎回】【底仓T】正瀛骐骥21号" sheetId="14" r:id="rId36"/>
    <sheet name="【已赎回】【中性】子午中性16号" sheetId="20" r:id="rId37"/>
    <sheet name="【已赎回】【套利】交叉智能启航1号" sheetId="34"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becca</author>
    <author>zjy</author>
  </authors>
  <commentList>
    <comment ref="C30" authorId="0">
      <text>
        <r>
          <rPr>
            <b/>
            <sz val="9"/>
            <rFont val="宋体"/>
            <charset val="134"/>
          </rPr>
          <t xml:space="preserve">becca:
已于12.31赎回
净值1.4122
</t>
        </r>
      </text>
    </comment>
    <comment ref="B31" authorId="0">
      <text>
        <r>
          <rPr>
            <b/>
            <sz val="9"/>
            <rFont val="宋体"/>
            <charset val="134"/>
          </rPr>
          <t>becca:</t>
        </r>
        <r>
          <rPr>
            <sz val="9"/>
            <rFont val="宋体"/>
            <charset val="134"/>
          </rPr>
          <t xml:space="preserve">
每份分红0.0950
红利再投
</t>
        </r>
      </text>
    </comment>
    <comment ref="L31" authorId="0">
      <text>
        <r>
          <rPr>
            <b/>
            <sz val="9"/>
            <rFont val="宋体"/>
            <charset val="134"/>
          </rPr>
          <t>becca:</t>
        </r>
        <r>
          <rPr>
            <sz val="9"/>
            <rFont val="宋体"/>
            <charset val="134"/>
          </rPr>
          <t xml:space="preserve">
成本价
</t>
        </r>
      </text>
    </comment>
    <comment ref="M32" authorId="0">
      <text>
        <r>
          <rPr>
            <b/>
            <sz val="9"/>
            <rFont val="宋体"/>
            <charset val="134"/>
          </rPr>
          <t>becca:</t>
        </r>
        <r>
          <rPr>
            <sz val="9"/>
            <rFont val="宋体"/>
            <charset val="134"/>
          </rPr>
          <t xml:space="preserve">
成本价
</t>
        </r>
      </text>
    </comment>
    <comment ref="H39" authorId="0">
      <text>
        <r>
          <rPr>
            <b/>
            <sz val="9"/>
            <rFont val="宋体"/>
            <charset val="134"/>
          </rPr>
          <t>becca:</t>
        </r>
        <r>
          <rPr>
            <sz val="9"/>
            <rFont val="宋体"/>
            <charset val="134"/>
          </rPr>
          <t xml:space="preserve">
已于2025/2/28赎回，单位净值1.0960
</t>
        </r>
      </text>
    </comment>
    <comment ref="H40" authorId="0">
      <text>
        <r>
          <rPr>
            <b/>
            <sz val="9"/>
            <rFont val="宋体"/>
            <charset val="134"/>
          </rPr>
          <t>becca:</t>
        </r>
        <r>
          <rPr>
            <sz val="9"/>
            <rFont val="宋体"/>
            <charset val="134"/>
          </rPr>
          <t xml:space="preserve">
已于2025/2/28赎回，单位净值1.0960
</t>
        </r>
      </text>
    </comment>
    <comment ref="Q40" authorId="0">
      <text>
        <r>
          <rPr>
            <b/>
            <sz val="9"/>
            <rFont val="宋体"/>
            <charset val="134"/>
          </rPr>
          <t>becca:</t>
        </r>
        <r>
          <rPr>
            <sz val="9"/>
            <rFont val="宋体"/>
            <charset val="134"/>
          </rPr>
          <t xml:space="preserve">
成本价
</t>
        </r>
      </text>
    </comment>
    <comment ref="T44" authorId="0">
      <text>
        <r>
          <rPr>
            <b/>
            <sz val="9"/>
            <rFont val="宋体"/>
            <charset val="134"/>
          </rPr>
          <t>becca:</t>
        </r>
        <r>
          <rPr>
            <sz val="9"/>
            <rFont val="宋体"/>
            <charset val="134"/>
          </rPr>
          <t xml:space="preserve">
成本价
</t>
        </r>
      </text>
    </comment>
    <comment ref="U52" authorId="0">
      <text>
        <r>
          <rPr>
            <b/>
            <sz val="9"/>
            <rFont val="宋体"/>
            <charset val="134"/>
          </rPr>
          <t>becca:</t>
        </r>
        <r>
          <rPr>
            <sz val="9"/>
            <rFont val="宋体"/>
            <charset val="134"/>
          </rPr>
          <t xml:space="preserve">
成本
</t>
        </r>
      </text>
    </comment>
    <comment ref="V52" authorId="0">
      <text>
        <r>
          <rPr>
            <b/>
            <sz val="9"/>
            <rFont val="宋体"/>
            <charset val="134"/>
          </rPr>
          <t>becca:</t>
        </r>
        <r>
          <rPr>
            <sz val="9"/>
            <rFont val="宋体"/>
            <charset val="134"/>
          </rPr>
          <t xml:space="preserve">
成本
</t>
        </r>
      </text>
    </comment>
    <comment ref="W56" authorId="0">
      <text>
        <r>
          <rPr>
            <b/>
            <sz val="9"/>
            <rFont val="宋体"/>
            <charset val="134"/>
          </rPr>
          <t>becca:</t>
        </r>
        <r>
          <rPr>
            <sz val="9"/>
            <rFont val="宋体"/>
            <charset val="134"/>
          </rPr>
          <t xml:space="preserve">
成本
</t>
        </r>
      </text>
    </comment>
    <comment ref="X57" authorId="0">
      <text>
        <r>
          <rPr>
            <b/>
            <sz val="9"/>
            <rFont val="宋体"/>
            <charset val="134"/>
          </rPr>
          <t>becca:</t>
        </r>
        <r>
          <rPr>
            <sz val="9"/>
            <rFont val="宋体"/>
            <charset val="134"/>
          </rPr>
          <t xml:space="preserve">
成本
</t>
        </r>
      </text>
    </comment>
    <comment ref="Y57" authorId="0">
      <text>
        <r>
          <rPr>
            <b/>
            <sz val="9"/>
            <rFont val="宋体"/>
            <charset val="134"/>
          </rPr>
          <t>becca:</t>
        </r>
        <r>
          <rPr>
            <sz val="9"/>
            <rFont val="宋体"/>
            <charset val="134"/>
          </rPr>
          <t xml:space="preserve">
成本</t>
        </r>
      </text>
    </comment>
    <comment ref="Z57" authorId="0">
      <text>
        <r>
          <rPr>
            <b/>
            <sz val="9"/>
            <rFont val="宋体"/>
            <charset val="134"/>
          </rPr>
          <t>becca:</t>
        </r>
        <r>
          <rPr>
            <sz val="9"/>
            <rFont val="宋体"/>
            <charset val="134"/>
          </rPr>
          <t xml:space="preserve">
成本
</t>
        </r>
      </text>
    </comment>
    <comment ref="AA57" authorId="0">
      <text>
        <r>
          <rPr>
            <b/>
            <sz val="9"/>
            <rFont val="宋体"/>
            <charset val="134"/>
          </rPr>
          <t>becca:</t>
        </r>
        <r>
          <rPr>
            <sz val="9"/>
            <rFont val="宋体"/>
            <charset val="134"/>
          </rPr>
          <t xml:space="preserve">
成本
</t>
        </r>
      </text>
    </comment>
    <comment ref="AB57" authorId="0">
      <text>
        <r>
          <rPr>
            <b/>
            <sz val="9"/>
            <rFont val="宋体"/>
            <charset val="134"/>
          </rPr>
          <t>becca:</t>
        </r>
        <r>
          <rPr>
            <sz val="9"/>
            <rFont val="宋体"/>
            <charset val="134"/>
          </rPr>
          <t xml:space="preserve">
成本
</t>
        </r>
      </text>
    </comment>
    <comment ref="AC63" authorId="1">
      <text>
        <r>
          <rPr>
            <b/>
            <sz val="9"/>
            <rFont val="宋体"/>
            <charset val="134"/>
          </rPr>
          <t>zjy:</t>
        </r>
        <r>
          <rPr>
            <sz val="9"/>
            <rFont val="宋体"/>
            <charset val="134"/>
          </rPr>
          <t xml:space="preserve">
成本价</t>
        </r>
      </text>
    </comment>
    <comment ref="AA68" authorId="1">
      <text>
        <r>
          <rPr>
            <b/>
            <sz val="9"/>
            <rFont val="宋体"/>
            <charset val="134"/>
          </rPr>
          <t>zjy:</t>
        </r>
        <r>
          <rPr>
            <sz val="9"/>
            <rFont val="宋体"/>
            <charset val="134"/>
          </rPr>
          <t xml:space="preserve">
赎回净值</t>
        </r>
      </text>
    </comment>
    <comment ref="AD69" authorId="1">
      <text>
        <r>
          <rPr>
            <b/>
            <sz val="9"/>
            <rFont val="宋体"/>
            <charset val="134"/>
          </rPr>
          <t>zjy:</t>
        </r>
        <r>
          <rPr>
            <sz val="9"/>
            <rFont val="宋体"/>
            <charset val="134"/>
          </rPr>
          <t xml:space="preserve">
成本价
</t>
        </r>
      </text>
    </comment>
    <comment ref="Q70" authorId="1">
      <text>
        <r>
          <rPr>
            <b/>
            <sz val="9"/>
            <rFont val="宋体"/>
            <charset val="134"/>
          </rPr>
          <t>zjy:</t>
        </r>
        <r>
          <rPr>
            <sz val="9"/>
            <rFont val="宋体"/>
            <charset val="134"/>
          </rPr>
          <t xml:space="preserve">
分红，每份分0.1746</t>
        </r>
      </text>
    </comment>
    <comment ref="AE70" authorId="1">
      <text>
        <r>
          <rPr>
            <b/>
            <sz val="9"/>
            <rFont val="宋体"/>
            <charset val="134"/>
          </rPr>
          <t>zjy:</t>
        </r>
        <r>
          <rPr>
            <sz val="9"/>
            <rFont val="宋体"/>
            <charset val="134"/>
          </rPr>
          <t xml:space="preserve">
成本价</t>
        </r>
      </text>
    </comment>
    <comment ref="AF70" authorId="1">
      <text>
        <r>
          <rPr>
            <b/>
            <sz val="9"/>
            <rFont val="宋体"/>
            <charset val="134"/>
          </rPr>
          <t>zjy:</t>
        </r>
        <r>
          <rPr>
            <sz val="9"/>
            <rFont val="宋体"/>
            <charset val="134"/>
          </rPr>
          <t xml:space="preserve">
成本价</t>
        </r>
      </text>
    </comment>
  </commentList>
</comments>
</file>

<file path=xl/comments2.xml><?xml version="1.0" encoding="utf-8"?>
<comments xmlns="http://schemas.openxmlformats.org/spreadsheetml/2006/main">
  <authors>
    <author>becca</author>
    <author>zjy</author>
  </authors>
  <commentList>
    <comment ref="AY4" authorId="0">
      <text>
        <r>
          <rPr>
            <b/>
            <sz val="9"/>
            <rFont val="宋体"/>
            <charset val="134"/>
          </rPr>
          <t>becca:</t>
        </r>
        <r>
          <rPr>
            <sz val="9"/>
            <rFont val="宋体"/>
            <charset val="134"/>
          </rPr>
          <t xml:space="preserve">
分红 0.095</t>
        </r>
      </text>
    </comment>
    <comment ref="BX7" authorId="0">
      <text>
        <r>
          <rPr>
            <b/>
            <sz val="9"/>
            <rFont val="宋体"/>
            <charset val="134"/>
          </rPr>
          <t>becca:</t>
        </r>
        <r>
          <rPr>
            <sz val="9"/>
            <rFont val="宋体"/>
            <charset val="134"/>
          </rPr>
          <t xml:space="preserve">
成本价
</t>
        </r>
      </text>
    </comment>
    <comment ref="AQ10" authorId="0">
      <text>
        <r>
          <rPr>
            <b/>
            <sz val="9"/>
            <rFont val="宋体"/>
            <charset val="134"/>
          </rPr>
          <t>becca:</t>
        </r>
        <r>
          <rPr>
            <sz val="9"/>
            <rFont val="宋体"/>
            <charset val="134"/>
          </rPr>
          <t xml:space="preserve">
已赎回
</t>
        </r>
      </text>
    </comment>
    <comment ref="BC13" authorId="0">
      <text>
        <r>
          <rPr>
            <b/>
            <sz val="9"/>
            <rFont val="宋体"/>
            <charset val="134"/>
          </rPr>
          <t xml:space="preserve">becca:单位成本
</t>
        </r>
      </text>
    </comment>
    <comment ref="AY14" authorId="0">
      <text>
        <r>
          <rPr>
            <b/>
            <sz val="9"/>
            <rFont val="宋体"/>
            <charset val="134"/>
          </rPr>
          <t>becca:</t>
        </r>
        <r>
          <rPr>
            <sz val="9"/>
            <rFont val="宋体"/>
            <charset val="134"/>
          </rPr>
          <t xml:space="preserve">
单位成本
</t>
        </r>
      </text>
    </comment>
    <comment ref="AX15" authorId="0">
      <text>
        <r>
          <rPr>
            <b/>
            <sz val="9"/>
            <rFont val="宋体"/>
            <charset val="134"/>
          </rPr>
          <t>becca:</t>
        </r>
        <r>
          <rPr>
            <sz val="9"/>
            <rFont val="宋体"/>
            <charset val="134"/>
          </rPr>
          <t xml:space="preserve">
单位成本</t>
        </r>
      </text>
    </comment>
    <comment ref="AW16" authorId="0">
      <text>
        <r>
          <rPr>
            <b/>
            <sz val="9"/>
            <rFont val="宋体"/>
            <charset val="134"/>
          </rPr>
          <t>becca:</t>
        </r>
        <r>
          <rPr>
            <sz val="9"/>
            <rFont val="宋体"/>
            <charset val="134"/>
          </rPr>
          <t xml:space="preserve">
单位成本
</t>
        </r>
      </text>
    </comment>
    <comment ref="AW17" authorId="0">
      <text>
        <r>
          <rPr>
            <b/>
            <sz val="9"/>
            <rFont val="宋体"/>
            <charset val="134"/>
          </rPr>
          <t>becca:</t>
        </r>
        <r>
          <rPr>
            <sz val="9"/>
            <rFont val="宋体"/>
            <charset val="134"/>
          </rPr>
          <t xml:space="preserve">
单位成本
</t>
        </r>
      </text>
    </comment>
    <comment ref="AW18" authorId="0">
      <text>
        <r>
          <rPr>
            <b/>
            <sz val="9"/>
            <rFont val="宋体"/>
            <charset val="134"/>
          </rPr>
          <t>becca:</t>
        </r>
        <r>
          <rPr>
            <sz val="9"/>
            <rFont val="宋体"/>
            <charset val="134"/>
          </rPr>
          <t xml:space="preserve">
单位成本
</t>
        </r>
      </text>
    </comment>
    <comment ref="L19" authorId="1">
      <text>
        <r>
          <rPr>
            <b/>
            <sz val="9"/>
            <rFont val="宋体"/>
            <charset val="134"/>
          </rPr>
          <t>zjy:</t>
        </r>
        <r>
          <rPr>
            <sz val="9"/>
            <rFont val="宋体"/>
            <charset val="134"/>
          </rPr>
          <t xml:space="preserve">
分红</t>
        </r>
      </text>
    </comment>
    <comment ref="AP19" authorId="0">
      <text>
        <r>
          <rPr>
            <b/>
            <sz val="9"/>
            <rFont val="宋体"/>
            <charset val="134"/>
          </rPr>
          <t>becca:</t>
        </r>
        <r>
          <rPr>
            <sz val="9"/>
            <rFont val="宋体"/>
            <charset val="134"/>
          </rPr>
          <t xml:space="preserve">
成本
</t>
        </r>
      </text>
    </comment>
    <comment ref="AN20" authorId="0">
      <text>
        <r>
          <rPr>
            <b/>
            <sz val="9"/>
            <rFont val="宋体"/>
            <charset val="134"/>
          </rPr>
          <t>becca:</t>
        </r>
        <r>
          <rPr>
            <sz val="9"/>
            <rFont val="宋体"/>
            <charset val="134"/>
          </rPr>
          <t xml:space="preserve">
成本价
</t>
        </r>
      </text>
    </comment>
    <comment ref="J21" authorId="0">
      <text>
        <r>
          <rPr>
            <b/>
            <sz val="9"/>
            <rFont val="宋体"/>
            <charset val="134"/>
          </rPr>
          <t>becca:</t>
        </r>
        <r>
          <rPr>
            <sz val="9"/>
            <rFont val="宋体"/>
            <charset val="134"/>
          </rPr>
          <t xml:space="preserve">
赎回净值
</t>
        </r>
      </text>
    </comment>
    <comment ref="AN21" authorId="0">
      <text>
        <r>
          <rPr>
            <b/>
            <sz val="9"/>
            <rFont val="宋体"/>
            <charset val="134"/>
          </rPr>
          <t>becca:</t>
        </r>
        <r>
          <rPr>
            <sz val="9"/>
            <rFont val="宋体"/>
            <charset val="134"/>
          </rPr>
          <t xml:space="preserve">
成本价
</t>
        </r>
      </text>
    </comment>
    <comment ref="AL22" authorId="0">
      <text>
        <r>
          <rPr>
            <b/>
            <sz val="9"/>
            <rFont val="宋体"/>
            <charset val="134"/>
          </rPr>
          <t>becca:</t>
        </r>
        <r>
          <rPr>
            <sz val="9"/>
            <rFont val="宋体"/>
            <charset val="134"/>
          </rPr>
          <t xml:space="preserve">
成本价
</t>
        </r>
      </text>
    </comment>
    <comment ref="AD23" authorId="0">
      <text>
        <r>
          <rPr>
            <b/>
            <sz val="9"/>
            <rFont val="宋体"/>
            <charset val="134"/>
          </rPr>
          <t>becca:</t>
        </r>
        <r>
          <rPr>
            <sz val="9"/>
            <rFont val="宋体"/>
            <charset val="134"/>
          </rPr>
          <t xml:space="preserve">
成本价
</t>
        </r>
      </text>
    </comment>
    <comment ref="AD24" authorId="0">
      <text>
        <r>
          <rPr>
            <b/>
            <sz val="9"/>
            <rFont val="宋体"/>
            <charset val="134"/>
          </rPr>
          <t>becca:</t>
        </r>
        <r>
          <rPr>
            <sz val="9"/>
            <rFont val="宋体"/>
            <charset val="134"/>
          </rPr>
          <t xml:space="preserve">
成本价
</t>
        </r>
      </text>
    </comment>
    <comment ref="S31" authorId="1">
      <text>
        <r>
          <rPr>
            <b/>
            <sz val="9"/>
            <rFont val="宋体"/>
            <charset val="134"/>
          </rPr>
          <t>zjy:</t>
        </r>
        <r>
          <rPr>
            <sz val="9"/>
            <rFont val="宋体"/>
            <charset val="134"/>
          </rPr>
          <t xml:space="preserve">
成本价8.21</t>
        </r>
      </text>
    </comment>
    <comment ref="M32" authorId="1">
      <text>
        <r>
          <rPr>
            <b/>
            <sz val="9"/>
            <rFont val="宋体"/>
            <charset val="134"/>
          </rPr>
          <t>zjy:</t>
        </r>
        <r>
          <rPr>
            <sz val="9"/>
            <rFont val="宋体"/>
            <charset val="134"/>
          </rPr>
          <t xml:space="preserve">
成本价
</t>
        </r>
      </text>
    </comment>
    <comment ref="L33" authorId="1">
      <text>
        <r>
          <rPr>
            <b/>
            <sz val="9"/>
            <rFont val="宋体"/>
            <charset val="134"/>
          </rPr>
          <t>zjy:</t>
        </r>
        <r>
          <rPr>
            <sz val="9"/>
            <rFont val="宋体"/>
            <charset val="134"/>
          </rPr>
          <t xml:space="preserve">
成本价
</t>
        </r>
      </text>
    </comment>
    <comment ref="L34" authorId="1">
      <text>
        <r>
          <rPr>
            <b/>
            <sz val="9"/>
            <rFont val="宋体"/>
            <charset val="134"/>
          </rPr>
          <t>zjy:</t>
        </r>
        <r>
          <rPr>
            <sz val="9"/>
            <rFont val="宋体"/>
            <charset val="134"/>
          </rPr>
          <t xml:space="preserve">
成本价
</t>
        </r>
      </text>
    </comment>
    <comment ref="I37" authorId="0">
      <text>
        <r>
          <rPr>
            <b/>
            <sz val="9"/>
            <rFont val="宋体"/>
            <charset val="134"/>
          </rPr>
          <t>becca:</t>
        </r>
        <r>
          <rPr>
            <sz val="9"/>
            <rFont val="宋体"/>
            <charset val="134"/>
          </rPr>
          <t xml:space="preserve">
分段计算，T日分红登记，将T日的分红加回T日净值，DAY 1 到 T 算一段，T+1 到 TODAY 算一段
</t>
        </r>
      </text>
    </comment>
    <comment ref="AY37" authorId="0">
      <text>
        <r>
          <rPr>
            <b/>
            <sz val="9"/>
            <rFont val="宋体"/>
            <charset val="134"/>
          </rPr>
          <t>becca:</t>
        </r>
        <r>
          <rPr>
            <sz val="9"/>
            <rFont val="宋体"/>
            <charset val="134"/>
          </rPr>
          <t xml:space="preserve">
分红，根据一周的复权累计净值计算
</t>
        </r>
      </text>
    </comment>
    <comment ref="I52" authorId="1">
      <text>
        <r>
          <rPr>
            <b/>
            <sz val="9"/>
            <rFont val="宋体"/>
            <charset val="134"/>
          </rPr>
          <t>zjy:</t>
        </r>
        <r>
          <rPr>
            <sz val="9"/>
            <rFont val="宋体"/>
            <charset val="134"/>
          </rPr>
          <t xml:space="preserve">
分段计算，T日分红登记，将T日的分红加回T日净值，DAY 1 到 T 算一段，T+1 到 TODAY 算一段
</t>
        </r>
      </text>
    </comment>
    <comment ref="L52" authorId="1">
      <text>
        <r>
          <rPr>
            <b/>
            <sz val="9"/>
            <rFont val="宋体"/>
            <charset val="134"/>
          </rPr>
          <t>zjy:</t>
        </r>
        <r>
          <rPr>
            <sz val="9"/>
            <rFont val="宋体"/>
            <charset val="134"/>
          </rPr>
          <t xml:space="preserve">
分红</t>
        </r>
      </text>
    </comment>
  </commentList>
</comments>
</file>

<file path=xl/comments3.xml><?xml version="1.0" encoding="utf-8"?>
<comments xmlns="http://schemas.openxmlformats.org/spreadsheetml/2006/main">
  <authors>
    <author>becca</author>
  </authors>
  <commentList>
    <comment ref="B31" authorId="0">
      <text>
        <r>
          <rPr>
            <b/>
            <sz val="9"/>
            <rFont val="宋体"/>
            <charset val="134"/>
          </rPr>
          <t>becca:</t>
        </r>
        <r>
          <rPr>
            <sz val="9"/>
            <rFont val="宋体"/>
            <charset val="134"/>
          </rPr>
          <t xml:space="preserve">
每份分红0.0950
红利再投
</t>
        </r>
      </text>
    </comment>
    <comment ref="C31" authorId="0">
      <text>
        <r>
          <rPr>
            <b/>
            <sz val="9"/>
            <rFont val="宋体"/>
            <charset val="134"/>
          </rPr>
          <t xml:space="preserve">becca:
手动调整
</t>
        </r>
      </text>
    </comment>
  </commentList>
</comments>
</file>

<file path=xl/comments4.xml><?xml version="1.0" encoding="utf-8"?>
<comments xmlns="http://schemas.openxmlformats.org/spreadsheetml/2006/main">
  <authors>
    <author>zjy</author>
  </authors>
  <commentList>
    <comment ref="F2" authorId="0">
      <text>
        <r>
          <rPr>
            <b/>
            <sz val="9"/>
            <rFont val="宋体"/>
            <charset val="134"/>
          </rPr>
          <t>zjy:</t>
        </r>
        <r>
          <rPr>
            <sz val="9"/>
            <rFont val="宋体"/>
            <charset val="134"/>
          </rPr>
          <t xml:space="preserve">
用复权累计净值计算</t>
        </r>
      </text>
    </comment>
    <comment ref="B32" authorId="0">
      <text>
        <r>
          <rPr>
            <b/>
            <sz val="9"/>
            <rFont val="宋体"/>
            <charset val="134"/>
          </rPr>
          <t>zjy:</t>
        </r>
        <r>
          <rPr>
            <sz val="9"/>
            <rFont val="宋体"/>
            <charset val="134"/>
          </rPr>
          <t xml:space="preserve">
分红，每份分0.1746</t>
        </r>
      </text>
    </comment>
    <comment ref="D32" authorId="0">
      <text>
        <r>
          <rPr>
            <b/>
            <sz val="9"/>
            <rFont val="宋体"/>
            <charset val="134"/>
          </rPr>
          <t>zjy:</t>
        </r>
        <r>
          <rPr>
            <sz val="9"/>
            <rFont val="宋体"/>
            <charset val="134"/>
          </rPr>
          <t xml:space="preserve">
手动调整
</t>
        </r>
      </text>
    </comment>
  </commentList>
</comments>
</file>

<file path=xl/comments5.xml><?xml version="1.0" encoding="utf-8"?>
<comments xmlns="http://schemas.openxmlformats.org/spreadsheetml/2006/main">
  <authors>
    <author>zjy</author>
  </authors>
  <commentList>
    <comment ref="B3" authorId="0">
      <text>
        <r>
          <rPr>
            <b/>
            <sz val="9"/>
            <rFont val="宋体"/>
            <charset val="134"/>
          </rPr>
          <t>zjy:</t>
        </r>
        <r>
          <rPr>
            <sz val="9"/>
            <rFont val="宋体"/>
            <charset val="134"/>
          </rPr>
          <t xml:space="preserve">
成本价</t>
        </r>
      </text>
    </comment>
  </commentList>
</comments>
</file>

<file path=xl/comments6.xml><?xml version="1.0" encoding="utf-8"?>
<comments xmlns="http://schemas.openxmlformats.org/spreadsheetml/2006/main">
  <authors>
    <author>zjy</author>
  </authors>
  <commentList>
    <comment ref="B3" authorId="0">
      <text>
        <r>
          <rPr>
            <b/>
            <sz val="9"/>
            <rFont val="宋体"/>
            <charset val="134"/>
          </rPr>
          <t>zjy:</t>
        </r>
        <r>
          <rPr>
            <sz val="9"/>
            <rFont val="宋体"/>
            <charset val="134"/>
          </rPr>
          <t xml:space="preserve">
成本价
</t>
        </r>
      </text>
    </comment>
  </commentList>
</comments>
</file>

<file path=xl/comments7.xml><?xml version="1.0" encoding="utf-8"?>
<comments xmlns="http://schemas.openxmlformats.org/spreadsheetml/2006/main">
  <authors>
    <author>zjy</author>
  </authors>
  <commentList>
    <comment ref="B3" authorId="0">
      <text>
        <r>
          <rPr>
            <b/>
            <sz val="9"/>
            <rFont val="宋体"/>
            <charset val="134"/>
          </rPr>
          <t>zjy:</t>
        </r>
        <r>
          <rPr>
            <sz val="9"/>
            <rFont val="宋体"/>
            <charset val="134"/>
          </rPr>
          <t xml:space="preserve">
成本价
</t>
        </r>
      </text>
    </comment>
  </commentList>
</comments>
</file>

<file path=xl/comments8.xml><?xml version="1.0" encoding="utf-8"?>
<comments xmlns="http://schemas.openxmlformats.org/spreadsheetml/2006/main">
  <authors>
    <author>zjy</author>
  </authors>
  <commentList>
    <comment ref="B3" authorId="0">
      <text>
        <r>
          <rPr>
            <b/>
            <sz val="9"/>
            <rFont val="宋体"/>
            <charset val="134"/>
          </rPr>
          <t>zjy:</t>
        </r>
        <r>
          <rPr>
            <sz val="9"/>
            <rFont val="宋体"/>
            <charset val="134"/>
          </rPr>
          <t xml:space="preserve">
成本价
</t>
        </r>
      </text>
    </comment>
  </commentList>
</comments>
</file>

<file path=xl/sharedStrings.xml><?xml version="1.0" encoding="utf-8"?>
<sst xmlns="http://schemas.openxmlformats.org/spreadsheetml/2006/main" count="1269" uniqueCount="323">
  <si>
    <t>宏源期货启后私享1号FOF</t>
  </si>
  <si>
    <t>产品净值报告</t>
  </si>
  <si>
    <t>估值日期</t>
  </si>
  <si>
    <t>单位净值</t>
  </si>
  <si>
    <t>累计单位净值</t>
  </si>
  <si>
    <t>周涨跌幅</t>
  </si>
  <si>
    <t>沪深300涨跌幅</t>
  </si>
  <si>
    <t>区间收益表</t>
  </si>
  <si>
    <t>数据区间</t>
  </si>
  <si>
    <t>最近一周</t>
  </si>
  <si>
    <t>最近一月</t>
  </si>
  <si>
    <t>最近三月</t>
  </si>
  <si>
    <t>成立以来</t>
  </si>
  <si>
    <t>收益率</t>
  </si>
  <si>
    <t>年化</t>
  </si>
  <si>
    <t>启后私享1号FOF</t>
  </si>
  <si>
    <t>基金简介</t>
  </si>
  <si>
    <t>成立日期</t>
  </si>
  <si>
    <t>产品类型</t>
  </si>
  <si>
    <t>期货和衍生品类FOF</t>
  </si>
  <si>
    <t>基金经理</t>
  </si>
  <si>
    <t>廖永国</t>
  </si>
  <si>
    <t>最大回撤</t>
  </si>
  <si>
    <t>预警/止损</t>
  </si>
  <si>
    <t>止损0.5</t>
  </si>
  <si>
    <t>费率</t>
  </si>
  <si>
    <t>管理费0.15%/年，托管+外包费0.2%/年</t>
  </si>
  <si>
    <t>业绩报酬</t>
  </si>
  <si>
    <t>开放日</t>
  </si>
  <si>
    <t>每周三</t>
  </si>
  <si>
    <t>重要声明</t>
  </si>
  <si>
    <t>1.本资料中的各种信息和数据等仅供参考，具体以管理人公布净值为准；此数据并不构成销售要约，或买入任何证券、基金或其它投资工具的建议。投资者应仔细审阅相关金融产品的合同文件等以了解其风险因素，或寻求专业的投资顾问的建议。图表数据来源于管理人产品估值计算
2.本材料信息不作为宣传资料向公众散发，不得转或给第三方传阅，不得用于未经允许的其他任何用途。历史业绩不代表未来收益，也不构成产品财产不受损失或取得最低收益的承诺
3.本资料不对投资人的本金和收益作出任何保证，投资人投资本产品仍存在可能导致投资人不能获得收益设置面临本全受损的风险</t>
  </si>
  <si>
    <t>沪深300</t>
  </si>
  <si>
    <t>周回撤</t>
  </si>
  <si>
    <t>最大回撤≥5%</t>
  </si>
  <si>
    <t>单位净值≤0.95</t>
  </si>
  <si>
    <t>周度收益率跌幅≥2%</t>
  </si>
  <si>
    <t>-</t>
  </si>
  <si>
    <t>注：子基金净值为体现在FOF估值表上的市价（虚拟净值）</t>
  </si>
  <si>
    <t>鸣石量化24号</t>
  </si>
  <si>
    <t>盛冠达量化套利6号</t>
  </si>
  <si>
    <t>因诺期权1号</t>
  </si>
  <si>
    <t>正瀛骐骥21号</t>
  </si>
  <si>
    <t>致远量化对冲运作6号</t>
  </si>
  <si>
    <t>磐松市场中性2号</t>
  </si>
  <si>
    <t>量游鸿雁8号</t>
  </si>
  <si>
    <t>子午中性16号</t>
  </si>
  <si>
    <t>世纪前沿松柏量化对冲6号</t>
  </si>
  <si>
    <t>瀛岳核心</t>
  </si>
  <si>
    <t>创世纪顾锝群英8号</t>
  </si>
  <si>
    <t>艮岳康柏1号</t>
  </si>
  <si>
    <t>哲萌龙泉进取2号</t>
  </si>
  <si>
    <t>德贝尊享CTA8号</t>
  </si>
  <si>
    <t>锡和骐骥1号</t>
  </si>
  <si>
    <t>特夫郁金香弦理1号</t>
  </si>
  <si>
    <t>交叉智能-量化套利2号</t>
  </si>
  <si>
    <t>交叉智能启航1号</t>
  </si>
  <si>
    <t>鸣石CTA套利1号</t>
  </si>
  <si>
    <t>创世纪顾锝屠龙1号</t>
  </si>
  <si>
    <t>远澜藤枫6号</t>
  </si>
  <si>
    <t>悦海盈和18号</t>
  </si>
  <si>
    <t>玄元元中10号</t>
  </si>
  <si>
    <t>玄元元中12号</t>
  </si>
  <si>
    <t>磐松多空对冲5号</t>
  </si>
  <si>
    <t>量子智盈6号</t>
  </si>
  <si>
    <t>垒昂金鹿13号</t>
  </si>
  <si>
    <t>悦海盈和12号</t>
  </si>
  <si>
    <t>因诺天跃19号</t>
  </si>
  <si>
    <t>念觉500指增稳健Plus27号</t>
  </si>
  <si>
    <t>天算指增保护6号</t>
  </si>
  <si>
    <t>朝阳永续股票市场中性细分策略指数</t>
  </si>
  <si>
    <t>朝阳永续套利策略宽基指数</t>
  </si>
  <si>
    <t>打板拟合指数（打板+0.2*炸板）*0.2</t>
  </si>
  <si>
    <t>万得可转债等权（889033.WI）（周涨跌幅）</t>
  </si>
  <si>
    <t>宏观策略拟合指数（周涨跌幅）</t>
  </si>
  <si>
    <t>朝阳永续灵活对冲指数（周涨跌幅）</t>
  </si>
  <si>
    <t>朝阳永续1000指增细分策略指数</t>
  </si>
  <si>
    <t xml:space="preserve"> </t>
  </si>
  <si>
    <t>日期</t>
  </si>
  <si>
    <t>FOF净资产</t>
  </si>
  <si>
    <t>注：子基金净值为虚拟净值</t>
  </si>
  <si>
    <t>业绩归因报告</t>
  </si>
  <si>
    <t>子基金净值</t>
  </si>
  <si>
    <t>策略</t>
  </si>
  <si>
    <t>子基金</t>
  </si>
  <si>
    <t>市值占净值%</t>
  </si>
  <si>
    <t>成本</t>
  </si>
  <si>
    <t>市值</t>
  </si>
  <si>
    <t>套利</t>
  </si>
  <si>
    <t>底仓T</t>
  </si>
  <si>
    <t>中性</t>
  </si>
  <si>
    <t>打板</t>
  </si>
  <si>
    <t>可转债</t>
  </si>
  <si>
    <t>宏观</t>
  </si>
  <si>
    <t>多空</t>
  </si>
  <si>
    <t>择时多头</t>
  </si>
  <si>
    <t>指增保护</t>
  </si>
  <si>
    <t>子基金收益率</t>
  </si>
  <si>
    <t>市值占净值</t>
  </si>
  <si>
    <t>持仓收益</t>
  </si>
  <si>
    <t>持仓收益率</t>
  </si>
  <si>
    <t>下投期间涨跌幅</t>
  </si>
  <si>
    <t>策略收益率</t>
  </si>
  <si>
    <t>忽略往后数据</t>
  </si>
  <si>
    <t>科目名称</t>
  </si>
  <si>
    <t>数量</t>
  </si>
  <si>
    <t>单位成本</t>
  </si>
  <si>
    <t>成本占净值%</t>
  </si>
  <si>
    <t>市价</t>
  </si>
  <si>
    <t>致远量化对冲运作6号私募证券投资基金B类</t>
  </si>
  <si>
    <t>【正常交易_手工行情】</t>
  </si>
  <si>
    <t>交叉智能-量化套利2号私募证券投资基金</t>
  </si>
  <si>
    <t>哲萌龙泉进取2号私募证券投资基金A类</t>
  </si>
  <si>
    <t>世纪前沿松柏量化对冲6号私募证券投资基金C类</t>
  </si>
  <si>
    <t>创世纪顾锝屠龙1号私募证券投资基金B类</t>
  </si>
  <si>
    <t>锡和骐骥1号私募证券投资基金A类</t>
  </si>
  <si>
    <t>远澜藤枫宏观量化6号私募证券投资基金C类</t>
  </si>
  <si>
    <t>垒昂金鹿量化对冲13号私募证券投资基金B类</t>
  </si>
  <si>
    <t>玄元元中10号私募证券投资基金B类</t>
  </si>
  <si>
    <t>玄元元中12号私募证券投资基金B类</t>
  </si>
  <si>
    <t>念觉500指增稳健Plus27号私募证券投资基金B类</t>
  </si>
  <si>
    <t>天算指增保护尊享6号私募证券投资基金C类</t>
  </si>
  <si>
    <t>因诺天跃十九号私募证券投资基金B类</t>
  </si>
  <si>
    <t>磐松市场中性2号私募证券投资基金</t>
  </si>
  <si>
    <t>磐松多空对冲5号私募证券投资基金</t>
  </si>
  <si>
    <t>因诺期权1号私募证券投资基金</t>
  </si>
  <si>
    <t>鸣石量化24号私募证券投资基金</t>
  </si>
  <si>
    <t>悦海盈和12号私募证券投资基金</t>
  </si>
  <si>
    <t>艮岳康柏1号私募证券投资基金</t>
  </si>
  <si>
    <t>悦海盈和18号私募证券投资基金</t>
  </si>
  <si>
    <t>特夫郁金香弦理1号私募证券投资基金</t>
  </si>
  <si>
    <t>瀛岳核心私募证券投资基金A类</t>
  </si>
  <si>
    <t>宏源期货启后私享1号资管计划投后监控指标</t>
  </si>
  <si>
    <t>一、业绩监控</t>
  </si>
  <si>
    <t>监控目标</t>
  </si>
  <si>
    <t>监控指标</t>
  </si>
  <si>
    <t>预警阈值</t>
  </si>
  <si>
    <t>本周</t>
  </si>
  <si>
    <t>业绩基准</t>
  </si>
  <si>
    <t>最大回撤预设标准</t>
  </si>
  <si>
    <t>FOF</t>
  </si>
  <si>
    <t>≥5%</t>
  </si>
  <si>
    <t>量化中性策略</t>
  </si>
  <si>
    <t>回撤达到5%</t>
  </si>
  <si>
    <t>≤0.95</t>
  </si>
  <si>
    <t>套利/期权策略</t>
  </si>
  <si>
    <t>周度收益率跌幅</t>
  </si>
  <si>
    <t>≥2%</t>
  </si>
  <si>
    <t>打板策略</t>
  </si>
  <si>
    <t>周收益率跌幅</t>
  </si>
  <si>
    <t>≥3%</t>
  </si>
  <si>
    <t>否</t>
  </si>
  <si>
    <t>转债策略</t>
  </si>
  <si>
    <t>万得可转债等权（889033）</t>
  </si>
  <si>
    <t>持有期最大回撤（预设基准见右侧）</t>
  </si>
  <si>
    <t>≥预设标准</t>
  </si>
  <si>
    <t>宏观策略</t>
  </si>
  <si>
    <t>宏观拟合指数（南华黄金*0.3+南华商品*0.1+中证全指*0.13+五年国债主连*0.47）</t>
  </si>
  <si>
    <t>周度超额收益连续为负（业绩基准见右侧)</t>
  </si>
  <si>
    <t>≥4周</t>
  </si>
  <si>
    <t>择时多头策略</t>
  </si>
  <si>
    <t>灵活对冲指数（1000指增细分*0.8+股票市场中性*0.2）</t>
  </si>
  <si>
    <t>业绩异动</t>
  </si>
  <si>
    <t>产品及负超额周数</t>
  </si>
  <si>
    <t>磐松多空对冲5号、玄元元中12号</t>
  </si>
  <si>
    <t>锡和骐骥1号、创世纪顾锝屠龙1号、垒昂金鹿13号</t>
  </si>
  <si>
    <t>二、子基金异动监控</t>
  </si>
  <si>
    <t>注：若无变动则不特别说明</t>
  </si>
  <si>
    <t>策略变动</t>
  </si>
  <si>
    <t>管理人高管、股东、核心团队人员变动</t>
  </si>
  <si>
    <t>发生基金分红、拆分</t>
  </si>
  <si>
    <t>行政处罚、法律诉讼</t>
  </si>
  <si>
    <t>基金经理变动</t>
  </si>
  <si>
    <t>触发预警线、止损线</t>
  </si>
  <si>
    <t>基金状态变动、工商登记信息变动</t>
  </si>
  <si>
    <t>其他异动指标</t>
  </si>
  <si>
    <t>管理人基金业协会变动</t>
  </si>
  <si>
    <t>管理人其他异动</t>
  </si>
  <si>
    <t>序号</t>
  </si>
  <si>
    <t>公司名称</t>
  </si>
  <si>
    <t>是否有变更</t>
  </si>
  <si>
    <t>变更内容</t>
  </si>
  <si>
    <t>变更提交时间</t>
  </si>
  <si>
    <t>是否有新增变更</t>
  </si>
  <si>
    <t>【量游鸿雁8号】基金经理曲平离职，因产品募资进度慢，寻求更好平台</t>
  </si>
  <si>
    <t>致诚卓远(珠海)投资管理合伙企业(有限合伙）</t>
  </si>
  <si>
    <t>是</t>
  </si>
  <si>
    <t>主体资格证明文件及相关内容变更</t>
  </si>
  <si>
    <t>风控测算2025年1月底产品不满足衍生品类，主要是合约价值不足80%，需要增加衍生品类资产投资</t>
  </si>
  <si>
    <t>因诺（上海）资产管理有限公司</t>
  </si>
  <si>
    <t>主体资格证明文件及相关内容变更, 高管变更</t>
  </si>
  <si>
    <t>风控测算【磐松市场中性2号】2025年1月底持有19%合约价值的股指多头合约</t>
  </si>
  <si>
    <t>上海子午投资管理有限公司</t>
  </si>
  <si>
    <t>无</t>
  </si>
  <si>
    <t>风控测算2025年2月底产品满足衍生品类，主要是【鸣石量化24号】合约价值突增</t>
  </si>
  <si>
    <t>上海磐松私募基金管理有限公司</t>
  </si>
  <si>
    <t>高管变更</t>
  </si>
  <si>
    <t>投资穿透2月底估值表发现【子午中性16号】股票仓位仅37%，已于当日和子午投资经理许忞进行投后交流</t>
  </si>
  <si>
    <t>上海量游资产管理有限公司</t>
  </si>
  <si>
    <t>杭州艮岳主体资格证明文件及相关内容变更</t>
  </si>
  <si>
    <t>海南世纪前沿私募基金管理有限公司</t>
  </si>
  <si>
    <t>高管变更，状态办理通过</t>
  </si>
  <si>
    <t>蓝色郁金香主体资格证明文件及相关内容变更,出资人变更</t>
  </si>
  <si>
    <t>上海顾锝私募基金管理有限公司</t>
  </si>
  <si>
    <t>出资人变更</t>
  </si>
  <si>
    <t>锡和高管变更，经与管理人沟通了解，为更好应对监管检查，风控主管变更为许丽华，前风控主管变更为普通风控岗。</t>
  </si>
  <si>
    <t>上海特夫私募基金管理有限公司</t>
  </si>
  <si>
    <t>主体资格证明文件及相关内容变更,出资人变更</t>
  </si>
  <si>
    <t>将张潇由执行董事变为董事长，设立董事会。计划未来通过员工持股平台给投研股份。具体章程磐松内部合规还在拟。</t>
  </si>
  <si>
    <t>共青城瀛岳私募基金管理有限公司</t>
  </si>
  <si>
    <t>海南世纪前沿私募基金管理有限公司有变更，调整高管职位以及添加新高管，陈家馨职位由副总经理调整为董事长，新添加周志豪为董事总经理，以上变更正在办理中</t>
  </si>
  <si>
    <t>锡和私募基金管理（上海）有限公司</t>
  </si>
  <si>
    <t>海南世纪前沿私募基金管理有限公司高管变更办理通过。</t>
  </si>
  <si>
    <t>上海德贝私募基金管理有限公司</t>
  </si>
  <si>
    <t>杭州艮岳私募基金管理有限公司</t>
  </si>
  <si>
    <t>杭州哲萌投资管理有限公司</t>
  </si>
  <si>
    <t>上海鸣石私募基金管理有限公司</t>
  </si>
  <si>
    <t>交叉智能（北京）私募基金管理有限公司</t>
  </si>
  <si>
    <t>青岛垒昂资产管理有限公司</t>
  </si>
  <si>
    <t>玄元私募基金投资管理（广东）有限公司</t>
  </si>
  <si>
    <t>北京量子金服资产管理有限责任公司</t>
  </si>
  <si>
    <t>青岛悦海盈和基金投资管理有限公司</t>
  </si>
  <si>
    <t>上海远澜私募基金管理有限公司</t>
  </si>
  <si>
    <t>天算量化（北京）资本管理有限公司</t>
  </si>
  <si>
    <t>上海念觉私募基金管理有限公司</t>
  </si>
  <si>
    <t>启后私享1号FOF（每周三开放）</t>
  </si>
  <si>
    <t>状态（产品经理填写）</t>
  </si>
  <si>
    <t>倒计时</t>
  </si>
  <si>
    <t>代码</t>
  </si>
  <si>
    <t>方向</t>
  </si>
  <si>
    <t>金额/份额</t>
  </si>
  <si>
    <t>备注</t>
  </si>
  <si>
    <t>平台</t>
  </si>
  <si>
    <t>已操作</t>
  </si>
  <si>
    <t>国寿安保添利货币B</t>
  </si>
  <si>
    <t>003423</t>
  </si>
  <si>
    <t>申购</t>
  </si>
  <si>
    <t>1230w元</t>
  </si>
  <si>
    <t>备案期间买货基</t>
  </si>
  <si>
    <t>招嬴通</t>
  </si>
  <si>
    <t>300w元</t>
  </si>
  <si>
    <t>周三申购</t>
  </si>
  <si>
    <t>750w元</t>
  </si>
  <si>
    <t>日开申购</t>
  </si>
  <si>
    <t>200w元</t>
  </si>
  <si>
    <t>周二申购，分两批买</t>
  </si>
  <si>
    <t>500w元</t>
  </si>
  <si>
    <t>等等基差，先买货基</t>
  </si>
  <si>
    <t>周二申购</t>
  </si>
  <si>
    <t>赎回</t>
  </si>
  <si>
    <t>T+1到账后买正瀛</t>
  </si>
  <si>
    <t>每周1、3工作日申购</t>
  </si>
  <si>
    <t>全部赎回</t>
  </si>
  <si>
    <t>致诚卓远量化对冲运作6号</t>
  </si>
  <si>
    <t>日开，之前值信投过，不用审合同了，看法审承诺函还能用吗</t>
  </si>
  <si>
    <t>150w元</t>
  </si>
  <si>
    <t>日开，之前云帆投过，不用审合同了，看法审承诺函还能用吗</t>
  </si>
  <si>
    <t>100w元</t>
  </si>
  <si>
    <t>每周2、5</t>
  </si>
  <si>
    <t>每周二开放</t>
  </si>
  <si>
    <t>世纪前沿松柏量化对冲6号C</t>
  </si>
  <si>
    <t>400w元</t>
  </si>
  <si>
    <t>每月末开放赎回</t>
  </si>
  <si>
    <t>星期二</t>
  </si>
  <si>
    <t>顾锝群英8号</t>
  </si>
  <si>
    <t>每周二、三</t>
  </si>
  <si>
    <t>日开</t>
  </si>
  <si>
    <t>星期五</t>
  </si>
  <si>
    <t>星期四</t>
  </si>
  <si>
    <t>每周二</t>
  </si>
  <si>
    <t>星期三</t>
  </si>
  <si>
    <t>320w元</t>
  </si>
  <si>
    <t xml:space="preserve"> 全部赎回 </t>
  </si>
  <si>
    <t>大约101w元</t>
  </si>
  <si>
    <t>300w</t>
  </si>
  <si>
    <t>140w</t>
  </si>
  <si>
    <t>鹏华添利宝货币B</t>
  </si>
  <si>
    <t>009824.OF</t>
  </si>
  <si>
    <t>3w</t>
  </si>
  <si>
    <t>100W</t>
  </si>
  <si>
    <t>交叉智能启航 1 号</t>
  </si>
  <si>
    <t>全部赎回，大约300w</t>
  </si>
  <si>
    <t>150w</t>
  </si>
  <si>
    <t>正瀛骐骥 21 号</t>
  </si>
  <si>
    <t>全部</t>
  </si>
  <si>
    <t>周三开</t>
  </si>
  <si>
    <t>哲萌龙泉进取 2 号</t>
  </si>
  <si>
    <t>正瀛赎回款追加哲萌，日开</t>
  </si>
  <si>
    <t>顾锝屠龙1号</t>
  </si>
  <si>
    <t>远澜藤枫宏观量化6号</t>
  </si>
  <si>
    <t>每周四</t>
  </si>
  <si>
    <t>星期一</t>
  </si>
  <si>
    <t>每周一、周二</t>
  </si>
  <si>
    <t>清盘赎回</t>
  </si>
  <si>
    <t>对方公告清盘</t>
  </si>
  <si>
    <t>每周三周四</t>
  </si>
  <si>
    <t>磐松多空5号</t>
  </si>
  <si>
    <t>垒昂金鹿量化对冲13号私募证券投资基金</t>
  </si>
  <si>
    <t>追加</t>
  </si>
  <si>
    <t>看基差水平，如果合适就300w周五都买垒昂@周君怡</t>
  </si>
  <si>
    <t>每周四五</t>
  </si>
  <si>
    <t>已完成</t>
  </si>
  <si>
    <t>启后FOF临开打款，400w</t>
  </si>
  <si>
    <t>因诺天跃十九号</t>
  </si>
  <si>
    <t>每日</t>
  </si>
  <si>
    <t>天算指增保护尊享6号C</t>
  </si>
  <si>
    <t>首次申购</t>
  </si>
  <si>
    <t>念觉500指增稳健Plus27号B</t>
  </si>
  <si>
    <t>大概不到300w</t>
  </si>
  <si>
    <t>全部份额</t>
  </si>
  <si>
    <t>周收益率</t>
  </si>
  <si>
    <t>周度超额</t>
  </si>
  <si>
    <t>连续负超额周数</t>
  </si>
  <si>
    <t>周度收益率跌幅≥3%</t>
  </si>
  <si>
    <t>持有期最大回撤≥5%</t>
  </si>
  <si>
    <t>连续负超额4周</t>
  </si>
  <si>
    <t>分红</t>
  </si>
  <si>
    <t/>
  </si>
  <si>
    <t>复权累积净值</t>
  </si>
  <si>
    <t>交叉智能量化套利2号</t>
  </si>
  <si>
    <t>因诺天跃19</t>
  </si>
  <si>
    <t>鸣石量化CTA套利1号</t>
  </si>
  <si>
    <t>【赎回日】2024/12/31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</si>
</sst>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000_ "/>
    <numFmt numFmtId="178" formatCode="[$-804]aaaa;@"/>
    <numFmt numFmtId="179" formatCode="_ * #,##0_ ;_ * \-#,##0_ ;_ * &quot;-&quot;??_ ;_ @_ "/>
    <numFmt numFmtId="180" formatCode="yyyy/m/d;@"/>
    <numFmt numFmtId="181" formatCode="#,##0.0000"/>
    <numFmt numFmtId="182" formatCode="#,##0.00000000"/>
    <numFmt numFmtId="183" formatCode="0.000"/>
    <numFmt numFmtId="184" formatCode="0.0_ "/>
    <numFmt numFmtId="185" formatCode="0.000%"/>
  </numFmts>
  <fonts count="59">
    <font>
      <sz val="11"/>
      <color theme="1"/>
      <name val="等线"/>
      <charset val="134"/>
      <scheme val="minor"/>
    </font>
    <font>
      <sz val="11"/>
      <color theme="1"/>
      <name val="楷体"/>
      <charset val="134"/>
    </font>
    <font>
      <b/>
      <sz val="11"/>
      <name val="楷体"/>
      <charset val="134"/>
    </font>
    <font>
      <b/>
      <sz val="11"/>
      <color theme="1"/>
      <name val="楷体"/>
      <charset val="134"/>
    </font>
    <font>
      <sz val="11"/>
      <color rgb="FFFF0000"/>
      <name val="楷体"/>
      <charset val="134"/>
    </font>
    <font>
      <sz val="11"/>
      <color rgb="FFFF0000"/>
      <name val="等线"/>
      <charset val="134"/>
      <scheme val="minor"/>
    </font>
    <font>
      <sz val="11"/>
      <name val="等线"/>
      <charset val="134"/>
      <scheme val="minor"/>
    </font>
    <font>
      <sz val="11"/>
      <color theme="1"/>
      <name val="仿宋"/>
      <charset val="134"/>
    </font>
    <font>
      <b/>
      <sz val="14"/>
      <color rgb="FFFFFFFF"/>
      <name val="楷体"/>
      <charset val="134"/>
    </font>
    <font>
      <b/>
      <sz val="11"/>
      <color rgb="FF000000"/>
      <name val="楷体"/>
      <charset val="134"/>
    </font>
    <font>
      <sz val="11"/>
      <color rgb="FF006100"/>
      <name val="楷体"/>
      <charset val="134"/>
    </font>
    <font>
      <sz val="11"/>
      <color rgb="FF000000"/>
      <name val="楷体"/>
      <charset val="134"/>
    </font>
    <font>
      <sz val="11"/>
      <color rgb="FFBF711D"/>
      <name val="等线"/>
      <charset val="134"/>
      <scheme val="minor"/>
    </font>
    <font>
      <sz val="11"/>
      <color rgb="FF006100"/>
      <name val="仿宋"/>
      <charset val="134"/>
    </font>
    <font>
      <sz val="11"/>
      <color rgb="FF000000"/>
      <name val="仿宋"/>
      <charset val="134"/>
    </font>
    <font>
      <sz val="14"/>
      <color rgb="FFFFFFFF"/>
      <name val="楷体"/>
      <charset val="134"/>
    </font>
    <font>
      <sz val="11"/>
      <color rgb="FF9C0006"/>
      <name val="楷体"/>
      <charset val="134"/>
    </font>
    <font>
      <sz val="11"/>
      <color rgb="FF9C0006"/>
      <name val="仿宋"/>
      <charset val="134"/>
    </font>
    <font>
      <sz val="11"/>
      <color rgb="FF000000"/>
      <name val="等线"/>
      <charset val="134"/>
    </font>
    <font>
      <b/>
      <sz val="16"/>
      <color theme="1"/>
      <name val="楷体"/>
      <charset val="134"/>
    </font>
    <font>
      <b/>
      <sz val="14"/>
      <color theme="1"/>
      <name val="楷体"/>
      <charset val="134"/>
    </font>
    <font>
      <b/>
      <sz val="12"/>
      <color theme="1"/>
      <name val="楷体"/>
      <charset val="134"/>
    </font>
    <font>
      <sz val="12"/>
      <color theme="1"/>
      <name val="楷体"/>
      <charset val="134"/>
    </font>
    <font>
      <sz val="12"/>
      <color theme="1"/>
      <name val="等线"/>
      <charset val="134"/>
      <scheme val="minor"/>
    </font>
    <font>
      <sz val="12"/>
      <color rgb="FFFF0000"/>
      <name val="楷体"/>
      <charset val="134"/>
    </font>
    <font>
      <sz val="11"/>
      <name val="楷体"/>
      <charset val="134"/>
    </font>
    <font>
      <sz val="12"/>
      <name val="楷体"/>
      <charset val="134"/>
    </font>
    <font>
      <sz val="12"/>
      <color rgb="FFFF0000"/>
      <name val="等线"/>
      <charset val="134"/>
      <scheme val="minor"/>
    </font>
    <font>
      <b/>
      <sz val="11"/>
      <color theme="1"/>
      <name val="华文楷体"/>
      <charset val="134"/>
    </font>
    <font>
      <b/>
      <sz val="11"/>
      <name val="宋体"/>
      <charset val="134"/>
    </font>
    <font>
      <sz val="10"/>
      <name val="宋体"/>
      <charset val="0"/>
    </font>
    <font>
      <sz val="9"/>
      <name val="宋体"/>
      <charset val="0"/>
    </font>
    <font>
      <sz val="10"/>
      <name val="Arial"/>
      <charset val="134"/>
    </font>
    <font>
      <sz val="10"/>
      <name val="宋体"/>
      <charset val="134"/>
    </font>
    <font>
      <b/>
      <sz val="11"/>
      <color rgb="FFFF0000"/>
      <name val="楷体"/>
      <charset val="134"/>
    </font>
    <font>
      <sz val="10"/>
      <name val="Arial"/>
      <charset val="0"/>
    </font>
    <font>
      <sz val="9"/>
      <name val="楷体"/>
      <charset val="134"/>
    </font>
    <font>
      <sz val="10"/>
      <color theme="1"/>
      <name val="楷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134"/>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
      <b/>
      <sz val="9"/>
      <name val="宋体"/>
      <charset val="134"/>
    </font>
  </fonts>
  <fills count="49">
    <fill>
      <patternFill patternType="none"/>
    </fill>
    <fill>
      <patternFill patternType="gray125"/>
    </fill>
    <fill>
      <patternFill patternType="solid">
        <fgColor theme="9" tint="0.79985961485641"/>
        <bgColor indexed="64"/>
      </patternFill>
    </fill>
    <fill>
      <patternFill patternType="solid">
        <fgColor theme="7" tint="0.799829096346934"/>
        <bgColor indexed="64"/>
      </patternFill>
    </fill>
    <fill>
      <patternFill patternType="solid">
        <fgColor rgb="FF99CCFF"/>
        <bgColor indexed="64"/>
      </patternFill>
    </fill>
    <fill>
      <patternFill patternType="solid">
        <fgColor rgb="FF7030A0"/>
        <bgColor indexed="64"/>
      </patternFill>
    </fill>
    <fill>
      <patternFill patternType="solid">
        <fgColor rgb="FFB4C6E7"/>
        <bgColor indexed="64"/>
      </patternFill>
    </fill>
    <fill>
      <patternFill patternType="solid">
        <fgColor rgb="FFC6EFCE"/>
        <bgColor indexed="64"/>
      </patternFill>
    </fill>
    <fill>
      <patternFill patternType="solid">
        <fgColor rgb="FFFEFBC6"/>
        <bgColor indexed="64"/>
      </patternFill>
    </fill>
    <fill>
      <patternFill patternType="solid">
        <fgColor rgb="FFFFC7CE"/>
        <bgColor indexed="64"/>
      </patternFill>
    </fill>
    <fill>
      <patternFill patternType="solid">
        <fgColor theme="8" tint="0.79985961485641"/>
        <bgColor indexed="64"/>
      </patternFill>
    </fill>
    <fill>
      <patternFill patternType="solid">
        <fgColor theme="5" tint="0.79985961485641"/>
        <bgColor indexed="64"/>
      </patternFill>
    </fill>
    <fill>
      <patternFill patternType="solid">
        <fgColor rgb="FFBDD7EE"/>
        <bgColor rgb="FF000000"/>
      </patternFill>
    </fill>
    <fill>
      <patternFill patternType="solid">
        <fgColor theme="5" tint="0.799829096346934"/>
        <bgColor indexed="64"/>
      </patternFill>
    </fill>
    <fill>
      <patternFill patternType="solid">
        <fgColor theme="0"/>
        <bgColor indexed="64"/>
      </patternFill>
    </fill>
    <fill>
      <patternFill patternType="solid">
        <fgColor theme="6" tint="0.79985961485641"/>
        <bgColor indexed="64"/>
      </patternFill>
    </fill>
    <fill>
      <patternFill patternType="solid">
        <fgColor theme="0" tint="-0.05"/>
        <bgColor indexed="64"/>
      </patternFill>
    </fill>
    <fill>
      <patternFill patternType="solid">
        <fgColor theme="2"/>
        <bgColor indexed="64"/>
      </patternFill>
    </fill>
    <fill>
      <patternFill patternType="solid">
        <fgColor theme="0" tint="-0.0499893185216834"/>
        <bgColor indexed="64"/>
      </patternFill>
    </fill>
    <fill>
      <patternFill patternType="solid">
        <fgColor theme="4" tint="0.399822992645039"/>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auto="1"/>
      </left>
      <right style="thin">
        <color rgb="FF000000"/>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010000"/>
      </left>
      <right style="thin">
        <color rgb="FF010000"/>
      </right>
      <top style="thin">
        <color rgb="FF010000"/>
      </top>
      <bottom style="thin">
        <color rgb="FF010000"/>
      </bottom>
      <diagonal/>
    </border>
    <border>
      <left/>
      <right style="thin">
        <color rgb="FF010000"/>
      </right>
      <top style="thin">
        <color rgb="FF010000"/>
      </top>
      <bottom style="thin">
        <color rgb="FF010000"/>
      </bottom>
      <diagonal/>
    </border>
    <border>
      <left style="thin">
        <color indexed="8"/>
      </left>
      <right style="thin">
        <color indexed="8"/>
      </right>
      <top style="thin">
        <color indexed="8"/>
      </top>
      <bottom style="thin">
        <color indexed="8"/>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top/>
      <bottom style="double">
        <color auto="1"/>
      </bottom>
      <diagonal/>
    </border>
    <border>
      <left/>
      <right/>
      <top/>
      <bottom style="double">
        <color auto="1"/>
      </bottom>
      <diagonal/>
    </border>
    <border>
      <left/>
      <right style="medium">
        <color auto="1"/>
      </right>
      <top style="thin">
        <color auto="1"/>
      </top>
      <bottom/>
      <diagonal/>
    </border>
    <border>
      <left/>
      <right style="medium">
        <color auto="1"/>
      </right>
      <top/>
      <bottom style="double">
        <color auto="1"/>
      </bottom>
      <diagonal/>
    </border>
    <border>
      <left/>
      <right style="medium">
        <color auto="1"/>
      </right>
      <top/>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0" fillId="21" borderId="37"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38" applyNumberFormat="0" applyFill="0" applyAlignment="0" applyProtection="0">
      <alignment vertical="center"/>
    </xf>
    <xf numFmtId="0" fontId="44" fillId="0" borderId="38" applyNumberFormat="0" applyFill="0" applyAlignment="0" applyProtection="0">
      <alignment vertical="center"/>
    </xf>
    <xf numFmtId="0" fontId="45" fillId="0" borderId="39" applyNumberFormat="0" applyFill="0" applyAlignment="0" applyProtection="0">
      <alignment vertical="center"/>
    </xf>
    <xf numFmtId="0" fontId="45" fillId="0" borderId="0" applyNumberFormat="0" applyFill="0" applyBorder="0" applyAlignment="0" applyProtection="0">
      <alignment vertical="center"/>
    </xf>
    <xf numFmtId="0" fontId="46" fillId="22" borderId="40" applyNumberFormat="0" applyAlignment="0" applyProtection="0">
      <alignment vertical="center"/>
    </xf>
    <xf numFmtId="0" fontId="47" fillId="23" borderId="41" applyNumberFormat="0" applyAlignment="0" applyProtection="0">
      <alignment vertical="center"/>
    </xf>
    <xf numFmtId="0" fontId="48" fillId="23" borderId="40" applyNumberFormat="0" applyAlignment="0" applyProtection="0">
      <alignment vertical="center"/>
    </xf>
    <xf numFmtId="0" fontId="49" fillId="24" borderId="42" applyNumberFormat="0" applyAlignment="0" applyProtection="0">
      <alignment vertical="center"/>
    </xf>
    <xf numFmtId="0" fontId="50" fillId="0" borderId="43" applyNumberFormat="0" applyFill="0" applyAlignment="0" applyProtection="0">
      <alignment vertical="center"/>
    </xf>
    <xf numFmtId="0" fontId="51" fillId="0" borderId="44" applyNumberFormat="0" applyFill="0" applyAlignment="0" applyProtection="0">
      <alignment vertical="center"/>
    </xf>
    <xf numFmtId="0" fontId="52" fillId="7" borderId="0" applyNumberFormat="0" applyBorder="0" applyAlignment="0" applyProtection="0">
      <alignment vertical="center"/>
    </xf>
    <xf numFmtId="0" fontId="53" fillId="9"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6" fillId="20"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5" fillId="36" borderId="0" applyNumberFormat="0" applyBorder="0" applyAlignment="0" applyProtection="0">
      <alignment vertical="center"/>
    </xf>
    <xf numFmtId="0" fontId="55" fillId="37" borderId="0" applyNumberFormat="0" applyBorder="0" applyAlignment="0" applyProtection="0">
      <alignment vertical="center"/>
    </xf>
    <xf numFmtId="0" fontId="56" fillId="38" borderId="0" applyNumberFormat="0" applyBorder="0" applyAlignment="0" applyProtection="0">
      <alignment vertical="center"/>
    </xf>
    <xf numFmtId="0" fontId="56" fillId="39" borderId="0" applyNumberFormat="0" applyBorder="0" applyAlignment="0" applyProtection="0">
      <alignment vertical="center"/>
    </xf>
    <xf numFmtId="0" fontId="55" fillId="40" borderId="0" applyNumberFormat="0" applyBorder="0" applyAlignment="0" applyProtection="0">
      <alignment vertical="center"/>
    </xf>
    <xf numFmtId="0" fontId="55" fillId="41" borderId="0" applyNumberFormat="0" applyBorder="0" applyAlignment="0" applyProtection="0">
      <alignment vertical="center"/>
    </xf>
    <xf numFmtId="0" fontId="56" fillId="42" borderId="0" applyNumberFormat="0" applyBorder="0" applyAlignment="0" applyProtection="0">
      <alignment vertical="center"/>
    </xf>
    <xf numFmtId="0" fontId="56" fillId="43" borderId="0" applyNumberFormat="0" applyBorder="0" applyAlignment="0" applyProtection="0">
      <alignment vertical="center"/>
    </xf>
    <xf numFmtId="0" fontId="55" fillId="44" borderId="0" applyNumberFormat="0" applyBorder="0" applyAlignment="0" applyProtection="0">
      <alignment vertical="center"/>
    </xf>
    <xf numFmtId="0" fontId="55" fillId="45" borderId="0" applyNumberFormat="0" applyBorder="0" applyAlignment="0" applyProtection="0">
      <alignment vertical="center"/>
    </xf>
    <xf numFmtId="0" fontId="56" fillId="46" borderId="0" applyNumberFormat="0" applyBorder="0" applyAlignment="0" applyProtection="0">
      <alignment vertical="center"/>
    </xf>
    <xf numFmtId="0" fontId="56" fillId="47" borderId="0" applyNumberFormat="0" applyBorder="0" applyAlignment="0" applyProtection="0">
      <alignment vertical="center"/>
    </xf>
    <xf numFmtId="0" fontId="55" fillId="48" borderId="0" applyNumberFormat="0" applyBorder="0" applyAlignment="0" applyProtection="0">
      <alignment vertical="center"/>
    </xf>
  </cellStyleXfs>
  <cellXfs count="259">
    <xf numFmtId="0" fontId="0" fillId="0" borderId="0" xfId="0"/>
    <xf numFmtId="0" fontId="1" fillId="0" borderId="0" xfId="0" applyFont="1"/>
    <xf numFmtId="0" fontId="0" fillId="2" borderId="0" xfId="0" applyFill="1"/>
    <xf numFmtId="0" fontId="1" fillId="2" borderId="0" xfId="0" applyFont="1" applyFill="1"/>
    <xf numFmtId="0" fontId="2" fillId="3" borderId="0" xfId="0" applyFont="1" applyFill="1"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14" fontId="1" fillId="0" borderId="0" xfId="0" applyNumberFormat="1" applyFont="1"/>
    <xf numFmtId="10" fontId="1" fillId="0" borderId="0" xfId="3" applyNumberFormat="1" applyFont="1" applyAlignment="1"/>
    <xf numFmtId="10" fontId="1" fillId="2" borderId="0" xfId="3" applyNumberFormat="1" applyFont="1" applyFill="1" applyAlignment="1"/>
    <xf numFmtId="0" fontId="3" fillId="0" borderId="0" xfId="0" applyFont="1" applyAlignment="1">
      <alignment horizontal="center" vertical="center" wrapText="1"/>
    </xf>
    <xf numFmtId="0" fontId="3" fillId="4" borderId="0" xfId="0" applyFont="1" applyFill="1" applyAlignment="1">
      <alignment horizontal="center" vertical="center" wrapText="1"/>
    </xf>
    <xf numFmtId="10" fontId="1" fillId="0" borderId="0" xfId="3" applyNumberFormat="1" applyFont="1" applyBorder="1" applyAlignment="1"/>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xf>
    <xf numFmtId="176" fontId="1" fillId="0" borderId="0" xfId="0" applyNumberFormat="1" applyFont="1"/>
    <xf numFmtId="0" fontId="1" fillId="0" borderId="0" xfId="3" applyNumberFormat="1" applyFont="1" applyBorder="1" applyAlignment="1">
      <alignment horizontal="center" vertical="center"/>
    </xf>
    <xf numFmtId="0" fontId="1" fillId="0" borderId="0" xfId="0" applyFont="1" applyAlignment="1">
      <alignment horizontal="right"/>
    </xf>
    <xf numFmtId="0" fontId="4" fillId="0" borderId="0" xfId="0" applyFont="1" applyAlignment="1">
      <alignment horizontal="center"/>
    </xf>
    <xf numFmtId="0" fontId="5" fillId="0" borderId="0" xfId="0" applyFont="1" applyAlignment="1">
      <alignment horizontal="center"/>
    </xf>
    <xf numFmtId="0" fontId="0" fillId="0" borderId="0" xfId="0" applyFill="1"/>
    <xf numFmtId="10" fontId="1" fillId="0" borderId="0" xfId="3" applyNumberFormat="1" applyFont="1" applyFill="1" applyAlignment="1"/>
    <xf numFmtId="0" fontId="6" fillId="0" borderId="0" xfId="0" applyFont="1" applyAlignment="1">
      <alignment horizontal="center"/>
    </xf>
    <xf numFmtId="177" fontId="0" fillId="0" borderId="0" xfId="0" applyNumberFormat="1"/>
    <xf numFmtId="177" fontId="1" fillId="0" borderId="0" xfId="0" applyNumberFormat="1" applyFont="1"/>
    <xf numFmtId="177" fontId="2" fillId="3" borderId="0" xfId="0" applyNumberFormat="1" applyFont="1" applyFill="1" applyAlignment="1">
      <alignment horizontal="center" vertical="center"/>
    </xf>
    <xf numFmtId="10" fontId="1" fillId="2" borderId="0" xfId="3" applyNumberFormat="1" applyFont="1" applyFill="1" applyBorder="1" applyAlignment="1"/>
    <xf numFmtId="0" fontId="0" fillId="0" borderId="0" xfId="0" applyAlignment="1">
      <alignment horizontal="center" vertical="center"/>
    </xf>
    <xf numFmtId="10" fontId="3" fillId="2" borderId="0" xfId="3" applyNumberFormat="1" applyFont="1" applyFill="1" applyBorder="1" applyAlignment="1"/>
    <xf numFmtId="10" fontId="0" fillId="0" borderId="0" xfId="3" applyNumberFormat="1" applyFont="1" applyAlignment="1"/>
    <xf numFmtId="0" fontId="1" fillId="0" borderId="0" xfId="0" applyFont="1" applyFill="1"/>
    <xf numFmtId="0" fontId="2" fillId="0" borderId="0" xfId="0" applyFont="1" applyFill="1" applyAlignment="1">
      <alignment horizontal="center" vertical="center"/>
    </xf>
    <xf numFmtId="10" fontId="1" fillId="0" borderId="0" xfId="3" applyNumberFormat="1" applyFont="1" applyFill="1" applyBorder="1" applyAlignment="1"/>
    <xf numFmtId="0" fontId="7" fillId="0" borderId="0" xfId="0" applyFont="1"/>
    <xf numFmtId="0" fontId="3" fillId="0" borderId="0" xfId="0" applyFont="1" applyAlignment="1">
      <alignment horizontal="center" vertical="center"/>
    </xf>
    <xf numFmtId="14" fontId="3" fillId="3" borderId="0" xfId="0" applyNumberFormat="1" applyFont="1" applyFill="1" applyAlignment="1">
      <alignment horizontal="center" vertical="center"/>
    </xf>
    <xf numFmtId="0" fontId="8" fillId="5"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178" fontId="9" fillId="6" borderId="1" xfId="0" applyNumberFormat="1" applyFont="1" applyFill="1" applyBorder="1" applyAlignment="1">
      <alignment horizontal="center" vertical="center"/>
    </xf>
    <xf numFmtId="0" fontId="10" fillId="7" borderId="1" xfId="0" applyFont="1" applyFill="1" applyBorder="1" applyAlignment="1">
      <alignment horizontal="center" vertical="center" wrapText="1"/>
    </xf>
    <xf numFmtId="0" fontId="9" fillId="0" borderId="1" xfId="0" applyFont="1" applyBorder="1" applyAlignment="1">
      <alignment horizontal="center" vertical="center"/>
    </xf>
    <xf numFmtId="14" fontId="11" fillId="0" borderId="1" xfId="0" applyNumberFormat="1" applyFont="1" applyBorder="1" applyAlignment="1">
      <alignment horizontal="center" vertical="center"/>
    </xf>
    <xf numFmtId="178" fontId="11" fillId="0" borderId="1" xfId="0" applyNumberFormat="1" applyFont="1" applyBorder="1" applyAlignment="1">
      <alignment horizontal="center" vertical="center" wrapText="1"/>
    </xf>
    <xf numFmtId="0" fontId="10" fillId="7" borderId="2" xfId="0" applyFont="1" applyFill="1" applyBorder="1" applyAlignment="1">
      <alignment horizontal="center" vertical="center" wrapText="1"/>
    </xf>
    <xf numFmtId="14" fontId="11" fillId="0" borderId="2" xfId="0" applyNumberFormat="1" applyFont="1" applyBorder="1" applyAlignment="1">
      <alignment horizontal="center" vertical="center"/>
    </xf>
    <xf numFmtId="178" fontId="11" fillId="0" borderId="2" xfId="0" applyNumberFormat="1" applyFont="1" applyBorder="1" applyAlignment="1">
      <alignment horizontal="center" vertical="center" wrapText="1"/>
    </xf>
    <xf numFmtId="14" fontId="1" fillId="0" borderId="3" xfId="0" applyNumberFormat="1" applyFont="1" applyBorder="1"/>
    <xf numFmtId="178" fontId="11" fillId="0" borderId="3" xfId="0" applyNumberFormat="1" applyFont="1" applyBorder="1" applyAlignment="1">
      <alignment horizontal="center" vertical="center" wrapText="1"/>
    </xf>
    <xf numFmtId="0" fontId="10" fillId="7" borderId="4" xfId="0" applyFont="1" applyFill="1" applyBorder="1" applyAlignment="1">
      <alignment horizontal="center" vertical="center" wrapText="1"/>
    </xf>
    <xf numFmtId="0" fontId="12" fillId="8" borderId="1" xfId="0" applyFont="1" applyFill="1" applyBorder="1" applyAlignment="1">
      <alignment horizontal="center" vertical="center"/>
    </xf>
    <xf numFmtId="0" fontId="11" fillId="0" borderId="1" xfId="0" applyFont="1" applyBorder="1" applyAlignment="1">
      <alignment horizontal="center" vertical="center"/>
    </xf>
    <xf numFmtId="178" fontId="11" fillId="0" borderId="1" xfId="0" applyNumberFormat="1" applyFont="1" applyBorder="1" applyAlignment="1">
      <alignment horizontal="center" vertical="center"/>
    </xf>
    <xf numFmtId="0" fontId="13" fillId="7" borderId="1" xfId="0" applyFont="1" applyFill="1" applyBorder="1" applyAlignment="1">
      <alignment horizontal="center" vertical="center" wrapText="1"/>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178" fontId="14" fillId="0" borderId="1" xfId="0" applyNumberFormat="1" applyFont="1" applyBorder="1" applyAlignment="1">
      <alignment horizontal="center" vertical="center"/>
    </xf>
    <xf numFmtId="0" fontId="15"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0" borderId="1" xfId="0" applyFont="1" applyBorder="1" applyAlignment="1">
      <alignment vertical="center"/>
    </xf>
    <xf numFmtId="179" fontId="11" fillId="0" borderId="1" xfId="0" applyNumberFormat="1" applyFont="1" applyBorder="1" applyAlignment="1">
      <alignment horizontal="right" vertical="center"/>
    </xf>
    <xf numFmtId="0" fontId="16" fillId="9" borderId="1" xfId="23" applyFont="1" applyBorder="1" applyAlignment="1">
      <alignment horizontal="center" vertical="center" wrapText="1"/>
    </xf>
    <xf numFmtId="0" fontId="11" fillId="0" borderId="2" xfId="0" applyFont="1" applyBorder="1" applyAlignment="1">
      <alignment vertical="center"/>
    </xf>
    <xf numFmtId="179" fontId="11" fillId="0" borderId="2" xfId="0" applyNumberFormat="1" applyFont="1" applyBorder="1" applyAlignment="1">
      <alignment horizontal="right" vertical="center"/>
    </xf>
    <xf numFmtId="0" fontId="11" fillId="0" borderId="3" xfId="0" applyFont="1" applyBorder="1" applyAlignment="1">
      <alignment vertical="center"/>
    </xf>
    <xf numFmtId="0" fontId="1" fillId="0" borderId="3" xfId="0" applyFont="1" applyBorder="1"/>
    <xf numFmtId="0" fontId="16" fillId="9" borderId="3" xfId="23" applyFont="1" applyBorder="1" applyAlignment="1">
      <alignment horizontal="center" vertical="center" wrapText="1"/>
    </xf>
    <xf numFmtId="0" fontId="11" fillId="0" borderId="1" xfId="0" applyFont="1" applyBorder="1" applyAlignment="1">
      <alignment horizontal="left" vertical="center"/>
    </xf>
    <xf numFmtId="0" fontId="16" fillId="9" borderId="1" xfId="0" applyFont="1" applyFill="1" applyBorder="1" applyAlignment="1">
      <alignment horizontal="center" vertical="center"/>
    </xf>
    <xf numFmtId="4" fontId="11" fillId="0" borderId="2" xfId="0" applyNumberFormat="1" applyFont="1" applyBorder="1" applyAlignment="1">
      <alignment horizontal="right" vertical="center"/>
    </xf>
    <xf numFmtId="0" fontId="14" fillId="0" borderId="1" xfId="0" applyFont="1" applyBorder="1" applyAlignment="1">
      <alignment horizontal="left" vertical="center"/>
    </xf>
    <xf numFmtId="49" fontId="14" fillId="0" borderId="1" xfId="0" applyNumberFormat="1" applyFont="1" applyBorder="1" applyAlignment="1">
      <alignment vertical="center"/>
    </xf>
    <xf numFmtId="0" fontId="17" fillId="9" borderId="1" xfId="0" applyFont="1" applyFill="1" applyBorder="1" applyAlignment="1">
      <alignment horizontal="center" vertical="center"/>
    </xf>
    <xf numFmtId="0" fontId="14" fillId="0" borderId="1" xfId="0" applyFont="1" applyBorder="1" applyAlignment="1">
      <alignment vertical="center"/>
    </xf>
    <xf numFmtId="49" fontId="11" fillId="0" borderId="1" xfId="0" applyNumberFormat="1" applyFont="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5" xfId="0" applyFont="1" applyBorder="1" applyAlignment="1">
      <alignment vertical="center"/>
    </xf>
    <xf numFmtId="0" fontId="11" fillId="0" borderId="3" xfId="0" applyFont="1" applyBorder="1" applyAlignment="1">
      <alignment horizontal="center" vertical="center"/>
    </xf>
    <xf numFmtId="0" fontId="11" fillId="0" borderId="6" xfId="0" applyFont="1" applyBorder="1" applyAlignment="1">
      <alignment vertical="center"/>
    </xf>
    <xf numFmtId="0" fontId="11" fillId="0" borderId="7" xfId="0" applyFont="1" applyBorder="1" applyAlignment="1">
      <alignment horizontal="center" vertical="center"/>
    </xf>
    <xf numFmtId="0" fontId="1" fillId="0" borderId="3" xfId="0" applyFont="1" applyBorder="1" applyAlignment="1">
      <alignment vertical="center"/>
    </xf>
    <xf numFmtId="0" fontId="11" fillId="0" borderId="8" xfId="0" applyFont="1" applyBorder="1" applyAlignment="1">
      <alignment horizontal="center" vertical="center"/>
    </xf>
    <xf numFmtId="0" fontId="11" fillId="0" borderId="3" xfId="0" applyFont="1" applyBorder="1" applyAlignment="1">
      <alignment horizontal="center" vertical="center" wrapText="1"/>
    </xf>
    <xf numFmtId="0" fontId="18" fillId="0" borderId="1" xfId="0" applyFont="1" applyBorder="1" applyAlignment="1">
      <alignment horizontal="center" vertical="center"/>
    </xf>
    <xf numFmtId="0" fontId="11" fillId="0" borderId="1" xfId="0" applyFont="1" applyBorder="1" applyAlignment="1">
      <alignment horizontal="left" vertical="center" wrapText="1"/>
    </xf>
    <xf numFmtId="0" fontId="19" fillId="0" borderId="0" xfId="0" applyFont="1" applyAlignment="1">
      <alignment vertical="center"/>
    </xf>
    <xf numFmtId="0" fontId="1" fillId="0" borderId="0" xfId="0" applyFont="1" applyAlignment="1">
      <alignment vertical="center"/>
    </xf>
    <xf numFmtId="0" fontId="20" fillId="0" borderId="0" xfId="0" applyFont="1" applyAlignment="1">
      <alignment vertical="center"/>
    </xf>
    <xf numFmtId="14" fontId="1" fillId="3" borderId="0" xfId="0" applyNumberFormat="1" applyFont="1" applyFill="1" applyAlignment="1">
      <alignment horizontal="center" vertical="center"/>
    </xf>
    <xf numFmtId="0" fontId="21" fillId="10" borderId="0" xfId="0" applyFont="1" applyFill="1" applyAlignment="1">
      <alignment vertical="center"/>
    </xf>
    <xf numFmtId="0" fontId="22" fillId="10" borderId="0" xfId="0" applyFont="1" applyFill="1" applyAlignment="1">
      <alignment vertical="center"/>
    </xf>
    <xf numFmtId="0" fontId="22" fillId="0" borderId="0" xfId="0" applyFont="1" applyAlignment="1">
      <alignment vertical="center"/>
    </xf>
    <xf numFmtId="0" fontId="21" fillId="0" borderId="9" xfId="0" applyFont="1" applyBorder="1" applyAlignment="1">
      <alignment vertical="center"/>
    </xf>
    <xf numFmtId="0" fontId="21" fillId="0" borderId="9" xfId="0" applyFont="1" applyBorder="1" applyAlignment="1">
      <alignment horizontal="left" vertical="center"/>
    </xf>
    <xf numFmtId="0" fontId="21" fillId="0" borderId="10" xfId="0" applyFont="1" applyBorder="1" applyAlignment="1">
      <alignment vertical="center"/>
    </xf>
    <xf numFmtId="0" fontId="22" fillId="0" borderId="7" xfId="0" applyFont="1" applyBorder="1" applyAlignment="1">
      <alignment horizontal="center" vertical="center"/>
    </xf>
    <xf numFmtId="0" fontId="22" fillId="0" borderId="11" xfId="0" applyFont="1" applyBorder="1" applyAlignment="1">
      <alignment vertical="center"/>
    </xf>
    <xf numFmtId="0" fontId="22" fillId="0" borderId="12" xfId="0" applyFont="1" applyBorder="1" applyAlignment="1">
      <alignment vertical="center"/>
    </xf>
    <xf numFmtId="0" fontId="22" fillId="0" borderId="13" xfId="0" applyFont="1" applyBorder="1" applyAlignment="1">
      <alignment horizontal="center" vertical="center"/>
    </xf>
    <xf numFmtId="0" fontId="22" fillId="0" borderId="14" xfId="0" applyFont="1" applyBorder="1" applyAlignment="1">
      <alignment vertical="center"/>
    </xf>
    <xf numFmtId="0" fontId="22" fillId="0" borderId="15" xfId="0" applyFont="1" applyBorder="1" applyAlignment="1">
      <alignment horizontal="center" vertical="center"/>
    </xf>
    <xf numFmtId="0" fontId="22" fillId="0" borderId="9" xfId="0" applyFont="1" applyBorder="1" applyAlignment="1">
      <alignment vertical="center"/>
    </xf>
    <xf numFmtId="0" fontId="22" fillId="0" borderId="10" xfId="0" applyFont="1" applyBorder="1" applyAlignment="1">
      <alignment vertical="center"/>
    </xf>
    <xf numFmtId="0" fontId="23" fillId="0" borderId="0" xfId="0" applyFont="1"/>
    <xf numFmtId="0" fontId="21" fillId="11" borderId="0" xfId="0" applyFont="1" applyFill="1" applyAlignment="1">
      <alignment vertical="center"/>
    </xf>
    <xf numFmtId="0" fontId="22" fillId="11" borderId="0" xfId="0" applyFont="1" applyFill="1" applyAlignment="1">
      <alignment vertical="center"/>
    </xf>
    <xf numFmtId="0" fontId="24" fillId="0" borderId="0" xfId="0" applyFont="1" applyAlignment="1">
      <alignment vertical="center"/>
    </xf>
    <xf numFmtId="0" fontId="22" fillId="0" borderId="0" xfId="0" applyFont="1" applyAlignment="1">
      <alignment horizontal="left" vertical="center"/>
    </xf>
    <xf numFmtId="0" fontId="3" fillId="11" borderId="0" xfId="0" applyFont="1" applyFill="1" applyAlignment="1">
      <alignment horizontal="center" vertical="center"/>
    </xf>
    <xf numFmtId="0" fontId="4" fillId="0" borderId="0" xfId="0" applyFont="1" applyAlignment="1">
      <alignment horizontal="center" vertical="center"/>
    </xf>
    <xf numFmtId="0" fontId="25" fillId="0" borderId="0" xfId="0" applyFont="1" applyAlignment="1">
      <alignment horizontal="center" vertical="center"/>
    </xf>
    <xf numFmtId="0" fontId="22" fillId="0" borderId="16" xfId="0" applyFont="1" applyBorder="1" applyAlignment="1">
      <alignment vertical="center"/>
    </xf>
    <xf numFmtId="0" fontId="22" fillId="0" borderId="17" xfId="0" applyFont="1" applyBorder="1" applyAlignment="1">
      <alignment vertical="center"/>
    </xf>
    <xf numFmtId="0" fontId="22" fillId="0" borderId="18" xfId="0" applyFont="1" applyBorder="1" applyAlignment="1">
      <alignment vertical="center"/>
    </xf>
    <xf numFmtId="0" fontId="3" fillId="10" borderId="0" xfId="0" applyFont="1" applyFill="1" applyAlignment="1">
      <alignment horizontal="center" vertical="center"/>
    </xf>
    <xf numFmtId="14" fontId="24" fillId="0" borderId="0" xfId="0" applyNumberFormat="1"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xf numFmtId="14" fontId="26" fillId="0" borderId="0" xfId="0" applyNumberFormat="1" applyFont="1" applyAlignment="1">
      <alignment vertical="center"/>
    </xf>
    <xf numFmtId="0" fontId="26" fillId="0" borderId="0" xfId="0" applyFont="1" applyAlignment="1">
      <alignment vertical="center"/>
    </xf>
    <xf numFmtId="180" fontId="1" fillId="0" borderId="0" xfId="0" applyNumberFormat="1" applyFont="1" applyAlignment="1">
      <alignment horizontal="center" vertical="center"/>
    </xf>
    <xf numFmtId="14" fontId="22" fillId="0" borderId="0" xfId="0" applyNumberFormat="1" applyFont="1" applyAlignment="1">
      <alignment vertical="center"/>
    </xf>
    <xf numFmtId="180" fontId="25" fillId="0" borderId="0" xfId="0" applyNumberFormat="1" applyFont="1" applyAlignment="1">
      <alignment horizontal="center" vertical="center"/>
    </xf>
    <xf numFmtId="0" fontId="22" fillId="0" borderId="0" xfId="0" applyFont="1" applyAlignment="1">
      <alignment horizontal="center" vertical="center"/>
    </xf>
    <xf numFmtId="0" fontId="21" fillId="0" borderId="3" xfId="0" applyFont="1" applyBorder="1" applyAlignment="1">
      <alignment horizontal="center" vertical="center"/>
    </xf>
    <xf numFmtId="0" fontId="21" fillId="0" borderId="19" xfId="0" applyFont="1" applyBorder="1" applyAlignment="1">
      <alignment vertical="center"/>
    </xf>
    <xf numFmtId="0" fontId="21" fillId="0" borderId="20" xfId="0" applyFont="1" applyBorder="1" applyAlignment="1">
      <alignment vertical="center"/>
    </xf>
    <xf numFmtId="0" fontId="22" fillId="0" borderId="3" xfId="0" applyFont="1" applyBorder="1" applyAlignment="1">
      <alignment horizontal="center" vertical="center"/>
    </xf>
    <xf numFmtId="0" fontId="22" fillId="0" borderId="19" xfId="0" applyFont="1" applyBorder="1" applyAlignment="1">
      <alignment vertical="center"/>
    </xf>
    <xf numFmtId="0" fontId="22" fillId="0" borderId="20" xfId="0" applyFont="1" applyBorder="1" applyAlignment="1">
      <alignment vertical="center"/>
    </xf>
    <xf numFmtId="0" fontId="27" fillId="0" borderId="0" xfId="0" applyFont="1"/>
    <xf numFmtId="0" fontId="26" fillId="0" borderId="0" xfId="0" applyFont="1" applyAlignment="1">
      <alignment horizontal="center" vertical="center"/>
    </xf>
    <xf numFmtId="0" fontId="21" fillId="0" borderId="0" xfId="0" applyFont="1" applyAlignment="1">
      <alignment vertical="center"/>
    </xf>
    <xf numFmtId="0" fontId="22" fillId="0" borderId="21" xfId="0" applyFont="1" applyBorder="1" applyAlignment="1">
      <alignment vertical="center"/>
    </xf>
    <xf numFmtId="0" fontId="21" fillId="0" borderId="7" xfId="0" applyFont="1" applyBorder="1" applyAlignment="1">
      <alignment vertical="center"/>
    </xf>
    <xf numFmtId="180" fontId="28" fillId="0" borderId="0" xfId="0" applyNumberFormat="1" applyFont="1"/>
    <xf numFmtId="0" fontId="29" fillId="12" borderId="22" xfId="0" applyFont="1" applyFill="1" applyBorder="1" applyAlignment="1">
      <alignment horizontal="center" vertical="center"/>
    </xf>
    <xf numFmtId="0" fontId="29" fillId="12" borderId="23" xfId="0" applyFont="1" applyFill="1" applyBorder="1" applyAlignment="1">
      <alignment horizontal="center" vertical="center"/>
    </xf>
    <xf numFmtId="0" fontId="30" fillId="0" borderId="24" xfId="0" applyNumberFormat="1" applyFont="1" applyFill="1" applyBorder="1" applyAlignment="1"/>
    <xf numFmtId="4" fontId="31" fillId="0" borderId="24" xfId="0" applyNumberFormat="1" applyFont="1" applyFill="1" applyBorder="1" applyAlignment="1">
      <alignment horizontal="right"/>
    </xf>
    <xf numFmtId="181" fontId="31" fillId="0" borderId="24" xfId="0" applyNumberFormat="1" applyFont="1" applyFill="1" applyBorder="1" applyAlignment="1">
      <alignment horizontal="right"/>
    </xf>
    <xf numFmtId="182" fontId="31" fillId="0" borderId="24" xfId="0" applyNumberFormat="1" applyFont="1" applyFill="1" applyBorder="1" applyAlignment="1">
      <alignment horizontal="right"/>
    </xf>
    <xf numFmtId="0" fontId="32" fillId="0" borderId="0" xfId="0" applyFont="1"/>
    <xf numFmtId="0" fontId="33" fillId="0" borderId="24" xfId="0" applyFont="1" applyBorder="1"/>
    <xf numFmtId="0" fontId="1" fillId="13" borderId="0" xfId="0" applyFont="1" applyFill="1"/>
    <xf numFmtId="0" fontId="19" fillId="14" borderId="0" xfId="0" applyFont="1" applyFill="1" applyAlignment="1">
      <alignment vertical="center"/>
    </xf>
    <xf numFmtId="14" fontId="2" fillId="3" borderId="0" xfId="0" applyNumberFormat="1" applyFont="1" applyFill="1" applyAlignment="1">
      <alignment horizontal="center" vertical="center"/>
    </xf>
    <xf numFmtId="0" fontId="3" fillId="4" borderId="0" xfId="0" applyFont="1" applyFill="1" applyAlignment="1">
      <alignment horizontal="center" vertical="center"/>
    </xf>
    <xf numFmtId="14" fontId="19" fillId="13" borderId="0" xfId="0" applyNumberFormat="1" applyFont="1" applyFill="1" applyAlignment="1">
      <alignment horizontal="left" vertical="center"/>
    </xf>
    <xf numFmtId="0" fontId="2" fillId="13" borderId="0" xfId="0" applyFont="1" applyFill="1" applyAlignment="1">
      <alignment horizontal="center" vertical="center"/>
    </xf>
    <xf numFmtId="2" fontId="1" fillId="3" borderId="0" xfId="0" applyNumberFormat="1" applyFont="1" applyFill="1"/>
    <xf numFmtId="0" fontId="2" fillId="15" borderId="0" xfId="0" applyFont="1" applyFill="1" applyAlignment="1">
      <alignment horizontal="center" vertical="center"/>
    </xf>
    <xf numFmtId="0" fontId="2" fillId="16"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43" fontId="2" fillId="3" borderId="0" xfId="1" applyFont="1" applyFill="1" applyAlignment="1">
      <alignment horizontal="center" vertical="center"/>
    </xf>
    <xf numFmtId="0" fontId="34" fillId="0" borderId="0" xfId="0" applyFont="1" applyAlignment="1">
      <alignment horizontal="left" vertical="center"/>
    </xf>
    <xf numFmtId="43" fontId="1" fillId="0" borderId="0" xfId="0" applyNumberFormat="1" applyFont="1"/>
    <xf numFmtId="43" fontId="1" fillId="0" borderId="0" xfId="3" applyNumberFormat="1" applyFont="1" applyFill="1" applyAlignment="1"/>
    <xf numFmtId="14" fontId="2" fillId="13" borderId="0" xfId="0" applyNumberFormat="1" applyFont="1" applyFill="1" applyAlignment="1">
      <alignment horizontal="center" vertical="center"/>
    </xf>
    <xf numFmtId="176" fontId="1" fillId="3" borderId="0" xfId="0" applyNumberFormat="1" applyFont="1" applyFill="1"/>
    <xf numFmtId="176" fontId="1" fillId="0" borderId="0" xfId="0" applyNumberFormat="1" applyFont="1" applyAlignment="1">
      <alignment horizontal="right"/>
    </xf>
    <xf numFmtId="176" fontId="1" fillId="3" borderId="0" xfId="0" applyNumberFormat="1" applyFont="1" applyFill="1" applyAlignment="1">
      <alignment horizontal="right"/>
    </xf>
    <xf numFmtId="10" fontId="1" fillId="0" borderId="0" xfId="3" applyNumberFormat="1" applyFont="1" applyAlignment="1">
      <alignment horizontal="right"/>
    </xf>
    <xf numFmtId="0" fontId="1" fillId="3" borderId="0" xfId="0" applyFont="1" applyFill="1"/>
    <xf numFmtId="14" fontId="3" fillId="13" borderId="0" xfId="0" applyNumberFormat="1" applyFont="1" applyFill="1" applyAlignment="1">
      <alignment vertical="center"/>
    </xf>
    <xf numFmtId="14" fontId="3" fillId="13" borderId="0" xfId="0" applyNumberFormat="1" applyFont="1" applyFill="1" applyAlignment="1">
      <alignment horizontal="center" vertical="center"/>
    </xf>
    <xf numFmtId="0" fontId="1" fillId="0" borderId="0" xfId="0" applyFont="1" applyAlignment="1">
      <alignment wrapText="1"/>
    </xf>
    <xf numFmtId="0" fontId="2" fillId="3" borderId="0" xfId="0" applyFont="1" applyFill="1" applyAlignment="1">
      <alignment horizontal="center" vertical="center" wrapText="1"/>
    </xf>
    <xf numFmtId="183" fontId="1" fillId="0" borderId="0" xfId="0" applyNumberFormat="1" applyFont="1"/>
    <xf numFmtId="184" fontId="1" fillId="0" borderId="0" xfId="0" applyNumberFormat="1" applyFont="1"/>
    <xf numFmtId="0" fontId="4" fillId="0" borderId="0" xfId="0" applyFont="1"/>
    <xf numFmtId="0" fontId="3" fillId="19" borderId="0" xfId="0" applyFont="1" applyFill="1" applyAlignment="1">
      <alignment horizontal="left" vertical="center" wrapText="1"/>
    </xf>
    <xf numFmtId="10" fontId="1" fillId="0" borderId="0" xfId="0" applyNumberFormat="1" applyFont="1"/>
    <xf numFmtId="10" fontId="3" fillId="19" borderId="0" xfId="3" applyNumberFormat="1" applyFont="1" applyFill="1" applyAlignment="1">
      <alignment horizontal="right" vertical="center" wrapText="1"/>
    </xf>
    <xf numFmtId="0" fontId="35" fillId="0" borderId="0" xfId="0" applyFont="1"/>
    <xf numFmtId="14" fontId="36" fillId="3" borderId="0" xfId="0" applyNumberFormat="1" applyFont="1" applyFill="1" applyAlignment="1">
      <alignment horizontal="center" vertical="center"/>
    </xf>
    <xf numFmtId="0" fontId="2" fillId="0" borderId="0" xfId="0" applyFont="1" applyAlignment="1">
      <alignment horizontal="center" vertical="center" wrapText="1"/>
    </xf>
    <xf numFmtId="14" fontId="25" fillId="3" borderId="0" xfId="0" applyNumberFormat="1" applyFont="1" applyFill="1" applyAlignment="1">
      <alignment horizontal="center" vertical="center"/>
    </xf>
    <xf numFmtId="0" fontId="25" fillId="3" borderId="0" xfId="0" applyFont="1" applyFill="1" applyAlignment="1">
      <alignment horizontal="center" vertical="center"/>
    </xf>
    <xf numFmtId="185" fontId="1" fillId="0" borderId="0" xfId="0" applyNumberFormat="1" applyFont="1"/>
    <xf numFmtId="176" fontId="25" fillId="3" borderId="0" xfId="0" applyNumberFormat="1" applyFont="1" applyFill="1" applyAlignment="1">
      <alignment horizontal="center" vertical="center"/>
    </xf>
    <xf numFmtId="177" fontId="25" fillId="3" borderId="0" xfId="0" applyNumberFormat="1" applyFont="1" applyFill="1" applyAlignment="1">
      <alignment horizontal="center" vertical="center"/>
    </xf>
    <xf numFmtId="10" fontId="2" fillId="0" borderId="0" xfId="3" applyNumberFormat="1" applyFont="1" applyFill="1" applyBorder="1" applyAlignment="1">
      <alignment horizontal="center" vertical="center" wrapText="1"/>
    </xf>
    <xf numFmtId="185" fontId="1" fillId="0" borderId="0" xfId="3" applyNumberFormat="1" applyFont="1" applyFill="1" applyBorder="1" applyAlignment="1"/>
    <xf numFmtId="4" fontId="1" fillId="3" borderId="0" xfId="0" applyNumberFormat="1" applyFont="1" applyFill="1"/>
    <xf numFmtId="0" fontId="25" fillId="3" borderId="0" xfId="0" applyNumberFormat="1" applyFont="1" applyFill="1" applyAlignment="1">
      <alignment horizontal="center" vertical="center"/>
    </xf>
    <xf numFmtId="14" fontId="19" fillId="14" borderId="0" xfId="0" applyNumberFormat="1" applyFont="1" applyFill="1" applyAlignment="1">
      <alignment horizontal="left" vertical="center"/>
    </xf>
    <xf numFmtId="0" fontId="2" fillId="20" borderId="25" xfId="0" applyFont="1" applyFill="1" applyBorder="1" applyAlignment="1">
      <alignment horizontal="center" vertical="center" wrapText="1"/>
    </xf>
    <xf numFmtId="0" fontId="2" fillId="20" borderId="26" xfId="0" applyFont="1" applyFill="1" applyBorder="1" applyAlignment="1">
      <alignment horizontal="center" vertical="center" wrapText="1"/>
    </xf>
    <xf numFmtId="14" fontId="25" fillId="0" borderId="27" xfId="0" applyNumberFormat="1" applyFont="1" applyBorder="1" applyAlignment="1">
      <alignment horizontal="center" vertical="center"/>
    </xf>
    <xf numFmtId="10" fontId="1" fillId="0" borderId="0" xfId="3" applyNumberFormat="1" applyFont="1" applyFill="1" applyBorder="1" applyAlignment="1">
      <alignment horizontal="center"/>
    </xf>
    <xf numFmtId="176" fontId="25" fillId="0" borderId="0" xfId="0" applyNumberFormat="1" applyFont="1" applyAlignment="1">
      <alignment horizontal="center" vertical="center"/>
    </xf>
    <xf numFmtId="176" fontId="25" fillId="0" borderId="0" xfId="0" applyNumberFormat="1" applyFont="1" applyAlignment="1">
      <alignment horizontal="center" vertical="center" wrapText="1"/>
    </xf>
    <xf numFmtId="0" fontId="1" fillId="0" borderId="19" xfId="0" applyFont="1" applyBorder="1"/>
    <xf numFmtId="0" fontId="1" fillId="0" borderId="20" xfId="0" applyFont="1" applyBorder="1"/>
    <xf numFmtId="185" fontId="1" fillId="0" borderId="0" xfId="3" applyNumberFormat="1" applyFont="1" applyFill="1" applyBorder="1" applyAlignment="1">
      <alignment horizontal="center" vertical="center"/>
    </xf>
    <xf numFmtId="0" fontId="1" fillId="0" borderId="14" xfId="0" applyFont="1" applyBorder="1"/>
    <xf numFmtId="185" fontId="1" fillId="0" borderId="0" xfId="3" applyNumberFormat="1" applyFont="1" applyFill="1" applyBorder="1" applyAlignment="1">
      <alignment horizontal="center"/>
    </xf>
    <xf numFmtId="0" fontId="2" fillId="0" borderId="14" xfId="0" applyFont="1" applyBorder="1" applyAlignment="1">
      <alignment vertical="center" wrapText="1"/>
    </xf>
    <xf numFmtId="0" fontId="1" fillId="0" borderId="21" xfId="0" applyFont="1" applyBorder="1"/>
    <xf numFmtId="0" fontId="1" fillId="0" borderId="17" xfId="0" applyFont="1" applyBorder="1"/>
    <xf numFmtId="0" fontId="25" fillId="0" borderId="0" xfId="0" applyFont="1" applyAlignment="1">
      <alignment horizontal="center" vertical="center" wrapText="1"/>
    </xf>
    <xf numFmtId="0" fontId="25" fillId="0" borderId="0" xfId="0" applyNumberFormat="1" applyFont="1" applyAlignment="1">
      <alignment horizontal="center" vertical="center" wrapText="1"/>
    </xf>
    <xf numFmtId="177" fontId="25" fillId="0" borderId="0" xfId="0" applyNumberFormat="1" applyFont="1" applyAlignment="1">
      <alignment horizontal="center" vertical="center" wrapText="1"/>
    </xf>
    <xf numFmtId="0" fontId="2" fillId="20" borderId="27" xfId="0" applyFont="1" applyFill="1" applyBorder="1" applyAlignment="1">
      <alignment horizontal="center" vertical="center" wrapText="1"/>
    </xf>
    <xf numFmtId="0" fontId="2" fillId="20" borderId="0" xfId="0" applyFont="1" applyFill="1" applyAlignment="1">
      <alignment horizontal="center" vertical="center" wrapText="1"/>
    </xf>
    <xf numFmtId="0" fontId="1" fillId="0" borderId="27" xfId="0" applyFont="1" applyBorder="1"/>
    <xf numFmtId="0" fontId="1" fillId="0" borderId="28" xfId="0" applyFont="1" applyBorder="1"/>
    <xf numFmtId="0" fontId="37" fillId="0" borderId="27" xfId="0" applyFont="1" applyBorder="1" applyAlignment="1">
      <alignment horizontal="left" wrapText="1"/>
    </xf>
    <xf numFmtId="0" fontId="37" fillId="0" borderId="0" xfId="0" applyFont="1" applyAlignment="1">
      <alignment horizontal="left" wrapText="1"/>
    </xf>
    <xf numFmtId="0" fontId="37" fillId="0" borderId="29" xfId="0" applyFont="1" applyBorder="1" applyAlignment="1">
      <alignment horizontal="left" wrapText="1"/>
    </xf>
    <xf numFmtId="0" fontId="37" fillId="0" borderId="30" xfId="0" applyFont="1" applyBorder="1" applyAlignment="1">
      <alignment horizontal="left" wrapText="1"/>
    </xf>
    <xf numFmtId="0" fontId="2" fillId="0" borderId="14" xfId="0" applyFont="1" applyBorder="1" applyAlignment="1">
      <alignment horizontal="center" vertical="center" wrapText="1"/>
    </xf>
    <xf numFmtId="0" fontId="25" fillId="0" borderId="14" xfId="0" applyFont="1" applyBorder="1" applyAlignment="1">
      <alignment horizontal="center" vertical="center" wrapText="1"/>
    </xf>
    <xf numFmtId="0" fontId="2" fillId="20" borderId="11" xfId="0" applyFont="1" applyFill="1" applyBorder="1" applyAlignment="1">
      <alignment horizontal="center" vertical="center" wrapText="1"/>
    </xf>
    <xf numFmtId="0" fontId="2" fillId="20" borderId="12" xfId="0" applyFont="1" applyFill="1" applyBorder="1" applyAlignment="1">
      <alignment horizontal="center" vertical="center" wrapText="1"/>
    </xf>
    <xf numFmtId="0" fontId="3" fillId="0" borderId="19" xfId="0" applyFont="1" applyBorder="1" applyAlignment="1">
      <alignment horizontal="center" vertical="center"/>
    </xf>
    <xf numFmtId="0" fontId="3" fillId="0" borderId="20" xfId="0" applyFont="1" applyBorder="1" applyAlignment="1">
      <alignment horizontal="center" vertical="center"/>
    </xf>
    <xf numFmtId="176" fontId="2" fillId="0" borderId="20" xfId="0" applyNumberFormat="1"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176" fontId="2" fillId="0" borderId="32" xfId="0" applyNumberFormat="1" applyFont="1" applyBorder="1" applyAlignment="1">
      <alignment horizontal="center" vertical="center"/>
    </xf>
    <xf numFmtId="0" fontId="1" fillId="0" borderId="14" xfId="0" applyFont="1" applyBorder="1" applyAlignment="1">
      <alignment horizontal="center" vertical="center"/>
    </xf>
    <xf numFmtId="10" fontId="1" fillId="0" borderId="0" xfId="3" applyNumberFormat="1" applyFont="1" applyFill="1" applyAlignment="1">
      <alignment horizontal="center" vertical="center"/>
    </xf>
    <xf numFmtId="0" fontId="1" fillId="0" borderId="14" xfId="0" applyFont="1" applyBorder="1" applyAlignment="1">
      <alignment vertical="center"/>
    </xf>
    <xf numFmtId="10" fontId="3" fillId="0" borderId="0" xfId="3" applyNumberFormat="1" applyFont="1" applyAlignment="1"/>
    <xf numFmtId="0" fontId="2" fillId="20" borderId="14" xfId="0" applyFont="1" applyFill="1" applyBorder="1" applyAlignment="1">
      <alignment horizontal="center" vertical="center" wrapText="1"/>
    </xf>
    <xf numFmtId="14" fontId="1" fillId="0" borderId="0" xfId="0" applyNumberFormat="1" applyFont="1" applyAlignment="1">
      <alignment horizontal="center" vertical="center"/>
    </xf>
    <xf numFmtId="10" fontId="1" fillId="0" borderId="0" xfId="0" applyNumberFormat="1" applyFont="1" applyAlignment="1">
      <alignment horizontal="center" vertical="center"/>
    </xf>
    <xf numFmtId="0" fontId="1" fillId="0" borderId="14" xfId="0" applyFont="1" applyBorder="1" applyAlignment="1">
      <alignment horizontal="center"/>
    </xf>
    <xf numFmtId="0" fontId="1" fillId="0" borderId="18" xfId="0" applyFont="1" applyBorder="1"/>
    <xf numFmtId="0" fontId="21" fillId="0" borderId="20" xfId="0" applyFont="1" applyBorder="1" applyAlignment="1">
      <alignment horizontal="center"/>
    </xf>
    <xf numFmtId="0" fontId="2" fillId="0" borderId="17" xfId="0" applyFont="1" applyBorder="1" applyAlignment="1">
      <alignment horizontal="center" vertical="center" wrapText="1"/>
    </xf>
    <xf numFmtId="0" fontId="25" fillId="0" borderId="17" xfId="0" applyFont="1" applyBorder="1" applyAlignment="1">
      <alignment horizontal="center" vertical="center" wrapText="1"/>
    </xf>
    <xf numFmtId="0" fontId="2" fillId="20" borderId="18" xfId="0" applyFont="1" applyFill="1" applyBorder="1" applyAlignment="1">
      <alignment horizontal="center" vertical="center" wrapText="1"/>
    </xf>
    <xf numFmtId="10" fontId="3" fillId="0" borderId="20" xfId="3" applyNumberFormat="1" applyFont="1" applyFill="1" applyBorder="1" applyAlignment="1">
      <alignment horizontal="center" vertical="center"/>
    </xf>
    <xf numFmtId="185" fontId="3" fillId="0" borderId="20" xfId="3" applyNumberFormat="1" applyFont="1" applyFill="1" applyBorder="1" applyAlignment="1">
      <alignment horizontal="center" vertical="center"/>
    </xf>
    <xf numFmtId="185" fontId="3" fillId="0" borderId="33" xfId="3" applyNumberFormat="1" applyFont="1" applyFill="1" applyBorder="1" applyAlignment="1">
      <alignment horizontal="center" vertical="center"/>
    </xf>
    <xf numFmtId="10" fontId="3" fillId="0" borderId="32" xfId="3" applyNumberFormat="1" applyFont="1" applyFill="1" applyBorder="1" applyAlignment="1">
      <alignment horizontal="center" vertical="center"/>
    </xf>
    <xf numFmtId="185" fontId="3" fillId="0" borderId="32" xfId="3" applyNumberFormat="1" applyFont="1" applyFill="1" applyBorder="1" applyAlignment="1">
      <alignment horizontal="center" vertical="center"/>
    </xf>
    <xf numFmtId="185" fontId="3" fillId="0" borderId="34" xfId="3" applyNumberFormat="1" applyFont="1" applyFill="1" applyBorder="1" applyAlignment="1">
      <alignment horizontal="center" vertical="center"/>
    </xf>
    <xf numFmtId="0" fontId="1" fillId="0" borderId="17" xfId="0" applyFont="1" applyBorder="1" applyAlignment="1">
      <alignment horizontal="center" vertical="center"/>
    </xf>
    <xf numFmtId="10" fontId="1" fillId="0" borderId="0" xfId="3" applyNumberFormat="1" applyFont="1" applyFill="1" applyAlignment="1">
      <alignment horizontal="center" vertical="center" wrapText="1"/>
    </xf>
    <xf numFmtId="10" fontId="1" fillId="0" borderId="17" xfId="3" applyNumberFormat="1" applyFont="1" applyFill="1" applyBorder="1" applyAlignment="1">
      <alignment horizontal="center" vertical="center"/>
    </xf>
    <xf numFmtId="10" fontId="3" fillId="0" borderId="17" xfId="3" applyNumberFormat="1" applyFont="1" applyBorder="1" applyAlignment="1"/>
    <xf numFmtId="0" fontId="2" fillId="20" borderId="35" xfId="0" applyFont="1" applyFill="1" applyBorder="1" applyAlignment="1">
      <alignment horizontal="center" vertical="center" wrapText="1"/>
    </xf>
    <xf numFmtId="14" fontId="1" fillId="0" borderId="35" xfId="0" applyNumberFormat="1" applyFont="1" applyBorder="1" applyAlignment="1">
      <alignment horizontal="center" vertical="center"/>
    </xf>
    <xf numFmtId="0" fontId="1" fillId="0" borderId="35" xfId="0" applyFont="1" applyBorder="1" applyAlignment="1">
      <alignment horizontal="center" vertical="center"/>
    </xf>
    <xf numFmtId="10" fontId="1" fillId="0" borderId="35" xfId="0" applyNumberFormat="1" applyFont="1" applyBorder="1" applyAlignment="1">
      <alignment horizontal="center" vertical="center"/>
    </xf>
    <xf numFmtId="0" fontId="1" fillId="0" borderId="0" xfId="0" applyFont="1" applyAlignment="1">
      <alignment horizontal="left" vertical="center"/>
    </xf>
    <xf numFmtId="0" fontId="1" fillId="0" borderId="35" xfId="0" applyFont="1" applyBorder="1"/>
    <xf numFmtId="0" fontId="1" fillId="0" borderId="33" xfId="0" applyFont="1" applyBorder="1"/>
    <xf numFmtId="0" fontId="37" fillId="0" borderId="35" xfId="0" applyFont="1" applyBorder="1" applyAlignment="1">
      <alignment horizontal="left" wrapText="1"/>
    </xf>
    <xf numFmtId="0" fontId="37" fillId="0" borderId="36" xfId="0" applyFont="1" applyBorder="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FF0000"/>
      <rgbColor rgb="0000FF00"/>
      <rgbColor rgb="000000FF"/>
      <rgbColor rgb="00FFFF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BDD7EE"/>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mruColors>
      <color rgb="0099CCFF"/>
      <color rgb="006699FF"/>
      <color rgb="00FFCDF7"/>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spc="0" baseline="0">
                <a:solidFill>
                  <a:schemeClr val="tx1">
                    <a:lumMod val="65000"/>
                    <a:lumOff val="35000"/>
                  </a:schemeClr>
                </a:solidFill>
                <a:latin typeface="楷体" panose="02010609060101010101" pitchFamily="49" charset="-122"/>
                <a:ea typeface="楷体" panose="02010609060101010101" pitchFamily="49" charset="-122"/>
                <a:cs typeface="+mn-cs"/>
              </a:defRPr>
            </a:pPr>
            <a:r>
              <a:rPr lang="zh-CN" b="1"/>
              <a:t>启后私享</a:t>
            </a:r>
            <a:r>
              <a:rPr lang="en-US" b="1"/>
              <a:t>1</a:t>
            </a:r>
            <a:r>
              <a:rPr lang="zh-CN" b="1"/>
              <a:t>号</a:t>
            </a:r>
            <a:r>
              <a:rPr lang="en-US" b="1"/>
              <a:t>FOF</a:t>
            </a:r>
            <a:endParaRPr lang="en-US" b="1"/>
          </a:p>
        </c:rich>
      </c:tx>
      <c:layout>
        <c:manualLayout>
          <c:xMode val="edge"/>
          <c:yMode val="edge"/>
          <c:x val="0.374820412016627"/>
          <c:y val="0.0010323008094443"/>
        </c:manualLayout>
      </c:layout>
      <c:overlay val="0"/>
      <c:spPr>
        <a:noFill/>
        <a:ln>
          <a:noFill/>
        </a:ln>
        <a:effectLst/>
      </c:spPr>
    </c:title>
    <c:autoTitleDeleted val="0"/>
    <c:plotArea>
      <c:layout>
        <c:manualLayout>
          <c:layoutTarget val="inner"/>
          <c:xMode val="edge"/>
          <c:yMode val="edge"/>
          <c:x val="0.0885926585002669"/>
          <c:y val="0.216915154785589"/>
          <c:w val="0.802813800071982"/>
          <c:h val="0.659281836230378"/>
        </c:manualLayout>
      </c:layout>
      <c:lineChart>
        <c:grouping val="standard"/>
        <c:varyColors val="0"/>
        <c:ser>
          <c:idx val="1"/>
          <c:order val="0"/>
          <c:tx>
            <c:strRef>
              <c:f>启后私享1号FOF周净值!$I$2</c:f>
              <c:strCache>
                <c:ptCount val="1"/>
                <c:pt idx="0">
                  <c:v>启后私享1号FOF</c:v>
                </c:pt>
              </c:strCache>
            </c:strRef>
          </c:tx>
          <c:spPr>
            <a:ln w="28575" cap="rnd">
              <a:solidFill>
                <a:schemeClr val="accent2"/>
              </a:solidFill>
              <a:round/>
            </a:ln>
            <a:effectLst/>
          </c:spPr>
          <c:marker>
            <c:symbol val="none"/>
          </c:marker>
          <c:dLbls>
            <c:delete val="1"/>
          </c:dLbls>
          <c:cat>
            <c:numRef>
              <c:f>启后私享1号FOF周净值!$A$3:$A$74</c:f>
              <c:numCache>
                <c:formatCode>yyyy/m/d</c:formatCode>
                <c:ptCount val="72"/>
                <c:pt idx="0" c:formatCode="yyyy/m/d">
                  <c:v>45460</c:v>
                </c:pt>
                <c:pt idx="1" c:formatCode="yyyy/m/d">
                  <c:v>45464</c:v>
                </c:pt>
                <c:pt idx="2" c:formatCode="yyyy/m/d">
                  <c:v>45471</c:v>
                </c:pt>
                <c:pt idx="3" c:formatCode="yyyy/m/d">
                  <c:v>45478</c:v>
                </c:pt>
                <c:pt idx="4" c:formatCode="yyyy/m/d">
                  <c:v>45485</c:v>
                </c:pt>
                <c:pt idx="5" c:formatCode="yyyy/m/d">
                  <c:v>45492</c:v>
                </c:pt>
                <c:pt idx="6" c:formatCode="yyyy/m/d">
                  <c:v>45499</c:v>
                </c:pt>
                <c:pt idx="7" c:formatCode="yyyy/m/d">
                  <c:v>45506</c:v>
                </c:pt>
                <c:pt idx="8" c:formatCode="yyyy/m/d">
                  <c:v>45513</c:v>
                </c:pt>
                <c:pt idx="9" c:formatCode="yyyy/m/d">
                  <c:v>45520</c:v>
                </c:pt>
                <c:pt idx="10" c:formatCode="yyyy/m/d">
                  <c:v>45527</c:v>
                </c:pt>
                <c:pt idx="11" c:formatCode="yyyy/m/d">
                  <c:v>45534</c:v>
                </c:pt>
                <c:pt idx="12" c:formatCode="yyyy/m/d">
                  <c:v>45541</c:v>
                </c:pt>
                <c:pt idx="13" c:formatCode="yyyy/m/d">
                  <c:v>45548</c:v>
                </c:pt>
                <c:pt idx="14" c:formatCode="yyyy/m/d">
                  <c:v>45555</c:v>
                </c:pt>
                <c:pt idx="15" c:formatCode="yyyy/m/d">
                  <c:v>45562</c:v>
                </c:pt>
                <c:pt idx="16" c:formatCode="yyyy/m/d">
                  <c:v>45565</c:v>
                </c:pt>
                <c:pt idx="17" c:formatCode="yyyy/m/d">
                  <c:v>45576</c:v>
                </c:pt>
                <c:pt idx="18" c:formatCode="yyyy/m/d">
                  <c:v>45583</c:v>
                </c:pt>
                <c:pt idx="19" c:formatCode="yyyy/m/d">
                  <c:v>45590</c:v>
                </c:pt>
                <c:pt idx="20" c:formatCode="yyyy/m/d">
                  <c:v>45597</c:v>
                </c:pt>
                <c:pt idx="21" c:formatCode="yyyy/m/d">
                  <c:v>45604</c:v>
                </c:pt>
                <c:pt idx="22" c:formatCode="yyyy/m/d">
                  <c:v>45611</c:v>
                </c:pt>
                <c:pt idx="23" c:formatCode="yyyy/m/d">
                  <c:v>45618</c:v>
                </c:pt>
                <c:pt idx="24" c:formatCode="yyyy/m/d">
                  <c:v>45625</c:v>
                </c:pt>
                <c:pt idx="25" c:formatCode="yyyy/m/d">
                  <c:v>45632</c:v>
                </c:pt>
                <c:pt idx="26" c:formatCode="yyyy/m/d">
                  <c:v>45639</c:v>
                </c:pt>
                <c:pt idx="27" c:formatCode="yyyy/m/d">
                  <c:v>45646</c:v>
                </c:pt>
                <c:pt idx="28" c:formatCode="yyyy/m/d">
                  <c:v>45653</c:v>
                </c:pt>
                <c:pt idx="29" c:formatCode="yyyy/m/d">
                  <c:v>45660</c:v>
                </c:pt>
                <c:pt idx="30" c:formatCode="yyyy/m/d">
                  <c:v>45667</c:v>
                </c:pt>
                <c:pt idx="31" c:formatCode="yyyy/m/d">
                  <c:v>45674</c:v>
                </c:pt>
                <c:pt idx="32" c:formatCode="yyyy/m/d">
                  <c:v>45681</c:v>
                </c:pt>
                <c:pt idx="33" c:formatCode="yyyy/m/d">
                  <c:v>45684</c:v>
                </c:pt>
                <c:pt idx="34" c:formatCode="yyyy/m/d">
                  <c:v>45695</c:v>
                </c:pt>
                <c:pt idx="35" c:formatCode="yyyy/m/d">
                  <c:v>45702</c:v>
                </c:pt>
                <c:pt idx="36" c:formatCode="yyyy/m/d">
                  <c:v>45709</c:v>
                </c:pt>
                <c:pt idx="37" c:formatCode="yyyy/m/d">
                  <c:v>45716</c:v>
                </c:pt>
                <c:pt idx="38" c:formatCode="yyyy/m/d">
                  <c:v>45721</c:v>
                </c:pt>
                <c:pt idx="39" c:formatCode="yyyy/m/d">
                  <c:v>45730</c:v>
                </c:pt>
                <c:pt idx="40" c:formatCode="yyyy/m/d">
                  <c:v>45737</c:v>
                </c:pt>
                <c:pt idx="41" c:formatCode="yyyy/m/d">
                  <c:v>45744</c:v>
                </c:pt>
                <c:pt idx="42" c:formatCode="yyyy/m/d">
                  <c:v>45750</c:v>
                </c:pt>
                <c:pt idx="43" c:formatCode="yyyy/m/d">
                  <c:v>45758</c:v>
                </c:pt>
                <c:pt idx="44" c:formatCode="yyyy/m/d">
                  <c:v>45765</c:v>
                </c:pt>
                <c:pt idx="45" c:formatCode="yyyy/m/d">
                  <c:v>45772</c:v>
                </c:pt>
                <c:pt idx="46" c:formatCode="yyyy/m/d">
                  <c:v>45777</c:v>
                </c:pt>
                <c:pt idx="47" c:formatCode="yyyy/m/d">
                  <c:v>45786</c:v>
                </c:pt>
                <c:pt idx="48" c:formatCode="yyyy/m/d">
                  <c:v>45793</c:v>
                </c:pt>
                <c:pt idx="49" c:formatCode="yyyy/m/d">
                  <c:v>45800</c:v>
                </c:pt>
                <c:pt idx="50" c:formatCode="yyyy/m/d">
                  <c:v>45807</c:v>
                </c:pt>
                <c:pt idx="51" c:formatCode="yyyy/m/d">
                  <c:v>45814</c:v>
                </c:pt>
                <c:pt idx="52" c:formatCode="yyyy/m/d">
                  <c:v>45821</c:v>
                </c:pt>
                <c:pt idx="53" c:formatCode="yyyy/m/d">
                  <c:v>45828</c:v>
                </c:pt>
                <c:pt idx="54" c:formatCode="yyyy/m/d">
                  <c:v>45835</c:v>
                </c:pt>
                <c:pt idx="55" c:formatCode="yyyy/m/d">
                  <c:v>45842</c:v>
                </c:pt>
                <c:pt idx="56" c:formatCode="yyyy/m/d">
                  <c:v>45849</c:v>
                </c:pt>
                <c:pt idx="57" c:formatCode="yyyy/m/d">
                  <c:v>45856</c:v>
                </c:pt>
                <c:pt idx="58" c:formatCode="yyyy/m/d">
                  <c:v>45863</c:v>
                </c:pt>
                <c:pt idx="59" c:formatCode="yyyy/m/d">
                  <c:v>45870</c:v>
                </c:pt>
                <c:pt idx="60" c:formatCode="yyyy/m/d">
                  <c:v>45877</c:v>
                </c:pt>
                <c:pt idx="61" c:formatCode="yyyy/m/d">
                  <c:v>45884</c:v>
                </c:pt>
                <c:pt idx="62" c:formatCode="yyyy/m/d">
                  <c:v>45891</c:v>
                </c:pt>
                <c:pt idx="63" c:formatCode="yyyy/m/d">
                  <c:v>45898</c:v>
                </c:pt>
                <c:pt idx="64" c:formatCode="yyyy/m/d">
                  <c:v>45905</c:v>
                </c:pt>
                <c:pt idx="65" c:formatCode="yyyy/m/d">
                  <c:v>45912</c:v>
                </c:pt>
                <c:pt idx="66" c:formatCode="yyyy/m/d">
                  <c:v>45919</c:v>
                </c:pt>
                <c:pt idx="67" c:formatCode="yyyy/m/d">
                  <c:v>45926</c:v>
                </c:pt>
                <c:pt idx="68" c:formatCode="yyyy/m/d">
                  <c:v>45940</c:v>
                </c:pt>
                <c:pt idx="69" c:formatCode="yyyy/m/d">
                  <c:v>45947</c:v>
                </c:pt>
                <c:pt idx="70" c:formatCode="yyyy/m/d">
                  <c:v>45954</c:v>
                </c:pt>
                <c:pt idx="71" c:formatCode="yyyy/m/d">
                  <c:v>45961</c:v>
                </c:pt>
              </c:numCache>
            </c:numRef>
          </c:cat>
          <c:val>
            <c:numRef>
              <c:f>启后私享1号FOF周净值!$I$3:$I$164</c:f>
              <c:numCache>
                <c:formatCode>0.000</c:formatCode>
                <c:ptCount val="162"/>
                <c:pt idx="0">
                  <c:v>1</c:v>
                </c:pt>
                <c:pt idx="1">
                  <c:v>1.0004</c:v>
                </c:pt>
                <c:pt idx="2">
                  <c:v>1.0013</c:v>
                </c:pt>
                <c:pt idx="3">
                  <c:v>1.0023</c:v>
                </c:pt>
                <c:pt idx="4">
                  <c:v>1.0028</c:v>
                </c:pt>
                <c:pt idx="5">
                  <c:v>1.004</c:v>
                </c:pt>
                <c:pt idx="6">
                  <c:v>1.0058</c:v>
                </c:pt>
                <c:pt idx="7">
                  <c:v>1.006</c:v>
                </c:pt>
                <c:pt idx="8">
                  <c:v>1.0111</c:v>
                </c:pt>
                <c:pt idx="9">
                  <c:v>1.0113</c:v>
                </c:pt>
                <c:pt idx="10">
                  <c:v>1.0116</c:v>
                </c:pt>
                <c:pt idx="11">
                  <c:v>1.0116</c:v>
                </c:pt>
                <c:pt idx="12">
                  <c:v>1.0118</c:v>
                </c:pt>
                <c:pt idx="13">
                  <c:v>1.0109</c:v>
                </c:pt>
                <c:pt idx="14" c:formatCode="General">
                  <c:v>1.0097</c:v>
                </c:pt>
                <c:pt idx="15" c:formatCode="General">
                  <c:v>1.0139</c:v>
                </c:pt>
                <c:pt idx="16" c:formatCode="General">
                  <c:v>1.0181</c:v>
                </c:pt>
                <c:pt idx="17" c:formatCode="General">
                  <c:v>1.0264</c:v>
                </c:pt>
                <c:pt idx="18" c:formatCode="General">
                  <c:v>1.0285</c:v>
                </c:pt>
                <c:pt idx="19" c:formatCode="General">
                  <c:v>1.0296</c:v>
                </c:pt>
                <c:pt idx="20" c:formatCode="General">
                  <c:v>1.0301</c:v>
                </c:pt>
                <c:pt idx="21" c:formatCode="General">
                  <c:v>1.0367</c:v>
                </c:pt>
                <c:pt idx="22" c:formatCode="General">
                  <c:v>1.039</c:v>
                </c:pt>
                <c:pt idx="23" c:formatCode="General">
                  <c:v>1.0429</c:v>
                </c:pt>
                <c:pt idx="24" c:formatCode="General">
                  <c:v>1.0466</c:v>
                </c:pt>
                <c:pt idx="25" c:formatCode="General">
                  <c:v>1.0473</c:v>
                </c:pt>
                <c:pt idx="26" c:formatCode="General">
                  <c:v>1.0517</c:v>
                </c:pt>
                <c:pt idx="27" c:formatCode="General">
                  <c:v>1.0517</c:v>
                </c:pt>
                <c:pt idx="28" c:formatCode="General">
                  <c:v>1.0509</c:v>
                </c:pt>
                <c:pt idx="29" c:formatCode="General">
                  <c:v>1.0534</c:v>
                </c:pt>
                <c:pt idx="30" c:formatCode="General">
                  <c:v>1.0581</c:v>
                </c:pt>
                <c:pt idx="31" c:formatCode="General">
                  <c:v>1.0597</c:v>
                </c:pt>
                <c:pt idx="32" c:formatCode="General">
                  <c:v>1.0601</c:v>
                </c:pt>
                <c:pt idx="33" c:formatCode="General">
                  <c:v>1.0616</c:v>
                </c:pt>
                <c:pt idx="34" c:formatCode="General">
                  <c:v>1.0646</c:v>
                </c:pt>
                <c:pt idx="35" c:formatCode="General">
                  <c:v>1.0702</c:v>
                </c:pt>
                <c:pt idx="36" c:formatCode="General">
                  <c:v>1.0742</c:v>
                </c:pt>
                <c:pt idx="37" c:formatCode="General">
                  <c:v>1.0779</c:v>
                </c:pt>
                <c:pt idx="38" c:formatCode="General">
                  <c:v>1.0804</c:v>
                </c:pt>
                <c:pt idx="39" c:formatCode="General">
                  <c:v>1.0804</c:v>
                </c:pt>
                <c:pt idx="40" c:formatCode="General">
                  <c:v>1.0827</c:v>
                </c:pt>
                <c:pt idx="41" c:formatCode="General">
                  <c:v>1.0813</c:v>
                </c:pt>
                <c:pt idx="42" c:formatCode="General">
                  <c:v>1.083</c:v>
                </c:pt>
                <c:pt idx="43" c:formatCode="General">
                  <c:v>1.0929</c:v>
                </c:pt>
                <c:pt idx="44" c:formatCode="General">
                  <c:v>1.0929</c:v>
                </c:pt>
                <c:pt idx="45" c:formatCode="General">
                  <c:v>1.0948</c:v>
                </c:pt>
                <c:pt idx="46" c:formatCode="General">
                  <c:v>1.0937</c:v>
                </c:pt>
                <c:pt idx="47" c:formatCode="General">
                  <c:v>1.0974</c:v>
                </c:pt>
                <c:pt idx="48" c:formatCode="General">
                  <c:v>1.0969</c:v>
                </c:pt>
                <c:pt idx="49" c:formatCode="General">
                  <c:v>1.097</c:v>
                </c:pt>
                <c:pt idx="50" c:formatCode="General">
                  <c:v>1.0972</c:v>
                </c:pt>
                <c:pt idx="51" c:formatCode="General">
                  <c:v>1.0967</c:v>
                </c:pt>
                <c:pt idx="52" c:formatCode="General">
                  <c:v>1.0955</c:v>
                </c:pt>
                <c:pt idx="53" c:formatCode="General">
                  <c:v>1.0946</c:v>
                </c:pt>
                <c:pt idx="54" c:formatCode="General">
                  <c:v>1.0961</c:v>
                </c:pt>
                <c:pt idx="55" c:formatCode="General">
                  <c:v>1.0967</c:v>
                </c:pt>
                <c:pt idx="56" c:formatCode="General">
                  <c:v>1.0951</c:v>
                </c:pt>
                <c:pt idx="57" c:formatCode="General">
                  <c:v>1.0971</c:v>
                </c:pt>
                <c:pt idx="58" c:formatCode="General">
                  <c:v>1.1011</c:v>
                </c:pt>
                <c:pt idx="59" c:formatCode="General">
                  <c:v>1.1036</c:v>
                </c:pt>
                <c:pt idx="60" c:formatCode="General">
                  <c:v>1.1066</c:v>
                </c:pt>
                <c:pt idx="61" c:formatCode="General">
                  <c:v>1.105</c:v>
                </c:pt>
                <c:pt idx="62" c:formatCode="General">
                  <c:v>1.108</c:v>
                </c:pt>
                <c:pt idx="63" c:formatCode="General">
                  <c:v>1.1048</c:v>
                </c:pt>
                <c:pt idx="64" c:formatCode="General">
                  <c:v>1.1054</c:v>
                </c:pt>
                <c:pt idx="65" c:formatCode="General">
                  <c:v>1.11</c:v>
                </c:pt>
                <c:pt idx="66" c:formatCode="General">
                  <c:v>1.1076</c:v>
                </c:pt>
                <c:pt idx="67" c:formatCode="General">
                  <c:v>1.1089</c:v>
                </c:pt>
                <c:pt idx="68" c:formatCode="General">
                  <c:v>1.1125</c:v>
                </c:pt>
                <c:pt idx="69" c:formatCode="General">
                  <c:v>1.1108</c:v>
                </c:pt>
                <c:pt idx="70" c:formatCode="General">
                  <c:v>1.1126</c:v>
                </c:pt>
                <c:pt idx="71" c:formatCode="General">
                  <c:v>1.112</c:v>
                </c:pt>
                <c:pt idx="72" c:formatCode="General">
                  <c:v>0</c:v>
                </c:pt>
                <c:pt idx="73" c:formatCode="General">
                  <c:v>0</c:v>
                </c:pt>
                <c:pt idx="74" c:formatCode="General">
                  <c:v>0</c:v>
                </c:pt>
                <c:pt idx="75" c:formatCode="General">
                  <c:v>0</c:v>
                </c:pt>
                <c:pt idx="76" c:formatCode="General">
                  <c:v>0</c:v>
                </c:pt>
                <c:pt idx="77" c:formatCode="General">
                  <c:v>0</c:v>
                </c:pt>
                <c:pt idx="78" c:formatCode="General">
                  <c:v>0</c:v>
                </c:pt>
                <c:pt idx="79" c:formatCode="General">
                  <c:v>0</c:v>
                </c:pt>
                <c:pt idx="80" c:formatCode="General">
                  <c:v>0</c:v>
                </c:pt>
                <c:pt idx="81" c:formatCode="General">
                  <c:v>0</c:v>
                </c:pt>
                <c:pt idx="82" c:formatCode="General">
                  <c:v>0</c:v>
                </c:pt>
                <c:pt idx="83" c:formatCode="General">
                  <c:v>0</c:v>
                </c:pt>
                <c:pt idx="84" c:formatCode="General">
                  <c:v>0</c:v>
                </c:pt>
                <c:pt idx="85" c:formatCode="General">
                  <c:v>0</c:v>
                </c:pt>
                <c:pt idx="86" c:formatCode="General">
                  <c:v>0</c:v>
                </c:pt>
                <c:pt idx="87" c:formatCode="General">
                  <c:v>0</c:v>
                </c:pt>
                <c:pt idx="88" c:formatCode="General">
                  <c:v>0</c:v>
                </c:pt>
                <c:pt idx="89" c:formatCode="General">
                  <c:v>0</c:v>
                </c:pt>
                <c:pt idx="90" c:formatCode="General">
                  <c:v>0</c:v>
                </c:pt>
                <c:pt idx="91" c:formatCode="General">
                  <c:v>0</c:v>
                </c:pt>
                <c:pt idx="92" c:formatCode="General">
                  <c:v>0</c:v>
                </c:pt>
                <c:pt idx="93" c:formatCode="General">
                  <c:v>0</c:v>
                </c:pt>
                <c:pt idx="94" c:formatCode="General">
                  <c:v>0</c:v>
                </c:pt>
                <c:pt idx="95" c:formatCode="General">
                  <c:v>0</c:v>
                </c:pt>
                <c:pt idx="96" c:formatCode="General">
                  <c:v>0</c:v>
                </c:pt>
                <c:pt idx="97" c:formatCode="General">
                  <c:v>0</c:v>
                </c:pt>
                <c:pt idx="98" c:formatCode="General">
                  <c:v>0</c:v>
                </c:pt>
                <c:pt idx="99" c:formatCode="General">
                  <c:v>0</c:v>
                </c:pt>
                <c:pt idx="100" c:formatCode="General">
                  <c:v>0</c:v>
                </c:pt>
                <c:pt idx="101" c:formatCode="General">
                  <c:v>0</c:v>
                </c:pt>
                <c:pt idx="102" c:formatCode="General">
                  <c:v>0</c:v>
                </c:pt>
                <c:pt idx="103" c:formatCode="General">
                  <c:v>0</c:v>
                </c:pt>
                <c:pt idx="104" c:formatCode="General">
                  <c:v>0</c:v>
                </c:pt>
                <c:pt idx="105" c:formatCode="General">
                  <c:v>0</c:v>
                </c:pt>
                <c:pt idx="106" c:formatCode="General">
                  <c:v>0</c:v>
                </c:pt>
                <c:pt idx="107" c:formatCode="General">
                  <c:v>0</c:v>
                </c:pt>
                <c:pt idx="108" c:formatCode="General">
                  <c:v>0</c:v>
                </c:pt>
                <c:pt idx="109" c:formatCode="General">
                  <c:v>0</c:v>
                </c:pt>
                <c:pt idx="110" c:formatCode="General">
                  <c:v>0</c:v>
                </c:pt>
                <c:pt idx="111" c:formatCode="General">
                  <c:v>0</c:v>
                </c:pt>
                <c:pt idx="112" c:formatCode="General">
                  <c:v>0</c:v>
                </c:pt>
                <c:pt idx="113" c:formatCode="General">
                  <c:v>0</c:v>
                </c:pt>
                <c:pt idx="114" c:formatCode="General">
                  <c:v>0</c:v>
                </c:pt>
                <c:pt idx="115" c:formatCode="General">
                  <c:v>0</c:v>
                </c:pt>
                <c:pt idx="116" c:formatCode="General">
                  <c:v>0</c:v>
                </c:pt>
                <c:pt idx="117" c:formatCode="General">
                  <c:v>0</c:v>
                </c:pt>
                <c:pt idx="118" c:formatCode="General">
                  <c:v>0</c:v>
                </c:pt>
                <c:pt idx="119" c:formatCode="General">
                  <c:v>0</c:v>
                </c:pt>
                <c:pt idx="120" c:formatCode="General">
                  <c:v>0</c:v>
                </c:pt>
                <c:pt idx="121" c:formatCode="General">
                  <c:v>0</c:v>
                </c:pt>
                <c:pt idx="122" c:formatCode="General">
                  <c:v>0</c:v>
                </c:pt>
                <c:pt idx="123" c:formatCode="General">
                  <c:v>0</c:v>
                </c:pt>
                <c:pt idx="124" c:formatCode="General">
                  <c:v>0</c:v>
                </c:pt>
                <c:pt idx="125" c:formatCode="General">
                  <c:v>0</c:v>
                </c:pt>
                <c:pt idx="126" c:formatCode="General">
                  <c:v>0</c:v>
                </c:pt>
                <c:pt idx="127" c:formatCode="General">
                  <c:v>0</c:v>
                </c:pt>
                <c:pt idx="128" c:formatCode="General">
                  <c:v>0</c:v>
                </c:pt>
                <c:pt idx="129" c:formatCode="General">
                  <c:v>0</c:v>
                </c:pt>
                <c:pt idx="130" c:formatCode="General">
                  <c:v>0</c:v>
                </c:pt>
                <c:pt idx="131" c:formatCode="General">
                  <c:v>0</c:v>
                </c:pt>
                <c:pt idx="132" c:formatCode="General">
                  <c:v>0</c:v>
                </c:pt>
                <c:pt idx="133" c:formatCode="General">
                  <c:v>0</c:v>
                </c:pt>
                <c:pt idx="134" c:formatCode="General">
                  <c:v>0</c:v>
                </c:pt>
                <c:pt idx="135" c:formatCode="General">
                  <c:v>0</c:v>
                </c:pt>
                <c:pt idx="136" c:formatCode="General">
                  <c:v>0</c:v>
                </c:pt>
                <c:pt idx="137" c:formatCode="General">
                  <c:v>0</c:v>
                </c:pt>
                <c:pt idx="138" c:formatCode="General">
                  <c:v>0</c:v>
                </c:pt>
                <c:pt idx="139" c:formatCode="General">
                  <c:v>0</c:v>
                </c:pt>
                <c:pt idx="140" c:formatCode="General">
                  <c:v>0</c:v>
                </c:pt>
                <c:pt idx="141" c:formatCode="General">
                  <c:v>0</c:v>
                </c:pt>
                <c:pt idx="142" c:formatCode="General">
                  <c:v>0</c:v>
                </c:pt>
                <c:pt idx="143" c:formatCode="General">
                  <c:v>0</c:v>
                </c:pt>
                <c:pt idx="144" c:formatCode="General">
                  <c:v>0</c:v>
                </c:pt>
                <c:pt idx="145" c:formatCode="General">
                  <c:v>0</c:v>
                </c:pt>
                <c:pt idx="146" c:formatCode="General">
                  <c:v>0</c:v>
                </c:pt>
                <c:pt idx="147" c:formatCode="General">
                  <c:v>0</c:v>
                </c:pt>
                <c:pt idx="148" c:formatCode="General">
                  <c:v>0</c:v>
                </c:pt>
                <c:pt idx="149" c:formatCode="General">
                  <c:v>0</c:v>
                </c:pt>
                <c:pt idx="150" c:formatCode="General">
                  <c:v>0</c:v>
                </c:pt>
                <c:pt idx="151" c:formatCode="General">
                  <c:v>0</c:v>
                </c:pt>
                <c:pt idx="152" c:formatCode="General">
                  <c:v>0</c:v>
                </c:pt>
                <c:pt idx="153" c:formatCode="General">
                  <c:v>0</c:v>
                </c:pt>
                <c:pt idx="154" c:formatCode="General">
                  <c:v>0</c:v>
                </c:pt>
                <c:pt idx="155" c:formatCode="General">
                  <c:v>0</c:v>
                </c:pt>
                <c:pt idx="156" c:formatCode="General">
                  <c:v>0</c:v>
                </c:pt>
                <c:pt idx="157" c:formatCode="General">
                  <c:v>0</c:v>
                </c:pt>
                <c:pt idx="158" c:formatCode="General">
                  <c:v>0</c:v>
                </c:pt>
                <c:pt idx="159" c:formatCode="General">
                  <c:v>0</c:v>
                </c:pt>
                <c:pt idx="160" c:formatCode="General">
                  <c:v>0</c:v>
                </c:pt>
                <c:pt idx="161" c:formatCode="General">
                  <c:v>0</c:v>
                </c:pt>
              </c:numCache>
            </c:numRef>
          </c:val>
          <c:smooth val="0"/>
        </c:ser>
        <c:ser>
          <c:idx val="2"/>
          <c:order val="1"/>
          <c:tx>
            <c:strRef>
              <c:f>启后私享1号FOF周净值!$J$2</c:f>
              <c:strCache>
                <c:ptCount val="1"/>
                <c:pt idx="0">
                  <c:v>沪深300</c:v>
                </c:pt>
              </c:strCache>
            </c:strRef>
          </c:tx>
          <c:spPr>
            <a:ln w="28575" cap="rnd">
              <a:solidFill>
                <a:schemeClr val="accent3"/>
              </a:solidFill>
              <a:round/>
            </a:ln>
            <a:effectLst/>
          </c:spPr>
          <c:marker>
            <c:symbol val="none"/>
          </c:marker>
          <c:dLbls>
            <c:delete val="1"/>
          </c:dLbls>
          <c:cat>
            <c:numRef>
              <c:f>启后私享1号FOF周净值!$A$3:$A$74</c:f>
              <c:numCache>
                <c:formatCode>yyyy/m/d</c:formatCode>
                <c:ptCount val="72"/>
                <c:pt idx="0" c:formatCode="yyyy/m/d">
                  <c:v>45460</c:v>
                </c:pt>
                <c:pt idx="1" c:formatCode="yyyy/m/d">
                  <c:v>45464</c:v>
                </c:pt>
                <c:pt idx="2" c:formatCode="yyyy/m/d">
                  <c:v>45471</c:v>
                </c:pt>
                <c:pt idx="3" c:formatCode="yyyy/m/d">
                  <c:v>45478</c:v>
                </c:pt>
                <c:pt idx="4" c:formatCode="yyyy/m/d">
                  <c:v>45485</c:v>
                </c:pt>
                <c:pt idx="5" c:formatCode="yyyy/m/d">
                  <c:v>45492</c:v>
                </c:pt>
                <c:pt idx="6" c:formatCode="yyyy/m/d">
                  <c:v>45499</c:v>
                </c:pt>
                <c:pt idx="7" c:formatCode="yyyy/m/d">
                  <c:v>45506</c:v>
                </c:pt>
                <c:pt idx="8" c:formatCode="yyyy/m/d">
                  <c:v>45513</c:v>
                </c:pt>
                <c:pt idx="9" c:formatCode="yyyy/m/d">
                  <c:v>45520</c:v>
                </c:pt>
                <c:pt idx="10" c:formatCode="yyyy/m/d">
                  <c:v>45527</c:v>
                </c:pt>
                <c:pt idx="11" c:formatCode="yyyy/m/d">
                  <c:v>45534</c:v>
                </c:pt>
                <c:pt idx="12" c:formatCode="yyyy/m/d">
                  <c:v>45541</c:v>
                </c:pt>
                <c:pt idx="13" c:formatCode="yyyy/m/d">
                  <c:v>45548</c:v>
                </c:pt>
                <c:pt idx="14" c:formatCode="yyyy/m/d">
                  <c:v>45555</c:v>
                </c:pt>
                <c:pt idx="15" c:formatCode="yyyy/m/d">
                  <c:v>45562</c:v>
                </c:pt>
                <c:pt idx="16" c:formatCode="yyyy/m/d">
                  <c:v>45565</c:v>
                </c:pt>
                <c:pt idx="17" c:formatCode="yyyy/m/d">
                  <c:v>45576</c:v>
                </c:pt>
                <c:pt idx="18" c:formatCode="yyyy/m/d">
                  <c:v>45583</c:v>
                </c:pt>
                <c:pt idx="19" c:formatCode="yyyy/m/d">
                  <c:v>45590</c:v>
                </c:pt>
                <c:pt idx="20" c:formatCode="yyyy/m/d">
                  <c:v>45597</c:v>
                </c:pt>
                <c:pt idx="21" c:formatCode="yyyy/m/d">
                  <c:v>45604</c:v>
                </c:pt>
                <c:pt idx="22" c:formatCode="yyyy/m/d">
                  <c:v>45611</c:v>
                </c:pt>
                <c:pt idx="23" c:formatCode="yyyy/m/d">
                  <c:v>45618</c:v>
                </c:pt>
                <c:pt idx="24" c:formatCode="yyyy/m/d">
                  <c:v>45625</c:v>
                </c:pt>
                <c:pt idx="25" c:formatCode="yyyy/m/d">
                  <c:v>45632</c:v>
                </c:pt>
                <c:pt idx="26" c:formatCode="yyyy/m/d">
                  <c:v>45639</c:v>
                </c:pt>
                <c:pt idx="27" c:formatCode="yyyy/m/d">
                  <c:v>45646</c:v>
                </c:pt>
                <c:pt idx="28" c:formatCode="yyyy/m/d">
                  <c:v>45653</c:v>
                </c:pt>
                <c:pt idx="29" c:formatCode="yyyy/m/d">
                  <c:v>45660</c:v>
                </c:pt>
                <c:pt idx="30" c:formatCode="yyyy/m/d">
                  <c:v>45667</c:v>
                </c:pt>
                <c:pt idx="31" c:formatCode="yyyy/m/d">
                  <c:v>45674</c:v>
                </c:pt>
                <c:pt idx="32" c:formatCode="yyyy/m/d">
                  <c:v>45681</c:v>
                </c:pt>
                <c:pt idx="33" c:formatCode="yyyy/m/d">
                  <c:v>45684</c:v>
                </c:pt>
                <c:pt idx="34" c:formatCode="yyyy/m/d">
                  <c:v>45695</c:v>
                </c:pt>
                <c:pt idx="35" c:formatCode="yyyy/m/d">
                  <c:v>45702</c:v>
                </c:pt>
                <c:pt idx="36" c:formatCode="yyyy/m/d">
                  <c:v>45709</c:v>
                </c:pt>
                <c:pt idx="37" c:formatCode="yyyy/m/d">
                  <c:v>45716</c:v>
                </c:pt>
                <c:pt idx="38" c:formatCode="yyyy/m/d">
                  <c:v>45721</c:v>
                </c:pt>
                <c:pt idx="39" c:formatCode="yyyy/m/d">
                  <c:v>45730</c:v>
                </c:pt>
                <c:pt idx="40" c:formatCode="yyyy/m/d">
                  <c:v>45737</c:v>
                </c:pt>
                <c:pt idx="41" c:formatCode="yyyy/m/d">
                  <c:v>45744</c:v>
                </c:pt>
                <c:pt idx="42" c:formatCode="yyyy/m/d">
                  <c:v>45750</c:v>
                </c:pt>
                <c:pt idx="43" c:formatCode="yyyy/m/d">
                  <c:v>45758</c:v>
                </c:pt>
                <c:pt idx="44" c:formatCode="yyyy/m/d">
                  <c:v>45765</c:v>
                </c:pt>
                <c:pt idx="45" c:formatCode="yyyy/m/d">
                  <c:v>45772</c:v>
                </c:pt>
                <c:pt idx="46" c:formatCode="yyyy/m/d">
                  <c:v>45777</c:v>
                </c:pt>
                <c:pt idx="47" c:formatCode="yyyy/m/d">
                  <c:v>45786</c:v>
                </c:pt>
                <c:pt idx="48" c:formatCode="yyyy/m/d">
                  <c:v>45793</c:v>
                </c:pt>
                <c:pt idx="49" c:formatCode="yyyy/m/d">
                  <c:v>45800</c:v>
                </c:pt>
                <c:pt idx="50" c:formatCode="yyyy/m/d">
                  <c:v>45807</c:v>
                </c:pt>
                <c:pt idx="51" c:formatCode="yyyy/m/d">
                  <c:v>45814</c:v>
                </c:pt>
                <c:pt idx="52" c:formatCode="yyyy/m/d">
                  <c:v>45821</c:v>
                </c:pt>
                <c:pt idx="53" c:formatCode="yyyy/m/d">
                  <c:v>45828</c:v>
                </c:pt>
                <c:pt idx="54" c:formatCode="yyyy/m/d">
                  <c:v>45835</c:v>
                </c:pt>
                <c:pt idx="55" c:formatCode="yyyy/m/d">
                  <c:v>45842</c:v>
                </c:pt>
                <c:pt idx="56" c:formatCode="yyyy/m/d">
                  <c:v>45849</c:v>
                </c:pt>
                <c:pt idx="57" c:formatCode="yyyy/m/d">
                  <c:v>45856</c:v>
                </c:pt>
                <c:pt idx="58" c:formatCode="yyyy/m/d">
                  <c:v>45863</c:v>
                </c:pt>
                <c:pt idx="59" c:formatCode="yyyy/m/d">
                  <c:v>45870</c:v>
                </c:pt>
                <c:pt idx="60" c:formatCode="yyyy/m/d">
                  <c:v>45877</c:v>
                </c:pt>
                <c:pt idx="61" c:formatCode="yyyy/m/d">
                  <c:v>45884</c:v>
                </c:pt>
                <c:pt idx="62" c:formatCode="yyyy/m/d">
                  <c:v>45891</c:v>
                </c:pt>
                <c:pt idx="63" c:formatCode="yyyy/m/d">
                  <c:v>45898</c:v>
                </c:pt>
                <c:pt idx="64" c:formatCode="yyyy/m/d">
                  <c:v>45905</c:v>
                </c:pt>
                <c:pt idx="65" c:formatCode="yyyy/m/d">
                  <c:v>45912</c:v>
                </c:pt>
                <c:pt idx="66" c:formatCode="yyyy/m/d">
                  <c:v>45919</c:v>
                </c:pt>
                <c:pt idx="67" c:formatCode="yyyy/m/d">
                  <c:v>45926</c:v>
                </c:pt>
                <c:pt idx="68" c:formatCode="yyyy/m/d">
                  <c:v>45940</c:v>
                </c:pt>
                <c:pt idx="69" c:formatCode="yyyy/m/d">
                  <c:v>45947</c:v>
                </c:pt>
                <c:pt idx="70" c:formatCode="yyyy/m/d">
                  <c:v>45954</c:v>
                </c:pt>
                <c:pt idx="71" c:formatCode="yyyy/m/d">
                  <c:v>45961</c:v>
                </c:pt>
              </c:numCache>
            </c:numRef>
          </c:cat>
          <c:val>
            <c:numRef>
              <c:f>启后私享1号FOF周净值!$J$3:$J$128</c:f>
              <c:numCache>
                <c:formatCode>0.0000</c:formatCode>
                <c:ptCount val="126"/>
                <c:pt idx="0">
                  <c:v>1</c:v>
                </c:pt>
                <c:pt idx="1">
                  <c:v>0.988524404728239</c:v>
                </c:pt>
                <c:pt idx="2">
                  <c:v>0.978920875516091</c:v>
                </c:pt>
                <c:pt idx="3">
                  <c:v>0.970267518805498</c:v>
                </c:pt>
                <c:pt idx="4">
                  <c:v>0.981958429953057</c:v>
                </c:pt>
                <c:pt idx="5">
                  <c:v>1.00079622193315</c:v>
                </c:pt>
                <c:pt idx="6">
                  <c:v>0.964111192805837</c:v>
                </c:pt>
                <c:pt idx="7">
                  <c:v>0.957069735874668</c:v>
                </c:pt>
                <c:pt idx="8">
                  <c:v>0.942146937390419</c:v>
                </c:pt>
                <c:pt idx="9">
                  <c:v>0.946108817374583</c:v>
                </c:pt>
                <c:pt idx="10">
                  <c:v>0.940894321588146</c:v>
                </c:pt>
                <c:pt idx="11">
                  <c:v>0.939265963463605</c:v>
                </c:pt>
                <c:pt idx="12">
                  <c:v>0.913791640744302</c:v>
                </c:pt>
                <c:pt idx="13">
                  <c:v>0.89339969458741</c:v>
                </c:pt>
                <c:pt idx="14">
                  <c:v>0.905223036027374</c:v>
                </c:pt>
                <c:pt idx="15">
                  <c:v>1.04736296023981</c:v>
                </c:pt>
                <c:pt idx="16">
                  <c:v>1.13620680391381</c:v>
                </c:pt>
                <c:pt idx="17">
                  <c:v>1.09924975962898</c:v>
                </c:pt>
                <c:pt idx="18">
                  <c:v>1.11001470505062</c:v>
                </c:pt>
                <c:pt idx="19">
                  <c:v>1.11883405915955</c:v>
                </c:pt>
                <c:pt idx="20">
                  <c:v>1.10005664272383</c:v>
                </c:pt>
                <c:pt idx="21">
                  <c:v>1.1605811322889</c:v>
                </c:pt>
                <c:pt idx="22">
                  <c:v>1.12234341948985</c:v>
                </c:pt>
                <c:pt idx="23">
                  <c:v>1.09317880775974</c:v>
                </c:pt>
                <c:pt idx="24">
                  <c:v>1.10756835020644</c:v>
                </c:pt>
                <c:pt idx="25">
                  <c:v>1.12356201572309</c:v>
                </c:pt>
                <c:pt idx="26">
                  <c:v>1.11226197613257</c:v>
                </c:pt>
                <c:pt idx="27">
                  <c:v>1.11072453481138</c:v>
                </c:pt>
                <c:pt idx="28">
                  <c:v>1.12579342231774</c:v>
                </c:pt>
                <c:pt idx="29">
                  <c:v>1.06757672077371</c:v>
                </c:pt>
                <c:pt idx="30">
                  <c:v>1.05550591029919</c:v>
                </c:pt>
                <c:pt idx="31">
                  <c:v>1.07809029466659</c:v>
                </c:pt>
                <c:pt idx="32">
                  <c:v>1.08389336010407</c:v>
                </c:pt>
                <c:pt idx="33">
                  <c:v>1.07942995305695</c:v>
                </c:pt>
                <c:pt idx="34">
                  <c:v>1.10081522538318</c:v>
                </c:pt>
                <c:pt idx="35">
                  <c:v>1.113910412307</c:v>
                </c:pt>
                <c:pt idx="36">
                  <c:v>1.12506079972852</c:v>
                </c:pt>
                <c:pt idx="37">
                  <c:v>1.10006504157005</c:v>
                </c:pt>
                <c:pt idx="38">
                  <c:v>1.11532435948193</c:v>
                </c:pt>
                <c:pt idx="39">
                  <c:v>1.13301283864035</c:v>
                </c:pt>
                <c:pt idx="40">
                  <c:v>1.10703580114247</c:v>
                </c:pt>
                <c:pt idx="41">
                  <c:v>1.10716871217691</c:v>
                </c:pt>
                <c:pt idx="42">
                  <c:v>1.09199140320118</c:v>
                </c:pt>
                <c:pt idx="43">
                  <c:v>1.06060743170635</c:v>
                </c:pt>
                <c:pt idx="44">
                  <c:v>1.06682879927606</c:v>
                </c:pt>
                <c:pt idx="45">
                  <c:v>1.07092076240032</c:v>
                </c:pt>
                <c:pt idx="46">
                  <c:v>1.06627735987784</c:v>
                </c:pt>
                <c:pt idx="47">
                  <c:v>1.08765341326848</c:v>
                </c:pt>
                <c:pt idx="48">
                  <c:v>1.09979356371246</c:v>
                </c:pt>
                <c:pt idx="49">
                  <c:v>1.09786493976585</c:v>
                </c:pt>
                <c:pt idx="50">
                  <c:v>1.08597647191901</c:v>
                </c:pt>
                <c:pt idx="51">
                  <c:v>1.09552061534981</c:v>
                </c:pt>
                <c:pt idx="52">
                  <c:v>1.09274927888694</c:v>
                </c:pt>
                <c:pt idx="53">
                  <c:v>1.08778915219727</c:v>
                </c:pt>
                <c:pt idx="54">
                  <c:v>1.10903229455348</c:v>
                </c:pt>
                <c:pt idx="55">
                  <c:v>1.12612408800407</c:v>
                </c:pt>
                <c:pt idx="56">
                  <c:v>1.13534585147899</c:v>
                </c:pt>
                <c:pt idx="57">
                  <c:v>1.14771506136531</c:v>
                </c:pt>
                <c:pt idx="58">
                  <c:v>1.16711724449975</c:v>
                </c:pt>
                <c:pt idx="59">
                  <c:v>1.14669136361066</c:v>
                </c:pt>
                <c:pt idx="60">
                  <c:v>1.16084214693739</c:v>
                </c:pt>
                <c:pt idx="61">
                  <c:v>1.1883801821164</c:v>
                </c:pt>
                <c:pt idx="62">
                  <c:v>1.23805214637181</c:v>
                </c:pt>
                <c:pt idx="63">
                  <c:v>1.27163621967083</c:v>
                </c:pt>
                <c:pt idx="64">
                  <c:v>1.26133137265992</c:v>
                </c:pt>
                <c:pt idx="65">
                  <c:v>1.2787738250099</c:v>
                </c:pt>
                <c:pt idx="66">
                  <c:v>1.27309541315536</c:v>
                </c:pt>
                <c:pt idx="67">
                  <c:v>1.28670606866128</c:v>
                </c:pt>
                <c:pt idx="68">
                  <c:v>1.30559074712969</c:v>
                </c:pt>
                <c:pt idx="69">
                  <c:v>1.27657655110005</c:v>
                </c:pt>
                <c:pt idx="70">
                  <c:v>1.31799106385386</c:v>
                </c:pt>
                <c:pt idx="71">
                  <c:v>1.23273673672152</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ser>
        <c:dLbls>
          <c:showLegendKey val="0"/>
          <c:showVal val="0"/>
          <c:showCatName val="0"/>
          <c:showSerName val="0"/>
          <c:showPercent val="0"/>
          <c:showBubbleSize val="0"/>
        </c:dLbls>
        <c:marker val="0"/>
        <c:smooth val="0"/>
        <c:axId val="329191926"/>
        <c:axId val="236668337"/>
      </c:lineChart>
      <c:dateAx>
        <c:axId val="329191926"/>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0" vertOverflow="ellipsis" vert="eaVert" wrap="square" anchor="ctr" anchorCtr="1"/>
          <a:lstStyle/>
          <a:p>
            <a:pPr>
              <a:defRPr lang="zh-CN" sz="9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crossAx val="236668337"/>
        <c:crosses val="autoZero"/>
        <c:auto val="1"/>
        <c:lblOffset val="100"/>
        <c:baseTimeUnit val="days"/>
      </c:dateAx>
      <c:valAx>
        <c:axId val="236668337"/>
        <c:scaling>
          <c:orientation val="minMax"/>
          <c:max val="1.2"/>
          <c:min val="0.88"/>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crossAx val="329191926"/>
        <c:crosses val="autoZero"/>
        <c:crossBetween val="between"/>
        <c:majorUnit val="0.02"/>
      </c:valAx>
      <c:spPr>
        <a:noFill/>
        <a:ln>
          <a:noFill/>
        </a:ln>
        <a:effectLst/>
      </c:spPr>
    </c:plotArea>
    <c:legend>
      <c:legendPos val="b"/>
      <c:layout>
        <c:manualLayout>
          <c:xMode val="edge"/>
          <c:yMode val="edge"/>
          <c:x val="0.280908320684236"/>
          <c:y val="0.0862633492866667"/>
          <c:w val="0.456182596263276"/>
          <c:h val="0.0874319570465024"/>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legend>
    <c:plotVisOnly val="1"/>
    <c:dispBlanksAs val="gap"/>
    <c:showDLblsOverMax val="0"/>
    <c:extLst>
      <c:ext uri="{0b15fc19-7d7d-44ad-8c2d-2c3a37ce22c3}">
        <chartProps xmlns="https://web.wps.cn/et/2018/main" chartId="{a1be75f7-422a-404e-a857-74a54647aad2}"/>
      </c:ext>
    </c:extLst>
  </c:chart>
  <c:spPr>
    <a:solidFill>
      <a:schemeClr val="bg1"/>
    </a:solidFill>
    <a:ln w="9525" cap="flat" cmpd="sng" algn="ctr">
      <a:noFill/>
      <a:round/>
    </a:ln>
    <a:effectLst/>
  </c:spPr>
  <c:txPr>
    <a:bodyPr/>
    <a:lstStyle/>
    <a:p>
      <a:pPr>
        <a:defRPr lang="zh-CN">
          <a:latin typeface="楷体" panose="02010609060101010101" pitchFamily="49" charset="-122"/>
          <a:ea typeface="楷体" panose="02010609060101010101" pitchFamily="49"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spc="0" baseline="0">
                <a:solidFill>
                  <a:schemeClr val="tx1">
                    <a:lumMod val="65000"/>
                    <a:lumOff val="35000"/>
                  </a:schemeClr>
                </a:solidFill>
                <a:latin typeface="楷体" panose="02010609060101010101" pitchFamily="49" charset="-122"/>
                <a:ea typeface="楷体" panose="02010609060101010101" pitchFamily="49" charset="-122"/>
                <a:cs typeface="+mn-cs"/>
              </a:defRPr>
            </a:pPr>
            <a:r>
              <a:rPr lang="zh-CN" b="1"/>
              <a:t>策略配置</a:t>
            </a:r>
            <a:endParaRPr lang="en-US" b="1"/>
          </a:p>
        </c:rich>
      </c:tx>
      <c:layout/>
      <c:overlay val="0"/>
      <c:spPr>
        <a:noFill/>
        <a:ln>
          <a:noFill/>
        </a:ln>
        <a:effectLst/>
      </c:spPr>
    </c:title>
    <c:autoTitleDeleted val="0"/>
    <c:plotArea>
      <c:layout/>
      <c:pieChart>
        <c:varyColors val="1"/>
        <c:ser>
          <c:idx val="0"/>
          <c:order val="0"/>
          <c:tx>
            <c:strRef>
              <c:f>业绩归因!$D$69</c:f>
              <c:strCache>
                <c:ptCount val="1"/>
                <c:pt idx="0">
                  <c:v>市值占净值</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zh-CN" sz="900" b="0" i="0" u="none" strike="noStrike" kern="1200" baseline="0">
                    <a:solidFill>
                      <a:schemeClr val="dk1">
                        <a:lumMod val="65000"/>
                        <a:lumOff val="35000"/>
                      </a:schemeClr>
                    </a:solidFill>
                    <a:latin typeface="楷体" panose="02010609060101010101" pitchFamily="49" charset="-122"/>
                    <a:ea typeface="楷体" panose="02010609060101010101" pitchFamily="49" charset="-122"/>
                    <a:cs typeface="+mn-cs"/>
                  </a:defRPr>
                </a:pPr>
              </a:p>
            </c:txPr>
            <c:dLblPos val="inEnd"/>
            <c:showLegendKey val="0"/>
            <c:showVal val="0"/>
            <c:showCatName val="0"/>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业绩归因!$C$70:$C$78</c:f>
              <c:strCache>
                <c:ptCount val="9"/>
                <c:pt idx="0">
                  <c:v>套利</c:v>
                </c:pt>
                <c:pt idx="1">
                  <c:v>打板</c:v>
                </c:pt>
                <c:pt idx="2">
                  <c:v>底仓T</c:v>
                </c:pt>
                <c:pt idx="3">
                  <c:v>中性</c:v>
                </c:pt>
                <c:pt idx="4">
                  <c:v>可转债</c:v>
                </c:pt>
                <c:pt idx="5">
                  <c:v>宏观</c:v>
                </c:pt>
                <c:pt idx="6">
                  <c:v>多空</c:v>
                </c:pt>
                <c:pt idx="7">
                  <c:v>择时多头</c:v>
                </c:pt>
                <c:pt idx="8">
                  <c:v>指增保护</c:v>
                </c:pt>
              </c:strCache>
            </c:strRef>
          </c:cat>
          <c:val>
            <c:numRef>
              <c:f>业绩归因!$D$70:$D$78</c:f>
              <c:numCache>
                <c:formatCode>0.0000</c:formatCode>
                <c:ptCount val="9"/>
                <c:pt idx="0">
                  <c:v>23.6915</c:v>
                </c:pt>
                <c:pt idx="1">
                  <c:v>19.4383</c:v>
                </c:pt>
                <c:pt idx="2">
                  <c:v>0</c:v>
                </c:pt>
                <c:pt idx="3">
                  <c:v>20.6342</c:v>
                </c:pt>
                <c:pt idx="4">
                  <c:v>2.5503</c:v>
                </c:pt>
                <c:pt idx="5">
                  <c:v>2.433</c:v>
                </c:pt>
                <c:pt idx="6">
                  <c:v>12.3767</c:v>
                </c:pt>
                <c:pt idx="7">
                  <c:v>5.3681</c:v>
                </c:pt>
                <c:pt idx="8">
                  <c:v>10.1662</c:v>
                </c:pt>
              </c:numCache>
            </c:numRef>
          </c:val>
        </c:ser>
        <c:dLbls>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legend>
    <c:plotVisOnly val="1"/>
    <c:dispBlanksAs val="gap"/>
    <c:showDLblsOverMax val="0"/>
    <c:extLst>
      <c:ext uri="{0b15fc19-7d7d-44ad-8c2d-2c3a37ce22c3}">
        <chartProps xmlns="https://web.wps.cn/et/2018/main" chartId="{1f8c68e6-f8e8-4278-8f97-2b5e04ca03f1}"/>
      </c:ext>
    </c:extLst>
  </c:chart>
  <c:spPr>
    <a:solidFill>
      <a:schemeClr val="bg1"/>
    </a:solidFill>
    <a:ln w="9525" cap="flat" cmpd="sng" algn="ctr">
      <a:solidFill>
        <a:schemeClr val="tx1">
          <a:lumMod val="15000"/>
          <a:lumOff val="85000"/>
        </a:schemeClr>
      </a:solidFill>
      <a:round/>
    </a:ln>
    <a:effectLst/>
  </c:spPr>
  <c:txPr>
    <a:bodyPr/>
    <a:lstStyle/>
    <a:p>
      <a:pPr>
        <a:defRPr lang="zh-CN">
          <a:latin typeface="楷体" panose="02010609060101010101" pitchFamily="49" charset="-122"/>
          <a:ea typeface="楷体" panose="02010609060101010101" pitchFamily="49"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楷体" panose="02010609060101010101" pitchFamily="49" charset="-122"/>
                <a:ea typeface="楷体" panose="02010609060101010101" pitchFamily="49" charset="-122"/>
                <a:cs typeface="+mn-cs"/>
              </a:defRPr>
            </a:pPr>
            <a:r>
              <a:rPr lang="zh-CN">
                <a:latin typeface="楷体" panose="02010609060101010101" pitchFamily="49" charset="-122"/>
                <a:ea typeface="楷体" panose="02010609060101010101" pitchFamily="49" charset="-122"/>
              </a:rPr>
              <a:t>启后私享</a:t>
            </a:r>
            <a:r>
              <a:rPr lang="en-US">
                <a:latin typeface="楷体" panose="02010609060101010101" pitchFamily="49" charset="-122"/>
                <a:ea typeface="楷体" panose="02010609060101010101" pitchFamily="49" charset="-122"/>
              </a:rPr>
              <a:t>1</a:t>
            </a:r>
            <a:r>
              <a:rPr lang="zh-CN">
                <a:latin typeface="楷体" panose="02010609060101010101" pitchFamily="49" charset="-122"/>
                <a:ea typeface="楷体" panose="02010609060101010101" pitchFamily="49" charset="-122"/>
              </a:rPr>
              <a:t>号</a:t>
            </a:r>
            <a:r>
              <a:rPr lang="en-US">
                <a:latin typeface="楷体" panose="02010609060101010101" pitchFamily="49" charset="-122"/>
                <a:ea typeface="楷体" panose="02010609060101010101" pitchFamily="49" charset="-122"/>
              </a:rPr>
              <a:t>FOF</a:t>
            </a:r>
            <a:endParaRPr lang="en-US">
              <a:latin typeface="楷体" panose="02010609060101010101" pitchFamily="49" charset="-122"/>
              <a:ea typeface="楷体" panose="02010609060101010101" pitchFamily="49" charset="-122"/>
            </a:endParaRPr>
          </a:p>
        </c:rich>
      </c:tx>
      <c:layout>
        <c:manualLayout>
          <c:xMode val="edge"/>
          <c:yMode val="edge"/>
          <c:x val="0.359435819188774"/>
          <c:y val="0.0275925500114969"/>
        </c:manualLayout>
      </c:layout>
      <c:overlay val="0"/>
      <c:spPr>
        <a:noFill/>
        <a:ln>
          <a:noFill/>
        </a:ln>
        <a:effectLst/>
      </c:spPr>
    </c:title>
    <c:autoTitleDeleted val="0"/>
    <c:plotArea>
      <c:layout>
        <c:manualLayout>
          <c:layoutTarget val="inner"/>
          <c:xMode val="edge"/>
          <c:yMode val="edge"/>
          <c:x val="0.102709845827555"/>
          <c:y val="0.141825587854101"/>
          <c:w val="0.866119585610572"/>
          <c:h val="0.589224217737456"/>
        </c:manualLayout>
      </c:layout>
      <c:lineChart>
        <c:grouping val="standard"/>
        <c:varyColors val="0"/>
        <c:ser>
          <c:idx val="1"/>
          <c:order val="0"/>
          <c:tx>
            <c:strRef>
              <c:f>启后私享1号FOF周净值!$I$2</c:f>
              <c:strCache>
                <c:ptCount val="1"/>
                <c:pt idx="0">
                  <c:v>启后私享1号FOF</c:v>
                </c:pt>
              </c:strCache>
            </c:strRef>
          </c:tx>
          <c:spPr>
            <a:ln w="28575" cap="rnd">
              <a:solidFill>
                <a:schemeClr val="accent2"/>
              </a:solidFill>
              <a:round/>
            </a:ln>
            <a:effectLst/>
          </c:spPr>
          <c:marker>
            <c:symbol val="none"/>
          </c:marker>
          <c:dLbls>
            <c:delete val="1"/>
          </c:dLbls>
          <c:cat>
            <c:numRef>
              <c:f>启后私享1号FOF周净值!$A$3:$A$74</c:f>
              <c:numCache>
                <c:formatCode>yyyy/m/d</c:formatCode>
                <c:ptCount val="72"/>
                <c:pt idx="0" c:formatCode="yyyy/m/d">
                  <c:v>45460</c:v>
                </c:pt>
                <c:pt idx="1" c:formatCode="yyyy/m/d">
                  <c:v>45464</c:v>
                </c:pt>
                <c:pt idx="2" c:formatCode="yyyy/m/d">
                  <c:v>45471</c:v>
                </c:pt>
                <c:pt idx="3" c:formatCode="yyyy/m/d">
                  <c:v>45478</c:v>
                </c:pt>
                <c:pt idx="4" c:formatCode="yyyy/m/d">
                  <c:v>45485</c:v>
                </c:pt>
                <c:pt idx="5" c:formatCode="yyyy/m/d">
                  <c:v>45492</c:v>
                </c:pt>
                <c:pt idx="6" c:formatCode="yyyy/m/d">
                  <c:v>45499</c:v>
                </c:pt>
                <c:pt idx="7" c:formatCode="yyyy/m/d">
                  <c:v>45506</c:v>
                </c:pt>
                <c:pt idx="8" c:formatCode="yyyy/m/d">
                  <c:v>45513</c:v>
                </c:pt>
                <c:pt idx="9" c:formatCode="yyyy/m/d">
                  <c:v>45520</c:v>
                </c:pt>
                <c:pt idx="10" c:formatCode="yyyy/m/d">
                  <c:v>45527</c:v>
                </c:pt>
                <c:pt idx="11" c:formatCode="yyyy/m/d">
                  <c:v>45534</c:v>
                </c:pt>
                <c:pt idx="12" c:formatCode="yyyy/m/d">
                  <c:v>45541</c:v>
                </c:pt>
                <c:pt idx="13" c:formatCode="yyyy/m/d">
                  <c:v>45548</c:v>
                </c:pt>
                <c:pt idx="14" c:formatCode="yyyy/m/d">
                  <c:v>45555</c:v>
                </c:pt>
                <c:pt idx="15" c:formatCode="yyyy/m/d">
                  <c:v>45562</c:v>
                </c:pt>
                <c:pt idx="16" c:formatCode="yyyy/m/d">
                  <c:v>45565</c:v>
                </c:pt>
                <c:pt idx="17" c:formatCode="yyyy/m/d">
                  <c:v>45576</c:v>
                </c:pt>
                <c:pt idx="18" c:formatCode="yyyy/m/d">
                  <c:v>45583</c:v>
                </c:pt>
                <c:pt idx="19" c:formatCode="yyyy/m/d">
                  <c:v>45590</c:v>
                </c:pt>
                <c:pt idx="20" c:formatCode="yyyy/m/d">
                  <c:v>45597</c:v>
                </c:pt>
                <c:pt idx="21" c:formatCode="yyyy/m/d">
                  <c:v>45604</c:v>
                </c:pt>
                <c:pt idx="22" c:formatCode="yyyy/m/d">
                  <c:v>45611</c:v>
                </c:pt>
                <c:pt idx="23" c:formatCode="yyyy/m/d">
                  <c:v>45618</c:v>
                </c:pt>
                <c:pt idx="24" c:formatCode="yyyy/m/d">
                  <c:v>45625</c:v>
                </c:pt>
                <c:pt idx="25" c:formatCode="yyyy/m/d">
                  <c:v>45632</c:v>
                </c:pt>
                <c:pt idx="26" c:formatCode="yyyy/m/d">
                  <c:v>45639</c:v>
                </c:pt>
                <c:pt idx="27" c:formatCode="yyyy/m/d">
                  <c:v>45646</c:v>
                </c:pt>
                <c:pt idx="28" c:formatCode="yyyy/m/d">
                  <c:v>45653</c:v>
                </c:pt>
                <c:pt idx="29" c:formatCode="yyyy/m/d">
                  <c:v>45660</c:v>
                </c:pt>
                <c:pt idx="30" c:formatCode="yyyy/m/d">
                  <c:v>45667</c:v>
                </c:pt>
                <c:pt idx="31" c:formatCode="yyyy/m/d">
                  <c:v>45674</c:v>
                </c:pt>
                <c:pt idx="32" c:formatCode="yyyy/m/d">
                  <c:v>45681</c:v>
                </c:pt>
                <c:pt idx="33" c:formatCode="yyyy/m/d">
                  <c:v>45684</c:v>
                </c:pt>
                <c:pt idx="34" c:formatCode="yyyy/m/d">
                  <c:v>45695</c:v>
                </c:pt>
                <c:pt idx="35" c:formatCode="yyyy/m/d">
                  <c:v>45702</c:v>
                </c:pt>
                <c:pt idx="36" c:formatCode="yyyy/m/d">
                  <c:v>45709</c:v>
                </c:pt>
                <c:pt idx="37" c:formatCode="yyyy/m/d">
                  <c:v>45716</c:v>
                </c:pt>
                <c:pt idx="38" c:formatCode="yyyy/m/d">
                  <c:v>45721</c:v>
                </c:pt>
                <c:pt idx="39" c:formatCode="yyyy/m/d">
                  <c:v>45730</c:v>
                </c:pt>
                <c:pt idx="40" c:formatCode="yyyy/m/d">
                  <c:v>45737</c:v>
                </c:pt>
                <c:pt idx="41" c:formatCode="yyyy/m/d">
                  <c:v>45744</c:v>
                </c:pt>
                <c:pt idx="42" c:formatCode="yyyy/m/d">
                  <c:v>45750</c:v>
                </c:pt>
                <c:pt idx="43" c:formatCode="yyyy/m/d">
                  <c:v>45758</c:v>
                </c:pt>
                <c:pt idx="44" c:formatCode="yyyy/m/d">
                  <c:v>45765</c:v>
                </c:pt>
                <c:pt idx="45" c:formatCode="yyyy/m/d">
                  <c:v>45772</c:v>
                </c:pt>
                <c:pt idx="46" c:formatCode="yyyy/m/d">
                  <c:v>45777</c:v>
                </c:pt>
                <c:pt idx="47" c:formatCode="yyyy/m/d">
                  <c:v>45786</c:v>
                </c:pt>
                <c:pt idx="48" c:formatCode="yyyy/m/d">
                  <c:v>45793</c:v>
                </c:pt>
                <c:pt idx="49" c:formatCode="yyyy/m/d">
                  <c:v>45800</c:v>
                </c:pt>
                <c:pt idx="50" c:formatCode="yyyy/m/d">
                  <c:v>45807</c:v>
                </c:pt>
                <c:pt idx="51" c:formatCode="yyyy/m/d">
                  <c:v>45814</c:v>
                </c:pt>
                <c:pt idx="52" c:formatCode="yyyy/m/d">
                  <c:v>45821</c:v>
                </c:pt>
                <c:pt idx="53" c:formatCode="yyyy/m/d">
                  <c:v>45828</c:v>
                </c:pt>
                <c:pt idx="54" c:formatCode="yyyy/m/d">
                  <c:v>45835</c:v>
                </c:pt>
                <c:pt idx="55" c:formatCode="yyyy/m/d">
                  <c:v>45842</c:v>
                </c:pt>
                <c:pt idx="56" c:formatCode="yyyy/m/d">
                  <c:v>45849</c:v>
                </c:pt>
                <c:pt idx="57" c:formatCode="yyyy/m/d">
                  <c:v>45856</c:v>
                </c:pt>
                <c:pt idx="58" c:formatCode="yyyy/m/d">
                  <c:v>45863</c:v>
                </c:pt>
                <c:pt idx="59" c:formatCode="yyyy/m/d">
                  <c:v>45870</c:v>
                </c:pt>
                <c:pt idx="60" c:formatCode="yyyy/m/d">
                  <c:v>45877</c:v>
                </c:pt>
                <c:pt idx="61" c:formatCode="yyyy/m/d">
                  <c:v>45884</c:v>
                </c:pt>
                <c:pt idx="62" c:formatCode="yyyy/m/d">
                  <c:v>45891</c:v>
                </c:pt>
                <c:pt idx="63" c:formatCode="yyyy/m/d">
                  <c:v>45898</c:v>
                </c:pt>
                <c:pt idx="64" c:formatCode="yyyy/m/d">
                  <c:v>45905</c:v>
                </c:pt>
                <c:pt idx="65" c:formatCode="yyyy/m/d">
                  <c:v>45912</c:v>
                </c:pt>
                <c:pt idx="66" c:formatCode="yyyy/m/d">
                  <c:v>45919</c:v>
                </c:pt>
                <c:pt idx="67" c:formatCode="yyyy/m/d">
                  <c:v>45926</c:v>
                </c:pt>
                <c:pt idx="68" c:formatCode="yyyy/m/d">
                  <c:v>45940</c:v>
                </c:pt>
                <c:pt idx="69" c:formatCode="yyyy/m/d">
                  <c:v>45947</c:v>
                </c:pt>
                <c:pt idx="70" c:formatCode="yyyy/m/d">
                  <c:v>45954</c:v>
                </c:pt>
                <c:pt idx="71" c:formatCode="yyyy/m/d">
                  <c:v>45961</c:v>
                </c:pt>
              </c:numCache>
            </c:numRef>
          </c:cat>
          <c:val>
            <c:numRef>
              <c:f>启后私享1号FOF周净值!$I$3:$I$164</c:f>
              <c:numCache>
                <c:formatCode>0.000</c:formatCode>
                <c:ptCount val="162"/>
                <c:pt idx="0">
                  <c:v>1</c:v>
                </c:pt>
                <c:pt idx="1">
                  <c:v>1.0004</c:v>
                </c:pt>
                <c:pt idx="2">
                  <c:v>1.0013</c:v>
                </c:pt>
                <c:pt idx="3">
                  <c:v>1.0023</c:v>
                </c:pt>
                <c:pt idx="4">
                  <c:v>1.0028</c:v>
                </c:pt>
                <c:pt idx="5">
                  <c:v>1.004</c:v>
                </c:pt>
                <c:pt idx="6">
                  <c:v>1.0058</c:v>
                </c:pt>
                <c:pt idx="7">
                  <c:v>1.006</c:v>
                </c:pt>
                <c:pt idx="8">
                  <c:v>1.0111</c:v>
                </c:pt>
                <c:pt idx="9">
                  <c:v>1.0113</c:v>
                </c:pt>
                <c:pt idx="10">
                  <c:v>1.0116</c:v>
                </c:pt>
                <c:pt idx="11">
                  <c:v>1.0116</c:v>
                </c:pt>
                <c:pt idx="12">
                  <c:v>1.0118</c:v>
                </c:pt>
                <c:pt idx="13">
                  <c:v>1.0109</c:v>
                </c:pt>
                <c:pt idx="14" c:formatCode="General">
                  <c:v>1.0097</c:v>
                </c:pt>
                <c:pt idx="15" c:formatCode="General">
                  <c:v>1.0139</c:v>
                </c:pt>
                <c:pt idx="16" c:formatCode="General">
                  <c:v>1.0181</c:v>
                </c:pt>
                <c:pt idx="17" c:formatCode="General">
                  <c:v>1.0264</c:v>
                </c:pt>
                <c:pt idx="18" c:formatCode="General">
                  <c:v>1.0285</c:v>
                </c:pt>
                <c:pt idx="19" c:formatCode="General">
                  <c:v>1.0296</c:v>
                </c:pt>
                <c:pt idx="20" c:formatCode="General">
                  <c:v>1.0301</c:v>
                </c:pt>
                <c:pt idx="21" c:formatCode="General">
                  <c:v>1.0367</c:v>
                </c:pt>
                <c:pt idx="22" c:formatCode="General">
                  <c:v>1.039</c:v>
                </c:pt>
                <c:pt idx="23" c:formatCode="General">
                  <c:v>1.0429</c:v>
                </c:pt>
                <c:pt idx="24" c:formatCode="General">
                  <c:v>1.0466</c:v>
                </c:pt>
                <c:pt idx="25" c:formatCode="General">
                  <c:v>1.0473</c:v>
                </c:pt>
                <c:pt idx="26" c:formatCode="General">
                  <c:v>1.0517</c:v>
                </c:pt>
                <c:pt idx="27" c:formatCode="General">
                  <c:v>1.0517</c:v>
                </c:pt>
                <c:pt idx="28" c:formatCode="General">
                  <c:v>1.0509</c:v>
                </c:pt>
                <c:pt idx="29" c:formatCode="General">
                  <c:v>1.0534</c:v>
                </c:pt>
                <c:pt idx="30" c:formatCode="General">
                  <c:v>1.0581</c:v>
                </c:pt>
                <c:pt idx="31" c:formatCode="General">
                  <c:v>1.0597</c:v>
                </c:pt>
                <c:pt idx="32" c:formatCode="General">
                  <c:v>1.0601</c:v>
                </c:pt>
                <c:pt idx="33" c:formatCode="General">
                  <c:v>1.0616</c:v>
                </c:pt>
                <c:pt idx="34" c:formatCode="General">
                  <c:v>1.0646</c:v>
                </c:pt>
                <c:pt idx="35" c:formatCode="General">
                  <c:v>1.0702</c:v>
                </c:pt>
                <c:pt idx="36" c:formatCode="General">
                  <c:v>1.0742</c:v>
                </c:pt>
                <c:pt idx="37" c:formatCode="General">
                  <c:v>1.0779</c:v>
                </c:pt>
                <c:pt idx="38" c:formatCode="General">
                  <c:v>1.0804</c:v>
                </c:pt>
                <c:pt idx="39" c:formatCode="General">
                  <c:v>1.0804</c:v>
                </c:pt>
                <c:pt idx="40" c:formatCode="General">
                  <c:v>1.0827</c:v>
                </c:pt>
                <c:pt idx="41" c:formatCode="General">
                  <c:v>1.0813</c:v>
                </c:pt>
                <c:pt idx="42" c:formatCode="General">
                  <c:v>1.083</c:v>
                </c:pt>
                <c:pt idx="43" c:formatCode="General">
                  <c:v>1.0929</c:v>
                </c:pt>
                <c:pt idx="44" c:formatCode="General">
                  <c:v>1.0929</c:v>
                </c:pt>
                <c:pt idx="45" c:formatCode="General">
                  <c:v>1.0948</c:v>
                </c:pt>
                <c:pt idx="46" c:formatCode="General">
                  <c:v>1.0937</c:v>
                </c:pt>
                <c:pt idx="47" c:formatCode="General">
                  <c:v>1.0974</c:v>
                </c:pt>
                <c:pt idx="48" c:formatCode="General">
                  <c:v>1.0969</c:v>
                </c:pt>
                <c:pt idx="49" c:formatCode="General">
                  <c:v>1.097</c:v>
                </c:pt>
                <c:pt idx="50" c:formatCode="General">
                  <c:v>1.0972</c:v>
                </c:pt>
                <c:pt idx="51" c:formatCode="General">
                  <c:v>1.0967</c:v>
                </c:pt>
                <c:pt idx="52" c:formatCode="General">
                  <c:v>1.0955</c:v>
                </c:pt>
                <c:pt idx="53" c:formatCode="General">
                  <c:v>1.0946</c:v>
                </c:pt>
                <c:pt idx="54" c:formatCode="General">
                  <c:v>1.0961</c:v>
                </c:pt>
                <c:pt idx="55" c:formatCode="General">
                  <c:v>1.0967</c:v>
                </c:pt>
                <c:pt idx="56" c:formatCode="General">
                  <c:v>1.0951</c:v>
                </c:pt>
                <c:pt idx="57" c:formatCode="General">
                  <c:v>1.0971</c:v>
                </c:pt>
                <c:pt idx="58" c:formatCode="General">
                  <c:v>1.1011</c:v>
                </c:pt>
                <c:pt idx="59" c:formatCode="General">
                  <c:v>1.1036</c:v>
                </c:pt>
                <c:pt idx="60" c:formatCode="General">
                  <c:v>1.1066</c:v>
                </c:pt>
                <c:pt idx="61" c:formatCode="General">
                  <c:v>1.105</c:v>
                </c:pt>
                <c:pt idx="62" c:formatCode="General">
                  <c:v>1.108</c:v>
                </c:pt>
                <c:pt idx="63" c:formatCode="General">
                  <c:v>1.1048</c:v>
                </c:pt>
                <c:pt idx="64" c:formatCode="General">
                  <c:v>1.1054</c:v>
                </c:pt>
                <c:pt idx="65" c:formatCode="General">
                  <c:v>1.11</c:v>
                </c:pt>
                <c:pt idx="66" c:formatCode="General">
                  <c:v>1.1076</c:v>
                </c:pt>
                <c:pt idx="67" c:formatCode="General">
                  <c:v>1.1089</c:v>
                </c:pt>
                <c:pt idx="68" c:formatCode="General">
                  <c:v>1.1125</c:v>
                </c:pt>
                <c:pt idx="69" c:formatCode="General">
                  <c:v>1.1108</c:v>
                </c:pt>
                <c:pt idx="70" c:formatCode="General">
                  <c:v>1.1126</c:v>
                </c:pt>
                <c:pt idx="71" c:formatCode="General">
                  <c:v>1.112</c:v>
                </c:pt>
                <c:pt idx="72" c:formatCode="General">
                  <c:v>0</c:v>
                </c:pt>
                <c:pt idx="73" c:formatCode="General">
                  <c:v>0</c:v>
                </c:pt>
                <c:pt idx="74" c:formatCode="General">
                  <c:v>0</c:v>
                </c:pt>
                <c:pt idx="75" c:formatCode="General">
                  <c:v>0</c:v>
                </c:pt>
                <c:pt idx="76" c:formatCode="General">
                  <c:v>0</c:v>
                </c:pt>
                <c:pt idx="77" c:formatCode="General">
                  <c:v>0</c:v>
                </c:pt>
                <c:pt idx="78" c:formatCode="General">
                  <c:v>0</c:v>
                </c:pt>
                <c:pt idx="79" c:formatCode="General">
                  <c:v>0</c:v>
                </c:pt>
                <c:pt idx="80" c:formatCode="General">
                  <c:v>0</c:v>
                </c:pt>
                <c:pt idx="81" c:formatCode="General">
                  <c:v>0</c:v>
                </c:pt>
                <c:pt idx="82" c:formatCode="General">
                  <c:v>0</c:v>
                </c:pt>
                <c:pt idx="83" c:formatCode="General">
                  <c:v>0</c:v>
                </c:pt>
                <c:pt idx="84" c:formatCode="General">
                  <c:v>0</c:v>
                </c:pt>
                <c:pt idx="85" c:formatCode="General">
                  <c:v>0</c:v>
                </c:pt>
                <c:pt idx="86" c:formatCode="General">
                  <c:v>0</c:v>
                </c:pt>
                <c:pt idx="87" c:formatCode="General">
                  <c:v>0</c:v>
                </c:pt>
                <c:pt idx="88" c:formatCode="General">
                  <c:v>0</c:v>
                </c:pt>
                <c:pt idx="89" c:formatCode="General">
                  <c:v>0</c:v>
                </c:pt>
                <c:pt idx="90" c:formatCode="General">
                  <c:v>0</c:v>
                </c:pt>
                <c:pt idx="91" c:formatCode="General">
                  <c:v>0</c:v>
                </c:pt>
                <c:pt idx="92" c:formatCode="General">
                  <c:v>0</c:v>
                </c:pt>
                <c:pt idx="93" c:formatCode="General">
                  <c:v>0</c:v>
                </c:pt>
                <c:pt idx="94" c:formatCode="General">
                  <c:v>0</c:v>
                </c:pt>
                <c:pt idx="95" c:formatCode="General">
                  <c:v>0</c:v>
                </c:pt>
                <c:pt idx="96" c:formatCode="General">
                  <c:v>0</c:v>
                </c:pt>
                <c:pt idx="97" c:formatCode="General">
                  <c:v>0</c:v>
                </c:pt>
                <c:pt idx="98" c:formatCode="General">
                  <c:v>0</c:v>
                </c:pt>
                <c:pt idx="99" c:formatCode="General">
                  <c:v>0</c:v>
                </c:pt>
                <c:pt idx="100" c:formatCode="General">
                  <c:v>0</c:v>
                </c:pt>
                <c:pt idx="101" c:formatCode="General">
                  <c:v>0</c:v>
                </c:pt>
                <c:pt idx="102" c:formatCode="General">
                  <c:v>0</c:v>
                </c:pt>
                <c:pt idx="103" c:formatCode="General">
                  <c:v>0</c:v>
                </c:pt>
                <c:pt idx="104" c:formatCode="General">
                  <c:v>0</c:v>
                </c:pt>
                <c:pt idx="105" c:formatCode="General">
                  <c:v>0</c:v>
                </c:pt>
                <c:pt idx="106" c:formatCode="General">
                  <c:v>0</c:v>
                </c:pt>
                <c:pt idx="107" c:formatCode="General">
                  <c:v>0</c:v>
                </c:pt>
                <c:pt idx="108" c:formatCode="General">
                  <c:v>0</c:v>
                </c:pt>
                <c:pt idx="109" c:formatCode="General">
                  <c:v>0</c:v>
                </c:pt>
                <c:pt idx="110" c:formatCode="General">
                  <c:v>0</c:v>
                </c:pt>
                <c:pt idx="111" c:formatCode="General">
                  <c:v>0</c:v>
                </c:pt>
                <c:pt idx="112" c:formatCode="General">
                  <c:v>0</c:v>
                </c:pt>
                <c:pt idx="113" c:formatCode="General">
                  <c:v>0</c:v>
                </c:pt>
                <c:pt idx="114" c:formatCode="General">
                  <c:v>0</c:v>
                </c:pt>
                <c:pt idx="115" c:formatCode="General">
                  <c:v>0</c:v>
                </c:pt>
                <c:pt idx="116" c:formatCode="General">
                  <c:v>0</c:v>
                </c:pt>
                <c:pt idx="117" c:formatCode="General">
                  <c:v>0</c:v>
                </c:pt>
                <c:pt idx="118" c:formatCode="General">
                  <c:v>0</c:v>
                </c:pt>
                <c:pt idx="119" c:formatCode="General">
                  <c:v>0</c:v>
                </c:pt>
                <c:pt idx="120" c:formatCode="General">
                  <c:v>0</c:v>
                </c:pt>
                <c:pt idx="121" c:formatCode="General">
                  <c:v>0</c:v>
                </c:pt>
                <c:pt idx="122" c:formatCode="General">
                  <c:v>0</c:v>
                </c:pt>
                <c:pt idx="123" c:formatCode="General">
                  <c:v>0</c:v>
                </c:pt>
                <c:pt idx="124" c:formatCode="General">
                  <c:v>0</c:v>
                </c:pt>
                <c:pt idx="125" c:formatCode="General">
                  <c:v>0</c:v>
                </c:pt>
                <c:pt idx="126" c:formatCode="General">
                  <c:v>0</c:v>
                </c:pt>
                <c:pt idx="127" c:formatCode="General">
                  <c:v>0</c:v>
                </c:pt>
                <c:pt idx="128" c:formatCode="General">
                  <c:v>0</c:v>
                </c:pt>
                <c:pt idx="129" c:formatCode="General">
                  <c:v>0</c:v>
                </c:pt>
                <c:pt idx="130" c:formatCode="General">
                  <c:v>0</c:v>
                </c:pt>
                <c:pt idx="131" c:formatCode="General">
                  <c:v>0</c:v>
                </c:pt>
                <c:pt idx="132" c:formatCode="General">
                  <c:v>0</c:v>
                </c:pt>
                <c:pt idx="133" c:formatCode="General">
                  <c:v>0</c:v>
                </c:pt>
                <c:pt idx="134" c:formatCode="General">
                  <c:v>0</c:v>
                </c:pt>
                <c:pt idx="135" c:formatCode="General">
                  <c:v>0</c:v>
                </c:pt>
                <c:pt idx="136" c:formatCode="General">
                  <c:v>0</c:v>
                </c:pt>
                <c:pt idx="137" c:formatCode="General">
                  <c:v>0</c:v>
                </c:pt>
                <c:pt idx="138" c:formatCode="General">
                  <c:v>0</c:v>
                </c:pt>
                <c:pt idx="139" c:formatCode="General">
                  <c:v>0</c:v>
                </c:pt>
                <c:pt idx="140" c:formatCode="General">
                  <c:v>0</c:v>
                </c:pt>
                <c:pt idx="141" c:formatCode="General">
                  <c:v>0</c:v>
                </c:pt>
                <c:pt idx="142" c:formatCode="General">
                  <c:v>0</c:v>
                </c:pt>
                <c:pt idx="143" c:formatCode="General">
                  <c:v>0</c:v>
                </c:pt>
                <c:pt idx="144" c:formatCode="General">
                  <c:v>0</c:v>
                </c:pt>
                <c:pt idx="145" c:formatCode="General">
                  <c:v>0</c:v>
                </c:pt>
                <c:pt idx="146" c:formatCode="General">
                  <c:v>0</c:v>
                </c:pt>
                <c:pt idx="147" c:formatCode="General">
                  <c:v>0</c:v>
                </c:pt>
                <c:pt idx="148" c:formatCode="General">
                  <c:v>0</c:v>
                </c:pt>
                <c:pt idx="149" c:formatCode="General">
                  <c:v>0</c:v>
                </c:pt>
                <c:pt idx="150" c:formatCode="General">
                  <c:v>0</c:v>
                </c:pt>
                <c:pt idx="151" c:formatCode="General">
                  <c:v>0</c:v>
                </c:pt>
                <c:pt idx="152" c:formatCode="General">
                  <c:v>0</c:v>
                </c:pt>
                <c:pt idx="153" c:formatCode="General">
                  <c:v>0</c:v>
                </c:pt>
                <c:pt idx="154" c:formatCode="General">
                  <c:v>0</c:v>
                </c:pt>
                <c:pt idx="155" c:formatCode="General">
                  <c:v>0</c:v>
                </c:pt>
                <c:pt idx="156" c:formatCode="General">
                  <c:v>0</c:v>
                </c:pt>
                <c:pt idx="157" c:formatCode="General">
                  <c:v>0</c:v>
                </c:pt>
                <c:pt idx="158" c:formatCode="General">
                  <c:v>0</c:v>
                </c:pt>
                <c:pt idx="159" c:formatCode="General">
                  <c:v>0</c:v>
                </c:pt>
                <c:pt idx="160" c:formatCode="General">
                  <c:v>0</c:v>
                </c:pt>
                <c:pt idx="161" c:formatCode="General">
                  <c:v>0</c:v>
                </c:pt>
              </c:numCache>
            </c:numRef>
          </c:val>
          <c:smooth val="0"/>
        </c:ser>
        <c:ser>
          <c:idx val="2"/>
          <c:order val="1"/>
          <c:tx>
            <c:strRef>
              <c:f>启后私享1号FOF周净值!$J$2</c:f>
              <c:strCache>
                <c:ptCount val="1"/>
                <c:pt idx="0">
                  <c:v>沪深300</c:v>
                </c:pt>
              </c:strCache>
            </c:strRef>
          </c:tx>
          <c:spPr>
            <a:ln w="28575" cap="rnd">
              <a:solidFill>
                <a:schemeClr val="accent3"/>
              </a:solidFill>
              <a:round/>
            </a:ln>
            <a:effectLst/>
          </c:spPr>
          <c:marker>
            <c:symbol val="none"/>
          </c:marker>
          <c:dLbls>
            <c:delete val="1"/>
          </c:dLbls>
          <c:cat>
            <c:numRef>
              <c:f>启后私享1号FOF周净值!$A$3:$A$74</c:f>
              <c:numCache>
                <c:formatCode>yyyy/m/d</c:formatCode>
                <c:ptCount val="72"/>
                <c:pt idx="0" c:formatCode="yyyy/m/d">
                  <c:v>45460</c:v>
                </c:pt>
                <c:pt idx="1" c:formatCode="yyyy/m/d">
                  <c:v>45464</c:v>
                </c:pt>
                <c:pt idx="2" c:formatCode="yyyy/m/d">
                  <c:v>45471</c:v>
                </c:pt>
                <c:pt idx="3" c:formatCode="yyyy/m/d">
                  <c:v>45478</c:v>
                </c:pt>
                <c:pt idx="4" c:formatCode="yyyy/m/d">
                  <c:v>45485</c:v>
                </c:pt>
                <c:pt idx="5" c:formatCode="yyyy/m/d">
                  <c:v>45492</c:v>
                </c:pt>
                <c:pt idx="6" c:formatCode="yyyy/m/d">
                  <c:v>45499</c:v>
                </c:pt>
                <c:pt idx="7" c:formatCode="yyyy/m/d">
                  <c:v>45506</c:v>
                </c:pt>
                <c:pt idx="8" c:formatCode="yyyy/m/d">
                  <c:v>45513</c:v>
                </c:pt>
                <c:pt idx="9" c:formatCode="yyyy/m/d">
                  <c:v>45520</c:v>
                </c:pt>
                <c:pt idx="10" c:formatCode="yyyy/m/d">
                  <c:v>45527</c:v>
                </c:pt>
                <c:pt idx="11" c:formatCode="yyyy/m/d">
                  <c:v>45534</c:v>
                </c:pt>
                <c:pt idx="12" c:formatCode="yyyy/m/d">
                  <c:v>45541</c:v>
                </c:pt>
                <c:pt idx="13" c:formatCode="yyyy/m/d">
                  <c:v>45548</c:v>
                </c:pt>
                <c:pt idx="14" c:formatCode="yyyy/m/d">
                  <c:v>45555</c:v>
                </c:pt>
                <c:pt idx="15" c:formatCode="yyyy/m/d">
                  <c:v>45562</c:v>
                </c:pt>
                <c:pt idx="16" c:formatCode="yyyy/m/d">
                  <c:v>45565</c:v>
                </c:pt>
                <c:pt idx="17" c:formatCode="yyyy/m/d">
                  <c:v>45576</c:v>
                </c:pt>
                <c:pt idx="18" c:formatCode="yyyy/m/d">
                  <c:v>45583</c:v>
                </c:pt>
                <c:pt idx="19" c:formatCode="yyyy/m/d">
                  <c:v>45590</c:v>
                </c:pt>
                <c:pt idx="20" c:formatCode="yyyy/m/d">
                  <c:v>45597</c:v>
                </c:pt>
                <c:pt idx="21" c:formatCode="yyyy/m/d">
                  <c:v>45604</c:v>
                </c:pt>
                <c:pt idx="22" c:formatCode="yyyy/m/d">
                  <c:v>45611</c:v>
                </c:pt>
                <c:pt idx="23" c:formatCode="yyyy/m/d">
                  <c:v>45618</c:v>
                </c:pt>
                <c:pt idx="24" c:formatCode="yyyy/m/d">
                  <c:v>45625</c:v>
                </c:pt>
                <c:pt idx="25" c:formatCode="yyyy/m/d">
                  <c:v>45632</c:v>
                </c:pt>
                <c:pt idx="26" c:formatCode="yyyy/m/d">
                  <c:v>45639</c:v>
                </c:pt>
                <c:pt idx="27" c:formatCode="yyyy/m/d">
                  <c:v>45646</c:v>
                </c:pt>
                <c:pt idx="28" c:formatCode="yyyy/m/d">
                  <c:v>45653</c:v>
                </c:pt>
                <c:pt idx="29" c:formatCode="yyyy/m/d">
                  <c:v>45660</c:v>
                </c:pt>
                <c:pt idx="30" c:formatCode="yyyy/m/d">
                  <c:v>45667</c:v>
                </c:pt>
                <c:pt idx="31" c:formatCode="yyyy/m/d">
                  <c:v>45674</c:v>
                </c:pt>
                <c:pt idx="32" c:formatCode="yyyy/m/d">
                  <c:v>45681</c:v>
                </c:pt>
                <c:pt idx="33" c:formatCode="yyyy/m/d">
                  <c:v>45684</c:v>
                </c:pt>
                <c:pt idx="34" c:formatCode="yyyy/m/d">
                  <c:v>45695</c:v>
                </c:pt>
                <c:pt idx="35" c:formatCode="yyyy/m/d">
                  <c:v>45702</c:v>
                </c:pt>
                <c:pt idx="36" c:formatCode="yyyy/m/d">
                  <c:v>45709</c:v>
                </c:pt>
                <c:pt idx="37" c:formatCode="yyyy/m/d">
                  <c:v>45716</c:v>
                </c:pt>
                <c:pt idx="38" c:formatCode="yyyy/m/d">
                  <c:v>45721</c:v>
                </c:pt>
                <c:pt idx="39" c:formatCode="yyyy/m/d">
                  <c:v>45730</c:v>
                </c:pt>
                <c:pt idx="40" c:formatCode="yyyy/m/d">
                  <c:v>45737</c:v>
                </c:pt>
                <c:pt idx="41" c:formatCode="yyyy/m/d">
                  <c:v>45744</c:v>
                </c:pt>
                <c:pt idx="42" c:formatCode="yyyy/m/d">
                  <c:v>45750</c:v>
                </c:pt>
                <c:pt idx="43" c:formatCode="yyyy/m/d">
                  <c:v>45758</c:v>
                </c:pt>
                <c:pt idx="44" c:formatCode="yyyy/m/d">
                  <c:v>45765</c:v>
                </c:pt>
                <c:pt idx="45" c:formatCode="yyyy/m/d">
                  <c:v>45772</c:v>
                </c:pt>
                <c:pt idx="46" c:formatCode="yyyy/m/d">
                  <c:v>45777</c:v>
                </c:pt>
                <c:pt idx="47" c:formatCode="yyyy/m/d">
                  <c:v>45786</c:v>
                </c:pt>
                <c:pt idx="48" c:formatCode="yyyy/m/d">
                  <c:v>45793</c:v>
                </c:pt>
                <c:pt idx="49" c:formatCode="yyyy/m/d">
                  <c:v>45800</c:v>
                </c:pt>
                <c:pt idx="50" c:formatCode="yyyy/m/d">
                  <c:v>45807</c:v>
                </c:pt>
                <c:pt idx="51" c:formatCode="yyyy/m/d">
                  <c:v>45814</c:v>
                </c:pt>
                <c:pt idx="52" c:formatCode="yyyy/m/d">
                  <c:v>45821</c:v>
                </c:pt>
                <c:pt idx="53" c:formatCode="yyyy/m/d">
                  <c:v>45828</c:v>
                </c:pt>
                <c:pt idx="54" c:formatCode="yyyy/m/d">
                  <c:v>45835</c:v>
                </c:pt>
                <c:pt idx="55" c:formatCode="yyyy/m/d">
                  <c:v>45842</c:v>
                </c:pt>
                <c:pt idx="56" c:formatCode="yyyy/m/d">
                  <c:v>45849</c:v>
                </c:pt>
                <c:pt idx="57" c:formatCode="yyyy/m/d">
                  <c:v>45856</c:v>
                </c:pt>
                <c:pt idx="58" c:formatCode="yyyy/m/d">
                  <c:v>45863</c:v>
                </c:pt>
                <c:pt idx="59" c:formatCode="yyyy/m/d">
                  <c:v>45870</c:v>
                </c:pt>
                <c:pt idx="60" c:formatCode="yyyy/m/d">
                  <c:v>45877</c:v>
                </c:pt>
                <c:pt idx="61" c:formatCode="yyyy/m/d">
                  <c:v>45884</c:v>
                </c:pt>
                <c:pt idx="62" c:formatCode="yyyy/m/d">
                  <c:v>45891</c:v>
                </c:pt>
                <c:pt idx="63" c:formatCode="yyyy/m/d">
                  <c:v>45898</c:v>
                </c:pt>
                <c:pt idx="64" c:formatCode="yyyy/m/d">
                  <c:v>45905</c:v>
                </c:pt>
                <c:pt idx="65" c:formatCode="yyyy/m/d">
                  <c:v>45912</c:v>
                </c:pt>
                <c:pt idx="66" c:formatCode="yyyy/m/d">
                  <c:v>45919</c:v>
                </c:pt>
                <c:pt idx="67" c:formatCode="yyyy/m/d">
                  <c:v>45926</c:v>
                </c:pt>
                <c:pt idx="68" c:formatCode="yyyy/m/d">
                  <c:v>45940</c:v>
                </c:pt>
                <c:pt idx="69" c:formatCode="yyyy/m/d">
                  <c:v>45947</c:v>
                </c:pt>
                <c:pt idx="70" c:formatCode="yyyy/m/d">
                  <c:v>45954</c:v>
                </c:pt>
                <c:pt idx="71" c:formatCode="yyyy/m/d">
                  <c:v>45961</c:v>
                </c:pt>
              </c:numCache>
            </c:numRef>
          </c:cat>
          <c:val>
            <c:numRef>
              <c:f>启后私享1号FOF周净值!$J$3:$J$128</c:f>
              <c:numCache>
                <c:formatCode>0.0000</c:formatCode>
                <c:ptCount val="126"/>
                <c:pt idx="0">
                  <c:v>1</c:v>
                </c:pt>
                <c:pt idx="1">
                  <c:v>0.988524404728239</c:v>
                </c:pt>
                <c:pt idx="2">
                  <c:v>0.978920875516091</c:v>
                </c:pt>
                <c:pt idx="3">
                  <c:v>0.970267518805498</c:v>
                </c:pt>
                <c:pt idx="4">
                  <c:v>0.981958429953057</c:v>
                </c:pt>
                <c:pt idx="5">
                  <c:v>1.00079622193315</c:v>
                </c:pt>
                <c:pt idx="6">
                  <c:v>0.964111192805837</c:v>
                </c:pt>
                <c:pt idx="7">
                  <c:v>0.957069735874668</c:v>
                </c:pt>
                <c:pt idx="8">
                  <c:v>0.942146937390419</c:v>
                </c:pt>
                <c:pt idx="9">
                  <c:v>0.946108817374583</c:v>
                </c:pt>
                <c:pt idx="10">
                  <c:v>0.940894321588146</c:v>
                </c:pt>
                <c:pt idx="11">
                  <c:v>0.939265963463605</c:v>
                </c:pt>
                <c:pt idx="12">
                  <c:v>0.913791640744302</c:v>
                </c:pt>
                <c:pt idx="13">
                  <c:v>0.89339969458741</c:v>
                </c:pt>
                <c:pt idx="14">
                  <c:v>0.905223036027374</c:v>
                </c:pt>
                <c:pt idx="15">
                  <c:v>1.04736296023981</c:v>
                </c:pt>
                <c:pt idx="16">
                  <c:v>1.13620680391381</c:v>
                </c:pt>
                <c:pt idx="17">
                  <c:v>1.09924975962898</c:v>
                </c:pt>
                <c:pt idx="18">
                  <c:v>1.11001470505062</c:v>
                </c:pt>
                <c:pt idx="19">
                  <c:v>1.11883405915955</c:v>
                </c:pt>
                <c:pt idx="20">
                  <c:v>1.10005664272383</c:v>
                </c:pt>
                <c:pt idx="21">
                  <c:v>1.1605811322889</c:v>
                </c:pt>
                <c:pt idx="22">
                  <c:v>1.12234341948985</c:v>
                </c:pt>
                <c:pt idx="23">
                  <c:v>1.09317880775974</c:v>
                </c:pt>
                <c:pt idx="24">
                  <c:v>1.10756835020644</c:v>
                </c:pt>
                <c:pt idx="25">
                  <c:v>1.12356201572309</c:v>
                </c:pt>
                <c:pt idx="26">
                  <c:v>1.11226197613257</c:v>
                </c:pt>
                <c:pt idx="27">
                  <c:v>1.11072453481138</c:v>
                </c:pt>
                <c:pt idx="28">
                  <c:v>1.12579342231774</c:v>
                </c:pt>
                <c:pt idx="29">
                  <c:v>1.06757672077371</c:v>
                </c:pt>
                <c:pt idx="30">
                  <c:v>1.05550591029919</c:v>
                </c:pt>
                <c:pt idx="31">
                  <c:v>1.07809029466659</c:v>
                </c:pt>
                <c:pt idx="32">
                  <c:v>1.08389336010407</c:v>
                </c:pt>
                <c:pt idx="33">
                  <c:v>1.07942995305695</c:v>
                </c:pt>
                <c:pt idx="34">
                  <c:v>1.10081522538318</c:v>
                </c:pt>
                <c:pt idx="35">
                  <c:v>1.113910412307</c:v>
                </c:pt>
                <c:pt idx="36">
                  <c:v>1.12506079972852</c:v>
                </c:pt>
                <c:pt idx="37">
                  <c:v>1.10006504157005</c:v>
                </c:pt>
                <c:pt idx="38">
                  <c:v>1.11532435948193</c:v>
                </c:pt>
                <c:pt idx="39">
                  <c:v>1.13301283864035</c:v>
                </c:pt>
                <c:pt idx="40">
                  <c:v>1.10703580114247</c:v>
                </c:pt>
                <c:pt idx="41">
                  <c:v>1.10716871217691</c:v>
                </c:pt>
                <c:pt idx="42">
                  <c:v>1.09199140320118</c:v>
                </c:pt>
                <c:pt idx="43">
                  <c:v>1.06060743170635</c:v>
                </c:pt>
                <c:pt idx="44">
                  <c:v>1.06682879927606</c:v>
                </c:pt>
                <c:pt idx="45">
                  <c:v>1.07092076240032</c:v>
                </c:pt>
                <c:pt idx="46">
                  <c:v>1.06627735987784</c:v>
                </c:pt>
                <c:pt idx="47">
                  <c:v>1.08765341326848</c:v>
                </c:pt>
                <c:pt idx="48">
                  <c:v>1.09979356371246</c:v>
                </c:pt>
                <c:pt idx="49">
                  <c:v>1.09786493976585</c:v>
                </c:pt>
                <c:pt idx="50">
                  <c:v>1.08597647191901</c:v>
                </c:pt>
                <c:pt idx="51">
                  <c:v>1.09552061534981</c:v>
                </c:pt>
                <c:pt idx="52">
                  <c:v>1.09274927888694</c:v>
                </c:pt>
                <c:pt idx="53">
                  <c:v>1.08778915219727</c:v>
                </c:pt>
                <c:pt idx="54">
                  <c:v>1.10903229455348</c:v>
                </c:pt>
                <c:pt idx="55">
                  <c:v>1.12612408800407</c:v>
                </c:pt>
                <c:pt idx="56">
                  <c:v>1.13534585147899</c:v>
                </c:pt>
                <c:pt idx="57">
                  <c:v>1.14771506136531</c:v>
                </c:pt>
                <c:pt idx="58">
                  <c:v>1.16711724449975</c:v>
                </c:pt>
                <c:pt idx="59">
                  <c:v>1.14669136361066</c:v>
                </c:pt>
                <c:pt idx="60">
                  <c:v>1.16084214693739</c:v>
                </c:pt>
                <c:pt idx="61">
                  <c:v>1.1883801821164</c:v>
                </c:pt>
                <c:pt idx="62">
                  <c:v>1.23805214637181</c:v>
                </c:pt>
                <c:pt idx="63">
                  <c:v>1.27163621967083</c:v>
                </c:pt>
                <c:pt idx="64">
                  <c:v>1.26133137265992</c:v>
                </c:pt>
                <c:pt idx="65">
                  <c:v>1.2787738250099</c:v>
                </c:pt>
                <c:pt idx="66">
                  <c:v>1.27309541315536</c:v>
                </c:pt>
                <c:pt idx="67">
                  <c:v>1.28670606866128</c:v>
                </c:pt>
                <c:pt idx="68">
                  <c:v>1.30559074712969</c:v>
                </c:pt>
                <c:pt idx="69">
                  <c:v>1.27657655110005</c:v>
                </c:pt>
                <c:pt idx="70">
                  <c:v>1.31799106385386</c:v>
                </c:pt>
                <c:pt idx="71">
                  <c:v>1.23273673672152</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ser>
        <c:dLbls>
          <c:showLegendKey val="0"/>
          <c:showVal val="0"/>
          <c:showCatName val="0"/>
          <c:showSerName val="0"/>
          <c:showPercent val="0"/>
          <c:showBubbleSize val="0"/>
        </c:dLbls>
        <c:marker val="0"/>
        <c:smooth val="0"/>
        <c:axId val="329191926"/>
        <c:axId val="236668337"/>
      </c:lineChart>
      <c:dateAx>
        <c:axId val="329191926"/>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0" vertOverflow="ellipsis" vert="eaVert" wrap="square" anchor="ctr" anchorCtr="1"/>
          <a:lstStyle/>
          <a:p>
            <a:pPr>
              <a:defRPr lang="zh-CN" sz="7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crossAx val="236668337"/>
        <c:crosses val="autoZero"/>
        <c:auto val="0"/>
        <c:lblOffset val="100"/>
        <c:baseTimeUnit val="days"/>
      </c:dateAx>
      <c:valAx>
        <c:axId val="236668337"/>
        <c:scaling>
          <c:orientation val="minMax"/>
          <c:max val="1.2"/>
          <c:min val="0.88"/>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919192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legend>
    <c:plotVisOnly val="1"/>
    <c:dispBlanksAs val="gap"/>
    <c:showDLblsOverMax val="0"/>
    <c:extLst>
      <c:ext uri="{0b15fc19-7d7d-44ad-8c2d-2c3a37ce22c3}">
        <chartProps xmlns="https://web.wps.cn/et/2018/main" chartId="{583e0533-88b4-4179-8aac-050a26095986}"/>
      </c:ext>
    </c:extLst>
  </c:chart>
  <c:spPr>
    <a:solidFill>
      <a:schemeClr val="bg1"/>
    </a:solidFill>
    <a:ln w="9525" cap="flat" cmpd="sng" algn="ctr">
      <a:solidFill>
        <a:schemeClr val="tx1">
          <a:lumMod val="15000"/>
          <a:lumOff val="85000"/>
        </a:schemeClr>
      </a:solidFill>
      <a:round/>
    </a:ln>
    <a:effectLst/>
  </c:spPr>
  <c:txPr>
    <a:bodyPr rot="0" vert="eaVert"/>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spc="0" baseline="0">
                <a:solidFill>
                  <a:schemeClr val="tx1">
                    <a:lumMod val="65000"/>
                    <a:lumOff val="35000"/>
                  </a:schemeClr>
                </a:solidFill>
                <a:latin typeface="楷体" panose="02010609060101010101" pitchFamily="49" charset="-122"/>
                <a:ea typeface="楷体" panose="02010609060101010101" pitchFamily="49" charset="-122"/>
                <a:cs typeface="+mn-cs"/>
              </a:defRPr>
            </a:pPr>
            <a:r>
              <a:rPr lang="zh-CN" b="1"/>
              <a:t>策略配置</a:t>
            </a:r>
            <a:endParaRPr lang="en-US" b="1"/>
          </a:p>
        </c:rich>
      </c:tx>
      <c:layout/>
      <c:overlay val="0"/>
      <c:spPr>
        <a:noFill/>
        <a:ln>
          <a:noFill/>
        </a:ln>
        <a:effectLst/>
      </c:spPr>
    </c:title>
    <c:autoTitleDeleted val="0"/>
    <c:plotArea>
      <c:layout>
        <c:manualLayout>
          <c:layoutTarget val="inner"/>
          <c:xMode val="edge"/>
          <c:yMode val="edge"/>
          <c:x val="0.199627976190476"/>
          <c:y val="0.133723054439167"/>
          <c:w val="0.600744047619048"/>
          <c:h val="0.737486298867373"/>
        </c:manualLayout>
      </c:layout>
      <c:pieChart>
        <c:varyColors val="1"/>
        <c:ser>
          <c:idx val="0"/>
          <c:order val="0"/>
          <c:tx>
            <c:strRef>
              <c:f>业绩归因!$D$69</c:f>
              <c:strCache>
                <c:ptCount val="1"/>
                <c:pt idx="0">
                  <c:v>市值占净值</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zh-CN" sz="900" b="0" i="0" u="none" strike="noStrike" kern="1200" baseline="0">
                    <a:solidFill>
                      <a:schemeClr val="dk1">
                        <a:lumMod val="65000"/>
                        <a:lumOff val="35000"/>
                      </a:schemeClr>
                    </a:solidFill>
                    <a:latin typeface="楷体" panose="02010609060101010101" pitchFamily="49" charset="-122"/>
                    <a:ea typeface="楷体" panose="02010609060101010101" pitchFamily="49" charset="-122"/>
                    <a:cs typeface="+mn-cs"/>
                  </a:defRPr>
                </a:pP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15:leaderLines>
                  <c:spPr>
                    <a:ln w="9525" cap="flat" cmpd="sng" algn="ctr">
                      <a:solidFill>
                        <a:schemeClr val="tx1">
                          <a:lumMod val="35000"/>
                          <a:lumOff val="65000"/>
                        </a:schemeClr>
                      </a:solidFill>
                      <a:round/>
                    </a:ln>
                    <a:effectLst/>
                  </c:spPr>
                </c15:leaderLines>
              </c:ext>
            </c:extLst>
          </c:dLbls>
          <c:cat>
            <c:strRef>
              <c:f>业绩归因!$C$70:$C$78</c:f>
              <c:strCache>
                <c:ptCount val="9"/>
                <c:pt idx="0">
                  <c:v>套利</c:v>
                </c:pt>
                <c:pt idx="1">
                  <c:v>打板</c:v>
                </c:pt>
                <c:pt idx="2">
                  <c:v>底仓T</c:v>
                </c:pt>
                <c:pt idx="3">
                  <c:v>中性</c:v>
                </c:pt>
                <c:pt idx="4">
                  <c:v>可转债</c:v>
                </c:pt>
                <c:pt idx="5">
                  <c:v>宏观</c:v>
                </c:pt>
                <c:pt idx="6">
                  <c:v>多空</c:v>
                </c:pt>
                <c:pt idx="7">
                  <c:v>择时多头</c:v>
                </c:pt>
                <c:pt idx="8">
                  <c:v>指增保护</c:v>
                </c:pt>
              </c:strCache>
            </c:strRef>
          </c:cat>
          <c:val>
            <c:numRef>
              <c:f>业绩归因!$D$70:$D$78</c:f>
              <c:numCache>
                <c:formatCode>0.0000</c:formatCode>
                <c:ptCount val="9"/>
                <c:pt idx="0">
                  <c:v>23.6915</c:v>
                </c:pt>
                <c:pt idx="1">
                  <c:v>19.4383</c:v>
                </c:pt>
                <c:pt idx="2">
                  <c:v>0</c:v>
                </c:pt>
                <c:pt idx="3">
                  <c:v>20.6342</c:v>
                </c:pt>
                <c:pt idx="4">
                  <c:v>2.5503</c:v>
                </c:pt>
                <c:pt idx="5">
                  <c:v>2.433</c:v>
                </c:pt>
                <c:pt idx="6">
                  <c:v>12.3767</c:v>
                </c:pt>
                <c:pt idx="7">
                  <c:v>5.3681</c:v>
                </c:pt>
                <c:pt idx="8">
                  <c:v>10.1662</c:v>
                </c:pt>
              </c:numCache>
            </c:numRef>
          </c:val>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233358475967562"/>
          <c:y val="0.814527265072788"/>
          <c:w val="0.520938533063374"/>
          <c:h val="0.134820190113226"/>
        </c:manualLayout>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楷体" panose="02010609060101010101" pitchFamily="49" charset="-122"/>
              <a:ea typeface="楷体" panose="02010609060101010101" pitchFamily="49" charset="-122"/>
              <a:cs typeface="+mn-cs"/>
            </a:defRPr>
          </a:pPr>
        </a:p>
      </c:txPr>
    </c:legend>
    <c:plotVisOnly val="1"/>
    <c:dispBlanksAs val="gap"/>
    <c:showDLblsOverMax val="0"/>
    <c:extLst>
      <c:ext uri="{0b15fc19-7d7d-44ad-8c2d-2c3a37ce22c3}">
        <chartProps xmlns="https://web.wps.cn/et/2018/main" chartId="{6931fba0-6a3c-47f6-8f1e-d43c39d41eba}"/>
      </c:ext>
    </c:extLst>
  </c:chart>
  <c:spPr>
    <a:solidFill>
      <a:schemeClr val="bg1"/>
    </a:solidFill>
    <a:ln w="9525" cap="flat" cmpd="sng" algn="ctr">
      <a:solidFill>
        <a:schemeClr val="tx1">
          <a:lumMod val="15000"/>
          <a:lumOff val="85000"/>
        </a:schemeClr>
      </a:solidFill>
      <a:round/>
    </a:ln>
    <a:effectLst/>
  </c:spPr>
  <c:txPr>
    <a:bodyPr/>
    <a:lstStyle/>
    <a:p>
      <a:pPr>
        <a:defRPr lang="zh-CN">
          <a:latin typeface="楷体" panose="02010609060101010101" pitchFamily="49" charset="-122"/>
          <a:ea typeface="楷体" panose="02010609060101010101" pitchFamily="49"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144780</xdr:colOff>
      <xdr:row>4</xdr:row>
      <xdr:rowOff>26670</xdr:rowOff>
    </xdr:from>
    <xdr:to>
      <xdr:col>11</xdr:col>
      <xdr:colOff>607383</xdr:colOff>
      <xdr:row>37</xdr:row>
      <xdr:rowOff>33476</xdr:rowOff>
    </xdr:to>
    <xdr:graphicFrame>
      <xdr:nvGraphicFramePr>
        <xdr:cNvPr id="2" name="图表 1"/>
        <xdr:cNvGraphicFramePr/>
      </xdr:nvGraphicFramePr>
      <xdr:xfrm>
        <a:off x="5360035" y="1304925"/>
        <a:ext cx="5342890" cy="68560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357352</xdr:colOff>
      <xdr:row>0</xdr:row>
      <xdr:rowOff>57150</xdr:rowOff>
    </xdr:from>
    <xdr:to>
      <xdr:col>12</xdr:col>
      <xdr:colOff>9338</xdr:colOff>
      <xdr:row>2</xdr:row>
      <xdr:rowOff>219006</xdr:rowOff>
    </xdr:to>
    <xdr:pic>
      <xdr:nvPicPr>
        <xdr:cNvPr id="3" name="图片 2"/>
        <xdr:cNvPicPr>
          <a:picLocks noChangeAspect="1"/>
        </xdr:cNvPicPr>
      </xdr:nvPicPr>
      <xdr:blipFill>
        <a:blip r:embed="rId3"/>
        <a:stretch>
          <a:fillRect/>
        </a:stretch>
      </xdr:blipFill>
      <xdr:spPr>
        <a:xfrm>
          <a:off x="8778875" y="57150"/>
          <a:ext cx="2092325" cy="703580"/>
        </a:xfrm>
        <a:prstGeom prst="rect">
          <a:avLst/>
        </a:prstGeom>
      </xdr:spPr>
    </xdr:pic>
    <xdr:clientData/>
  </xdr:twoCellAnchor>
  <xdr:twoCellAnchor>
    <xdr:from>
      <xdr:col>0</xdr:col>
      <xdr:colOff>635</xdr:colOff>
      <xdr:row>77</xdr:row>
      <xdr:rowOff>17145</xdr:rowOff>
    </xdr:from>
    <xdr:to>
      <xdr:col>4</xdr:col>
      <xdr:colOff>744855</xdr:colOff>
      <xdr:row>93</xdr:row>
      <xdr:rowOff>27940</xdr:rowOff>
    </xdr:to>
    <xdr:graphicFrame>
      <xdr:nvGraphicFramePr>
        <xdr:cNvPr id="6" name="图表 5"/>
        <xdr:cNvGraphicFramePr/>
      </xdr:nvGraphicFramePr>
      <xdr:xfrm>
        <a:off x="635" y="15932785"/>
        <a:ext cx="5052060" cy="31102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842010</xdr:colOff>
      <xdr:row>75</xdr:row>
      <xdr:rowOff>55880</xdr:rowOff>
    </xdr:from>
    <xdr:to>
      <xdr:col>6</xdr:col>
      <xdr:colOff>332424</xdr:colOff>
      <xdr:row>93</xdr:row>
      <xdr:rowOff>63223</xdr:rowOff>
    </xdr:to>
    <xdr:graphicFrame>
      <xdr:nvGraphicFramePr>
        <xdr:cNvPr id="3" name="图表 2"/>
        <xdr:cNvGraphicFramePr/>
      </xdr:nvGraphicFramePr>
      <xdr:xfrm>
        <a:off x="842010" y="16402685"/>
        <a:ext cx="5643880" cy="38474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35560</xdr:colOff>
      <xdr:row>2</xdr:row>
      <xdr:rowOff>237490</xdr:rowOff>
    </xdr:from>
    <xdr:to>
      <xdr:col>0</xdr:col>
      <xdr:colOff>4195445</xdr:colOff>
      <xdr:row>37</xdr:row>
      <xdr:rowOff>10795</xdr:rowOff>
    </xdr:to>
    <xdr:graphicFrame>
      <xdr:nvGraphicFramePr>
        <xdr:cNvPr id="2" name="图表 1"/>
        <xdr:cNvGraphicFramePr/>
      </xdr:nvGraphicFramePr>
      <xdr:xfrm>
        <a:off x="35560" y="779780"/>
        <a:ext cx="4159885" cy="73494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7" tint="0.799829096346934"/>
  </sheetPr>
  <dimension ref="A1:X100"/>
  <sheetViews>
    <sheetView showGridLines="0" tabSelected="1" zoomScale="74" zoomScaleNormal="74" topLeftCell="A52" workbookViewId="0">
      <selection activeCell="M29" sqref="M29"/>
    </sheetView>
  </sheetViews>
  <sheetFormatPr defaultColWidth="8.875" defaultRowHeight="16.8"/>
  <cols>
    <col min="1" max="1" width="18.75" style="1" customWidth="1"/>
    <col min="2" max="2" width="10.625" style="1" customWidth="1"/>
    <col min="3" max="3" width="11" style="1" customWidth="1"/>
    <col min="4" max="4" width="9.50735294117647" style="1" customWidth="1"/>
    <col min="5" max="5" width="10.5073529411765" style="1" customWidth="1"/>
    <col min="6" max="6" width="8.875" style="1"/>
    <col min="7" max="7" width="10.5073529411765" style="1" customWidth="1"/>
    <col min="8" max="9" width="8.875" style="1"/>
    <col min="10" max="10" width="10.5073529411765" style="1" customWidth="1"/>
    <col min="11" max="16384" width="8.875" style="1"/>
  </cols>
  <sheetData>
    <row r="1" s="88" customFormat="1" ht="19.5" customHeight="1" spans="1:12">
      <c r="A1" s="149" t="s">
        <v>0</v>
      </c>
      <c r="B1" s="149"/>
      <c r="C1" s="149"/>
      <c r="D1" s="149"/>
      <c r="E1" s="149"/>
      <c r="F1" s="149"/>
      <c r="G1" s="149"/>
      <c r="H1" s="149"/>
      <c r="I1" s="149"/>
      <c r="J1" s="149"/>
      <c r="K1" s="149"/>
      <c r="L1" s="149"/>
    </row>
    <row r="2" s="88" customFormat="1" ht="23.2" spans="1:12">
      <c r="A2" s="149" t="s">
        <v>1</v>
      </c>
      <c r="B2" s="149"/>
      <c r="C2" s="149"/>
      <c r="D2" s="149"/>
      <c r="E2" s="149"/>
      <c r="F2" s="149"/>
      <c r="G2" s="149"/>
      <c r="H2" s="149"/>
      <c r="I2" s="149"/>
      <c r="J2" s="149"/>
      <c r="K2" s="149"/>
      <c r="L2" s="149"/>
    </row>
    <row r="3" s="88" customFormat="1" ht="23.95" spans="1:12">
      <c r="A3" s="191">
        <v>45961</v>
      </c>
      <c r="B3" s="149"/>
      <c r="C3" s="149"/>
      <c r="D3" s="149"/>
      <c r="E3" s="149"/>
      <c r="F3" s="149"/>
      <c r="G3" s="149"/>
      <c r="H3" s="149"/>
      <c r="I3" s="149"/>
      <c r="J3" s="149"/>
      <c r="K3" s="149"/>
      <c r="L3" s="149"/>
    </row>
    <row r="4" ht="34" spans="1:12">
      <c r="A4" s="192" t="s">
        <v>2</v>
      </c>
      <c r="B4" s="193" t="s">
        <v>3</v>
      </c>
      <c r="C4" s="193" t="s">
        <v>4</v>
      </c>
      <c r="D4" s="193" t="s">
        <v>5</v>
      </c>
      <c r="E4" s="193" t="s">
        <v>6</v>
      </c>
      <c r="F4" s="198"/>
      <c r="G4" s="199"/>
      <c r="H4" s="199"/>
      <c r="I4" s="199"/>
      <c r="J4" s="199"/>
      <c r="K4" s="199"/>
      <c r="L4" s="204"/>
    </row>
    <row r="5" spans="1:12">
      <c r="A5" s="194">
        <f>启后私享1号FOF周净值!A3</f>
        <v>45460</v>
      </c>
      <c r="B5" s="113">
        <f>启后私享1号FOF周净值!B3</f>
        <v>1</v>
      </c>
      <c r="C5" s="113">
        <f>启后私享1号FOF周净值!C3</f>
        <v>1</v>
      </c>
      <c r="D5" s="14" t="str">
        <f>启后私享1号FOF周净值!D3</f>
        <v>-</v>
      </c>
      <c r="E5" s="200" t="str">
        <f>启后私享1号FOF周净值!E3</f>
        <v>-</v>
      </c>
      <c r="F5" s="201"/>
      <c r="L5" s="205"/>
    </row>
    <row r="6" spans="1:12">
      <c r="A6" s="194">
        <f>启后私享1号FOF周净值!A4</f>
        <v>45464</v>
      </c>
      <c r="B6" s="113">
        <f>启后私享1号FOF周净值!B4</f>
        <v>1.0004</v>
      </c>
      <c r="C6" s="113">
        <f>启后私享1号FOF周净值!C4</f>
        <v>1.0004</v>
      </c>
      <c r="D6" s="195">
        <f>启后私享1号FOF周净值!D4</f>
        <v>0.000399999999999956</v>
      </c>
      <c r="E6" s="202">
        <f>启后私享1号FOF周净值!E4</f>
        <v>-0.0114755952717606</v>
      </c>
      <c r="F6" s="201"/>
      <c r="L6" s="205"/>
    </row>
    <row r="7" spans="1:12">
      <c r="A7" s="194">
        <f>启后私享1号FOF周净值!A5</f>
        <v>45471</v>
      </c>
      <c r="B7" s="113">
        <f>启后私享1号FOF周净值!B5</f>
        <v>1.0013</v>
      </c>
      <c r="C7" s="113">
        <f>启后私享1号FOF周净值!C5</f>
        <v>1.0013</v>
      </c>
      <c r="D7" s="195">
        <f>启后私享1号FOF周净值!D5</f>
        <v>0.000899640143942546</v>
      </c>
      <c r="E7" s="202">
        <f>启后私享1号FOF周净值!E5</f>
        <v>-0.00971501478993713</v>
      </c>
      <c r="F7" s="201"/>
      <c r="L7" s="205"/>
    </row>
    <row r="8" spans="1:12">
      <c r="A8" s="194">
        <f>启后私享1号FOF周净值!A6</f>
        <v>45478</v>
      </c>
      <c r="B8" s="113">
        <f>启后私享1号FOF周净值!B6</f>
        <v>1.0023</v>
      </c>
      <c r="C8" s="113">
        <f>启后私享1号FOF周净值!C6</f>
        <v>1.0023</v>
      </c>
      <c r="D8" s="195">
        <f>启后私享1号FOF周净值!D6</f>
        <v>0.000998701687805742</v>
      </c>
      <c r="E8" s="202">
        <f>启后私享1号FOF周净值!E6</f>
        <v>-0.00883968962867523</v>
      </c>
      <c r="F8" s="201"/>
      <c r="L8" s="205"/>
    </row>
    <row r="9" spans="1:12">
      <c r="A9" s="194">
        <f>启后私享1号FOF周净值!A7</f>
        <v>45485</v>
      </c>
      <c r="B9" s="113">
        <f>启后私享1号FOF周净值!B7</f>
        <v>1.0028</v>
      </c>
      <c r="C9" s="113">
        <f>启后私享1号FOF周净值!C7</f>
        <v>1.0028</v>
      </c>
      <c r="D9" s="195">
        <f>启后私享1号FOF周净值!D7</f>
        <v>0.000498852638930405</v>
      </c>
      <c r="E9" s="202">
        <f>启后私享1号FOF周净值!E7</f>
        <v>0.0120491626494437</v>
      </c>
      <c r="F9" s="201"/>
      <c r="L9" s="205"/>
    </row>
    <row r="10" spans="1:12">
      <c r="A10" s="194">
        <v>45492</v>
      </c>
      <c r="B10" s="196">
        <v>1.004</v>
      </c>
      <c r="C10" s="196">
        <v>1.004</v>
      </c>
      <c r="D10" s="195">
        <f>启后私享1号FOF周净值!D8</f>
        <v>0.00119664938173124</v>
      </c>
      <c r="E10" s="202">
        <f>启后私享1号FOF周净值!E8</f>
        <v>0.0191838996493896</v>
      </c>
      <c r="F10" s="201"/>
      <c r="L10" s="205"/>
    </row>
    <row r="11" spans="1:12">
      <c r="A11" s="194">
        <v>45499</v>
      </c>
      <c r="B11" s="196">
        <v>1.0058</v>
      </c>
      <c r="C11" s="196">
        <v>1.0058</v>
      </c>
      <c r="D11" s="195">
        <f>启后私享1号FOF周净值!D9</f>
        <v>0.00179282868525899</v>
      </c>
      <c r="E11" s="202">
        <f>启后私享1号FOF周净值!E9</f>
        <v>-0.036655842941184</v>
      </c>
      <c r="F11" s="201"/>
      <c r="L11" s="205"/>
    </row>
    <row r="12" spans="1:12">
      <c r="A12" s="194">
        <v>45506</v>
      </c>
      <c r="B12" s="196">
        <v>1.006</v>
      </c>
      <c r="C12" s="196">
        <v>1.006</v>
      </c>
      <c r="D12" s="195">
        <f>启后私享1号FOF周净值!D10</f>
        <v>0.000198846689202603</v>
      </c>
      <c r="E12" s="202">
        <f>启后私享1号FOF周净值!E10</f>
        <v>-0.0073035734713093</v>
      </c>
      <c r="F12" s="203"/>
      <c r="L12" s="205"/>
    </row>
    <row r="13" spans="1:12">
      <c r="A13" s="194">
        <v>45513</v>
      </c>
      <c r="B13" s="196">
        <v>1.0111</v>
      </c>
      <c r="C13" s="196">
        <v>1.0111</v>
      </c>
      <c r="D13" s="195">
        <f>启后私享1号FOF周净值!D11</f>
        <v>0.00506958250497028</v>
      </c>
      <c r="E13" s="202">
        <f>启后私享1号FOF周净值!E11</f>
        <v>-0.0155921746607217</v>
      </c>
      <c r="F13" s="201"/>
      <c r="L13" s="205"/>
    </row>
    <row r="14" spans="1:12">
      <c r="A14" s="194">
        <v>45520</v>
      </c>
      <c r="B14" s="196">
        <v>1.0113</v>
      </c>
      <c r="C14" s="196">
        <v>1.0113</v>
      </c>
      <c r="D14" s="195">
        <f>启后私享1号FOF周净值!D12</f>
        <v>0.000197804371476588</v>
      </c>
      <c r="E14" s="202">
        <f>启后私享1号FOF周净值!E12</f>
        <v>0.0042051614529869</v>
      </c>
      <c r="F14" s="201"/>
      <c r="L14" s="205"/>
    </row>
    <row r="15" spans="1:12">
      <c r="A15" s="194">
        <v>45527</v>
      </c>
      <c r="B15" s="196">
        <v>1.0116</v>
      </c>
      <c r="C15" s="196">
        <v>1.0116</v>
      </c>
      <c r="D15" s="195">
        <f>启后私享1号FOF周净值!D13</f>
        <v>0.000296647878967633</v>
      </c>
      <c r="E15" s="202">
        <f>启后私享1号FOF周净值!E13</f>
        <v>-0.00551151801006087</v>
      </c>
      <c r="F15" s="201"/>
      <c r="L15" s="205"/>
    </row>
    <row r="16" spans="1:12">
      <c r="A16" s="194">
        <v>45534</v>
      </c>
      <c r="B16" s="196">
        <v>1.0116</v>
      </c>
      <c r="C16" s="196">
        <v>1.0116</v>
      </c>
      <c r="D16" s="195">
        <f>启后私享1号FOF周净值!D14</f>
        <v>0</v>
      </c>
      <c r="E16" s="202">
        <f>启后私享1号FOF周净值!E14</f>
        <v>-0.00173064932711253</v>
      </c>
      <c r="F16" s="201"/>
      <c r="L16" s="205"/>
    </row>
    <row r="17" spans="1:12">
      <c r="A17" s="194">
        <v>45541</v>
      </c>
      <c r="B17" s="196">
        <v>1.0118</v>
      </c>
      <c r="C17" s="196">
        <v>1.0118</v>
      </c>
      <c r="D17" s="195">
        <f>启后私享1号FOF周净值!D15</f>
        <v>0.000197706603400532</v>
      </c>
      <c r="E17" s="202">
        <f>启后私享1号FOF周净值!E15</f>
        <v>-0.0271215222420761</v>
      </c>
      <c r="F17" s="201"/>
      <c r="L17" s="205"/>
    </row>
    <row r="18" spans="1:12">
      <c r="A18" s="194">
        <v>45548</v>
      </c>
      <c r="B18" s="197">
        <v>1.0109</v>
      </c>
      <c r="C18" s="197">
        <v>1.0109</v>
      </c>
      <c r="D18" s="195">
        <f>启后私享1号FOF周净值!D16</f>
        <v>-0.000889503854516824</v>
      </c>
      <c r="E18" s="202">
        <f>启后私享1号FOF周净值!E16</f>
        <v>-0.0223157503829669</v>
      </c>
      <c r="F18" s="201"/>
      <c r="L18" s="205"/>
    </row>
    <row r="19" spans="1:12">
      <c r="A19" s="194">
        <v>45555</v>
      </c>
      <c r="B19" s="197">
        <v>1.0097</v>
      </c>
      <c r="C19" s="197">
        <v>1.0097</v>
      </c>
      <c r="D19" s="195">
        <f>启后私享1号FOF周净值!D17</f>
        <v>-0.0011870610347214</v>
      </c>
      <c r="E19" s="202">
        <f>启后私享1号FOF周净值!E17</f>
        <v>0.0132341006064751</v>
      </c>
      <c r="F19" s="201"/>
      <c r="L19" s="205"/>
    </row>
    <row r="20" spans="1:12">
      <c r="A20" s="194">
        <v>45562</v>
      </c>
      <c r="B20" s="197">
        <v>1.0139</v>
      </c>
      <c r="C20" s="197">
        <v>1.0139</v>
      </c>
      <c r="D20" s="195">
        <f>启后私享1号FOF周净值!D18</f>
        <v>0.00415965138159848</v>
      </c>
      <c r="E20" s="202">
        <f>启后私享1号FOF周净值!E18</f>
        <v>0.157021991879726</v>
      </c>
      <c r="F20" s="201"/>
      <c r="L20" s="205"/>
    </row>
    <row r="21" spans="1:12">
      <c r="A21" s="194">
        <v>45565</v>
      </c>
      <c r="B21" s="197">
        <v>1.0181</v>
      </c>
      <c r="C21" s="197">
        <v>1.0181</v>
      </c>
      <c r="D21" s="195">
        <f>启后私享1号FOF周净值!D19</f>
        <v>0.00414242035703716</v>
      </c>
      <c r="E21" s="202">
        <f>启后私享1号FOF周净值!E19</f>
        <v>0.0848262226627324</v>
      </c>
      <c r="F21" s="201"/>
      <c r="L21" s="205"/>
    </row>
    <row r="22" spans="1:12">
      <c r="A22" s="194">
        <v>45576</v>
      </c>
      <c r="B22" s="197">
        <v>1.0264</v>
      </c>
      <c r="C22" s="197">
        <v>1.0264</v>
      </c>
      <c r="D22" s="195">
        <f>启后私享1号FOF周净值!D20</f>
        <v>0.00815244082113739</v>
      </c>
      <c r="E22" s="202">
        <f>启后私享1号FOF周净值!E20</f>
        <v>-0.0325266880619993</v>
      </c>
      <c r="F22" s="201"/>
      <c r="L22" s="205"/>
    </row>
    <row r="23" spans="1:12">
      <c r="A23" s="194">
        <v>45583</v>
      </c>
      <c r="B23" s="197">
        <v>1.0285</v>
      </c>
      <c r="C23" s="197">
        <v>1.0285</v>
      </c>
      <c r="D23" s="195">
        <f>启后私享1号FOF周净值!D21</f>
        <v>0.00204598597038191</v>
      </c>
      <c r="E23" s="202">
        <f>启后私享1号FOF周净值!E21</f>
        <v>0.0097929932004465</v>
      </c>
      <c r="F23" s="201"/>
      <c r="L23" s="205"/>
    </row>
    <row r="24" spans="1:12">
      <c r="A24" s="194">
        <v>45590</v>
      </c>
      <c r="B24" s="197">
        <v>1.0296</v>
      </c>
      <c r="C24" s="197">
        <v>1.0296</v>
      </c>
      <c r="D24" s="195">
        <f>启后私享1号FOF周净值!D22</f>
        <v>0.00106951871657764</v>
      </c>
      <c r="E24" s="202">
        <f>启后私享1号FOF周净值!E22</f>
        <v>0.00794525880495275</v>
      </c>
      <c r="F24" s="201"/>
      <c r="L24" s="205"/>
    </row>
    <row r="25" spans="1:12">
      <c r="A25" s="194">
        <v>45597</v>
      </c>
      <c r="B25" s="197">
        <v>1.0301</v>
      </c>
      <c r="C25" s="197">
        <v>1.0301</v>
      </c>
      <c r="D25" s="195">
        <f>启后私享1号FOF周净值!D23</f>
        <v>0.000485625485625432</v>
      </c>
      <c r="E25" s="202">
        <f>启后私享1号FOF周净值!E23</f>
        <v>-0.0167830218270502</v>
      </c>
      <c r="F25" s="201"/>
      <c r="L25" s="205"/>
    </row>
    <row r="26" spans="1:12">
      <c r="A26" s="194">
        <v>45604</v>
      </c>
      <c r="B26" s="197">
        <v>1.0367</v>
      </c>
      <c r="C26" s="197">
        <v>1.0367</v>
      </c>
      <c r="D26" s="195">
        <f>启后私享1号FOF周净值!D24</f>
        <v>0.00640714493738466</v>
      </c>
      <c r="E26" s="202">
        <f>启后私享1号FOF周净值!E24</f>
        <v>0.0550194301042592</v>
      </c>
      <c r="F26" s="201"/>
      <c r="L26" s="205"/>
    </row>
    <row r="27" spans="1:12">
      <c r="A27" s="194">
        <v>45611</v>
      </c>
      <c r="B27" s="197">
        <v>1.039</v>
      </c>
      <c r="C27" s="197">
        <v>1.039</v>
      </c>
      <c r="D27" s="195">
        <f>启后私享1号FOF周净值!D25</f>
        <v>0.00221857818076586</v>
      </c>
      <c r="E27" s="202">
        <f>启后私享1号FOF周净值!E25</f>
        <v>-0.0329470398365319</v>
      </c>
      <c r="F27" s="201"/>
      <c r="L27" s="205"/>
    </row>
    <row r="28" spans="1:12">
      <c r="A28" s="194">
        <v>45618</v>
      </c>
      <c r="B28" s="197">
        <v>1.0429</v>
      </c>
      <c r="C28" s="197">
        <v>1.0429</v>
      </c>
      <c r="D28" s="195">
        <f>启后私享1号FOF周净值!D26</f>
        <v>0.00375360923965353</v>
      </c>
      <c r="E28" s="202">
        <f>启后私享1号FOF周净值!E26</f>
        <v>-0.025985461511738</v>
      </c>
      <c r="F28" s="201"/>
      <c r="L28" s="205"/>
    </row>
    <row r="29" spans="1:12">
      <c r="A29" s="194">
        <v>45625</v>
      </c>
      <c r="B29" s="197">
        <v>1.0466</v>
      </c>
      <c r="C29" s="197">
        <v>1.0466</v>
      </c>
      <c r="D29" s="195">
        <f>启后私享1号FOF周净值!D27</f>
        <v>0.00354779940550392</v>
      </c>
      <c r="E29" s="202">
        <f>启后私享1号FOF周净值!E27</f>
        <v>0.0131630272600901</v>
      </c>
      <c r="F29" s="201"/>
      <c r="L29" s="205"/>
    </row>
    <row r="30" spans="1:12">
      <c r="A30" s="194">
        <v>45632</v>
      </c>
      <c r="B30" s="197">
        <v>1.0473</v>
      </c>
      <c r="C30" s="197">
        <v>1.0473</v>
      </c>
      <c r="D30" s="195">
        <f>启后私享1号FOF周净值!D28</f>
        <v>0.000668832409707551</v>
      </c>
      <c r="E30" s="202">
        <f>启后私享1号FOF周净值!E28</f>
        <v>0.0144403417754536</v>
      </c>
      <c r="F30" s="201"/>
      <c r="L30" s="205"/>
    </row>
    <row r="31" ht="14.65" customHeight="1" spans="1:12">
      <c r="A31" s="194">
        <v>45639</v>
      </c>
      <c r="B31" s="197">
        <v>1.0517</v>
      </c>
      <c r="C31" s="197">
        <v>1.0517</v>
      </c>
      <c r="D31" s="195">
        <f>启后私享1号FOF周净值!D29</f>
        <v>0.00420127948056926</v>
      </c>
      <c r="E31" s="202">
        <f>启后私享1号FOF周净值!E29</f>
        <v>-0.0100573350045555</v>
      </c>
      <c r="F31" s="201"/>
      <c r="L31" s="205"/>
    </row>
    <row r="32" ht="14.65" customHeight="1" spans="1:12">
      <c r="A32" s="194">
        <v>45646</v>
      </c>
      <c r="B32" s="197">
        <v>1.0517</v>
      </c>
      <c r="C32" s="197">
        <v>1.0517</v>
      </c>
      <c r="D32" s="195">
        <f>启后私享1号FOF周净值!D30</f>
        <v>0</v>
      </c>
      <c r="E32" s="202">
        <f>启后私享1号FOF周净值!E30</f>
        <v>-0.00138226546819312</v>
      </c>
      <c r="F32" s="201"/>
      <c r="L32" s="205"/>
    </row>
    <row r="33" ht="14.65" customHeight="1" spans="1:12">
      <c r="A33" s="194">
        <v>45653</v>
      </c>
      <c r="B33" s="197">
        <v>1.0509</v>
      </c>
      <c r="C33" s="197">
        <v>1.0509</v>
      </c>
      <c r="D33" s="195">
        <f>启后私享1号FOF周净值!D31</f>
        <v>-0.000760673195778391</v>
      </c>
      <c r="E33" s="202">
        <f>启后私享1号FOF周净值!E31</f>
        <v>0.0135667188705089</v>
      </c>
      <c r="F33" s="201"/>
      <c r="L33" s="205"/>
    </row>
    <row r="34" ht="14.65" customHeight="1" spans="1:12">
      <c r="A34" s="194">
        <v>45660</v>
      </c>
      <c r="B34" s="197">
        <v>1.0534</v>
      </c>
      <c r="C34" s="197">
        <v>1.0534</v>
      </c>
      <c r="D34" s="195">
        <f>启后私享1号FOF周净值!D32</f>
        <v>0.00237891331239885</v>
      </c>
      <c r="E34" s="202">
        <f>启后私享1号FOF周净值!E32</f>
        <v>-0.0517117087290987</v>
      </c>
      <c r="F34" s="201"/>
      <c r="L34" s="205"/>
    </row>
    <row r="35" ht="14.65" customHeight="1" spans="1:12">
      <c r="A35" s="194">
        <v>45667</v>
      </c>
      <c r="B35" s="197">
        <v>1.0581</v>
      </c>
      <c r="C35" s="197">
        <v>1.0581</v>
      </c>
      <c r="D35" s="195">
        <f>启后私享1号FOF周净值!D33</f>
        <v>0.00446174292766295</v>
      </c>
      <c r="E35" s="202">
        <f>启后私享1号FOF周净值!E33</f>
        <v>-0.0113067381853105</v>
      </c>
      <c r="F35" s="201"/>
      <c r="L35" s="205"/>
    </row>
    <row r="36" ht="14.65" customHeight="1" spans="1:12">
      <c r="A36" s="194">
        <v>45674</v>
      </c>
      <c r="B36" s="197">
        <v>1.0597</v>
      </c>
      <c r="C36" s="197">
        <v>1.0597</v>
      </c>
      <c r="D36" s="195">
        <f>启后私享1号FOF周净值!D34</f>
        <v>0.00151214440979118</v>
      </c>
      <c r="E36" s="202">
        <f>启后私享1号FOF周净值!E34</f>
        <v>0.0213967388974623</v>
      </c>
      <c r="F36" s="201"/>
      <c r="L36" s="205"/>
    </row>
    <row r="37" ht="14.65" customHeight="1" spans="1:12">
      <c r="A37" s="194">
        <v>45681</v>
      </c>
      <c r="B37" s="197">
        <v>1.0601</v>
      </c>
      <c r="C37" s="197">
        <v>1.0601</v>
      </c>
      <c r="D37" s="195">
        <f>启后私享1号FOF周净值!D35</f>
        <v>0.000377465320373649</v>
      </c>
      <c r="E37" s="202">
        <f>启后私享1号FOF周净值!E35</f>
        <v>0.00538272672167023</v>
      </c>
      <c r="F37" s="201"/>
      <c r="L37" s="205"/>
    </row>
    <row r="38" ht="14.65" customHeight="1" spans="1:12">
      <c r="A38" s="194">
        <v>45684</v>
      </c>
      <c r="B38" s="197">
        <v>1.0616</v>
      </c>
      <c r="C38" s="197">
        <v>1.0616</v>
      </c>
      <c r="D38" s="195">
        <f>启后私享1号FOF周净值!D36</f>
        <v>0.00141496085274979</v>
      </c>
      <c r="E38" s="202">
        <f>启后私享1号FOF周净值!E36</f>
        <v>-0.00411793928388322</v>
      </c>
      <c r="F38" s="201"/>
      <c r="L38" s="205"/>
    </row>
    <row r="39" ht="14.65" customHeight="1" spans="1:21">
      <c r="A39" s="194">
        <v>45695</v>
      </c>
      <c r="B39" s="197">
        <v>1.0646</v>
      </c>
      <c r="C39" s="197">
        <v>1.0646</v>
      </c>
      <c r="D39" s="195">
        <f>启后私享1号FOF周净值!D37</f>
        <v>0.00282592313489063</v>
      </c>
      <c r="E39" s="202">
        <f>启后私享1号FOF周净值!E37</f>
        <v>0.0198116350817046</v>
      </c>
      <c r="F39" s="201"/>
      <c r="L39" s="205"/>
      <c r="O39"/>
      <c r="P39"/>
      <c r="Q39"/>
      <c r="R39"/>
      <c r="S39"/>
      <c r="T39"/>
      <c r="U39"/>
    </row>
    <row r="40" ht="14.65" customHeight="1" spans="1:21">
      <c r="A40" s="194">
        <v>45702</v>
      </c>
      <c r="B40" s="197">
        <v>1.0702</v>
      </c>
      <c r="C40" s="197">
        <v>1.0702</v>
      </c>
      <c r="D40" s="195">
        <f>启后私享1号FOF周净值!D38</f>
        <v>0.00526019162126625</v>
      </c>
      <c r="E40" s="202">
        <f>启后私享1号FOF周净值!E38</f>
        <v>0.0118958991680537</v>
      </c>
      <c r="F40" s="201"/>
      <c r="L40" s="205"/>
      <c r="O40"/>
      <c r="P40"/>
      <c r="Q40"/>
      <c r="R40"/>
      <c r="S40"/>
      <c r="T40"/>
      <c r="U40"/>
    </row>
    <row r="41" ht="14.65" customHeight="1" spans="1:21">
      <c r="A41" s="194">
        <v>45709</v>
      </c>
      <c r="B41" s="197">
        <v>1.0742</v>
      </c>
      <c r="C41" s="197">
        <v>1.0742</v>
      </c>
      <c r="D41" s="195">
        <f>启后私享1号FOF周净值!D39</f>
        <v>0.00373761913660998</v>
      </c>
      <c r="E41" s="202">
        <f>启后私享1号FOF周净值!E39</f>
        <v>0.0100101294487701</v>
      </c>
      <c r="F41" s="201"/>
      <c r="L41" s="205"/>
      <c r="O41"/>
      <c r="P41"/>
      <c r="Q41"/>
      <c r="R41"/>
      <c r="S41"/>
      <c r="T41"/>
      <c r="U41"/>
    </row>
    <row r="42" ht="14.65" customHeight="1" spans="1:21">
      <c r="A42" s="194">
        <v>45716</v>
      </c>
      <c r="B42" s="197">
        <v>1.0779</v>
      </c>
      <c r="C42" s="197">
        <v>1.0779</v>
      </c>
      <c r="D42" s="195">
        <f>启后私享1号FOF周净值!D40</f>
        <v>0.00344442375721471</v>
      </c>
      <c r="E42" s="202">
        <f>启后私享1号FOF周净值!E40</f>
        <v>-0.0222172509827972</v>
      </c>
      <c r="F42" s="201"/>
      <c r="L42" s="205"/>
      <c r="O42"/>
      <c r="P42"/>
      <c r="Q42"/>
      <c r="R42"/>
      <c r="S42"/>
      <c r="T42"/>
      <c r="U42"/>
    </row>
    <row r="43" ht="14.65" customHeight="1" spans="1:21">
      <c r="A43" s="194">
        <v>45723</v>
      </c>
      <c r="B43" s="197">
        <v>1.0804</v>
      </c>
      <c r="C43" s="197">
        <v>1.0804</v>
      </c>
      <c r="D43" s="195">
        <f>启后私享1号FOF周净值!D41</f>
        <v>0.00231932461267274</v>
      </c>
      <c r="E43" s="202">
        <f>启后私享1号FOF周净值!E41</f>
        <v>0.0138712870014524</v>
      </c>
      <c r="F43" s="201"/>
      <c r="L43" s="205"/>
      <c r="O43"/>
      <c r="P43"/>
      <c r="Q43"/>
      <c r="R43"/>
      <c r="S43"/>
      <c r="T43"/>
      <c r="U43"/>
    </row>
    <row r="44" ht="14.65" customHeight="1" spans="1:21">
      <c r="A44" s="194">
        <v>45730</v>
      </c>
      <c r="B44" s="197">
        <v>1.0804</v>
      </c>
      <c r="C44" s="197">
        <v>1.0804</v>
      </c>
      <c r="D44" s="195">
        <f>启后私享1号FOF周净值!D42</f>
        <v>0</v>
      </c>
      <c r="E44" s="202">
        <f>启后私享1号FOF周净值!E42</f>
        <v>0.0158594932568629</v>
      </c>
      <c r="F44" s="201"/>
      <c r="L44" s="205"/>
      <c r="O44"/>
      <c r="P44"/>
      <c r="Q44"/>
      <c r="R44"/>
      <c r="S44"/>
      <c r="T44"/>
      <c r="U44"/>
    </row>
    <row r="45" ht="14.65" customHeight="1" spans="1:21">
      <c r="A45" s="194">
        <v>45737</v>
      </c>
      <c r="B45" s="197">
        <v>1.0827</v>
      </c>
      <c r="C45" s="197">
        <v>1.0827</v>
      </c>
      <c r="D45" s="195">
        <f>启后私享1号FOF周净值!D43</f>
        <v>0.00212884116993703</v>
      </c>
      <c r="E45" s="202">
        <f>启后私享1号FOF周净值!E43</f>
        <v>-0.0229273990655326</v>
      </c>
      <c r="F45" s="201"/>
      <c r="L45" s="205"/>
      <c r="O45"/>
      <c r="P45"/>
      <c r="Q45"/>
      <c r="R45"/>
      <c r="S45"/>
      <c r="T45"/>
      <c r="U45"/>
    </row>
    <row r="46" ht="14.65" customHeight="1" spans="1:21">
      <c r="A46" s="194">
        <v>45744</v>
      </c>
      <c r="B46" s="197">
        <v>1.0813</v>
      </c>
      <c r="C46" s="197">
        <v>1.0813</v>
      </c>
      <c r="D46" s="195">
        <f>启后私享1号FOF周净值!D44</f>
        <v>-0.00129306363720335</v>
      </c>
      <c r="E46" s="202">
        <f>启后私享1号FOF周净值!E44</f>
        <v>0.000120060285590276</v>
      </c>
      <c r="F46" s="201"/>
      <c r="L46" s="205"/>
      <c r="O46"/>
      <c r="P46"/>
      <c r="Q46"/>
      <c r="R46"/>
      <c r="S46"/>
      <c r="T46"/>
      <c r="U46"/>
    </row>
    <row r="47" ht="14.65" customHeight="1" spans="1:23">
      <c r="A47" s="194">
        <v>45750</v>
      </c>
      <c r="B47" s="197">
        <v>1.083</v>
      </c>
      <c r="C47" s="197">
        <v>1.083</v>
      </c>
      <c r="D47" s="195">
        <f>启后私享1号FOF周净值!D45</f>
        <v>0.00157218163321931</v>
      </c>
      <c r="E47" s="202">
        <f>启后私享1号FOF周净值!E45</f>
        <v>-0.0137082170122881</v>
      </c>
      <c r="F47" s="201"/>
      <c r="L47" s="205"/>
      <c r="O47"/>
      <c r="P47"/>
      <c r="Q47"/>
      <c r="R47"/>
      <c r="S47"/>
      <c r="T47"/>
      <c r="U47"/>
      <c r="V47"/>
      <c r="W47"/>
    </row>
    <row r="48" ht="14.65" customHeight="1" spans="1:23">
      <c r="A48" s="194">
        <v>45758</v>
      </c>
      <c r="B48" s="197">
        <v>1.0929</v>
      </c>
      <c r="C48" s="197">
        <v>1.0929</v>
      </c>
      <c r="D48" s="195">
        <f>启后私享1号FOF周净值!D46</f>
        <v>0.00914127423822716</v>
      </c>
      <c r="E48" s="202">
        <f>启后私享1号FOF周净值!E46</f>
        <v>-0.0287401268936942</v>
      </c>
      <c r="F48" s="201"/>
      <c r="L48" s="205"/>
      <c r="O48"/>
      <c r="P48"/>
      <c r="Q48"/>
      <c r="R48"/>
      <c r="S48"/>
      <c r="T48"/>
      <c r="U48"/>
      <c r="V48"/>
      <c r="W48"/>
    </row>
    <row r="49" ht="14.65" customHeight="1" spans="1:23">
      <c r="A49" s="194">
        <v>45765</v>
      </c>
      <c r="B49" s="197">
        <v>1.0929</v>
      </c>
      <c r="C49" s="197">
        <v>1.0929</v>
      </c>
      <c r="D49" s="195">
        <f>启后私享1号FOF周净值!D47</f>
        <v>0</v>
      </c>
      <c r="E49" s="202">
        <f>启后私享1号FOF周净值!E47</f>
        <v>0.00586585326834679</v>
      </c>
      <c r="F49" s="201"/>
      <c r="L49" s="205"/>
      <c r="O49"/>
      <c r="P49"/>
      <c r="Q49"/>
      <c r="R49"/>
      <c r="S49"/>
      <c r="T49"/>
      <c r="U49"/>
      <c r="V49"/>
      <c r="W49"/>
    </row>
    <row r="50" spans="1:24">
      <c r="A50" s="194">
        <v>45772</v>
      </c>
      <c r="B50" s="197">
        <v>1.0948</v>
      </c>
      <c r="C50" s="197">
        <v>1.0948</v>
      </c>
      <c r="D50" s="195">
        <f>启后私享1号FOF周净值!D48</f>
        <v>0.00173849391527131</v>
      </c>
      <c r="E50" s="202">
        <f>启后私享1号FOF周净值!E48</f>
        <v>0.00383563241546759</v>
      </c>
      <c r="F50" s="201"/>
      <c r="L50" s="205"/>
      <c r="N50"/>
      <c r="O50"/>
      <c r="Q50"/>
      <c r="R50"/>
      <c r="S50"/>
      <c r="T50"/>
      <c r="U50"/>
      <c r="V50"/>
      <c r="W50"/>
      <c r="X50"/>
    </row>
    <row r="51" spans="1:24">
      <c r="A51" s="194">
        <v>45777</v>
      </c>
      <c r="B51" s="197">
        <v>1.0937</v>
      </c>
      <c r="C51" s="197">
        <v>1.0937</v>
      </c>
      <c r="D51" s="195">
        <f>启后私享1号FOF周净值!D49</f>
        <v>-0.00100474972597744</v>
      </c>
      <c r="E51" s="202">
        <f>启后私享1号FOF周净值!E49</f>
        <v>-0.00433589737495996</v>
      </c>
      <c r="F51" s="201"/>
      <c r="L51" s="205"/>
      <c r="N51"/>
      <c r="O51"/>
      <c r="Q51"/>
      <c r="R51"/>
      <c r="S51"/>
      <c r="T51"/>
      <c r="U51"/>
      <c r="V51"/>
      <c r="W51"/>
      <c r="X51"/>
    </row>
    <row r="52" spans="1:24">
      <c r="A52" s="194">
        <v>45786</v>
      </c>
      <c r="B52" s="197">
        <v>1.0974</v>
      </c>
      <c r="C52" s="197">
        <v>1.0974</v>
      </c>
      <c r="D52" s="195">
        <f>启后私享1号FOF周净值!D50</f>
        <v>0.00338301179482494</v>
      </c>
      <c r="E52" s="202">
        <f>启后私享1号FOF周净值!E50</f>
        <v>0.0200473668437397</v>
      </c>
      <c r="F52" s="201"/>
      <c r="L52" s="205"/>
      <c r="N52"/>
      <c r="O52"/>
      <c r="Q52"/>
      <c r="R52"/>
      <c r="S52"/>
      <c r="T52"/>
      <c r="U52"/>
      <c r="V52"/>
      <c r="W52"/>
      <c r="X52"/>
    </row>
    <row r="53" spans="1:24">
      <c r="A53" s="194">
        <v>45793</v>
      </c>
      <c r="B53" s="197">
        <v>1.0969</v>
      </c>
      <c r="C53" s="197">
        <v>1.0969</v>
      </c>
      <c r="D53" s="195">
        <f>启后私享1号FOF周净值!D51</f>
        <v>-0.000455622380171264</v>
      </c>
      <c r="E53" s="202">
        <f>启后私享1号FOF周净值!E51</f>
        <v>0.0111617821411487</v>
      </c>
      <c r="F53" s="201"/>
      <c r="L53" s="205"/>
      <c r="N53"/>
      <c r="O53"/>
      <c r="Q53"/>
      <c r="R53"/>
      <c r="S53"/>
      <c r="T53"/>
      <c r="U53"/>
      <c r="V53"/>
      <c r="W53"/>
      <c r="X53"/>
    </row>
    <row r="54" spans="1:24">
      <c r="A54" s="194">
        <v>45800</v>
      </c>
      <c r="B54" s="197">
        <v>1.097</v>
      </c>
      <c r="C54" s="197">
        <v>1.097</v>
      </c>
      <c r="D54" s="195">
        <f>启后私享1号FOF周净值!D52</f>
        <v>9.11660133102279e-5</v>
      </c>
      <c r="E54" s="202">
        <f>启后私享1号FOF周净值!E52</f>
        <v>-0.00175362359832253</v>
      </c>
      <c r="F54" s="201"/>
      <c r="L54" s="205"/>
      <c r="N54"/>
      <c r="O54"/>
      <c r="Q54"/>
      <c r="R54"/>
      <c r="S54"/>
      <c r="T54"/>
      <c r="U54"/>
      <c r="V54"/>
      <c r="W54"/>
      <c r="X54"/>
    </row>
    <row r="55" spans="1:24">
      <c r="A55" s="194">
        <v>45807</v>
      </c>
      <c r="B55" s="197">
        <v>1.0972</v>
      </c>
      <c r="C55" s="197">
        <v>1.0972</v>
      </c>
      <c r="D55" s="195">
        <f>启后私享1号FOF周净值!D53</f>
        <v>0.000182315405651757</v>
      </c>
      <c r="E55" s="202">
        <f>启后私享1号FOF周净值!E53</f>
        <v>-0.0108287161892398</v>
      </c>
      <c r="F55" s="201"/>
      <c r="L55" s="205"/>
      <c r="N55"/>
      <c r="O55"/>
      <c r="Q55"/>
      <c r="R55"/>
      <c r="S55"/>
      <c r="T55"/>
      <c r="U55"/>
      <c r="V55"/>
      <c r="W55"/>
      <c r="X55"/>
    </row>
    <row r="56" spans="1:24">
      <c r="A56" s="194">
        <v>45814</v>
      </c>
      <c r="B56" s="197">
        <v>1.0967</v>
      </c>
      <c r="C56" s="197">
        <v>1.0967</v>
      </c>
      <c r="D56" s="195">
        <f>启后私享1号FOF周净值!D54</f>
        <v>-0.000455705432008699</v>
      </c>
      <c r="E56" s="202">
        <f>启后私享1号FOF周净值!E54</f>
        <v>0.00878853610330631</v>
      </c>
      <c r="F56" s="201"/>
      <c r="L56" s="205"/>
      <c r="N56"/>
      <c r="O56"/>
      <c r="Q56"/>
      <c r="R56"/>
      <c r="S56"/>
      <c r="T56"/>
      <c r="U56"/>
      <c r="V56"/>
      <c r="W56"/>
      <c r="X56"/>
    </row>
    <row r="57" spans="1:24">
      <c r="A57" s="194">
        <v>45821</v>
      </c>
      <c r="B57" s="197">
        <v>1.0955</v>
      </c>
      <c r="C57" s="197">
        <v>1.0955</v>
      </c>
      <c r="D57" s="195">
        <f>启后私享1号FOF周净值!D55</f>
        <v>-0.00109419166590689</v>
      </c>
      <c r="E57" s="202">
        <f>启后私享1号FOF周净值!E55</f>
        <v>-0.00252969813989752</v>
      </c>
      <c r="F57" s="201"/>
      <c r="L57" s="205"/>
      <c r="N57"/>
      <c r="O57"/>
      <c r="Q57"/>
      <c r="R57"/>
      <c r="S57"/>
      <c r="T57"/>
      <c r="U57"/>
      <c r="V57"/>
      <c r="W57"/>
      <c r="X57"/>
    </row>
    <row r="58" spans="1:24">
      <c r="A58" s="194">
        <v>45828</v>
      </c>
      <c r="B58" s="197">
        <v>1.0946</v>
      </c>
      <c r="C58" s="197">
        <v>1.0946</v>
      </c>
      <c r="D58" s="195">
        <f>启后私享1号FOF周净值!D56</f>
        <v>-0.000821542674577728</v>
      </c>
      <c r="E58" s="202">
        <f>启后私享1号FOF周净值!E56</f>
        <v>-0.00453912602415</v>
      </c>
      <c r="F58" s="201"/>
      <c r="L58" s="205"/>
      <c r="N58"/>
      <c r="P58"/>
      <c r="Q58"/>
      <c r="R58"/>
      <c r="S58"/>
      <c r="T58"/>
      <c r="U58"/>
      <c r="V58"/>
      <c r="W58"/>
      <c r="X58"/>
    </row>
    <row r="59" spans="1:24">
      <c r="A59" s="194">
        <v>45835</v>
      </c>
      <c r="B59" s="197">
        <v>1.0961</v>
      </c>
      <c r="C59" s="197">
        <v>1.0961</v>
      </c>
      <c r="D59" s="195">
        <f>启后私享1号FOF周净值!D57</f>
        <v>0.00137036360314275</v>
      </c>
      <c r="E59" s="202">
        <f>启后私享1号FOF周净值!E57</f>
        <v>0.0195287315683299</v>
      </c>
      <c r="F59" s="201"/>
      <c r="L59" s="205"/>
      <c r="M59"/>
      <c r="O59"/>
      <c r="Q59"/>
      <c r="R59"/>
      <c r="S59"/>
      <c r="T59"/>
      <c r="U59"/>
      <c r="V59"/>
      <c r="W59"/>
      <c r="X59"/>
    </row>
    <row r="60" spans="1:24">
      <c r="A60" s="194">
        <v>45842</v>
      </c>
      <c r="B60" s="197">
        <v>1.0967</v>
      </c>
      <c r="C60" s="197">
        <v>1.0967</v>
      </c>
      <c r="D60" s="195">
        <f>启后私享1号FOF周净值!D58</f>
        <v>0.000547395310646778</v>
      </c>
      <c r="E60" s="202">
        <f>启后私享1号FOF周净值!E58</f>
        <v>0.0154114479213413</v>
      </c>
      <c r="F60" s="201"/>
      <c r="L60" s="205"/>
      <c r="M60"/>
      <c r="O60"/>
      <c r="Q60"/>
      <c r="R60"/>
      <c r="S60"/>
      <c r="T60"/>
      <c r="U60"/>
      <c r="V60"/>
      <c r="W60"/>
      <c r="X60"/>
    </row>
    <row r="61" spans="1:23">
      <c r="A61" s="194">
        <v>45849</v>
      </c>
      <c r="B61" s="197">
        <v>1.0951</v>
      </c>
      <c r="C61" s="197">
        <v>1.0951</v>
      </c>
      <c r="D61" s="195">
        <f>启后私享1号FOF周净值!D59</f>
        <v>-0.00145892222120912</v>
      </c>
      <c r="E61" s="202">
        <f>启后私享1号FOF周净值!E59</f>
        <v>0.00818894078649996</v>
      </c>
      <c r="F61" s="201"/>
      <c r="L61" s="205"/>
      <c r="M61"/>
      <c r="O61"/>
      <c r="Q61"/>
      <c r="R61"/>
      <c r="S61"/>
      <c r="T61"/>
      <c r="U61"/>
      <c r="V61"/>
      <c r="W61"/>
    </row>
    <row r="62" spans="1:23">
      <c r="A62" s="194">
        <v>45856</v>
      </c>
      <c r="B62" s="197">
        <v>1.0971</v>
      </c>
      <c r="C62" s="197">
        <v>1.0971</v>
      </c>
      <c r="D62" s="195">
        <f>启后私享1号FOF周净值!D60</f>
        <v>0.00182631723130308</v>
      </c>
      <c r="E62" s="202">
        <f>启后私享1号FOF周净值!E60</f>
        <v>0.0108946625120492</v>
      </c>
      <c r="F62" s="201"/>
      <c r="L62" s="205"/>
      <c r="M62"/>
      <c r="O62"/>
      <c r="Q62"/>
      <c r="R62"/>
      <c r="S62"/>
      <c r="T62"/>
      <c r="U62"/>
      <c r="V62"/>
      <c r="W62"/>
    </row>
    <row r="63" spans="1:23">
      <c r="A63" s="194">
        <v>45863</v>
      </c>
      <c r="B63" s="197">
        <v>1.1011</v>
      </c>
      <c r="C63" s="197">
        <v>1.1011</v>
      </c>
      <c r="D63" s="195">
        <f>启后私享1号FOF周净值!D61</f>
        <v>0.00364597575426124</v>
      </c>
      <c r="E63" s="202">
        <f>启后私享1号FOF周净值!E61</f>
        <v>0.0169050522970025</v>
      </c>
      <c r="F63" s="201"/>
      <c r="L63" s="205"/>
      <c r="M63"/>
      <c r="O63"/>
      <c r="Q63"/>
      <c r="S63"/>
      <c r="U63"/>
      <c r="W63"/>
    </row>
    <row r="64" spans="1:23">
      <c r="A64" s="194">
        <v>45870</v>
      </c>
      <c r="B64" s="197">
        <v>1.1036</v>
      </c>
      <c r="C64" s="197">
        <v>1.1036</v>
      </c>
      <c r="D64" s="195">
        <f>启后私享1号FOF周净值!D62</f>
        <v>0.00227045681591131</v>
      </c>
      <c r="E64" s="202">
        <f>启后私享1号FOF周净值!E62</f>
        <v>-0.0175011387976236</v>
      </c>
      <c r="F64" s="201"/>
      <c r="L64" s="205"/>
      <c r="M64"/>
      <c r="O64"/>
      <c r="Q64"/>
      <c r="S64"/>
      <c r="U64"/>
      <c r="W64"/>
    </row>
    <row r="65" spans="1:23">
      <c r="A65" s="194">
        <v>45877</v>
      </c>
      <c r="B65" s="197">
        <v>1.1066</v>
      </c>
      <c r="C65" s="197">
        <v>1.1066</v>
      </c>
      <c r="D65" s="195">
        <f>启后私享1号FOF周净值!D63</f>
        <v>0.0027183762232694</v>
      </c>
      <c r="E65" s="202">
        <f>启后私享1号FOF周净值!E63</f>
        <v>0.0123405336220355</v>
      </c>
      <c r="F65" s="201"/>
      <c r="L65" s="205"/>
      <c r="M65"/>
      <c r="O65"/>
      <c r="P65"/>
      <c r="Q65"/>
      <c r="R65"/>
      <c r="S65"/>
      <c r="T65"/>
      <c r="U65"/>
      <c r="V65"/>
      <c r="W65"/>
    </row>
    <row r="66" spans="1:23">
      <c r="A66" s="194">
        <v>45884</v>
      </c>
      <c r="B66" s="197">
        <v>1.105</v>
      </c>
      <c r="C66" s="197">
        <v>1.105</v>
      </c>
      <c r="D66" s="195">
        <f>启后私享1号FOF周净值!D64</f>
        <v>-0.00144587023314662</v>
      </c>
      <c r="E66" s="202">
        <f>启后私享1号FOF周净值!E64</f>
        <v>0.0237224632579532</v>
      </c>
      <c r="F66" s="201"/>
      <c r="L66" s="205"/>
      <c r="M66"/>
      <c r="O66"/>
      <c r="P66"/>
      <c r="Q66"/>
      <c r="R66"/>
      <c r="S66"/>
      <c r="T66"/>
      <c r="U66"/>
      <c r="V66"/>
      <c r="W66"/>
    </row>
    <row r="67" spans="1:23">
      <c r="A67" s="194">
        <v>45891</v>
      </c>
      <c r="B67" s="197">
        <v>1.108</v>
      </c>
      <c r="C67" s="197">
        <v>1.108</v>
      </c>
      <c r="D67" s="195">
        <f>启后私享1号FOF周净值!D65</f>
        <v>0.00271493212669694</v>
      </c>
      <c r="E67" s="202">
        <f>启后私享1号FOF周净值!E65</f>
        <v>0.0417980415719775</v>
      </c>
      <c r="F67" s="201"/>
      <c r="L67" s="205"/>
      <c r="M67"/>
      <c r="O67"/>
      <c r="P67"/>
      <c r="Q67"/>
      <c r="R67"/>
      <c r="S67"/>
      <c r="T67"/>
      <c r="U67"/>
      <c r="V67"/>
      <c r="W67"/>
    </row>
    <row r="68" ht="13.5" customHeight="1" spans="1:23">
      <c r="A68" s="194">
        <v>45898</v>
      </c>
      <c r="B68" s="197">
        <v>1.1048</v>
      </c>
      <c r="C68" s="197">
        <v>1.1048</v>
      </c>
      <c r="D68" s="195">
        <f>启后私享1号FOF周净值!D66</f>
        <v>-0.00288808664259936</v>
      </c>
      <c r="E68" s="202">
        <f>启后私享1号FOF周净值!E66</f>
        <v>0.0271265417999087</v>
      </c>
      <c r="F68" s="201"/>
      <c r="L68" s="205"/>
      <c r="M68"/>
      <c r="O68"/>
      <c r="P68"/>
      <c r="Q68"/>
      <c r="R68"/>
      <c r="S68"/>
      <c r="T68"/>
      <c r="U68"/>
      <c r="V68"/>
      <c r="W68"/>
    </row>
    <row r="69" ht="13.5" customHeight="1" spans="1:23">
      <c r="A69" s="194">
        <v>45905</v>
      </c>
      <c r="B69" s="197">
        <v>1.1054</v>
      </c>
      <c r="C69" s="197">
        <v>1.1054</v>
      </c>
      <c r="D69" s="195">
        <f>启后私享1号FOF周净值!D67</f>
        <v>0.00054308472121645</v>
      </c>
      <c r="E69" s="202">
        <f>启后私享1号FOF周净值!E67</f>
        <v>-0.00810361237869055</v>
      </c>
      <c r="F69" s="201"/>
      <c r="L69" s="205"/>
      <c r="M69"/>
      <c r="O69"/>
      <c r="P69"/>
      <c r="Q69"/>
      <c r="R69"/>
      <c r="S69"/>
      <c r="T69"/>
      <c r="U69"/>
      <c r="V69"/>
      <c r="W69"/>
    </row>
    <row r="70" ht="13.5" customHeight="1" spans="1:23">
      <c r="A70" s="194">
        <v>45912</v>
      </c>
      <c r="B70" s="197">
        <v>1.11</v>
      </c>
      <c r="C70" s="197">
        <v>1.11</v>
      </c>
      <c r="D70" s="195">
        <f>启后私享1号FOF周净值!D68</f>
        <v>0.00416138954224729</v>
      </c>
      <c r="E70" s="202">
        <f>启后私享1号FOF周净值!E68</f>
        <v>0.0138286042257058</v>
      </c>
      <c r="F70" s="217"/>
      <c r="G70" s="181"/>
      <c r="H70" s="181"/>
      <c r="I70" s="181"/>
      <c r="J70" s="181"/>
      <c r="K70" s="181"/>
      <c r="L70" s="237"/>
      <c r="M70"/>
      <c r="O70"/>
      <c r="P70"/>
      <c r="Q70"/>
      <c r="R70"/>
      <c r="S70"/>
      <c r="T70"/>
      <c r="U70"/>
      <c r="V70"/>
      <c r="W70"/>
    </row>
    <row r="71" customFormat="1" ht="13.5" customHeight="1" spans="1:12">
      <c r="A71" s="194">
        <v>45919</v>
      </c>
      <c r="B71" s="197">
        <v>1.1076</v>
      </c>
      <c r="C71" s="197">
        <v>1.1076</v>
      </c>
      <c r="D71" s="195">
        <f>启后私享1号FOF周净值!D69</f>
        <v>-0.00216216216216232</v>
      </c>
      <c r="E71" s="202">
        <f>启后私享1号FOF周净值!E69</f>
        <v>-0.00444051304732418</v>
      </c>
      <c r="F71" s="217"/>
      <c r="G71" s="181"/>
      <c r="H71" s="181"/>
      <c r="I71" s="181"/>
      <c r="J71" s="181"/>
      <c r="K71" s="181"/>
      <c r="L71" s="237"/>
    </row>
    <row r="72" customFormat="1" ht="13.5" customHeight="1" spans="1:12">
      <c r="A72" s="194">
        <v>45926</v>
      </c>
      <c r="B72" s="206">
        <v>1.1089</v>
      </c>
      <c r="C72" s="206">
        <v>1.1089</v>
      </c>
      <c r="D72" s="195">
        <f>启后私享1号FOF周净值!D70</f>
        <v>0.00117370892018786</v>
      </c>
      <c r="E72" s="202">
        <f>启后私享1号FOF周净值!E70</f>
        <v>0.0106909940647546</v>
      </c>
      <c r="F72" s="218"/>
      <c r="G72" s="206"/>
      <c r="H72" s="206"/>
      <c r="I72" s="206"/>
      <c r="J72" s="206"/>
      <c r="K72" s="206"/>
      <c r="L72" s="238"/>
    </row>
    <row r="73" customFormat="1" ht="13.5" customHeight="1" spans="1:12">
      <c r="A73" s="194">
        <v>45940</v>
      </c>
      <c r="B73" s="207">
        <v>1.1125</v>
      </c>
      <c r="C73" s="207">
        <v>1.1125</v>
      </c>
      <c r="D73" s="195">
        <f>启后私享1号FOF周净值!D71</f>
        <v>0.0032464604563081</v>
      </c>
      <c r="E73" s="202">
        <f>启后私享1号FOF周净值!E71</f>
        <v>0.0146767617938264</v>
      </c>
      <c r="F73" s="218"/>
      <c r="G73" s="206"/>
      <c r="H73" s="206"/>
      <c r="I73" s="206"/>
      <c r="J73" s="206"/>
      <c r="K73" s="206"/>
      <c r="L73" s="238"/>
    </row>
    <row r="74" customFormat="1" ht="13.5" customHeight="1" spans="1:12">
      <c r="A74" s="194">
        <v>45947</v>
      </c>
      <c r="B74" s="207">
        <v>1.1108</v>
      </c>
      <c r="C74" s="207">
        <v>1.1108</v>
      </c>
      <c r="D74" s="195">
        <f>启后私享1号FOF周净值!D72</f>
        <v>-0.00152808988764048</v>
      </c>
      <c r="E74" s="202">
        <f>启后私享1号FOF周净值!E72</f>
        <v>-0.0222230404844884</v>
      </c>
      <c r="F74" s="218"/>
      <c r="G74" s="206"/>
      <c r="H74" s="206"/>
      <c r="I74" s="206"/>
      <c r="J74" s="206"/>
      <c r="K74" s="206"/>
      <c r="L74" s="238"/>
    </row>
    <row r="75" customFormat="1" ht="13.5" customHeight="1" spans="1:12">
      <c r="A75" s="194">
        <v>45954</v>
      </c>
      <c r="B75" s="207">
        <v>1.1126</v>
      </c>
      <c r="C75" s="207">
        <v>1.1126</v>
      </c>
      <c r="D75" s="195">
        <f>启后私享1号FOF周净值!D73</f>
        <v>0.00162045372704359</v>
      </c>
      <c r="E75" s="202">
        <f>启后私享1号FOF周净值!E73</f>
        <v>0.0324418560861987</v>
      </c>
      <c r="F75" s="218"/>
      <c r="G75" s="206"/>
      <c r="H75" s="206"/>
      <c r="I75" s="206"/>
      <c r="J75" s="206"/>
      <c r="K75" s="206"/>
      <c r="L75" s="238"/>
    </row>
    <row r="76" customFormat="1" ht="13.5" customHeight="1" spans="1:12">
      <c r="A76" s="194">
        <v>45961</v>
      </c>
      <c r="B76" s="208">
        <v>1.112</v>
      </c>
      <c r="C76" s="208">
        <v>1.112</v>
      </c>
      <c r="D76" s="195">
        <f>启后私享1号FOF周净值!D74</f>
        <v>0.0036101083032491</v>
      </c>
      <c r="E76" s="202">
        <f>启后私享1号FOF周净值!E74</f>
        <v>-0.00429336491670748</v>
      </c>
      <c r="F76" s="218"/>
      <c r="G76" s="206"/>
      <c r="H76" s="206"/>
      <c r="I76" s="206"/>
      <c r="J76" s="206"/>
      <c r="K76" s="206"/>
      <c r="L76" s="238"/>
    </row>
    <row r="77" ht="13.5" customHeight="1" spans="1:23">
      <c r="A77" s="209"/>
      <c r="B77" s="210"/>
      <c r="C77" s="210"/>
      <c r="D77" s="210"/>
      <c r="E77" s="210"/>
      <c r="F77" s="219" t="s">
        <v>7</v>
      </c>
      <c r="G77" s="220"/>
      <c r="H77" s="220"/>
      <c r="I77" s="220"/>
      <c r="J77" s="220"/>
      <c r="K77" s="220"/>
      <c r="L77" s="239"/>
      <c r="M77"/>
      <c r="O77"/>
      <c r="P77"/>
      <c r="Q77"/>
      <c r="R77"/>
      <c r="S77"/>
      <c r="T77"/>
      <c r="U77"/>
      <c r="V77"/>
      <c r="W77"/>
    </row>
    <row r="78" spans="1:23">
      <c r="A78" s="211"/>
      <c r="E78" s="205"/>
      <c r="F78" s="221" t="s">
        <v>8</v>
      </c>
      <c r="G78" s="222"/>
      <c r="H78" s="223" t="s">
        <v>9</v>
      </c>
      <c r="I78" s="223" t="s">
        <v>10</v>
      </c>
      <c r="J78" s="240" t="s">
        <v>11</v>
      </c>
      <c r="K78" s="241" t="s">
        <v>12</v>
      </c>
      <c r="L78" s="242"/>
      <c r="M78"/>
      <c r="P78"/>
      <c r="Q78"/>
      <c r="R78"/>
      <c r="S78"/>
      <c r="T78"/>
      <c r="U78"/>
      <c r="V78"/>
      <c r="W78"/>
    </row>
    <row r="79" ht="17.55" spans="1:23">
      <c r="A79" s="211"/>
      <c r="E79" s="205"/>
      <c r="F79" s="224"/>
      <c r="G79" s="225"/>
      <c r="H79" s="226"/>
      <c r="I79" s="226"/>
      <c r="J79" s="243"/>
      <c r="K79" s="244" t="s">
        <v>13</v>
      </c>
      <c r="L79" s="245" t="s">
        <v>14</v>
      </c>
      <c r="M79"/>
      <c r="P79"/>
      <c r="Q79"/>
      <c r="R79"/>
      <c r="S79"/>
      <c r="T79"/>
      <c r="U79"/>
      <c r="V79"/>
      <c r="W79"/>
    </row>
    <row r="80" ht="17.55" spans="1:23">
      <c r="A80" s="211"/>
      <c r="E80" s="205"/>
      <c r="F80" s="14"/>
      <c r="G80" s="14"/>
      <c r="H80" s="14"/>
      <c r="I80" s="14"/>
      <c r="J80" s="14"/>
      <c r="K80" s="14"/>
      <c r="L80" s="246"/>
      <c r="M80"/>
      <c r="P80"/>
      <c r="Q80"/>
      <c r="R80"/>
      <c r="S80"/>
      <c r="T80"/>
      <c r="U80"/>
      <c r="V80"/>
      <c r="W80"/>
    </row>
    <row r="81" spans="1:23">
      <c r="A81" s="211"/>
      <c r="E81" s="205"/>
      <c r="F81" s="227" t="s">
        <v>15</v>
      </c>
      <c r="G81" s="14"/>
      <c r="H81" s="228">
        <v>-0.0006</v>
      </c>
      <c r="I81" s="228">
        <v>0.0027</v>
      </c>
      <c r="J81" s="247">
        <v>0.0098</v>
      </c>
      <c r="K81" s="228">
        <v>0.112</v>
      </c>
      <c r="L81" s="248">
        <v>0.0804</v>
      </c>
      <c r="M81"/>
      <c r="P81"/>
      <c r="Q81"/>
      <c r="R81"/>
      <c r="S81"/>
      <c r="T81"/>
      <c r="U81"/>
      <c r="V81"/>
      <c r="W81"/>
    </row>
    <row r="82" spans="1:23">
      <c r="A82" s="211"/>
      <c r="E82" s="205"/>
      <c r="F82" s="229"/>
      <c r="G82" s="89"/>
      <c r="H82" s="230"/>
      <c r="I82" s="230"/>
      <c r="J82" s="230"/>
      <c r="K82" s="230"/>
      <c r="L82" s="249"/>
      <c r="M82"/>
      <c r="P82"/>
      <c r="Q82"/>
      <c r="R82"/>
      <c r="S82"/>
      <c r="T82"/>
      <c r="U82"/>
      <c r="V82"/>
      <c r="W82"/>
    </row>
    <row r="83" ht="13.5" customHeight="1" spans="1:23">
      <c r="A83" s="211"/>
      <c r="E83" s="205"/>
      <c r="F83" s="231" t="s">
        <v>16</v>
      </c>
      <c r="G83" s="210"/>
      <c r="H83" s="210"/>
      <c r="I83" s="210"/>
      <c r="J83" s="210"/>
      <c r="K83" s="210"/>
      <c r="L83" s="250"/>
      <c r="M83"/>
      <c r="O83"/>
      <c r="P83"/>
      <c r="Q83"/>
      <c r="R83"/>
      <c r="S83"/>
      <c r="T83"/>
      <c r="U83"/>
      <c r="V83"/>
      <c r="W83"/>
    </row>
    <row r="84" ht="14.25" customHeight="1" spans="1:24">
      <c r="A84" s="211"/>
      <c r="E84" s="205"/>
      <c r="F84" s="15" t="s">
        <v>17</v>
      </c>
      <c r="G84" s="15"/>
      <c r="H84" s="232">
        <v>45460</v>
      </c>
      <c r="I84" s="232"/>
      <c r="J84" s="232"/>
      <c r="K84" s="232"/>
      <c r="L84" s="251"/>
      <c r="M84"/>
      <c r="O84"/>
      <c r="Q84"/>
      <c r="S84"/>
      <c r="U84"/>
      <c r="W84"/>
      <c r="X84"/>
    </row>
    <row r="85" ht="14.25" customHeight="1" spans="1:24">
      <c r="A85" s="211"/>
      <c r="E85" s="205"/>
      <c r="F85" s="15" t="s">
        <v>18</v>
      </c>
      <c r="G85" s="15"/>
      <c r="H85" s="232" t="s">
        <v>19</v>
      </c>
      <c r="I85" s="232"/>
      <c r="J85" s="232"/>
      <c r="K85" s="232"/>
      <c r="L85" s="251"/>
      <c r="M85"/>
      <c r="O85"/>
      <c r="Q85"/>
      <c r="S85"/>
      <c r="U85"/>
      <c r="W85"/>
      <c r="X85"/>
    </row>
    <row r="86" ht="14.25" customHeight="1" spans="1:24">
      <c r="A86" s="211"/>
      <c r="E86" s="205"/>
      <c r="F86" s="15" t="s">
        <v>20</v>
      </c>
      <c r="G86" s="15"/>
      <c r="H86" s="14" t="s">
        <v>21</v>
      </c>
      <c r="I86" s="14"/>
      <c r="J86" s="14"/>
      <c r="K86" s="14"/>
      <c r="L86" s="252"/>
      <c r="M86"/>
      <c r="O86"/>
      <c r="Q86"/>
      <c r="S86"/>
      <c r="U86"/>
      <c r="W86"/>
      <c r="X86"/>
    </row>
    <row r="87" ht="14.25" customHeight="1" spans="1:24">
      <c r="A87" s="211"/>
      <c r="E87" s="205"/>
      <c r="F87" s="15" t="s">
        <v>22</v>
      </c>
      <c r="G87" s="15"/>
      <c r="H87" s="233">
        <v>0.0029</v>
      </c>
      <c r="I87" s="233"/>
      <c r="J87" s="233"/>
      <c r="K87" s="233"/>
      <c r="L87" s="253"/>
      <c r="M87"/>
      <c r="O87"/>
      <c r="Q87"/>
      <c r="S87"/>
      <c r="U87"/>
      <c r="W87"/>
      <c r="X87"/>
    </row>
    <row r="88" ht="14.25" customHeight="1" spans="1:24">
      <c r="A88" s="211"/>
      <c r="E88" s="205"/>
      <c r="F88" s="15" t="s">
        <v>23</v>
      </c>
      <c r="G88" s="15"/>
      <c r="H88" s="14" t="s">
        <v>24</v>
      </c>
      <c r="I88" s="14"/>
      <c r="J88" s="14"/>
      <c r="K88" s="14"/>
      <c r="L88" s="252"/>
      <c r="O88"/>
      <c r="P88"/>
      <c r="R88"/>
      <c r="S88"/>
      <c r="T88"/>
      <c r="V88"/>
      <c r="W88"/>
      <c r="X88"/>
    </row>
    <row r="89" ht="14.25" customHeight="1" spans="1:24">
      <c r="A89" s="211"/>
      <c r="E89" s="205"/>
      <c r="F89" s="234" t="s">
        <v>25</v>
      </c>
      <c r="G89" s="15"/>
      <c r="H89" s="14" t="s">
        <v>26</v>
      </c>
      <c r="I89" s="14"/>
      <c r="J89" s="14"/>
      <c r="K89" s="14"/>
      <c r="L89" s="252"/>
      <c r="O89"/>
      <c r="P89"/>
      <c r="R89"/>
      <c r="S89"/>
      <c r="T89"/>
      <c r="V89"/>
      <c r="W89"/>
      <c r="X89"/>
    </row>
    <row r="90" ht="14.25" customHeight="1" spans="1:12">
      <c r="A90" s="211"/>
      <c r="E90" s="205"/>
      <c r="F90" s="234" t="s">
        <v>27</v>
      </c>
      <c r="G90" s="15"/>
      <c r="H90" s="14">
        <v>0</v>
      </c>
      <c r="I90" s="14"/>
      <c r="J90" s="14"/>
      <c r="K90" s="14"/>
      <c r="L90" s="252"/>
    </row>
    <row r="91" ht="14.25" customHeight="1" spans="1:12">
      <c r="A91" s="211"/>
      <c r="E91" s="205"/>
      <c r="F91" s="15" t="s">
        <v>28</v>
      </c>
      <c r="G91" s="15"/>
      <c r="H91" s="14" t="s">
        <v>29</v>
      </c>
      <c r="I91" s="14"/>
      <c r="J91" s="14"/>
      <c r="K91" s="14"/>
      <c r="L91" s="252"/>
    </row>
    <row r="92" ht="14.25" customHeight="1" spans="1:12">
      <c r="A92" s="211"/>
      <c r="E92" s="205"/>
      <c r="F92" s="15"/>
      <c r="G92" s="15"/>
      <c r="H92" s="14"/>
      <c r="I92" s="14"/>
      <c r="J92" s="14"/>
      <c r="K92" s="14"/>
      <c r="L92" s="252"/>
    </row>
    <row r="93" spans="1:12">
      <c r="A93" s="211"/>
      <c r="E93" s="235"/>
      <c r="J93" s="254"/>
      <c r="L93" s="255"/>
    </row>
    <row r="94" ht="14.25" customHeight="1" spans="1:12">
      <c r="A94" s="212"/>
      <c r="B94" s="199"/>
      <c r="C94" s="199"/>
      <c r="D94" s="199"/>
      <c r="E94" s="236" t="s">
        <v>30</v>
      </c>
      <c r="F94" s="236"/>
      <c r="G94" s="199"/>
      <c r="H94" s="199"/>
      <c r="I94" s="199"/>
      <c r="J94" s="199"/>
      <c r="K94" s="199"/>
      <c r="L94" s="256"/>
    </row>
    <row r="95" spans="1:12">
      <c r="A95" s="213" t="s">
        <v>31</v>
      </c>
      <c r="B95" s="214"/>
      <c r="C95" s="214"/>
      <c r="D95" s="214"/>
      <c r="E95" s="214"/>
      <c r="F95" s="214"/>
      <c r="G95" s="214"/>
      <c r="H95" s="214"/>
      <c r="I95" s="214"/>
      <c r="J95" s="214"/>
      <c r="K95" s="214"/>
      <c r="L95" s="257"/>
    </row>
    <row r="96" spans="1:12">
      <c r="A96" s="213"/>
      <c r="B96" s="214"/>
      <c r="C96" s="214"/>
      <c r="D96" s="214"/>
      <c r="E96" s="214"/>
      <c r="F96" s="214"/>
      <c r="G96" s="214"/>
      <c r="H96" s="214"/>
      <c r="I96" s="214"/>
      <c r="J96" s="214"/>
      <c r="K96" s="214"/>
      <c r="L96" s="257"/>
    </row>
    <row r="97" spans="1:12">
      <c r="A97" s="213"/>
      <c r="B97" s="214"/>
      <c r="C97" s="214"/>
      <c r="D97" s="214"/>
      <c r="E97" s="214"/>
      <c r="F97" s="214"/>
      <c r="G97" s="214"/>
      <c r="H97" s="214"/>
      <c r="I97" s="214"/>
      <c r="J97" s="214"/>
      <c r="K97" s="214"/>
      <c r="L97" s="257"/>
    </row>
    <row r="98" spans="1:12">
      <c r="A98" s="213"/>
      <c r="B98" s="214"/>
      <c r="C98" s="214"/>
      <c r="D98" s="214"/>
      <c r="E98" s="214"/>
      <c r="F98" s="214"/>
      <c r="G98" s="214"/>
      <c r="H98" s="214"/>
      <c r="I98" s="214"/>
      <c r="J98" s="214"/>
      <c r="K98" s="214"/>
      <c r="L98" s="257"/>
    </row>
    <row r="99" spans="1:12">
      <c r="A99" s="213"/>
      <c r="B99" s="214"/>
      <c r="C99" s="214"/>
      <c r="D99" s="214"/>
      <c r="E99" s="214"/>
      <c r="F99" s="214"/>
      <c r="G99" s="214"/>
      <c r="H99" s="214"/>
      <c r="I99" s="214"/>
      <c r="J99" s="214"/>
      <c r="K99" s="214"/>
      <c r="L99" s="257"/>
    </row>
    <row r="100" ht="17.55" spans="1:12">
      <c r="A100" s="215"/>
      <c r="B100" s="216"/>
      <c r="C100" s="216"/>
      <c r="D100" s="216"/>
      <c r="E100" s="216"/>
      <c r="F100" s="216"/>
      <c r="G100" s="216"/>
      <c r="H100" s="216"/>
      <c r="I100" s="216"/>
      <c r="J100" s="216"/>
      <c r="K100" s="216"/>
      <c r="L100" s="258"/>
    </row>
  </sheetData>
  <mergeCells count="29">
    <mergeCell ref="A77:E77"/>
    <mergeCell ref="F77:L77"/>
    <mergeCell ref="K78:L78"/>
    <mergeCell ref="F81:G81"/>
    <mergeCell ref="F83:L83"/>
    <mergeCell ref="F84:G84"/>
    <mergeCell ref="H84:L84"/>
    <mergeCell ref="F85:G85"/>
    <mergeCell ref="H85:L85"/>
    <mergeCell ref="F86:G86"/>
    <mergeCell ref="H86:L86"/>
    <mergeCell ref="F87:G87"/>
    <mergeCell ref="H87:L87"/>
    <mergeCell ref="F88:G88"/>
    <mergeCell ref="H88:L88"/>
    <mergeCell ref="F89:G89"/>
    <mergeCell ref="H89:L89"/>
    <mergeCell ref="F90:G90"/>
    <mergeCell ref="H90:L90"/>
    <mergeCell ref="F91:G91"/>
    <mergeCell ref="H91:L91"/>
    <mergeCell ref="F92:G92"/>
    <mergeCell ref="H92:L92"/>
    <mergeCell ref="E94:F94"/>
    <mergeCell ref="H78:H79"/>
    <mergeCell ref="I78:I79"/>
    <mergeCell ref="J78:J79"/>
    <mergeCell ref="A95:L100"/>
    <mergeCell ref="F78:G79"/>
  </mergeCells>
  <conditionalFormatting sqref="D5:E76">
    <cfRule type="dataBar" priority="9">
      <dataBar>
        <cfvo type="min"/>
        <cfvo type="max"/>
        <color rgb="FFFF0000"/>
      </dataBar>
      <extLst>
        <ext xmlns:x14="http://schemas.microsoft.com/office/spreadsheetml/2009/9/main" uri="{B025F937-C7B1-47D3-B67F-A62EFF666E3E}">
          <x14:id>{1270a1e4-dec0-4bd6-8ecb-f96c7a4669ff}</x14:id>
        </ext>
      </extLst>
    </cfRule>
  </conditionalFormatting>
  <pageMargins left="0.7" right="0.7" top="0.75" bottom="0.75" header="0.3" footer="0.3"/>
  <headerFooter/>
  <drawing r:id="rId1"/>
  <extLst>
    <ext xmlns:x14="http://schemas.microsoft.com/office/spreadsheetml/2009/9/main" uri="{78C0D931-6437-407d-A8EE-F0AAD7539E65}">
      <x14:conditionalFormattings>
        <x14:conditionalFormatting xmlns:xm="http://schemas.microsoft.com/office/excel/2006/main">
          <x14:cfRule type="dataBar" id="{1270a1e4-dec0-4bd6-8ecb-f96c7a4669ff}">
            <x14:dataBar minLength="0" maxLength="100">
              <x14:cfvo type="autoMin"/>
              <x14:cfvo type="autoMax"/>
              <x14:negativeFillColor rgb="FF00B050"/>
              <x14:axisColor rgb="FF000000"/>
            </x14:dataBar>
          </x14:cfRule>
          <xm:sqref>D5:E76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7" tint="0.799829096346934"/>
  </sheetPr>
  <dimension ref="A1:M361"/>
  <sheetViews>
    <sheetView workbookViewId="0">
      <pane xSplit="1" ySplit="2" topLeftCell="B67" activePane="bottomRight" state="frozen"/>
      <selection/>
      <selection pane="topRight"/>
      <selection pane="bottomLeft"/>
      <selection pane="bottomRight" activeCell="F95" sqref="F95"/>
    </sheetView>
  </sheetViews>
  <sheetFormatPr defaultColWidth="9" defaultRowHeight="16.8"/>
  <cols>
    <col min="1" max="1" width="11.75" style="180" customWidth="1"/>
    <col min="2" max="2" width="9.75" style="168" customWidth="1"/>
    <col min="3" max="3" width="14.125" style="168" customWidth="1"/>
    <col min="4" max="4" width="9.75" style="1" customWidth="1"/>
    <col min="5" max="5" width="11.5073529411765" style="1" customWidth="1"/>
    <col min="6" max="6" width="14.375" style="168" customWidth="1"/>
    <col min="7" max="7" width="7.25" style="12" customWidth="1"/>
    <col min="8" max="8" width="9.75" style="12" customWidth="1"/>
    <col min="9" max="9" width="9.50735294117647" style="1" customWidth="1"/>
    <col min="10" max="10" width="9.375" style="1" customWidth="1"/>
    <col min="11" max="11" width="14.5073529411765" style="15" customWidth="1"/>
    <col min="12" max="12" width="16.875" style="15" customWidth="1"/>
    <col min="13" max="13" width="11.375" style="14" customWidth="1"/>
    <col min="14" max="19" width="9" style="1"/>
    <col min="20" max="20" width="15.75" style="1" customWidth="1"/>
    <col min="21" max="21" width="12.75" style="1" customWidth="1"/>
    <col min="22" max="22" width="21" style="1" customWidth="1"/>
    <col min="23" max="24" width="12.75" style="1" customWidth="1"/>
    <col min="25" max="25" width="11.375" style="1" customWidth="1"/>
    <col min="26" max="16384" width="9" style="1"/>
  </cols>
  <sheetData>
    <row r="1" spans="1:13">
      <c r="A1" s="1">
        <v>1</v>
      </c>
      <c r="B1" s="1">
        <v>2</v>
      </c>
      <c r="C1" s="1">
        <v>3</v>
      </c>
      <c r="D1" s="1">
        <v>4</v>
      </c>
      <c r="E1" s="1">
        <v>5</v>
      </c>
      <c r="F1" s="1">
        <v>6</v>
      </c>
      <c r="G1" s="1">
        <v>7</v>
      </c>
      <c r="H1" s="1">
        <v>8</v>
      </c>
      <c r="I1" s="1">
        <v>9</v>
      </c>
      <c r="J1" s="1">
        <v>10</v>
      </c>
      <c r="K1" s="1">
        <v>11</v>
      </c>
      <c r="L1" s="1">
        <v>12</v>
      </c>
      <c r="M1" s="1">
        <v>13</v>
      </c>
    </row>
    <row r="2" s="171" customFormat="1" ht="46.5" customHeight="1" spans="1:13">
      <c r="A2" s="172" t="s">
        <v>2</v>
      </c>
      <c r="B2" s="172" t="s">
        <v>3</v>
      </c>
      <c r="C2" s="172" t="s">
        <v>4</v>
      </c>
      <c r="D2" s="181" t="s">
        <v>5</v>
      </c>
      <c r="E2" s="181" t="s">
        <v>6</v>
      </c>
      <c r="F2" s="172" t="s">
        <v>32</v>
      </c>
      <c r="G2" s="187" t="s">
        <v>33</v>
      </c>
      <c r="H2" s="181" t="s">
        <v>22</v>
      </c>
      <c r="I2" s="10" t="s">
        <v>15</v>
      </c>
      <c r="J2" s="10" t="s">
        <v>32</v>
      </c>
      <c r="K2" s="11" t="s">
        <v>34</v>
      </c>
      <c r="L2" s="11" t="s">
        <v>35</v>
      </c>
      <c r="M2" s="11" t="s">
        <v>36</v>
      </c>
    </row>
    <row r="3" spans="1:10">
      <c r="A3" s="182">
        <v>45460</v>
      </c>
      <c r="B3" s="183">
        <v>1</v>
      </c>
      <c r="C3" s="183">
        <v>1</v>
      </c>
      <c r="D3" s="1" t="s">
        <v>37</v>
      </c>
      <c r="E3" s="188" t="s">
        <v>37</v>
      </c>
      <c r="F3" s="189">
        <v>3536.2</v>
      </c>
      <c r="I3" s="173">
        <f>C3</f>
        <v>1</v>
      </c>
      <c r="J3" s="16">
        <v>1</v>
      </c>
    </row>
    <row r="4" spans="1:13">
      <c r="A4" s="182">
        <v>45464</v>
      </c>
      <c r="B4" s="183">
        <v>1.0004</v>
      </c>
      <c r="C4" s="183">
        <v>1.0004</v>
      </c>
      <c r="D4" s="184">
        <f>IF(A4="","",(B4-B3)/B3)</f>
        <v>0.000399999999999956</v>
      </c>
      <c r="E4" s="188">
        <f>IF(A4="","",(F4-F3)/F3)</f>
        <v>-0.0114755952717606</v>
      </c>
      <c r="F4" s="189">
        <v>3495.62</v>
      </c>
      <c r="G4" s="12">
        <f>IF(A4="","",(MAX(C$4:C4)-C4)/MAX(C$4:C4))</f>
        <v>0</v>
      </c>
      <c r="H4" s="12">
        <f>IF(A4="","",MAX(G$4:G4))</f>
        <v>0</v>
      </c>
      <c r="I4" s="173">
        <f>IF(A4="","",C4)</f>
        <v>1.0004</v>
      </c>
      <c r="J4" s="16">
        <f>IF(A4="","",J3*(1+E4))</f>
        <v>0.988524404728239</v>
      </c>
      <c r="K4" s="15" t="str">
        <f>IF(A4="","",IF(H4&gt;5%,"是","否"))</f>
        <v>否</v>
      </c>
      <c r="L4" s="15" t="str">
        <f>IF(A4="","",IF(B4&gt;0.95,"否","是"))</f>
        <v>否</v>
      </c>
      <c r="M4" s="14" t="str">
        <f>IF(A4="","",IF(D4&lt;2%,"否","是"))</f>
        <v>否</v>
      </c>
    </row>
    <row r="5" spans="1:13">
      <c r="A5" s="182">
        <v>45471</v>
      </c>
      <c r="B5" s="183">
        <v>1.0013</v>
      </c>
      <c r="C5" s="183">
        <v>1.0013</v>
      </c>
      <c r="D5" s="184">
        <f>IF(A5="","",(B5-B4)/B4)</f>
        <v>0.000899640143942546</v>
      </c>
      <c r="E5" s="188">
        <f>IF(A5="","",(F5-F4)/F4)</f>
        <v>-0.00971501478993713</v>
      </c>
      <c r="F5" s="189">
        <v>3461.66</v>
      </c>
      <c r="G5" s="12">
        <f>IF(A5="","",(MAX(C$4:C5)-C5)/MAX(C$4:C5))</f>
        <v>0</v>
      </c>
      <c r="H5" s="12">
        <f>IF(A5="","",MAX(G$4:G5))</f>
        <v>0</v>
      </c>
      <c r="I5" s="173">
        <f t="shared" ref="I5:I68" si="0">IF(A5="","",C5)</f>
        <v>1.0013</v>
      </c>
      <c r="J5" s="16">
        <f t="shared" ref="J5:J68" si="1">IF(A5="","",J4*(1+E5))</f>
        <v>0.978920875516091</v>
      </c>
      <c r="K5" s="15" t="str">
        <f t="shared" ref="K5:K69" si="2">IF(A5="","",IF(H5&gt;5%,"是","否"))</f>
        <v>否</v>
      </c>
      <c r="L5" s="15" t="str">
        <f t="shared" ref="L5:L69" si="3">IF(A5="","",IF(B5&gt;0.95,"否","是"))</f>
        <v>否</v>
      </c>
      <c r="M5" s="14" t="str">
        <f t="shared" ref="M5:M69" si="4">IF(A5="","",IF(D5&lt;2%,"否","是"))</f>
        <v>否</v>
      </c>
    </row>
    <row r="6" spans="1:13">
      <c r="A6" s="182">
        <v>45478</v>
      </c>
      <c r="B6" s="183">
        <v>1.0023</v>
      </c>
      <c r="C6" s="183">
        <v>1.0023</v>
      </c>
      <c r="D6" s="184">
        <f t="shared" ref="D6:D69" si="5">IF(A6="","",(B6-B5)/B5)</f>
        <v>0.000998701687805742</v>
      </c>
      <c r="E6" s="188">
        <f>IF(A6="","",(F6-F5)/F5)</f>
        <v>-0.00883968962867523</v>
      </c>
      <c r="F6" s="189">
        <v>3431.06</v>
      </c>
      <c r="G6" s="12">
        <f>IF(A6="","",(MAX(C$4:C6)-C6)/MAX(C$4:C6))</f>
        <v>0</v>
      </c>
      <c r="H6" s="12">
        <f>IF(A6="","",MAX(G$4:G6))</f>
        <v>0</v>
      </c>
      <c r="I6" s="173">
        <f t="shared" si="0"/>
        <v>1.0023</v>
      </c>
      <c r="J6" s="16">
        <f t="shared" si="1"/>
        <v>0.970267518805498</v>
      </c>
      <c r="K6" s="15" t="str">
        <f t="shared" si="2"/>
        <v>否</v>
      </c>
      <c r="L6" s="15" t="str">
        <f t="shared" si="3"/>
        <v>否</v>
      </c>
      <c r="M6" s="14" t="str">
        <f t="shared" si="4"/>
        <v>否</v>
      </c>
    </row>
    <row r="7" spans="1:13">
      <c r="A7" s="182">
        <v>45485</v>
      </c>
      <c r="B7" s="183">
        <v>1.0028</v>
      </c>
      <c r="C7" s="183">
        <v>1.0028</v>
      </c>
      <c r="D7" s="184">
        <f t="shared" si="5"/>
        <v>0.000498852638930405</v>
      </c>
      <c r="E7" s="188">
        <f t="shared" ref="E7:E70" si="6">IF(A7="","",(F7-F6)/F6)</f>
        <v>0.0120491626494437</v>
      </c>
      <c r="F7" s="189">
        <v>3472.4014</v>
      </c>
      <c r="G7" s="12">
        <f>IF(A7="","",(MAX(C$4:C7)-C7)/MAX(C$4:C7))</f>
        <v>0</v>
      </c>
      <c r="H7" s="12">
        <f>IF(A7="","",MAX(G$4:G7))</f>
        <v>0</v>
      </c>
      <c r="I7" s="173">
        <f t="shared" si="0"/>
        <v>1.0028</v>
      </c>
      <c r="J7" s="16">
        <f t="shared" si="1"/>
        <v>0.981958429953057</v>
      </c>
      <c r="K7" s="15" t="str">
        <f t="shared" si="2"/>
        <v>否</v>
      </c>
      <c r="L7" s="15" t="str">
        <f t="shared" si="3"/>
        <v>否</v>
      </c>
      <c r="M7" s="14" t="str">
        <f t="shared" si="4"/>
        <v>否</v>
      </c>
    </row>
    <row r="8" spans="1:13">
      <c r="A8" s="182">
        <v>45492</v>
      </c>
      <c r="B8" s="185">
        <v>1.004</v>
      </c>
      <c r="C8" s="185">
        <v>1.004</v>
      </c>
      <c r="D8" s="184">
        <f t="shared" si="5"/>
        <v>0.00119664938173124</v>
      </c>
      <c r="E8" s="188">
        <f t="shared" si="6"/>
        <v>0.0191838996493896</v>
      </c>
      <c r="F8" s="189">
        <v>3539.0156</v>
      </c>
      <c r="G8" s="12">
        <f>IF(A8="","",(MAX(C$4:C8)-C8)/MAX(C$4:C8))</f>
        <v>0</v>
      </c>
      <c r="H8" s="12">
        <f>IF(A8="","",MAX(G$4:G8))</f>
        <v>0</v>
      </c>
      <c r="I8" s="173">
        <f t="shared" si="0"/>
        <v>1.004</v>
      </c>
      <c r="J8" s="16">
        <f t="shared" si="1"/>
        <v>1.00079622193315</v>
      </c>
      <c r="K8" s="15" t="str">
        <f t="shared" si="2"/>
        <v>否</v>
      </c>
      <c r="L8" s="15" t="str">
        <f t="shared" si="3"/>
        <v>否</v>
      </c>
      <c r="M8" s="14" t="str">
        <f t="shared" si="4"/>
        <v>否</v>
      </c>
    </row>
    <row r="9" spans="1:13">
      <c r="A9" s="182">
        <v>45499</v>
      </c>
      <c r="B9" s="185">
        <v>1.0058</v>
      </c>
      <c r="C9" s="185">
        <v>1.0058</v>
      </c>
      <c r="D9" s="184">
        <f t="shared" si="5"/>
        <v>0.00179282868525899</v>
      </c>
      <c r="E9" s="188">
        <f t="shared" si="6"/>
        <v>-0.036655842941184</v>
      </c>
      <c r="F9" s="189">
        <v>3409.29</v>
      </c>
      <c r="G9" s="12">
        <f>IF(A9="","",(MAX(C$4:C9)-C9)/MAX(C$4:C9))</f>
        <v>0</v>
      </c>
      <c r="H9" s="12">
        <f>IF(A9="","",MAX(G$4:G9))</f>
        <v>0</v>
      </c>
      <c r="I9" s="173">
        <f t="shared" si="0"/>
        <v>1.0058</v>
      </c>
      <c r="J9" s="16">
        <f t="shared" si="1"/>
        <v>0.964111192805837</v>
      </c>
      <c r="K9" s="15" t="str">
        <f t="shared" si="2"/>
        <v>否</v>
      </c>
      <c r="L9" s="15" t="str">
        <f t="shared" si="3"/>
        <v>否</v>
      </c>
      <c r="M9" s="14" t="str">
        <f t="shared" si="4"/>
        <v>否</v>
      </c>
    </row>
    <row r="10" spans="1:13">
      <c r="A10" s="182">
        <v>45506</v>
      </c>
      <c r="B10" s="183">
        <v>1.006</v>
      </c>
      <c r="C10" s="183">
        <v>1.006</v>
      </c>
      <c r="D10" s="184">
        <f t="shared" si="5"/>
        <v>0.000198846689202603</v>
      </c>
      <c r="E10" s="188">
        <f t="shared" si="6"/>
        <v>-0.0073035734713093</v>
      </c>
      <c r="F10" s="189">
        <v>3384.39</v>
      </c>
      <c r="G10" s="12">
        <f>IF(A10="","",(MAX(C$4:C10)-C10)/MAX(C$4:C10))</f>
        <v>0</v>
      </c>
      <c r="H10" s="12">
        <f>IF(A10="","",MAX(G$4:G10))</f>
        <v>0</v>
      </c>
      <c r="I10" s="173">
        <f t="shared" si="0"/>
        <v>1.006</v>
      </c>
      <c r="J10" s="16">
        <f t="shared" si="1"/>
        <v>0.957069735874668</v>
      </c>
      <c r="K10" s="15" t="str">
        <f t="shared" si="2"/>
        <v>否</v>
      </c>
      <c r="L10" s="15" t="str">
        <f t="shared" si="3"/>
        <v>否</v>
      </c>
      <c r="M10" s="14" t="str">
        <f t="shared" si="4"/>
        <v>否</v>
      </c>
    </row>
    <row r="11" spans="1:13">
      <c r="A11" s="182">
        <v>45513</v>
      </c>
      <c r="B11" s="183">
        <v>1.0111</v>
      </c>
      <c r="C11" s="183">
        <v>1.0111</v>
      </c>
      <c r="D11" s="184">
        <f t="shared" si="5"/>
        <v>0.00506958250497028</v>
      </c>
      <c r="E11" s="188">
        <f t="shared" si="6"/>
        <v>-0.0155921746607217</v>
      </c>
      <c r="F11" s="189">
        <v>3331.62</v>
      </c>
      <c r="G11" s="12">
        <f>IF(A11="","",(MAX(C$4:C11)-C11)/MAX(C$4:C11))</f>
        <v>0</v>
      </c>
      <c r="H11" s="12">
        <f>IF(A11="","",MAX(G$4:G11))</f>
        <v>0</v>
      </c>
      <c r="I11" s="173">
        <f t="shared" si="0"/>
        <v>1.0111</v>
      </c>
      <c r="J11" s="16">
        <f t="shared" si="1"/>
        <v>0.942146937390419</v>
      </c>
      <c r="K11" s="15" t="str">
        <f t="shared" si="2"/>
        <v>否</v>
      </c>
      <c r="L11" s="15" t="str">
        <f t="shared" si="3"/>
        <v>否</v>
      </c>
      <c r="M11" s="14" t="str">
        <f t="shared" si="4"/>
        <v>否</v>
      </c>
    </row>
    <row r="12" spans="1:13">
      <c r="A12" s="182">
        <v>45520</v>
      </c>
      <c r="B12" s="183">
        <v>1.0113</v>
      </c>
      <c r="C12" s="183">
        <v>1.0113</v>
      </c>
      <c r="D12" s="184">
        <f t="shared" si="5"/>
        <v>0.000197804371476588</v>
      </c>
      <c r="E12" s="188">
        <f t="shared" si="6"/>
        <v>0.0042051614529869</v>
      </c>
      <c r="F12" s="189">
        <v>3345.63</v>
      </c>
      <c r="G12" s="12">
        <f>IF(A12="","",(MAX(C$4:C12)-C12)/MAX(C$4:C12))</f>
        <v>0</v>
      </c>
      <c r="H12" s="12">
        <f>IF(A12="","",MAX(G$4:G12))</f>
        <v>0</v>
      </c>
      <c r="I12" s="173">
        <f t="shared" si="0"/>
        <v>1.0113</v>
      </c>
      <c r="J12" s="16">
        <f t="shared" si="1"/>
        <v>0.946108817374583</v>
      </c>
      <c r="K12" s="15" t="str">
        <f t="shared" si="2"/>
        <v>否</v>
      </c>
      <c r="L12" s="15" t="str">
        <f t="shared" si="3"/>
        <v>否</v>
      </c>
      <c r="M12" s="14" t="str">
        <f t="shared" si="4"/>
        <v>否</v>
      </c>
    </row>
    <row r="13" spans="1:13">
      <c r="A13" s="182">
        <v>45527</v>
      </c>
      <c r="B13" s="183">
        <v>1.0116</v>
      </c>
      <c r="C13" s="183">
        <v>1.0116</v>
      </c>
      <c r="D13" s="184">
        <f t="shared" si="5"/>
        <v>0.000296647878967633</v>
      </c>
      <c r="E13" s="188">
        <f t="shared" si="6"/>
        <v>-0.00551151801006087</v>
      </c>
      <c r="F13" s="189">
        <v>3327.1905</v>
      </c>
      <c r="G13" s="12">
        <f>IF(A13="","",(MAX(C$4:C13)-C13)/MAX(C$4:C13))</f>
        <v>0</v>
      </c>
      <c r="H13" s="12">
        <f>IF(A13="","",MAX(G$4:G13))</f>
        <v>0</v>
      </c>
      <c r="I13" s="173">
        <f t="shared" si="0"/>
        <v>1.0116</v>
      </c>
      <c r="J13" s="16">
        <f t="shared" si="1"/>
        <v>0.940894321588146</v>
      </c>
      <c r="K13" s="15" t="str">
        <f t="shared" si="2"/>
        <v>否</v>
      </c>
      <c r="L13" s="15" t="str">
        <f t="shared" si="3"/>
        <v>否</v>
      </c>
      <c r="M13" s="14" t="str">
        <f t="shared" si="4"/>
        <v>否</v>
      </c>
    </row>
    <row r="14" spans="1:13">
      <c r="A14" s="182">
        <v>45534</v>
      </c>
      <c r="B14" s="183">
        <v>1.0116</v>
      </c>
      <c r="C14" s="183">
        <v>1.0116</v>
      </c>
      <c r="D14" s="184">
        <f t="shared" si="5"/>
        <v>0</v>
      </c>
      <c r="E14" s="188">
        <f t="shared" si="6"/>
        <v>-0.00173064932711253</v>
      </c>
      <c r="F14" s="189">
        <v>3321.4323</v>
      </c>
      <c r="G14" s="12">
        <f>IF(A14="","",(MAX(C$4:C14)-C14)/MAX(C$4:C14))</f>
        <v>0</v>
      </c>
      <c r="H14" s="12">
        <f>IF(A14="","",MAX(G$4:G14))</f>
        <v>0</v>
      </c>
      <c r="I14" s="173">
        <f t="shared" si="0"/>
        <v>1.0116</v>
      </c>
      <c r="J14" s="16">
        <f t="shared" si="1"/>
        <v>0.939265963463605</v>
      </c>
      <c r="K14" s="15" t="str">
        <f t="shared" si="2"/>
        <v>否</v>
      </c>
      <c r="L14" s="15" t="str">
        <f t="shared" si="3"/>
        <v>否</v>
      </c>
      <c r="M14" s="14" t="str">
        <f t="shared" si="4"/>
        <v>否</v>
      </c>
    </row>
    <row r="15" spans="1:13">
      <c r="A15" s="182">
        <v>45541</v>
      </c>
      <c r="B15" s="183">
        <v>1.0118</v>
      </c>
      <c r="C15" s="183">
        <v>1.0118</v>
      </c>
      <c r="D15" s="184">
        <f t="shared" si="5"/>
        <v>0.000197706603400532</v>
      </c>
      <c r="E15" s="188">
        <f t="shared" si="6"/>
        <v>-0.0271215222420761</v>
      </c>
      <c r="F15" s="189">
        <v>3231.35</v>
      </c>
      <c r="G15" s="12">
        <f>IF(A15="","",(MAX(C$4:C15)-C15)/MAX(C$4:C15))</f>
        <v>0</v>
      </c>
      <c r="H15" s="12">
        <f>IF(A15="","",MAX(G$4:G15))</f>
        <v>0</v>
      </c>
      <c r="I15" s="173">
        <f t="shared" si="0"/>
        <v>1.0118</v>
      </c>
      <c r="J15" s="16">
        <f t="shared" si="1"/>
        <v>0.913791640744302</v>
      </c>
      <c r="K15" s="15" t="str">
        <f t="shared" si="2"/>
        <v>否</v>
      </c>
      <c r="L15" s="15" t="str">
        <f t="shared" si="3"/>
        <v>否</v>
      </c>
      <c r="M15" s="14" t="str">
        <f t="shared" si="4"/>
        <v>否</v>
      </c>
    </row>
    <row r="16" spans="1:13">
      <c r="A16" s="182">
        <v>45548</v>
      </c>
      <c r="B16" s="183">
        <v>1.0109</v>
      </c>
      <c r="C16" s="183">
        <v>1.0109</v>
      </c>
      <c r="D16" s="184">
        <f t="shared" si="5"/>
        <v>-0.000889503854516824</v>
      </c>
      <c r="E16" s="188">
        <f t="shared" si="6"/>
        <v>-0.0223157503829669</v>
      </c>
      <c r="F16" s="189">
        <v>3159.24</v>
      </c>
      <c r="G16" s="12">
        <f>IF(A16="","",(MAX(C$4:C16)-C16)/MAX(C$4:C16))</f>
        <v>0.000889503854516824</v>
      </c>
      <c r="H16" s="12">
        <f>IF(A16="","",MAX(G$4:G16))</f>
        <v>0.000889503854516824</v>
      </c>
      <c r="I16" s="173">
        <f t="shared" si="0"/>
        <v>1.0109</v>
      </c>
      <c r="J16" s="16">
        <f t="shared" si="1"/>
        <v>0.89339969458741</v>
      </c>
      <c r="K16" s="15" t="str">
        <f t="shared" si="2"/>
        <v>否</v>
      </c>
      <c r="L16" s="15" t="str">
        <f t="shared" si="3"/>
        <v>否</v>
      </c>
      <c r="M16" s="14" t="str">
        <f t="shared" si="4"/>
        <v>否</v>
      </c>
    </row>
    <row r="17" spans="1:13">
      <c r="A17" s="182">
        <v>45555</v>
      </c>
      <c r="B17" s="183">
        <v>1.0097</v>
      </c>
      <c r="C17" s="183">
        <v>1.0097</v>
      </c>
      <c r="D17" s="184">
        <f t="shared" si="5"/>
        <v>-0.0011870610347214</v>
      </c>
      <c r="E17" s="188">
        <f t="shared" si="6"/>
        <v>0.0132341006064751</v>
      </c>
      <c r="F17" s="189">
        <v>3201.0497</v>
      </c>
      <c r="G17" s="12">
        <f>IF(A17="","",(MAX(C$4:C17)-C17)/MAX(C$4:C17))</f>
        <v>0.0020755089938723</v>
      </c>
      <c r="H17" s="12">
        <f>IF(A17="","",MAX(G$4:G17))</f>
        <v>0.0020755089938723</v>
      </c>
      <c r="I17" s="1">
        <f t="shared" si="0"/>
        <v>1.0097</v>
      </c>
      <c r="J17" s="16">
        <f t="shared" si="1"/>
        <v>0.905223036027374</v>
      </c>
      <c r="K17" s="15" t="str">
        <f t="shared" si="2"/>
        <v>否</v>
      </c>
      <c r="L17" s="15" t="str">
        <f t="shared" si="3"/>
        <v>否</v>
      </c>
      <c r="M17" s="14" t="str">
        <f t="shared" si="4"/>
        <v>否</v>
      </c>
    </row>
    <row r="18" spans="1:13">
      <c r="A18" s="182">
        <v>45562</v>
      </c>
      <c r="B18" s="183">
        <v>1.0139</v>
      </c>
      <c r="C18" s="183">
        <v>1.0139</v>
      </c>
      <c r="D18" s="184">
        <f t="shared" si="5"/>
        <v>0.00415965138159848</v>
      </c>
      <c r="E18" s="188">
        <f t="shared" si="6"/>
        <v>0.157021991879726</v>
      </c>
      <c r="F18" s="189">
        <v>3703.6849</v>
      </c>
      <c r="G18" s="12">
        <f>IF(A18="","",(MAX(C$4:C18)-C18)/MAX(C$4:C18))</f>
        <v>0</v>
      </c>
      <c r="H18" s="12">
        <f>IF(A18="","",MAX(G$4:G18))</f>
        <v>0.0020755089938723</v>
      </c>
      <c r="I18" s="1">
        <f t="shared" si="0"/>
        <v>1.0139</v>
      </c>
      <c r="J18" s="16">
        <f t="shared" si="1"/>
        <v>1.04736296023981</v>
      </c>
      <c r="K18" s="15" t="str">
        <f t="shared" si="2"/>
        <v>否</v>
      </c>
      <c r="L18" s="15" t="str">
        <f t="shared" si="3"/>
        <v>否</v>
      </c>
      <c r="M18" s="14" t="str">
        <f t="shared" si="4"/>
        <v>否</v>
      </c>
    </row>
    <row r="19" spans="1:13">
      <c r="A19" s="182">
        <v>45565</v>
      </c>
      <c r="B19" s="183">
        <v>1.0181</v>
      </c>
      <c r="C19" s="183">
        <v>1.0181</v>
      </c>
      <c r="D19" s="184">
        <f t="shared" si="5"/>
        <v>0.00414242035703716</v>
      </c>
      <c r="E19" s="188">
        <f t="shared" si="6"/>
        <v>0.0848262226627324</v>
      </c>
      <c r="F19" s="189">
        <v>4017.8545</v>
      </c>
      <c r="G19" s="12">
        <f>IF(A19="","",(MAX(C$4:C19)-C19)/MAX(C$4:C19))</f>
        <v>0</v>
      </c>
      <c r="H19" s="12">
        <f>IF(A19="","",MAX(G$4:G19))</f>
        <v>0.0020755089938723</v>
      </c>
      <c r="I19" s="1">
        <f t="shared" si="0"/>
        <v>1.0181</v>
      </c>
      <c r="J19" s="16">
        <f t="shared" si="1"/>
        <v>1.13620680391381</v>
      </c>
      <c r="K19" s="15" t="str">
        <f t="shared" ref="K19" si="7">IF(A19="","",IF(H19&gt;5%,"是","否"))</f>
        <v>否</v>
      </c>
      <c r="L19" s="15" t="str">
        <f t="shared" ref="L19" si="8">IF(A19="","",IF(B19&gt;0.95,"否","是"))</f>
        <v>否</v>
      </c>
      <c r="M19" s="14" t="str">
        <f t="shared" ref="M19" si="9">IF(A19="","",IF(D19&lt;2%,"否","是"))</f>
        <v>否</v>
      </c>
    </row>
    <row r="20" spans="1:13">
      <c r="A20" s="182">
        <v>45576</v>
      </c>
      <c r="B20" s="183">
        <v>1.0264</v>
      </c>
      <c r="C20" s="183">
        <v>1.0264</v>
      </c>
      <c r="D20" s="184">
        <f t="shared" si="5"/>
        <v>0.00815244082113739</v>
      </c>
      <c r="E20" s="188">
        <f t="shared" si="6"/>
        <v>-0.0325266880619993</v>
      </c>
      <c r="F20" s="189">
        <v>3887.167</v>
      </c>
      <c r="G20" s="12">
        <f>IF(A20="","",(MAX(C$4:C20)-C20)/MAX(C$4:C20))</f>
        <v>0</v>
      </c>
      <c r="H20" s="12">
        <f>IF(A20="","",MAX(G$4:G20))</f>
        <v>0.0020755089938723</v>
      </c>
      <c r="I20" s="1">
        <f t="shared" si="0"/>
        <v>1.0264</v>
      </c>
      <c r="J20" s="16">
        <f t="shared" si="1"/>
        <v>1.09924975962898</v>
      </c>
      <c r="K20" s="15" t="str">
        <f t="shared" si="2"/>
        <v>否</v>
      </c>
      <c r="L20" s="15" t="str">
        <f t="shared" si="3"/>
        <v>否</v>
      </c>
      <c r="M20" s="14" t="str">
        <f t="shared" si="4"/>
        <v>否</v>
      </c>
    </row>
    <row r="21" ht="14.25" customHeight="1" spans="1:13">
      <c r="A21" s="182">
        <v>45583</v>
      </c>
      <c r="B21" s="183">
        <v>1.0285</v>
      </c>
      <c r="C21" s="183">
        <v>1.0285</v>
      </c>
      <c r="D21" s="184">
        <f t="shared" si="5"/>
        <v>0.00204598597038191</v>
      </c>
      <c r="E21" s="188">
        <f t="shared" si="6"/>
        <v>0.0097929932004465</v>
      </c>
      <c r="F21" s="189">
        <v>3925.234</v>
      </c>
      <c r="G21" s="12">
        <f>IF(A21="","",(MAX(C$4:C21)-C21)/MAX(C$4:C21))</f>
        <v>0</v>
      </c>
      <c r="H21" s="12">
        <f>IF(A21="","",MAX(G$4:G21))</f>
        <v>0.0020755089938723</v>
      </c>
      <c r="I21" s="1">
        <f t="shared" si="0"/>
        <v>1.0285</v>
      </c>
      <c r="J21" s="16">
        <f t="shared" si="1"/>
        <v>1.11001470505062</v>
      </c>
      <c r="K21" s="15" t="str">
        <f t="shared" si="2"/>
        <v>否</v>
      </c>
      <c r="L21" s="15" t="str">
        <f t="shared" si="3"/>
        <v>否</v>
      </c>
      <c r="M21" s="14" t="str">
        <f t="shared" si="4"/>
        <v>否</v>
      </c>
    </row>
    <row r="22" spans="1:13">
      <c r="A22" s="182">
        <v>45590</v>
      </c>
      <c r="B22" s="183">
        <v>1.0296</v>
      </c>
      <c r="C22" s="183">
        <v>1.0296</v>
      </c>
      <c r="D22" s="184">
        <f t="shared" si="5"/>
        <v>0.00106951871657764</v>
      </c>
      <c r="E22" s="188">
        <f t="shared" si="6"/>
        <v>0.00794525880495275</v>
      </c>
      <c r="F22" s="189">
        <v>3956.421</v>
      </c>
      <c r="G22" s="12">
        <f>IF(A22="","",(MAX(C$4:C22)-C22)/MAX(C$4:C22))</f>
        <v>0</v>
      </c>
      <c r="H22" s="12">
        <f>IF(A22="","",MAX(G$4:G22))</f>
        <v>0.0020755089938723</v>
      </c>
      <c r="I22" s="1">
        <f t="shared" si="0"/>
        <v>1.0296</v>
      </c>
      <c r="J22" s="16">
        <f t="shared" si="1"/>
        <v>1.11883405915955</v>
      </c>
      <c r="K22" s="15" t="str">
        <f t="shared" si="2"/>
        <v>否</v>
      </c>
      <c r="L22" s="15" t="str">
        <f t="shared" si="3"/>
        <v>否</v>
      </c>
      <c r="M22" s="14" t="str">
        <f t="shared" si="4"/>
        <v>否</v>
      </c>
    </row>
    <row r="23" spans="1:13">
      <c r="A23" s="182">
        <v>45597</v>
      </c>
      <c r="B23" s="183">
        <v>1.0301</v>
      </c>
      <c r="C23" s="183">
        <v>1.0301</v>
      </c>
      <c r="D23" s="184">
        <f t="shared" si="5"/>
        <v>0.000485625485625432</v>
      </c>
      <c r="E23" s="188">
        <f t="shared" si="6"/>
        <v>-0.0167830218270502</v>
      </c>
      <c r="F23" s="189">
        <v>3890.0203</v>
      </c>
      <c r="G23" s="12">
        <f>IF(A23="","",(MAX(C$4:C23)-C23)/MAX(C$4:C23))</f>
        <v>0</v>
      </c>
      <c r="H23" s="12">
        <f>IF(A23="","",MAX(G$4:G23))</f>
        <v>0.0020755089938723</v>
      </c>
      <c r="I23" s="1">
        <f t="shared" si="0"/>
        <v>1.0301</v>
      </c>
      <c r="J23" s="16">
        <f t="shared" si="1"/>
        <v>1.10005664272383</v>
      </c>
      <c r="K23" s="15" t="str">
        <f t="shared" si="2"/>
        <v>否</v>
      </c>
      <c r="L23" s="15" t="str">
        <f t="shared" si="3"/>
        <v>否</v>
      </c>
      <c r="M23" s="14" t="str">
        <f t="shared" si="4"/>
        <v>否</v>
      </c>
    </row>
    <row r="24" spans="1:13">
      <c r="A24" s="182">
        <v>45604</v>
      </c>
      <c r="B24" s="183">
        <v>1.0367</v>
      </c>
      <c r="C24" s="183">
        <v>1.0367</v>
      </c>
      <c r="D24" s="184">
        <f t="shared" si="5"/>
        <v>0.00640714493738466</v>
      </c>
      <c r="E24" s="188">
        <f t="shared" si="6"/>
        <v>0.0550194301042592</v>
      </c>
      <c r="F24" s="189">
        <v>4104.047</v>
      </c>
      <c r="G24" s="12">
        <f>IF(A24="","",(MAX(C$4:C24)-C24)/MAX(C$4:C24))</f>
        <v>0</v>
      </c>
      <c r="H24" s="12">
        <f>IF(A24="","",MAX(G$4:G24))</f>
        <v>0.0020755089938723</v>
      </c>
      <c r="I24" s="1">
        <f t="shared" si="0"/>
        <v>1.0367</v>
      </c>
      <c r="J24" s="16">
        <f t="shared" si="1"/>
        <v>1.1605811322889</v>
      </c>
      <c r="K24" s="15" t="str">
        <f t="shared" si="2"/>
        <v>否</v>
      </c>
      <c r="L24" s="15" t="str">
        <f t="shared" si="3"/>
        <v>否</v>
      </c>
      <c r="M24" s="14" t="str">
        <f t="shared" si="4"/>
        <v>否</v>
      </c>
    </row>
    <row r="25" spans="1:13">
      <c r="A25" s="182">
        <v>45611</v>
      </c>
      <c r="B25" s="183">
        <v>1.039</v>
      </c>
      <c r="C25" s="183">
        <v>1.039</v>
      </c>
      <c r="D25" s="184">
        <f t="shared" si="5"/>
        <v>0.00221857818076586</v>
      </c>
      <c r="E25" s="188">
        <f t="shared" si="6"/>
        <v>-0.0329470398365319</v>
      </c>
      <c r="F25" s="189">
        <v>3968.8308</v>
      </c>
      <c r="G25" s="12">
        <f>IF(A25="","",(MAX(C$4:C25)-C25)/MAX(C$4:C25))</f>
        <v>0</v>
      </c>
      <c r="H25" s="12">
        <f>IF(A25="","",MAX(G$4:G25))</f>
        <v>0.0020755089938723</v>
      </c>
      <c r="I25" s="1">
        <f t="shared" si="0"/>
        <v>1.039</v>
      </c>
      <c r="J25" s="16">
        <f t="shared" si="1"/>
        <v>1.12234341948985</v>
      </c>
      <c r="K25" s="15" t="str">
        <f t="shared" si="2"/>
        <v>否</v>
      </c>
      <c r="L25" s="15" t="str">
        <f t="shared" si="3"/>
        <v>否</v>
      </c>
      <c r="M25" s="14" t="str">
        <f t="shared" si="4"/>
        <v>否</v>
      </c>
    </row>
    <row r="26" spans="1:13">
      <c r="A26" s="182">
        <v>45618</v>
      </c>
      <c r="B26" s="183">
        <v>1.0429</v>
      </c>
      <c r="C26" s="183">
        <v>1.0429</v>
      </c>
      <c r="D26" s="184">
        <f t="shared" si="5"/>
        <v>0.00375360923965353</v>
      </c>
      <c r="E26" s="188">
        <f t="shared" si="6"/>
        <v>-0.025985461511738</v>
      </c>
      <c r="F26" s="189">
        <v>3865.6989</v>
      </c>
      <c r="G26" s="12">
        <f>IF(A26="","",(MAX(C$4:C26)-C26)/MAX(C$4:C26))</f>
        <v>0</v>
      </c>
      <c r="H26" s="12">
        <f>IF(A26="","",MAX(G$4:G26))</f>
        <v>0.0020755089938723</v>
      </c>
      <c r="I26" s="1">
        <f t="shared" si="0"/>
        <v>1.0429</v>
      </c>
      <c r="J26" s="16">
        <f t="shared" si="1"/>
        <v>1.09317880775974</v>
      </c>
      <c r="K26" s="15" t="str">
        <f t="shared" si="2"/>
        <v>否</v>
      </c>
      <c r="L26" s="15" t="str">
        <f t="shared" si="3"/>
        <v>否</v>
      </c>
      <c r="M26" s="14" t="str">
        <f t="shared" si="4"/>
        <v>否</v>
      </c>
    </row>
    <row r="27" spans="1:13">
      <c r="A27" s="182">
        <v>45625</v>
      </c>
      <c r="B27" s="183">
        <v>1.0466</v>
      </c>
      <c r="C27" s="183">
        <v>1.0466</v>
      </c>
      <c r="D27" s="184">
        <f t="shared" si="5"/>
        <v>0.00354779940550392</v>
      </c>
      <c r="E27" s="188">
        <f t="shared" si="6"/>
        <v>0.0131630272600901</v>
      </c>
      <c r="F27" s="189">
        <v>3916.5832</v>
      </c>
      <c r="G27" s="12">
        <f>IF(A27="","",(MAX(C$4:C27)-C27)/MAX(C$4:C27))</f>
        <v>0</v>
      </c>
      <c r="H27" s="12">
        <f>IF(A27="","",MAX(G$4:G27))</f>
        <v>0.0020755089938723</v>
      </c>
      <c r="I27" s="1">
        <f t="shared" si="0"/>
        <v>1.0466</v>
      </c>
      <c r="J27" s="16">
        <f t="shared" si="1"/>
        <v>1.10756835020644</v>
      </c>
      <c r="K27" s="15" t="str">
        <f t="shared" si="2"/>
        <v>否</v>
      </c>
      <c r="L27" s="15" t="str">
        <f t="shared" si="3"/>
        <v>否</v>
      </c>
      <c r="M27" s="14" t="str">
        <f t="shared" si="4"/>
        <v>否</v>
      </c>
    </row>
    <row r="28" spans="1:13">
      <c r="A28" s="182">
        <v>45632</v>
      </c>
      <c r="B28" s="183">
        <v>1.0473</v>
      </c>
      <c r="C28" s="183">
        <v>1.0473</v>
      </c>
      <c r="D28" s="184">
        <f t="shared" si="5"/>
        <v>0.000668832409707551</v>
      </c>
      <c r="E28" s="188">
        <f t="shared" si="6"/>
        <v>0.0144403417754536</v>
      </c>
      <c r="F28" s="189">
        <v>3973.14</v>
      </c>
      <c r="G28" s="12">
        <f>IF(A28="","",(MAX(C$4:C28)-C28)/MAX(C$4:C28))</f>
        <v>0</v>
      </c>
      <c r="H28" s="12">
        <f>IF(A28="","",MAX(G$4:G28))</f>
        <v>0.0020755089938723</v>
      </c>
      <c r="I28" s="1">
        <f t="shared" si="0"/>
        <v>1.0473</v>
      </c>
      <c r="J28" s="16">
        <f t="shared" si="1"/>
        <v>1.12356201572309</v>
      </c>
      <c r="K28" s="15" t="str">
        <f t="shared" si="2"/>
        <v>否</v>
      </c>
      <c r="L28" s="15" t="str">
        <f t="shared" si="3"/>
        <v>否</v>
      </c>
      <c r="M28" s="14" t="str">
        <f t="shared" si="4"/>
        <v>否</v>
      </c>
    </row>
    <row r="29" spans="1:13">
      <c r="A29" s="182">
        <v>45639</v>
      </c>
      <c r="B29" s="183">
        <v>1.0517</v>
      </c>
      <c r="C29" s="183">
        <v>1.0517</v>
      </c>
      <c r="D29" s="184">
        <f t="shared" si="5"/>
        <v>0.00420127948056926</v>
      </c>
      <c r="E29" s="188">
        <f t="shared" si="6"/>
        <v>-0.0100573350045555</v>
      </c>
      <c r="F29" s="189">
        <v>3933.1808</v>
      </c>
      <c r="G29" s="12">
        <f>IF(A29="","",(MAX(C$4:C29)-C29)/MAX(C$4:C29))</f>
        <v>0</v>
      </c>
      <c r="H29" s="12">
        <f>IF(A29="","",MAX(G$4:G29))</f>
        <v>0.0020755089938723</v>
      </c>
      <c r="I29" s="1">
        <f t="shared" si="0"/>
        <v>1.0517</v>
      </c>
      <c r="J29" s="16">
        <f t="shared" si="1"/>
        <v>1.11226197613257</v>
      </c>
      <c r="K29" s="15" t="str">
        <f t="shared" si="2"/>
        <v>否</v>
      </c>
      <c r="L29" s="15" t="str">
        <f t="shared" si="3"/>
        <v>否</v>
      </c>
      <c r="M29" s="14" t="str">
        <f t="shared" si="4"/>
        <v>否</v>
      </c>
    </row>
    <row r="30" spans="1:13">
      <c r="A30" s="182">
        <v>45646</v>
      </c>
      <c r="B30" s="183">
        <v>1.0517</v>
      </c>
      <c r="C30" s="183">
        <v>1.0517</v>
      </c>
      <c r="D30" s="184">
        <f t="shared" si="5"/>
        <v>0</v>
      </c>
      <c r="E30" s="188">
        <f t="shared" si="6"/>
        <v>-0.00138226546819312</v>
      </c>
      <c r="F30" s="189">
        <v>3927.7441</v>
      </c>
      <c r="G30" s="12">
        <f>IF(A30="","",(MAX(C$4:C30)-C30)/MAX(C$4:C30))</f>
        <v>0</v>
      </c>
      <c r="H30" s="12">
        <f>IF(A30="","",MAX(G$4:G30))</f>
        <v>0.0020755089938723</v>
      </c>
      <c r="I30" s="1">
        <f t="shared" si="0"/>
        <v>1.0517</v>
      </c>
      <c r="J30" s="16">
        <f t="shared" si="1"/>
        <v>1.11072453481138</v>
      </c>
      <c r="K30" s="15" t="str">
        <f t="shared" si="2"/>
        <v>否</v>
      </c>
      <c r="L30" s="15" t="str">
        <f t="shared" si="3"/>
        <v>否</v>
      </c>
      <c r="M30" s="14" t="str">
        <f t="shared" si="4"/>
        <v>否</v>
      </c>
    </row>
    <row r="31" spans="1:13">
      <c r="A31" s="182">
        <v>45653</v>
      </c>
      <c r="B31" s="183">
        <v>1.0509</v>
      </c>
      <c r="C31" s="183">
        <v>1.0509</v>
      </c>
      <c r="D31" s="184">
        <f t="shared" si="5"/>
        <v>-0.000760673195778391</v>
      </c>
      <c r="E31" s="188">
        <f t="shared" si="6"/>
        <v>0.0135667188705089</v>
      </c>
      <c r="F31" s="189">
        <v>3981.0307</v>
      </c>
      <c r="G31" s="12">
        <f>IF(A31="","",(MAX(C$4:C31)-C31)/MAX(C$4:C31))</f>
        <v>0.000760673195778391</v>
      </c>
      <c r="H31" s="12">
        <f>IF(A31="","",MAX(G$4:G31))</f>
        <v>0.0020755089938723</v>
      </c>
      <c r="I31" s="1">
        <f t="shared" si="0"/>
        <v>1.0509</v>
      </c>
      <c r="J31" s="16">
        <f t="shared" si="1"/>
        <v>1.12579342231774</v>
      </c>
      <c r="K31" s="15" t="str">
        <f t="shared" si="2"/>
        <v>否</v>
      </c>
      <c r="L31" s="15" t="str">
        <f t="shared" si="3"/>
        <v>否</v>
      </c>
      <c r="M31" s="14" t="str">
        <f t="shared" si="4"/>
        <v>否</v>
      </c>
    </row>
    <row r="32" spans="1:13">
      <c r="A32" s="182">
        <v>45660</v>
      </c>
      <c r="B32" s="183">
        <v>1.0534</v>
      </c>
      <c r="C32" s="183">
        <v>1.0534</v>
      </c>
      <c r="D32" s="184">
        <f t="shared" si="5"/>
        <v>0.00237891331239885</v>
      </c>
      <c r="E32" s="188">
        <f t="shared" si="6"/>
        <v>-0.0517117087290987</v>
      </c>
      <c r="F32" s="189">
        <v>3775.1648</v>
      </c>
      <c r="G32" s="12">
        <f>IF(A32="","",(MAX(C$4:C32)-C32)/MAX(C$4:C32))</f>
        <v>0</v>
      </c>
      <c r="H32" s="12">
        <f>IF(A32="","",MAX(G$4:G32))</f>
        <v>0.0020755089938723</v>
      </c>
      <c r="I32" s="1">
        <f t="shared" si="0"/>
        <v>1.0534</v>
      </c>
      <c r="J32" s="16">
        <f t="shared" si="1"/>
        <v>1.06757672077371</v>
      </c>
      <c r="K32" s="15" t="str">
        <f t="shared" si="2"/>
        <v>否</v>
      </c>
      <c r="L32" s="15" t="str">
        <f t="shared" si="3"/>
        <v>否</v>
      </c>
      <c r="M32" s="14" t="str">
        <f t="shared" si="4"/>
        <v>否</v>
      </c>
    </row>
    <row r="33" spans="1:13">
      <c r="A33" s="182">
        <v>45667</v>
      </c>
      <c r="B33" s="183">
        <v>1.0581</v>
      </c>
      <c r="C33" s="183">
        <v>1.0581</v>
      </c>
      <c r="D33" s="184">
        <f t="shared" si="5"/>
        <v>0.00446174292766295</v>
      </c>
      <c r="E33" s="188">
        <f t="shared" si="6"/>
        <v>-0.0113067381853105</v>
      </c>
      <c r="F33" s="189">
        <v>3732.48</v>
      </c>
      <c r="G33" s="12">
        <f>IF(A33="","",(MAX(C$4:C33)-C33)/MAX(C$4:C33))</f>
        <v>0</v>
      </c>
      <c r="H33" s="12">
        <f>IF(A33="","",MAX(G$4:G33))</f>
        <v>0.0020755089938723</v>
      </c>
      <c r="I33" s="1">
        <f t="shared" si="0"/>
        <v>1.0581</v>
      </c>
      <c r="J33" s="16">
        <f t="shared" si="1"/>
        <v>1.05550591029919</v>
      </c>
      <c r="K33" s="15" t="str">
        <f t="shared" si="2"/>
        <v>否</v>
      </c>
      <c r="L33" s="15" t="str">
        <f t="shared" si="3"/>
        <v>否</v>
      </c>
      <c r="M33" s="14" t="str">
        <f t="shared" si="4"/>
        <v>否</v>
      </c>
    </row>
    <row r="34" spans="1:13">
      <c r="A34" s="182">
        <v>45674</v>
      </c>
      <c r="B34" s="183">
        <v>1.0597</v>
      </c>
      <c r="C34" s="183">
        <v>1.0597</v>
      </c>
      <c r="D34" s="184">
        <f t="shared" si="5"/>
        <v>0.00151214440979118</v>
      </c>
      <c r="E34" s="188">
        <f t="shared" si="6"/>
        <v>0.0213967388974623</v>
      </c>
      <c r="F34" s="189">
        <v>3812.3429</v>
      </c>
      <c r="G34" s="12">
        <f>IF(A34="","",(MAX(C$4:C34)-C34)/MAX(C$4:C34))</f>
        <v>0</v>
      </c>
      <c r="H34" s="12">
        <f>IF(A34="","",MAX(G$4:G34))</f>
        <v>0.0020755089938723</v>
      </c>
      <c r="I34" s="1">
        <f t="shared" si="0"/>
        <v>1.0597</v>
      </c>
      <c r="J34" s="16">
        <f t="shared" si="1"/>
        <v>1.07809029466659</v>
      </c>
      <c r="K34" s="15" t="str">
        <f t="shared" si="2"/>
        <v>否</v>
      </c>
      <c r="L34" s="15" t="str">
        <f t="shared" si="3"/>
        <v>否</v>
      </c>
      <c r="M34" s="14" t="str">
        <f t="shared" si="4"/>
        <v>否</v>
      </c>
    </row>
    <row r="35" spans="1:13">
      <c r="A35" s="182">
        <v>45681</v>
      </c>
      <c r="B35" s="183">
        <v>1.0601</v>
      </c>
      <c r="C35" s="183">
        <v>1.0601</v>
      </c>
      <c r="D35" s="184">
        <f t="shared" si="5"/>
        <v>0.000377465320373649</v>
      </c>
      <c r="E35" s="188">
        <f t="shared" si="6"/>
        <v>0.00538272672167023</v>
      </c>
      <c r="F35" s="189">
        <v>3832.8637</v>
      </c>
      <c r="G35" s="12">
        <f>IF(A35="","",(MAX(C$4:C35)-C35)/MAX(C$4:C35))</f>
        <v>0</v>
      </c>
      <c r="H35" s="12">
        <f>IF(A35="","",MAX(G$4:G35))</f>
        <v>0.0020755089938723</v>
      </c>
      <c r="I35" s="1">
        <f t="shared" si="0"/>
        <v>1.0601</v>
      </c>
      <c r="J35" s="16">
        <f t="shared" si="1"/>
        <v>1.08389336010407</v>
      </c>
      <c r="K35" s="15" t="str">
        <f t="shared" si="2"/>
        <v>否</v>
      </c>
      <c r="L35" s="15" t="str">
        <f t="shared" si="3"/>
        <v>否</v>
      </c>
      <c r="M35" s="14" t="str">
        <f t="shared" si="4"/>
        <v>否</v>
      </c>
    </row>
    <row r="36" spans="1:13">
      <c r="A36" s="182">
        <v>45684</v>
      </c>
      <c r="B36" s="183">
        <v>1.0616</v>
      </c>
      <c r="C36" s="183">
        <v>1.0616</v>
      </c>
      <c r="D36" s="184">
        <f t="shared" si="5"/>
        <v>0.00141496085274979</v>
      </c>
      <c r="E36" s="188">
        <f t="shared" si="6"/>
        <v>-0.00411793928388322</v>
      </c>
      <c r="F36" s="189">
        <v>3817.0802</v>
      </c>
      <c r="G36" s="12">
        <f>IF(A36="","",(MAX(C$4:C36)-C36)/MAX(C$4:C36))</f>
        <v>0</v>
      </c>
      <c r="H36" s="12">
        <f>IF(A36="","",MAX(G$4:G36))</f>
        <v>0.0020755089938723</v>
      </c>
      <c r="I36" s="1">
        <f t="shared" si="0"/>
        <v>1.0616</v>
      </c>
      <c r="J36" s="16">
        <f t="shared" si="1"/>
        <v>1.07942995305695</v>
      </c>
      <c r="K36" s="15" t="str">
        <f t="shared" si="2"/>
        <v>否</v>
      </c>
      <c r="L36" s="15" t="str">
        <f t="shared" si="3"/>
        <v>否</v>
      </c>
      <c r="M36" s="14" t="str">
        <f t="shared" si="4"/>
        <v>否</v>
      </c>
    </row>
    <row r="37" spans="1:13">
      <c r="A37" s="182">
        <v>45695</v>
      </c>
      <c r="B37" s="183">
        <v>1.0646</v>
      </c>
      <c r="C37" s="183">
        <v>1.0646</v>
      </c>
      <c r="D37" s="184">
        <f t="shared" si="5"/>
        <v>0.00282592313489063</v>
      </c>
      <c r="E37" s="188">
        <f t="shared" si="6"/>
        <v>0.0198116350817046</v>
      </c>
      <c r="F37" s="189">
        <v>3892.7028</v>
      </c>
      <c r="G37" s="12">
        <f>IF(A37="","",(MAX(C$4:C37)-C37)/MAX(C$4:C37))</f>
        <v>0</v>
      </c>
      <c r="H37" s="12">
        <f>IF(A37="","",MAX(G$4:G37))</f>
        <v>0.0020755089938723</v>
      </c>
      <c r="I37" s="1">
        <f t="shared" si="0"/>
        <v>1.0646</v>
      </c>
      <c r="J37" s="16">
        <f t="shared" si="1"/>
        <v>1.10081522538318</v>
      </c>
      <c r="K37" s="15" t="str">
        <f t="shared" si="2"/>
        <v>否</v>
      </c>
      <c r="L37" s="15" t="str">
        <f t="shared" si="3"/>
        <v>否</v>
      </c>
      <c r="M37" s="14" t="str">
        <f t="shared" si="4"/>
        <v>否</v>
      </c>
    </row>
    <row r="38" spans="1:13">
      <c r="A38" s="182">
        <v>45702</v>
      </c>
      <c r="B38" s="183">
        <v>1.0702</v>
      </c>
      <c r="C38" s="183">
        <v>1.0702</v>
      </c>
      <c r="D38" s="184">
        <f t="shared" si="5"/>
        <v>0.00526019162126625</v>
      </c>
      <c r="E38" s="188">
        <f t="shared" si="6"/>
        <v>0.0118958991680537</v>
      </c>
      <c r="F38" s="189">
        <v>3939.01</v>
      </c>
      <c r="G38" s="12">
        <f>IF(A38="","",(MAX(C$4:C38)-C38)/MAX(C$4:C38))</f>
        <v>0</v>
      </c>
      <c r="H38" s="12">
        <f>IF(A38="","",MAX(G$4:G38))</f>
        <v>0.0020755089938723</v>
      </c>
      <c r="I38" s="1">
        <f t="shared" si="0"/>
        <v>1.0702</v>
      </c>
      <c r="J38" s="16">
        <f t="shared" si="1"/>
        <v>1.113910412307</v>
      </c>
      <c r="K38" s="15" t="str">
        <f t="shared" si="2"/>
        <v>否</v>
      </c>
      <c r="L38" s="15" t="str">
        <f t="shared" si="3"/>
        <v>否</v>
      </c>
      <c r="M38" s="14" t="str">
        <f t="shared" si="4"/>
        <v>否</v>
      </c>
    </row>
    <row r="39" spans="1:13">
      <c r="A39" s="182">
        <v>45709</v>
      </c>
      <c r="B39" s="183">
        <v>1.0742</v>
      </c>
      <c r="C39" s="183">
        <v>1.0742</v>
      </c>
      <c r="D39" s="184">
        <f t="shared" si="5"/>
        <v>0.00373761913660998</v>
      </c>
      <c r="E39" s="188">
        <f t="shared" si="6"/>
        <v>0.0100101294487701</v>
      </c>
      <c r="F39" s="189">
        <v>3978.44</v>
      </c>
      <c r="G39" s="12">
        <f>IF(A39="","",(MAX(C$4:C39)-C39)/MAX(C$4:C39))</f>
        <v>0</v>
      </c>
      <c r="H39" s="12">
        <f>IF(A39="","",MAX(G$4:G39))</f>
        <v>0.0020755089938723</v>
      </c>
      <c r="I39" s="1">
        <f t="shared" si="0"/>
        <v>1.0742</v>
      </c>
      <c r="J39" s="16">
        <f t="shared" si="1"/>
        <v>1.12506079972852</v>
      </c>
      <c r="K39" s="15" t="str">
        <f t="shared" si="2"/>
        <v>否</v>
      </c>
      <c r="L39" s="15" t="str">
        <f t="shared" si="3"/>
        <v>否</v>
      </c>
      <c r="M39" s="14" t="str">
        <f t="shared" si="4"/>
        <v>否</v>
      </c>
    </row>
    <row r="40" spans="1:13">
      <c r="A40" s="182">
        <v>45716</v>
      </c>
      <c r="B40" s="183">
        <v>1.0779</v>
      </c>
      <c r="C40" s="183">
        <v>1.0779</v>
      </c>
      <c r="D40" s="184">
        <f t="shared" si="5"/>
        <v>0.00344442375721471</v>
      </c>
      <c r="E40" s="188">
        <f t="shared" si="6"/>
        <v>-0.0222172509827972</v>
      </c>
      <c r="F40" s="189">
        <v>3890.05</v>
      </c>
      <c r="G40" s="12">
        <f>IF(A40="","",(MAX(C$4:C40)-C40)/MAX(C$4:C40))</f>
        <v>0</v>
      </c>
      <c r="H40" s="12">
        <f>IF(A40="","",MAX(G$4:G40))</f>
        <v>0.0020755089938723</v>
      </c>
      <c r="I40" s="1">
        <f t="shared" si="0"/>
        <v>1.0779</v>
      </c>
      <c r="J40" s="16">
        <f t="shared" si="1"/>
        <v>1.10006504157005</v>
      </c>
      <c r="K40" s="15" t="str">
        <f t="shared" si="2"/>
        <v>否</v>
      </c>
      <c r="L40" s="15" t="str">
        <f t="shared" si="3"/>
        <v>否</v>
      </c>
      <c r="M40" s="14" t="str">
        <f t="shared" si="4"/>
        <v>否</v>
      </c>
    </row>
    <row r="41" spans="1:13">
      <c r="A41" s="182">
        <v>45721</v>
      </c>
      <c r="B41" s="183">
        <v>1.0804</v>
      </c>
      <c r="C41" s="183">
        <v>1.0804</v>
      </c>
      <c r="D41" s="184">
        <f t="shared" si="5"/>
        <v>0.00231932461267274</v>
      </c>
      <c r="E41" s="188">
        <f t="shared" si="6"/>
        <v>0.0138712870014524</v>
      </c>
      <c r="F41" s="189">
        <v>3944.01</v>
      </c>
      <c r="G41" s="12">
        <f>IF(A41="","",(MAX(C$4:C41)-C41)/MAX(C$4:C41))</f>
        <v>0</v>
      </c>
      <c r="H41" s="12">
        <f>IF(A41="","",MAX(G$4:G41))</f>
        <v>0.0020755089938723</v>
      </c>
      <c r="I41" s="1">
        <f t="shared" si="0"/>
        <v>1.0804</v>
      </c>
      <c r="J41" s="16">
        <f t="shared" si="1"/>
        <v>1.11532435948193</v>
      </c>
      <c r="K41" s="15" t="str">
        <f t="shared" si="2"/>
        <v>否</v>
      </c>
      <c r="L41" s="15" t="str">
        <f t="shared" si="3"/>
        <v>否</v>
      </c>
      <c r="M41" s="14" t="str">
        <f t="shared" si="4"/>
        <v>否</v>
      </c>
    </row>
    <row r="42" spans="1:13">
      <c r="A42" s="182">
        <v>45730</v>
      </c>
      <c r="B42" s="183">
        <v>1.0804</v>
      </c>
      <c r="C42" s="183">
        <v>1.0804</v>
      </c>
      <c r="D42" s="184">
        <f t="shared" si="5"/>
        <v>0</v>
      </c>
      <c r="E42" s="188">
        <f t="shared" si="6"/>
        <v>0.0158594932568629</v>
      </c>
      <c r="F42" s="189">
        <v>4006.56</v>
      </c>
      <c r="G42" s="12">
        <f>IF(A42="","",(MAX(C$4:C42)-C42)/MAX(C$4:C42))</f>
        <v>0</v>
      </c>
      <c r="H42" s="12">
        <f>IF(A42="","",MAX(G$4:G42))</f>
        <v>0.0020755089938723</v>
      </c>
      <c r="I42" s="1">
        <f t="shared" si="0"/>
        <v>1.0804</v>
      </c>
      <c r="J42" s="16">
        <f t="shared" si="1"/>
        <v>1.13301283864035</v>
      </c>
      <c r="K42" s="15" t="str">
        <f t="shared" si="2"/>
        <v>否</v>
      </c>
      <c r="L42" s="15" t="str">
        <f t="shared" si="3"/>
        <v>否</v>
      </c>
      <c r="M42" s="14" t="str">
        <f t="shared" si="4"/>
        <v>否</v>
      </c>
    </row>
    <row r="43" spans="1:13">
      <c r="A43" s="182">
        <v>45737</v>
      </c>
      <c r="B43" s="183">
        <v>1.0827</v>
      </c>
      <c r="C43" s="183">
        <v>1.0827</v>
      </c>
      <c r="D43" s="184">
        <f t="shared" si="5"/>
        <v>0.00212884116993703</v>
      </c>
      <c r="E43" s="188">
        <f t="shared" si="6"/>
        <v>-0.0229273990655326</v>
      </c>
      <c r="F43" s="189">
        <v>3914.7</v>
      </c>
      <c r="G43" s="12">
        <f>IF(A43="","",(MAX(C$4:C43)-C43)/MAX(C$4:C43))</f>
        <v>0</v>
      </c>
      <c r="H43" s="12">
        <f>IF(A43="","",MAX(G$4:G43))</f>
        <v>0.0020755089938723</v>
      </c>
      <c r="I43" s="1">
        <f t="shared" si="0"/>
        <v>1.0827</v>
      </c>
      <c r="J43" s="16">
        <f t="shared" si="1"/>
        <v>1.10703580114247</v>
      </c>
      <c r="K43" s="15" t="str">
        <f t="shared" si="2"/>
        <v>否</v>
      </c>
      <c r="L43" s="15" t="str">
        <f t="shared" si="3"/>
        <v>否</v>
      </c>
      <c r="M43" s="14" t="str">
        <f t="shared" si="4"/>
        <v>否</v>
      </c>
    </row>
    <row r="44" spans="1:13">
      <c r="A44" s="182">
        <v>45744</v>
      </c>
      <c r="B44" s="183">
        <v>1.0813</v>
      </c>
      <c r="C44" s="183">
        <v>1.0813</v>
      </c>
      <c r="D44" s="184">
        <f t="shared" si="5"/>
        <v>-0.00129306363720335</v>
      </c>
      <c r="E44" s="188">
        <f t="shared" si="6"/>
        <v>0.000120060285590276</v>
      </c>
      <c r="F44" s="189">
        <v>3915.17</v>
      </c>
      <c r="G44" s="12">
        <f>IF(A44="","",(MAX(C$4:C44)-C44)/MAX(C$4:C44))</f>
        <v>0.00129306363720335</v>
      </c>
      <c r="H44" s="12">
        <f>IF(A44="","",MAX(G$4:G44))</f>
        <v>0.0020755089938723</v>
      </c>
      <c r="I44" s="1">
        <f t="shared" si="0"/>
        <v>1.0813</v>
      </c>
      <c r="J44" s="16">
        <f t="shared" si="1"/>
        <v>1.10716871217691</v>
      </c>
      <c r="K44" s="15" t="str">
        <f t="shared" si="2"/>
        <v>否</v>
      </c>
      <c r="L44" s="15" t="str">
        <f t="shared" si="3"/>
        <v>否</v>
      </c>
      <c r="M44" s="14" t="str">
        <f t="shared" si="4"/>
        <v>否</v>
      </c>
    </row>
    <row r="45" spans="1:13">
      <c r="A45" s="182">
        <v>45750</v>
      </c>
      <c r="B45" s="183">
        <v>1.083</v>
      </c>
      <c r="C45" s="183">
        <v>1.083</v>
      </c>
      <c r="D45" s="184">
        <f t="shared" si="5"/>
        <v>0.00157218163321931</v>
      </c>
      <c r="E45" s="188">
        <f t="shared" si="6"/>
        <v>-0.0137082170122881</v>
      </c>
      <c r="F45" s="189">
        <v>3861.5</v>
      </c>
      <c r="G45" s="12">
        <f>IF(A45="","",(MAX(C$4:C45)-C45)/MAX(C$4:C45))</f>
        <v>0</v>
      </c>
      <c r="H45" s="12">
        <f>IF(A45="","",MAX(G$4:G45))</f>
        <v>0.0020755089938723</v>
      </c>
      <c r="I45" s="1">
        <f t="shared" si="0"/>
        <v>1.083</v>
      </c>
      <c r="J45" s="16">
        <f t="shared" si="1"/>
        <v>1.09199140320118</v>
      </c>
      <c r="K45" s="15" t="str">
        <f t="shared" si="2"/>
        <v>否</v>
      </c>
      <c r="L45" s="15" t="str">
        <f t="shared" si="3"/>
        <v>否</v>
      </c>
      <c r="M45" s="14" t="str">
        <f t="shared" si="4"/>
        <v>否</v>
      </c>
    </row>
    <row r="46" spans="1:13">
      <c r="A46" s="182">
        <v>45758</v>
      </c>
      <c r="B46" s="183">
        <v>1.0929</v>
      </c>
      <c r="C46" s="183">
        <v>1.0929</v>
      </c>
      <c r="D46" s="184">
        <f t="shared" si="5"/>
        <v>0.00914127423822716</v>
      </c>
      <c r="E46" s="188">
        <f t="shared" si="6"/>
        <v>-0.0287401268936942</v>
      </c>
      <c r="F46" s="189">
        <v>3750.52</v>
      </c>
      <c r="G46" s="12">
        <f>IF(A46="","",(MAX(C$4:C46)-C46)/MAX(C$4:C46))</f>
        <v>0</v>
      </c>
      <c r="H46" s="12">
        <f>IF(A46="","",MAX(G$4:G46))</f>
        <v>0.0020755089938723</v>
      </c>
      <c r="I46" s="1">
        <f t="shared" si="0"/>
        <v>1.0929</v>
      </c>
      <c r="J46" s="16">
        <f t="shared" si="1"/>
        <v>1.06060743170635</v>
      </c>
      <c r="K46" s="15" t="str">
        <f t="shared" si="2"/>
        <v>否</v>
      </c>
      <c r="L46" s="15" t="str">
        <f t="shared" si="3"/>
        <v>否</v>
      </c>
      <c r="M46" s="14" t="str">
        <f t="shared" si="4"/>
        <v>否</v>
      </c>
    </row>
    <row r="47" spans="1:13">
      <c r="A47" s="182">
        <v>45765</v>
      </c>
      <c r="B47" s="183">
        <v>1.0929</v>
      </c>
      <c r="C47" s="183">
        <v>1.0929</v>
      </c>
      <c r="D47" s="184">
        <f t="shared" si="5"/>
        <v>0</v>
      </c>
      <c r="E47" s="188">
        <f t="shared" si="6"/>
        <v>0.00586585326834679</v>
      </c>
      <c r="F47" s="189">
        <v>3772.52</v>
      </c>
      <c r="G47" s="12">
        <f>IF(A47="","",(MAX(C$4:C47)-C47)/MAX(C$4:C47))</f>
        <v>0</v>
      </c>
      <c r="H47" s="12">
        <f>IF(A47="","",MAX(G$4:G47))</f>
        <v>0.0020755089938723</v>
      </c>
      <c r="I47" s="1">
        <f t="shared" si="0"/>
        <v>1.0929</v>
      </c>
      <c r="J47" s="16">
        <f t="shared" si="1"/>
        <v>1.06682879927606</v>
      </c>
      <c r="K47" s="15" t="str">
        <f t="shared" si="2"/>
        <v>否</v>
      </c>
      <c r="L47" s="15" t="str">
        <f t="shared" si="3"/>
        <v>否</v>
      </c>
      <c r="M47" s="14" t="str">
        <f t="shared" si="4"/>
        <v>否</v>
      </c>
    </row>
    <row r="48" spans="1:13">
      <c r="A48" s="182">
        <v>45772</v>
      </c>
      <c r="B48" s="183">
        <v>1.0948</v>
      </c>
      <c r="C48" s="183">
        <v>1.0948</v>
      </c>
      <c r="D48" s="184">
        <f t="shared" si="5"/>
        <v>0.00173849391527131</v>
      </c>
      <c r="E48" s="188">
        <f t="shared" si="6"/>
        <v>0.00383563241546759</v>
      </c>
      <c r="F48" s="189">
        <v>3786.99</v>
      </c>
      <c r="G48" s="12">
        <f>IF(A48="","",(MAX(C$4:C48)-C48)/MAX(C$4:C48))</f>
        <v>0</v>
      </c>
      <c r="H48" s="12">
        <f>IF(A48="","",MAX(G$4:G48))</f>
        <v>0.0020755089938723</v>
      </c>
      <c r="I48" s="1">
        <f t="shared" si="0"/>
        <v>1.0948</v>
      </c>
      <c r="J48" s="16">
        <f t="shared" si="1"/>
        <v>1.07092076240032</v>
      </c>
      <c r="K48" s="15" t="str">
        <f t="shared" si="2"/>
        <v>否</v>
      </c>
      <c r="L48" s="15" t="str">
        <f t="shared" si="3"/>
        <v>否</v>
      </c>
      <c r="M48" s="14" t="str">
        <f t="shared" si="4"/>
        <v>否</v>
      </c>
    </row>
    <row r="49" spans="1:13">
      <c r="A49" s="182">
        <v>45777</v>
      </c>
      <c r="B49" s="183">
        <v>1.0937</v>
      </c>
      <c r="C49" s="183">
        <v>1.0937</v>
      </c>
      <c r="D49" s="184">
        <f t="shared" si="5"/>
        <v>-0.00100474972597744</v>
      </c>
      <c r="E49" s="188">
        <f t="shared" si="6"/>
        <v>-0.00433589737495996</v>
      </c>
      <c r="F49" s="189">
        <v>3770.57</v>
      </c>
      <c r="G49" s="12">
        <f>IF(A49="","",(MAX(C$4:C49)-C49)/MAX(C$4:C49))</f>
        <v>0.00100474972597744</v>
      </c>
      <c r="H49" s="12">
        <f>IF(A49="","",MAX(G$4:G49))</f>
        <v>0.0020755089938723</v>
      </c>
      <c r="I49" s="1">
        <f t="shared" si="0"/>
        <v>1.0937</v>
      </c>
      <c r="J49" s="16">
        <f t="shared" si="1"/>
        <v>1.06627735987784</v>
      </c>
      <c r="K49" s="15" t="str">
        <f t="shared" si="2"/>
        <v>否</v>
      </c>
      <c r="L49" s="15" t="str">
        <f t="shared" si="3"/>
        <v>否</v>
      </c>
      <c r="M49" s="14" t="str">
        <f t="shared" si="4"/>
        <v>否</v>
      </c>
    </row>
    <row r="50" spans="1:13">
      <c r="A50" s="182">
        <v>45786</v>
      </c>
      <c r="B50" s="183">
        <v>1.0974</v>
      </c>
      <c r="C50" s="183">
        <v>1.0974</v>
      </c>
      <c r="D50" s="184">
        <f t="shared" si="5"/>
        <v>0.00338301179482494</v>
      </c>
      <c r="E50" s="188">
        <f t="shared" si="6"/>
        <v>0.0200473668437397</v>
      </c>
      <c r="F50" s="189">
        <v>3846.16</v>
      </c>
      <c r="G50" s="12">
        <f>IF(A50="","",(MAX(C$4:C50)-C50)/MAX(C$4:C50))</f>
        <v>0</v>
      </c>
      <c r="H50" s="12">
        <f>IF(A50="","",MAX(G$4:G50))</f>
        <v>0.0020755089938723</v>
      </c>
      <c r="I50" s="1">
        <f t="shared" si="0"/>
        <v>1.0974</v>
      </c>
      <c r="J50" s="16">
        <f t="shared" si="1"/>
        <v>1.08765341326848</v>
      </c>
      <c r="K50" s="15" t="str">
        <f t="shared" si="2"/>
        <v>否</v>
      </c>
      <c r="L50" s="15" t="str">
        <f t="shared" si="3"/>
        <v>否</v>
      </c>
      <c r="M50" s="14" t="str">
        <f t="shared" si="4"/>
        <v>否</v>
      </c>
    </row>
    <row r="51" spans="1:13">
      <c r="A51" s="182">
        <v>45793</v>
      </c>
      <c r="B51" s="183">
        <v>1.0969</v>
      </c>
      <c r="C51" s="183">
        <v>1.0969</v>
      </c>
      <c r="D51" s="184">
        <f t="shared" si="5"/>
        <v>-0.000455622380171264</v>
      </c>
      <c r="E51" s="188">
        <f t="shared" si="6"/>
        <v>0.0111617821411487</v>
      </c>
      <c r="F51" s="189">
        <v>3889.09</v>
      </c>
      <c r="G51" s="12">
        <f>IF(A51="","",(MAX(C$4:C51)-C51)/MAX(C$4:C51))</f>
        <v>0.000455622380171264</v>
      </c>
      <c r="H51" s="12">
        <f>IF(A51="","",MAX(G$4:G51))</f>
        <v>0.0020755089938723</v>
      </c>
      <c r="I51" s="1">
        <f t="shared" si="0"/>
        <v>1.0969</v>
      </c>
      <c r="J51" s="16">
        <f t="shared" si="1"/>
        <v>1.09979356371246</v>
      </c>
      <c r="K51" s="15" t="str">
        <f t="shared" si="2"/>
        <v>否</v>
      </c>
      <c r="L51" s="15" t="str">
        <f t="shared" si="3"/>
        <v>否</v>
      </c>
      <c r="M51" s="14" t="str">
        <f t="shared" si="4"/>
        <v>否</v>
      </c>
    </row>
    <row r="52" spans="1:13">
      <c r="A52" s="182">
        <v>45800</v>
      </c>
      <c r="B52" s="183">
        <v>1.097</v>
      </c>
      <c r="C52" s="183">
        <v>1.097</v>
      </c>
      <c r="D52" s="184">
        <f t="shared" si="5"/>
        <v>9.11660133102279e-5</v>
      </c>
      <c r="E52" s="188">
        <f t="shared" si="6"/>
        <v>-0.00175362359832253</v>
      </c>
      <c r="F52" s="189">
        <v>3882.27</v>
      </c>
      <c r="G52" s="12">
        <f>IF(A52="","",(MAX(C$4:C52)-C52)/MAX(C$4:C52))</f>
        <v>0.000364497904137011</v>
      </c>
      <c r="H52" s="12">
        <f>IF(A52="","",MAX(G$4:G52))</f>
        <v>0.0020755089938723</v>
      </c>
      <c r="I52" s="1">
        <f t="shared" si="0"/>
        <v>1.097</v>
      </c>
      <c r="J52" s="16">
        <f t="shared" si="1"/>
        <v>1.09786493976585</v>
      </c>
      <c r="K52" s="15" t="str">
        <f t="shared" si="2"/>
        <v>否</v>
      </c>
      <c r="L52" s="15" t="str">
        <f t="shared" si="3"/>
        <v>否</v>
      </c>
      <c r="M52" s="14" t="str">
        <f t="shared" si="4"/>
        <v>否</v>
      </c>
    </row>
    <row r="53" spans="1:13">
      <c r="A53" s="182">
        <v>45807</v>
      </c>
      <c r="B53" s="183">
        <v>1.0972</v>
      </c>
      <c r="C53" s="183">
        <v>1.0972</v>
      </c>
      <c r="D53" s="184">
        <f t="shared" si="5"/>
        <v>0.000182315405651757</v>
      </c>
      <c r="E53" s="188">
        <f t="shared" si="6"/>
        <v>-0.0108287161892398</v>
      </c>
      <c r="F53" s="189">
        <v>3840.23</v>
      </c>
      <c r="G53" s="12">
        <f>IF(A53="","",(MAX(C$4:C53)-C53)/MAX(C$4:C53))</f>
        <v>0.000182248952068506</v>
      </c>
      <c r="H53" s="12">
        <f>IF(A53="","",MAX(G$4:G53))</f>
        <v>0.0020755089938723</v>
      </c>
      <c r="I53" s="1">
        <f t="shared" si="0"/>
        <v>1.0972</v>
      </c>
      <c r="J53" s="16">
        <f t="shared" si="1"/>
        <v>1.08597647191901</v>
      </c>
      <c r="K53" s="15" t="str">
        <f t="shared" si="2"/>
        <v>否</v>
      </c>
      <c r="L53" s="15" t="str">
        <f t="shared" si="3"/>
        <v>否</v>
      </c>
      <c r="M53" s="14" t="str">
        <f t="shared" si="4"/>
        <v>否</v>
      </c>
    </row>
    <row r="54" spans="1:13">
      <c r="A54" s="182">
        <v>45814</v>
      </c>
      <c r="B54" s="183">
        <v>1.0967</v>
      </c>
      <c r="C54" s="183">
        <v>1.0967</v>
      </c>
      <c r="D54" s="184">
        <f t="shared" si="5"/>
        <v>-0.000455705432008699</v>
      </c>
      <c r="E54" s="188">
        <f t="shared" si="6"/>
        <v>0.00878853610330631</v>
      </c>
      <c r="F54" s="189">
        <v>3873.98</v>
      </c>
      <c r="G54" s="12">
        <f>IF(A54="","",(MAX(C$4:C54)-C54)/MAX(C$4:C54))</f>
        <v>0.000637871332239769</v>
      </c>
      <c r="H54" s="12">
        <f>IF(A54="","",MAX(G$4:G54))</f>
        <v>0.0020755089938723</v>
      </c>
      <c r="I54" s="1">
        <f t="shared" si="0"/>
        <v>1.0967</v>
      </c>
      <c r="J54" s="16">
        <f t="shared" si="1"/>
        <v>1.09552061534981</v>
      </c>
      <c r="K54" s="15" t="str">
        <f t="shared" si="2"/>
        <v>否</v>
      </c>
      <c r="L54" s="15" t="str">
        <f t="shared" si="3"/>
        <v>否</v>
      </c>
      <c r="M54" s="14" t="str">
        <f t="shared" si="4"/>
        <v>否</v>
      </c>
    </row>
    <row r="55" spans="1:13">
      <c r="A55" s="182">
        <v>45821</v>
      </c>
      <c r="B55" s="183">
        <v>1.0955</v>
      </c>
      <c r="C55" s="183">
        <v>1.0955</v>
      </c>
      <c r="D55" s="184">
        <f t="shared" si="5"/>
        <v>-0.00109419166590689</v>
      </c>
      <c r="E55" s="188">
        <f t="shared" si="6"/>
        <v>-0.00252969813989752</v>
      </c>
      <c r="F55" s="189">
        <v>3864.18</v>
      </c>
      <c r="G55" s="12">
        <f>IF(A55="","",(MAX(C$4:C55)-C55)/MAX(C$4:C55))</f>
        <v>0.00173136504465101</v>
      </c>
      <c r="H55" s="12">
        <f>IF(A55="","",MAX(G$4:G55))</f>
        <v>0.0020755089938723</v>
      </c>
      <c r="I55" s="1">
        <f t="shared" si="0"/>
        <v>1.0955</v>
      </c>
      <c r="J55" s="16">
        <f t="shared" si="1"/>
        <v>1.09274927888694</v>
      </c>
      <c r="K55" s="15" t="str">
        <f t="shared" si="2"/>
        <v>否</v>
      </c>
      <c r="L55" s="15" t="str">
        <f t="shared" si="3"/>
        <v>否</v>
      </c>
      <c r="M55" s="14" t="str">
        <f t="shared" si="4"/>
        <v>否</v>
      </c>
    </row>
    <row r="56" spans="1:13">
      <c r="A56" s="182">
        <v>45828</v>
      </c>
      <c r="B56" s="183">
        <v>1.0946</v>
      </c>
      <c r="C56" s="183">
        <v>1.0946</v>
      </c>
      <c r="D56" s="184">
        <f t="shared" si="5"/>
        <v>-0.000821542674577728</v>
      </c>
      <c r="E56" s="188">
        <f t="shared" si="6"/>
        <v>-0.00453912602415</v>
      </c>
      <c r="F56" s="189">
        <v>3846.64</v>
      </c>
      <c r="G56" s="12">
        <f>IF(A56="","",(MAX(C$4:C56)-C56)/MAX(C$4:C56))</f>
        <v>0.00255148532895928</v>
      </c>
      <c r="H56" s="12">
        <f>IF(A56="","",MAX(G$4:G56))</f>
        <v>0.00255148532895928</v>
      </c>
      <c r="I56" s="1">
        <f t="shared" si="0"/>
        <v>1.0946</v>
      </c>
      <c r="J56" s="16">
        <f t="shared" si="1"/>
        <v>1.08778915219727</v>
      </c>
      <c r="K56" s="15" t="str">
        <f t="shared" si="2"/>
        <v>否</v>
      </c>
      <c r="L56" s="15" t="str">
        <f t="shared" si="3"/>
        <v>否</v>
      </c>
      <c r="M56" s="14" t="str">
        <f t="shared" si="4"/>
        <v>否</v>
      </c>
    </row>
    <row r="57" spans="1:13">
      <c r="A57" s="182">
        <v>45835</v>
      </c>
      <c r="B57" s="183">
        <v>1.0961</v>
      </c>
      <c r="C57" s="183">
        <v>1.0961</v>
      </c>
      <c r="D57" s="184">
        <f t="shared" si="5"/>
        <v>0.00137036360314275</v>
      </c>
      <c r="E57" s="188">
        <f t="shared" si="6"/>
        <v>0.0195287315683299</v>
      </c>
      <c r="F57" s="189">
        <v>3921.76</v>
      </c>
      <c r="G57" s="12">
        <f>IF(A57="","",(MAX(C$4:C57)-C57)/MAX(C$4:C57))</f>
        <v>0.00118461818844529</v>
      </c>
      <c r="H57" s="12">
        <f>IF(A57="","",MAX(G$4:G57))</f>
        <v>0.00255148532895928</v>
      </c>
      <c r="I57" s="1">
        <f t="shared" si="0"/>
        <v>1.0961</v>
      </c>
      <c r="J57" s="16">
        <f t="shared" si="1"/>
        <v>1.10903229455348</v>
      </c>
      <c r="K57" s="15" t="str">
        <f t="shared" si="2"/>
        <v>否</v>
      </c>
      <c r="L57" s="15" t="str">
        <f t="shared" si="3"/>
        <v>否</v>
      </c>
      <c r="M57" s="14" t="str">
        <f t="shared" si="4"/>
        <v>否</v>
      </c>
    </row>
    <row r="58" spans="1:13">
      <c r="A58" s="182">
        <v>45842</v>
      </c>
      <c r="B58" s="183">
        <v>1.0967</v>
      </c>
      <c r="C58" s="183">
        <v>1.0967</v>
      </c>
      <c r="D58" s="184">
        <f t="shared" si="5"/>
        <v>0.000547395310646778</v>
      </c>
      <c r="E58" s="188">
        <f t="shared" si="6"/>
        <v>0.0154114479213413</v>
      </c>
      <c r="F58" s="189">
        <v>3982.2</v>
      </c>
      <c r="G58" s="12">
        <f>IF(A58="","",(MAX(C$4:C58)-C58)/MAX(C$4:C58))</f>
        <v>0.000637871332239769</v>
      </c>
      <c r="H58" s="12">
        <f>IF(A58="","",MAX(G$4:G58))</f>
        <v>0.00255148532895928</v>
      </c>
      <c r="I58" s="1">
        <f t="shared" si="0"/>
        <v>1.0967</v>
      </c>
      <c r="J58" s="16">
        <f t="shared" si="1"/>
        <v>1.12612408800407</v>
      </c>
      <c r="K58" s="15" t="str">
        <f t="shared" si="2"/>
        <v>否</v>
      </c>
      <c r="L58" s="15" t="str">
        <f t="shared" si="3"/>
        <v>否</v>
      </c>
      <c r="M58" s="14" t="str">
        <f t="shared" si="4"/>
        <v>否</v>
      </c>
    </row>
    <row r="59" spans="1:13">
      <c r="A59" s="182">
        <v>45849</v>
      </c>
      <c r="B59" s="183">
        <v>1.0951</v>
      </c>
      <c r="C59" s="183">
        <v>1.0951</v>
      </c>
      <c r="D59" s="184">
        <f t="shared" si="5"/>
        <v>-0.00145892222120912</v>
      </c>
      <c r="E59" s="188">
        <f t="shared" si="6"/>
        <v>0.00818894078649996</v>
      </c>
      <c r="F59" s="189">
        <v>4014.81</v>
      </c>
      <c r="G59" s="12">
        <f>IF(A59="","",(MAX(C$4:C59)-C59)/MAX(C$4:C59))</f>
        <v>0.00209586294878802</v>
      </c>
      <c r="H59" s="12">
        <f>IF(A59="","",MAX(G$4:G59))</f>
        <v>0.00255148532895928</v>
      </c>
      <c r="I59" s="1">
        <f t="shared" si="0"/>
        <v>1.0951</v>
      </c>
      <c r="J59" s="16">
        <f t="shared" si="1"/>
        <v>1.13534585147899</v>
      </c>
      <c r="K59" s="15" t="str">
        <f t="shared" si="2"/>
        <v>否</v>
      </c>
      <c r="L59" s="15" t="str">
        <f t="shared" si="3"/>
        <v>否</v>
      </c>
      <c r="M59" s="14" t="str">
        <f t="shared" si="4"/>
        <v>否</v>
      </c>
    </row>
    <row r="60" spans="1:13">
      <c r="A60" s="182">
        <v>45856</v>
      </c>
      <c r="B60" s="183">
        <v>1.0971</v>
      </c>
      <c r="C60" s="183">
        <v>1.0971</v>
      </c>
      <c r="D60" s="184">
        <f t="shared" si="5"/>
        <v>0.00182631723130308</v>
      </c>
      <c r="E60" s="188">
        <f t="shared" si="6"/>
        <v>0.0108946625120492</v>
      </c>
      <c r="F60" s="189">
        <v>4058.55</v>
      </c>
      <c r="G60" s="12">
        <f>IF(A60="","",(MAX(C$4:C60)-C60)/MAX(C$4:C60))</f>
        <v>0.000273373428102758</v>
      </c>
      <c r="H60" s="12">
        <f>IF(A60="","",MAX(G$4:G60))</f>
        <v>0.00255148532895928</v>
      </c>
      <c r="I60" s="1">
        <f t="shared" si="0"/>
        <v>1.0971</v>
      </c>
      <c r="J60" s="16">
        <f t="shared" si="1"/>
        <v>1.14771506136531</v>
      </c>
      <c r="K60" s="15" t="str">
        <f t="shared" si="2"/>
        <v>否</v>
      </c>
      <c r="L60" s="15" t="str">
        <f t="shared" si="3"/>
        <v>否</v>
      </c>
      <c r="M60" s="14" t="str">
        <f t="shared" si="4"/>
        <v>否</v>
      </c>
    </row>
    <row r="61" spans="1:13">
      <c r="A61" s="182">
        <v>45863</v>
      </c>
      <c r="B61" s="183">
        <v>1.1011</v>
      </c>
      <c r="C61" s="183">
        <v>1.1011</v>
      </c>
      <c r="D61" s="184">
        <f t="shared" si="5"/>
        <v>0.00364597575426124</v>
      </c>
      <c r="E61" s="188">
        <f t="shared" si="6"/>
        <v>0.0169050522970025</v>
      </c>
      <c r="F61" s="189">
        <v>4127.16</v>
      </c>
      <c r="G61" s="12">
        <f>IF(A61="","",(MAX(C$4:C61)-C61)/MAX(C$4:C61))</f>
        <v>0</v>
      </c>
      <c r="H61" s="12">
        <f>IF(A61="","",MAX(G$4:G61))</f>
        <v>0.00255148532895928</v>
      </c>
      <c r="I61" s="1">
        <f t="shared" si="0"/>
        <v>1.1011</v>
      </c>
      <c r="J61" s="16">
        <f t="shared" si="1"/>
        <v>1.16711724449975</v>
      </c>
      <c r="K61" s="15" t="str">
        <f t="shared" si="2"/>
        <v>否</v>
      </c>
      <c r="L61" s="15" t="str">
        <f t="shared" si="3"/>
        <v>否</v>
      </c>
      <c r="M61" s="14" t="str">
        <f t="shared" si="4"/>
        <v>否</v>
      </c>
    </row>
    <row r="62" spans="1:13">
      <c r="A62" s="182">
        <v>45870</v>
      </c>
      <c r="B62" s="183">
        <v>1.1036</v>
      </c>
      <c r="C62" s="183">
        <v>1.1036</v>
      </c>
      <c r="D62" s="184">
        <f t="shared" si="5"/>
        <v>0.00227045681591131</v>
      </c>
      <c r="E62" s="188">
        <f t="shared" si="6"/>
        <v>-0.0175011387976236</v>
      </c>
      <c r="F62" s="189">
        <v>4054.93</v>
      </c>
      <c r="G62" s="12">
        <f>IF(A62="","",(MAX(C$4:C62)-C62)/MAX(C$4:C62))</f>
        <v>0</v>
      </c>
      <c r="H62" s="12">
        <f>IF(A62="","",MAX(G$4:G62))</f>
        <v>0.00255148532895928</v>
      </c>
      <c r="I62" s="1">
        <f t="shared" si="0"/>
        <v>1.1036</v>
      </c>
      <c r="J62" s="16">
        <f t="shared" si="1"/>
        <v>1.14669136361066</v>
      </c>
      <c r="K62" s="15" t="str">
        <f t="shared" si="2"/>
        <v>否</v>
      </c>
      <c r="L62" s="15" t="str">
        <f t="shared" si="3"/>
        <v>否</v>
      </c>
      <c r="M62" s="14" t="str">
        <f t="shared" si="4"/>
        <v>否</v>
      </c>
    </row>
    <row r="63" spans="1:13">
      <c r="A63" s="182">
        <v>45877</v>
      </c>
      <c r="B63" s="183">
        <v>1.1066</v>
      </c>
      <c r="C63" s="183">
        <v>1.1066</v>
      </c>
      <c r="D63" s="184">
        <f t="shared" si="5"/>
        <v>0.0027183762232694</v>
      </c>
      <c r="E63" s="188">
        <f t="shared" si="6"/>
        <v>0.0123405336220355</v>
      </c>
      <c r="F63" s="168">
        <v>4104.97</v>
      </c>
      <c r="G63" s="12">
        <f>IF(A63="","",(MAX(C$4:C63)-C63)/MAX(C$4:C63))</f>
        <v>0</v>
      </c>
      <c r="H63" s="12">
        <f>IF(A63="","",MAX(G$4:G63))</f>
        <v>0.00255148532895928</v>
      </c>
      <c r="I63" s="1">
        <f t="shared" si="0"/>
        <v>1.1066</v>
      </c>
      <c r="J63" s="16">
        <f t="shared" si="1"/>
        <v>1.16084214693739</v>
      </c>
      <c r="K63" s="15" t="str">
        <f t="shared" si="2"/>
        <v>否</v>
      </c>
      <c r="L63" s="15" t="str">
        <f t="shared" si="3"/>
        <v>否</v>
      </c>
      <c r="M63" s="14" t="str">
        <f t="shared" si="4"/>
        <v>否</v>
      </c>
    </row>
    <row r="64" spans="1:13">
      <c r="A64" s="182">
        <v>45884</v>
      </c>
      <c r="B64" s="186">
        <v>1.105</v>
      </c>
      <c r="C64" s="186">
        <v>1.105</v>
      </c>
      <c r="D64" s="184">
        <f t="shared" si="5"/>
        <v>-0.00144587023314662</v>
      </c>
      <c r="E64" s="188">
        <f t="shared" si="6"/>
        <v>0.0237224632579532</v>
      </c>
      <c r="F64" s="168">
        <v>4202.35</v>
      </c>
      <c r="G64" s="12">
        <f>IF(A64="","",(MAX(C$4:C64)-C64)/MAX(C$4:C64))</f>
        <v>0.00144587023314662</v>
      </c>
      <c r="H64" s="12">
        <f>IF(A64="","",MAX(G$4:G64))</f>
        <v>0.00255148532895928</v>
      </c>
      <c r="I64" s="1">
        <f t="shared" si="0"/>
        <v>1.105</v>
      </c>
      <c r="J64" s="16">
        <f t="shared" si="1"/>
        <v>1.1883801821164</v>
      </c>
      <c r="K64" s="15" t="str">
        <f t="shared" si="2"/>
        <v>否</v>
      </c>
      <c r="L64" s="15" t="str">
        <f t="shared" si="3"/>
        <v>否</v>
      </c>
      <c r="M64" s="14" t="str">
        <f t="shared" si="4"/>
        <v>否</v>
      </c>
    </row>
    <row r="65" spans="1:13">
      <c r="A65" s="182">
        <v>45891</v>
      </c>
      <c r="B65" s="186">
        <v>1.108</v>
      </c>
      <c r="C65" s="186">
        <v>1.108</v>
      </c>
      <c r="D65" s="184">
        <f t="shared" si="5"/>
        <v>0.00271493212669694</v>
      </c>
      <c r="E65" s="188">
        <f t="shared" si="6"/>
        <v>0.0417980415719775</v>
      </c>
      <c r="F65" s="168">
        <v>4378</v>
      </c>
      <c r="G65" s="12">
        <f>IF(A65="","",(MAX(C$4:C65)-C65)/MAX(C$4:C65))</f>
        <v>0</v>
      </c>
      <c r="H65" s="12">
        <f>IF(A65="","",MAX(G$4:G65))</f>
        <v>0.00255148532895928</v>
      </c>
      <c r="I65" s="1">
        <f t="shared" si="0"/>
        <v>1.108</v>
      </c>
      <c r="J65" s="16">
        <f t="shared" si="1"/>
        <v>1.23805214637181</v>
      </c>
      <c r="K65" s="15" t="str">
        <f t="shared" si="2"/>
        <v>否</v>
      </c>
      <c r="L65" s="15" t="str">
        <f t="shared" si="3"/>
        <v>否</v>
      </c>
      <c r="M65" s="14" t="str">
        <f t="shared" si="4"/>
        <v>否</v>
      </c>
    </row>
    <row r="66" spans="1:13">
      <c r="A66" s="182">
        <v>45898</v>
      </c>
      <c r="B66" s="183">
        <v>1.1048</v>
      </c>
      <c r="C66" s="183">
        <v>1.1048</v>
      </c>
      <c r="D66" s="184">
        <f t="shared" si="5"/>
        <v>-0.00288808664259936</v>
      </c>
      <c r="E66" s="188">
        <f t="shared" si="6"/>
        <v>0.0271265417999087</v>
      </c>
      <c r="F66" s="168">
        <v>4496.76</v>
      </c>
      <c r="G66" s="12">
        <f>IF(A66="","",(MAX(C$4:C66)-C66)/MAX(C$4:C66))</f>
        <v>0.00288808664259936</v>
      </c>
      <c r="H66" s="12">
        <f>IF(A66="","",MAX(G$4:G66))</f>
        <v>0.00288808664259936</v>
      </c>
      <c r="I66" s="1">
        <f t="shared" si="0"/>
        <v>1.1048</v>
      </c>
      <c r="J66" s="16">
        <f t="shared" si="1"/>
        <v>1.27163621967083</v>
      </c>
      <c r="K66" s="15" t="str">
        <f t="shared" si="2"/>
        <v>否</v>
      </c>
      <c r="L66" s="15" t="str">
        <f t="shared" si="3"/>
        <v>否</v>
      </c>
      <c r="M66" s="14" t="str">
        <f t="shared" si="4"/>
        <v>否</v>
      </c>
    </row>
    <row r="67" spans="1:13">
      <c r="A67" s="182">
        <v>45905</v>
      </c>
      <c r="B67" s="183">
        <v>1.1054</v>
      </c>
      <c r="C67" s="183">
        <v>1.1054</v>
      </c>
      <c r="D67" s="184">
        <f t="shared" si="5"/>
        <v>0.00054308472121645</v>
      </c>
      <c r="E67" s="188">
        <f t="shared" si="6"/>
        <v>-0.00810361237869055</v>
      </c>
      <c r="F67" s="168">
        <v>4460.32</v>
      </c>
      <c r="G67" s="12">
        <f>IF(A67="","",(MAX(C$4:C67)-C67)/MAX(C$4:C67))</f>
        <v>0.00234657039711206</v>
      </c>
      <c r="H67" s="12">
        <f>IF(A67="","",MAX(G$4:G67))</f>
        <v>0.00288808664259936</v>
      </c>
      <c r="I67" s="1">
        <f t="shared" si="0"/>
        <v>1.1054</v>
      </c>
      <c r="J67" s="16">
        <f t="shared" si="1"/>
        <v>1.26133137265992</v>
      </c>
      <c r="K67" s="15" t="str">
        <f t="shared" si="2"/>
        <v>否</v>
      </c>
      <c r="L67" s="15" t="str">
        <f t="shared" si="3"/>
        <v>否</v>
      </c>
      <c r="M67" s="14" t="str">
        <f t="shared" si="4"/>
        <v>否</v>
      </c>
    </row>
    <row r="68" spans="1:13">
      <c r="A68" s="182">
        <v>45912</v>
      </c>
      <c r="B68" s="183">
        <v>1.11</v>
      </c>
      <c r="C68" s="183">
        <v>1.11</v>
      </c>
      <c r="D68" s="184">
        <f t="shared" si="5"/>
        <v>0.00416138954224729</v>
      </c>
      <c r="E68" s="188">
        <f t="shared" si="6"/>
        <v>0.0138286042257058</v>
      </c>
      <c r="F68" s="168">
        <v>4522</v>
      </c>
      <c r="G68" s="12">
        <f>IF(A68="","",(MAX(C$4:C68)-C68)/MAX(C$4:C68))</f>
        <v>0</v>
      </c>
      <c r="H68" s="12">
        <f>IF(A68="","",MAX(G$4:G68))</f>
        <v>0.00288808664259936</v>
      </c>
      <c r="I68" s="1">
        <f t="shared" si="0"/>
        <v>1.11</v>
      </c>
      <c r="J68" s="16">
        <f t="shared" si="1"/>
        <v>1.2787738250099</v>
      </c>
      <c r="K68" s="15" t="str">
        <f t="shared" si="2"/>
        <v>否</v>
      </c>
      <c r="L68" s="15" t="str">
        <f t="shared" si="3"/>
        <v>否</v>
      </c>
      <c r="M68" s="14" t="str">
        <f t="shared" si="4"/>
        <v>否</v>
      </c>
    </row>
    <row r="69" spans="1:13">
      <c r="A69" s="182">
        <v>45919</v>
      </c>
      <c r="B69" s="183">
        <v>1.1076</v>
      </c>
      <c r="C69" s="183">
        <v>1.1076</v>
      </c>
      <c r="D69" s="184">
        <f t="shared" si="5"/>
        <v>-0.00216216216216232</v>
      </c>
      <c r="E69" s="188">
        <f t="shared" si="6"/>
        <v>-0.00444051304732418</v>
      </c>
      <c r="F69" s="168">
        <v>4501.92</v>
      </c>
      <c r="G69" s="12">
        <f>IF(A69="","",(MAX(C$4:C69)-C69)/MAX(C$4:C69))</f>
        <v>0.00216216216216232</v>
      </c>
      <c r="H69" s="12">
        <f>IF(A69="","",MAX(G$4:G69))</f>
        <v>0.00288808664259936</v>
      </c>
      <c r="I69" s="1">
        <f t="shared" ref="I69:I78" si="10">IF(A69="","",C69)</f>
        <v>1.1076</v>
      </c>
      <c r="J69" s="16">
        <f>IF(A69="","",J68*(1+E69))</f>
        <v>1.27309541315536</v>
      </c>
      <c r="K69" s="15" t="str">
        <f t="shared" si="2"/>
        <v>否</v>
      </c>
      <c r="L69" s="15" t="str">
        <f t="shared" si="3"/>
        <v>否</v>
      </c>
      <c r="M69" s="14" t="str">
        <f t="shared" si="4"/>
        <v>否</v>
      </c>
    </row>
    <row r="70" spans="1:13">
      <c r="A70" s="182">
        <v>45926</v>
      </c>
      <c r="B70" s="183">
        <v>1.1089</v>
      </c>
      <c r="C70" s="183">
        <v>1.1089</v>
      </c>
      <c r="D70" s="184">
        <f>IF(A70="","",(B70-B69)/B69)</f>
        <v>0.00117370892018786</v>
      </c>
      <c r="E70" s="188">
        <f t="shared" si="6"/>
        <v>0.0106909940647546</v>
      </c>
      <c r="F70" s="168">
        <v>4550.05</v>
      </c>
      <c r="G70" s="12">
        <f>IF(A70="","",(MAX(C$4:C70)-C70)/MAX(C$4:C70))</f>
        <v>0.000990990990991082</v>
      </c>
      <c r="H70" s="12">
        <f>IF(A70="","",MAX(G$4:G70))</f>
        <v>0.00288808664259936</v>
      </c>
      <c r="I70" s="1">
        <f t="shared" si="10"/>
        <v>1.1089</v>
      </c>
      <c r="J70" s="16">
        <f>IF(A70="","",J69*(1+E70))</f>
        <v>1.28670606866128</v>
      </c>
      <c r="K70" s="15" t="str">
        <f t="shared" ref="K70:K78" si="11">IF(A70="","",IF(H70&gt;5%,"是","否"))</f>
        <v>否</v>
      </c>
      <c r="L70" s="15" t="str">
        <f t="shared" ref="L70:L78" si="12">IF(A70="","",IF(B70&gt;0.95,"否","是"))</f>
        <v>否</v>
      </c>
      <c r="M70" s="14" t="str">
        <f t="shared" ref="M70:M78" si="13">IF(A70="","",IF(D70&lt;2%,"否","是"))</f>
        <v>否</v>
      </c>
    </row>
    <row r="71" spans="1:13">
      <c r="A71" s="182">
        <v>45940</v>
      </c>
      <c r="B71" s="190">
        <v>1.1125</v>
      </c>
      <c r="C71" s="190">
        <v>1.1125</v>
      </c>
      <c r="D71" s="184">
        <f>IF(A71="","",(B71-B70)/B70)</f>
        <v>0.0032464604563081</v>
      </c>
      <c r="E71" s="188">
        <f>IF(A71="","",(F71-F70)/F70)</f>
        <v>0.0146767617938264</v>
      </c>
      <c r="F71" s="168">
        <v>4616.83</v>
      </c>
      <c r="G71" s="12">
        <f>IF(A71="","",(MAX(C$4:C71)-C71)/MAX(C$4:C71))</f>
        <v>0</v>
      </c>
      <c r="H71" s="12">
        <f>IF(A71="","",MAX(G$4:G71))</f>
        <v>0.00288808664259936</v>
      </c>
      <c r="I71" s="1">
        <f t="shared" si="10"/>
        <v>1.1125</v>
      </c>
      <c r="J71" s="16">
        <f>IF(A71="","",J70*(1+E71))</f>
        <v>1.30559074712969</v>
      </c>
      <c r="K71" s="15" t="str">
        <f t="shared" si="11"/>
        <v>否</v>
      </c>
      <c r="L71" s="15" t="str">
        <f t="shared" si="12"/>
        <v>否</v>
      </c>
      <c r="M71" s="14" t="str">
        <f t="shared" si="13"/>
        <v>否</v>
      </c>
    </row>
    <row r="72" spans="1:13">
      <c r="A72" s="182">
        <v>45947</v>
      </c>
      <c r="B72" s="190">
        <v>1.1108</v>
      </c>
      <c r="C72" s="190">
        <v>1.1108</v>
      </c>
      <c r="D72" s="184">
        <f>IF(A72="","",(B72-B71)/B71)</f>
        <v>-0.00152808988764048</v>
      </c>
      <c r="E72" s="188">
        <f>IF(A72="","",(F72-F71)/F71)</f>
        <v>-0.0222230404844884</v>
      </c>
      <c r="F72" s="168">
        <v>4514.23</v>
      </c>
      <c r="G72" s="12">
        <f>IF(A72="","",(MAX(C$4:C72)-C72)/MAX(C$4:C72))</f>
        <v>0.00152808988764048</v>
      </c>
      <c r="H72" s="12">
        <f>IF(A72="","",MAX(G$4:G72))</f>
        <v>0.00288808664259936</v>
      </c>
      <c r="I72" s="1">
        <f t="shared" si="10"/>
        <v>1.1108</v>
      </c>
      <c r="J72" s="16">
        <f>IF(A72="","",J71*(1+E72))</f>
        <v>1.27657655110005</v>
      </c>
      <c r="K72" s="15" t="str">
        <f t="shared" si="11"/>
        <v>否</v>
      </c>
      <c r="L72" s="15" t="str">
        <f t="shared" si="12"/>
        <v>否</v>
      </c>
      <c r="M72" s="14" t="str">
        <f t="shared" si="13"/>
        <v>否</v>
      </c>
    </row>
    <row r="73" spans="1:13">
      <c r="A73" s="182">
        <v>45954</v>
      </c>
      <c r="B73" s="190">
        <v>1.1126</v>
      </c>
      <c r="C73" s="190">
        <v>1.1126</v>
      </c>
      <c r="D73" s="184">
        <f>IF(A73="","",(B73-B72)/B72)</f>
        <v>0.00162045372704359</v>
      </c>
      <c r="E73" s="188">
        <f>IF(A73="","",(F73-F72)/F72)</f>
        <v>0.0324418560861987</v>
      </c>
      <c r="F73" s="168">
        <v>4660.68</v>
      </c>
      <c r="G73" s="12">
        <f>IF(A73="","",(MAX(C$4:C73)-C73)/MAX(C$4:C73))</f>
        <v>0</v>
      </c>
      <c r="H73" s="12">
        <f>IF(A73="","",MAX(G$4:G73))</f>
        <v>0.00288808664259936</v>
      </c>
      <c r="I73" s="1">
        <f t="shared" si="10"/>
        <v>1.1126</v>
      </c>
      <c r="J73" s="16">
        <f>IF(A73="","",J72*(1+E73))</f>
        <v>1.31799106385386</v>
      </c>
      <c r="K73" s="15" t="str">
        <f t="shared" si="11"/>
        <v>否</v>
      </c>
      <c r="L73" s="15" t="str">
        <f t="shared" si="12"/>
        <v>否</v>
      </c>
      <c r="M73" s="14" t="str">
        <f t="shared" si="13"/>
        <v>否</v>
      </c>
    </row>
    <row r="74" spans="1:13">
      <c r="A74" s="182">
        <v>45961</v>
      </c>
      <c r="B74" s="190">
        <v>1.112</v>
      </c>
      <c r="C74" s="190">
        <v>1.112</v>
      </c>
      <c r="D74" s="184">
        <f>IF(A74="","",(B74-B65)/B65)</f>
        <v>0.0036101083032491</v>
      </c>
      <c r="E74" s="188">
        <f>IF(A74="","",(F74-F73)/F73)</f>
        <v>-0.00429336491670748</v>
      </c>
      <c r="F74" s="189">
        <v>4640.67</v>
      </c>
      <c r="G74" s="12">
        <f>IF(A74="","",(MAX(C$4:C74)-C74)/MAX(C$4:C74))</f>
        <v>0.000539277368326383</v>
      </c>
      <c r="H74" s="12">
        <f>IF(A74="","",MAX(G$4:G74))</f>
        <v>0.00288808664259936</v>
      </c>
      <c r="I74" s="1">
        <f t="shared" si="10"/>
        <v>1.112</v>
      </c>
      <c r="J74" s="16">
        <f>IF(A74="","",J65*(1+E74))</f>
        <v>1.23273673672152</v>
      </c>
      <c r="K74" s="15" t="str">
        <f t="shared" si="11"/>
        <v>否</v>
      </c>
      <c r="L74" s="15" t="str">
        <f t="shared" si="12"/>
        <v>否</v>
      </c>
      <c r="M74" s="14" t="str">
        <f t="shared" si="13"/>
        <v>否</v>
      </c>
    </row>
    <row r="75" spans="2:13">
      <c r="B75" s="183"/>
      <c r="C75" s="183"/>
      <c r="D75" s="184" t="str">
        <f>IF(A75="","",(B75-B74)/B74)</f>
        <v/>
      </c>
      <c r="E75" s="188" t="str">
        <f t="shared" ref="E75:E138" si="14">IF(A75="","",(F75-F74)/F74)</f>
        <v/>
      </c>
      <c r="G75" s="12" t="str">
        <f>IF(A75="","",(MAX(C$4:C75)-C75)/MAX(C$4:C75))</f>
        <v/>
      </c>
      <c r="H75" s="12" t="str">
        <f>IF(A75="","",MAX(G$4:G75))</f>
        <v/>
      </c>
      <c r="I75" s="1" t="str">
        <f t="shared" si="10"/>
        <v/>
      </c>
      <c r="J75" s="16" t="str">
        <f>IF(A75="","",J74*(1+E75))</f>
        <v/>
      </c>
      <c r="K75" s="15" t="str">
        <f t="shared" si="11"/>
        <v/>
      </c>
      <c r="L75" s="15" t="str">
        <f t="shared" si="12"/>
        <v/>
      </c>
      <c r="M75" s="14" t="str">
        <f t="shared" si="13"/>
        <v/>
      </c>
    </row>
    <row r="76" spans="2:13">
      <c r="B76" s="183"/>
      <c r="C76" s="183"/>
      <c r="D76" s="184" t="str">
        <f>IF(A76="","",(B76-B75)/B75)</f>
        <v/>
      </c>
      <c r="E76" s="188" t="str">
        <f t="shared" si="14"/>
        <v/>
      </c>
      <c r="G76" s="12" t="str">
        <f>IF(A76="","",(MAX(C$4:C76)-C76)/MAX(C$4:C76))</f>
        <v/>
      </c>
      <c r="H76" s="12" t="str">
        <f>IF(A76="","",MAX(G$4:G76))</f>
        <v/>
      </c>
      <c r="I76" s="1" t="str">
        <f t="shared" si="10"/>
        <v/>
      </c>
      <c r="J76" s="16" t="str">
        <f>IF(A76="","",J75*(1+E76))</f>
        <v/>
      </c>
      <c r="K76" s="15" t="str">
        <f t="shared" si="11"/>
        <v/>
      </c>
      <c r="L76" s="15" t="str">
        <f t="shared" si="12"/>
        <v/>
      </c>
      <c r="M76" s="14" t="str">
        <f t="shared" si="13"/>
        <v/>
      </c>
    </row>
    <row r="77" spans="2:13">
      <c r="B77" s="183"/>
      <c r="C77" s="183"/>
      <c r="D77" s="184" t="str">
        <f>IF(A77="","",(B77-B76)/B76)</f>
        <v/>
      </c>
      <c r="E77" s="188" t="str">
        <f t="shared" si="14"/>
        <v/>
      </c>
      <c r="G77" s="12" t="str">
        <f>IF(A77="","",(MAX(C$4:C77)-C77)/MAX(C$4:C77))</f>
        <v/>
      </c>
      <c r="H77" s="12" t="str">
        <f>IF(A77="","",MAX(G$4:G77))</f>
        <v/>
      </c>
      <c r="I77" s="1" t="str">
        <f t="shared" si="10"/>
        <v/>
      </c>
      <c r="J77" s="16" t="str">
        <f>IF(A77="","",J76*(1+E77))</f>
        <v/>
      </c>
      <c r="K77" s="15" t="str">
        <f t="shared" si="11"/>
        <v/>
      </c>
      <c r="L77" s="15" t="str">
        <f t="shared" si="12"/>
        <v/>
      </c>
      <c r="M77" s="14" t="str">
        <f t="shared" si="13"/>
        <v/>
      </c>
    </row>
    <row r="78" spans="2:13">
      <c r="B78" s="183"/>
      <c r="C78" s="183"/>
      <c r="D78" s="184" t="str">
        <f>IF(A78="","",(B78-B77)/B77)</f>
        <v/>
      </c>
      <c r="E78" s="188" t="str">
        <f t="shared" si="14"/>
        <v/>
      </c>
      <c r="G78" s="12" t="str">
        <f>IF(A78="","",(MAX(C$4:C78)-C78)/MAX(C$4:C78))</f>
        <v/>
      </c>
      <c r="H78" s="12" t="str">
        <f>IF(A78="","",MAX(G$4:G78))</f>
        <v/>
      </c>
      <c r="I78" s="1" t="str">
        <f t="shared" si="10"/>
        <v/>
      </c>
      <c r="J78" s="16" t="str">
        <f>IF(A78="","",J77*(1+E78))</f>
        <v/>
      </c>
      <c r="K78" s="15" t="str">
        <f t="shared" si="11"/>
        <v/>
      </c>
      <c r="L78" s="15" t="str">
        <f t="shared" si="12"/>
        <v/>
      </c>
      <c r="M78" s="14" t="str">
        <f t="shared" si="13"/>
        <v/>
      </c>
    </row>
    <row r="79" spans="2:13">
      <c r="B79" s="183"/>
      <c r="C79" s="183"/>
      <c r="D79" s="184" t="str">
        <f>IF(A79="","",(B79-B78)/B78)</f>
        <v/>
      </c>
      <c r="E79" s="188" t="str">
        <f t="shared" si="14"/>
        <v/>
      </c>
      <c r="G79" s="12" t="str">
        <f>IF(A79="","",(MAX(C$4:C79)-C79)/MAX(C$4:C79))</f>
        <v/>
      </c>
      <c r="H79" s="12" t="str">
        <f>IF(A79="","",MAX(G$4:G79))</f>
        <v/>
      </c>
      <c r="I79" s="1" t="str">
        <f t="shared" ref="I79:I142" si="15">IF(A79="","",C79)</f>
        <v/>
      </c>
      <c r="J79" s="16" t="str">
        <f t="shared" ref="J79:J142" si="16">IF(A79="","",J78*(1+E79))</f>
        <v/>
      </c>
      <c r="K79" s="15" t="str">
        <f t="shared" ref="K79:K142" si="17">IF(A79="","",IF(H79&gt;5%,"是","否"))</f>
        <v/>
      </c>
      <c r="L79" s="15" t="str">
        <f t="shared" ref="L79:L142" si="18">IF(A79="","",IF(B79&gt;0.95,"否","是"))</f>
        <v/>
      </c>
      <c r="M79" s="14" t="str">
        <f t="shared" ref="M79:M142" si="19">IF(A79="","",IF(D79&lt;2%,"否","是"))</f>
        <v/>
      </c>
    </row>
    <row r="80" spans="2:13">
      <c r="B80" s="183"/>
      <c r="C80" s="183"/>
      <c r="D80" s="184" t="str">
        <f t="shared" ref="D80:D143" si="20">IF(A80="","",(B80-B79)/B79)</f>
        <v/>
      </c>
      <c r="E80" s="188" t="str">
        <f t="shared" si="14"/>
        <v/>
      </c>
      <c r="G80" s="12" t="str">
        <f>IF(A80="","",(MAX(C$4:C80)-C80)/MAX(C$4:C80))</f>
        <v/>
      </c>
      <c r="H80" s="12" t="str">
        <f>IF(A80="","",MAX(G$4:G80))</f>
        <v/>
      </c>
      <c r="I80" s="1" t="str">
        <f t="shared" si="15"/>
        <v/>
      </c>
      <c r="J80" s="16" t="str">
        <f t="shared" si="16"/>
        <v/>
      </c>
      <c r="K80" s="15" t="str">
        <f t="shared" si="17"/>
        <v/>
      </c>
      <c r="L80" s="15" t="str">
        <f t="shared" si="18"/>
        <v/>
      </c>
      <c r="M80" s="14" t="str">
        <f t="shared" si="19"/>
        <v/>
      </c>
    </row>
    <row r="81" spans="2:13">
      <c r="B81" s="183"/>
      <c r="C81" s="183"/>
      <c r="D81" s="184" t="str">
        <f t="shared" si="20"/>
        <v/>
      </c>
      <c r="E81" s="188" t="str">
        <f t="shared" si="14"/>
        <v/>
      </c>
      <c r="G81" s="12" t="str">
        <f>IF(A81="","",(MAX(C$4:C81)-C81)/MAX(C$4:C81))</f>
        <v/>
      </c>
      <c r="H81" s="12" t="str">
        <f>IF(A81="","",MAX(G$4:G81))</f>
        <v/>
      </c>
      <c r="I81" s="1" t="str">
        <f t="shared" si="15"/>
        <v/>
      </c>
      <c r="J81" s="16" t="str">
        <f t="shared" si="16"/>
        <v/>
      </c>
      <c r="K81" s="15" t="str">
        <f t="shared" si="17"/>
        <v/>
      </c>
      <c r="L81" s="15" t="str">
        <f t="shared" si="18"/>
        <v/>
      </c>
      <c r="M81" s="14" t="str">
        <f t="shared" si="19"/>
        <v/>
      </c>
    </row>
    <row r="82" spans="2:13">
      <c r="B82" s="183"/>
      <c r="C82" s="183"/>
      <c r="D82" s="184" t="str">
        <f t="shared" si="20"/>
        <v/>
      </c>
      <c r="E82" s="188" t="str">
        <f t="shared" si="14"/>
        <v/>
      </c>
      <c r="G82" s="12" t="str">
        <f>IF(A82="","",(MAX(C$4:C82)-C82)/MAX(C$4:C82))</f>
        <v/>
      </c>
      <c r="H82" s="12" t="str">
        <f>IF(A82="","",MAX(G$4:G82))</f>
        <v/>
      </c>
      <c r="I82" s="1" t="str">
        <f t="shared" si="15"/>
        <v/>
      </c>
      <c r="J82" s="16" t="str">
        <f t="shared" si="16"/>
        <v/>
      </c>
      <c r="K82" s="15" t="str">
        <f t="shared" si="17"/>
        <v/>
      </c>
      <c r="L82" s="15" t="str">
        <f t="shared" si="18"/>
        <v/>
      </c>
      <c r="M82" s="14" t="str">
        <f t="shared" si="19"/>
        <v/>
      </c>
    </row>
    <row r="83" spans="2:13">
      <c r="B83" s="183"/>
      <c r="C83" s="183"/>
      <c r="D83" s="184" t="str">
        <f t="shared" si="20"/>
        <v/>
      </c>
      <c r="E83" s="188" t="str">
        <f t="shared" si="14"/>
        <v/>
      </c>
      <c r="G83" s="12" t="str">
        <f>IF(A83="","",(MAX(C$4:C83)-C83)/MAX(C$4:C83))</f>
        <v/>
      </c>
      <c r="H83" s="12" t="str">
        <f>IF(A83="","",MAX(G$4:G83))</f>
        <v/>
      </c>
      <c r="I83" s="1" t="str">
        <f t="shared" si="15"/>
        <v/>
      </c>
      <c r="J83" s="16" t="str">
        <f t="shared" si="16"/>
        <v/>
      </c>
      <c r="K83" s="15" t="str">
        <f t="shared" si="17"/>
        <v/>
      </c>
      <c r="L83" s="15" t="str">
        <f t="shared" si="18"/>
        <v/>
      </c>
      <c r="M83" s="14" t="str">
        <f t="shared" si="19"/>
        <v/>
      </c>
    </row>
    <row r="84" spans="2:13">
      <c r="B84" s="183"/>
      <c r="C84" s="183"/>
      <c r="D84" s="184" t="str">
        <f t="shared" si="20"/>
        <v/>
      </c>
      <c r="E84" s="188" t="str">
        <f t="shared" si="14"/>
        <v/>
      </c>
      <c r="G84" s="12" t="str">
        <f>IF(A84="","",(MAX(C$4:C84)-C84)/MAX(C$4:C84))</f>
        <v/>
      </c>
      <c r="H84" s="12" t="str">
        <f>IF(A84="","",MAX(G$4:G84))</f>
        <v/>
      </c>
      <c r="I84" s="1" t="str">
        <f t="shared" si="15"/>
        <v/>
      </c>
      <c r="J84" s="16" t="str">
        <f t="shared" si="16"/>
        <v/>
      </c>
      <c r="K84" s="15" t="str">
        <f t="shared" si="17"/>
        <v/>
      </c>
      <c r="L84" s="15" t="str">
        <f t="shared" si="18"/>
        <v/>
      </c>
      <c r="M84" s="14" t="str">
        <f t="shared" si="19"/>
        <v/>
      </c>
    </row>
    <row r="85" spans="2:13">
      <c r="B85" s="183"/>
      <c r="C85" s="183"/>
      <c r="D85" s="184" t="str">
        <f t="shared" si="20"/>
        <v/>
      </c>
      <c r="E85" s="188" t="str">
        <f t="shared" si="14"/>
        <v/>
      </c>
      <c r="G85" s="12" t="str">
        <f>IF(A85="","",(MAX(C$4:C85)-C85)/MAX(C$4:C85))</f>
        <v/>
      </c>
      <c r="H85" s="12" t="str">
        <f>IF(A85="","",MAX(G$4:G85))</f>
        <v/>
      </c>
      <c r="I85" s="1" t="str">
        <f t="shared" si="15"/>
        <v/>
      </c>
      <c r="J85" s="16" t="str">
        <f t="shared" si="16"/>
        <v/>
      </c>
      <c r="K85" s="15" t="str">
        <f t="shared" si="17"/>
        <v/>
      </c>
      <c r="L85" s="15" t="str">
        <f t="shared" si="18"/>
        <v/>
      </c>
      <c r="M85" s="14" t="str">
        <f t="shared" si="19"/>
        <v/>
      </c>
    </row>
    <row r="86" spans="2:13">
      <c r="B86" s="183"/>
      <c r="C86" s="183"/>
      <c r="D86" s="184" t="str">
        <f t="shared" si="20"/>
        <v/>
      </c>
      <c r="E86" s="188" t="str">
        <f t="shared" si="14"/>
        <v/>
      </c>
      <c r="G86" s="12" t="str">
        <f>IF(A86="","",(MAX(C$4:C86)-C86)/MAX(C$4:C86))</f>
        <v/>
      </c>
      <c r="H86" s="12" t="str">
        <f>IF(A86="","",MAX(G$4:G86))</f>
        <v/>
      </c>
      <c r="I86" s="1" t="str">
        <f t="shared" si="15"/>
        <v/>
      </c>
      <c r="J86" s="16" t="str">
        <f t="shared" si="16"/>
        <v/>
      </c>
      <c r="K86" s="15" t="str">
        <f t="shared" si="17"/>
        <v/>
      </c>
      <c r="L86" s="15" t="str">
        <f t="shared" si="18"/>
        <v/>
      </c>
      <c r="M86" s="14" t="str">
        <f t="shared" si="19"/>
        <v/>
      </c>
    </row>
    <row r="87" spans="2:13">
      <c r="B87" s="183"/>
      <c r="C87" s="183"/>
      <c r="D87" s="184" t="str">
        <f t="shared" si="20"/>
        <v/>
      </c>
      <c r="E87" s="188" t="str">
        <f t="shared" si="14"/>
        <v/>
      </c>
      <c r="G87" s="12" t="str">
        <f>IF(A87="","",(MAX(C$4:C87)-C87)/MAX(C$4:C87))</f>
        <v/>
      </c>
      <c r="H87" s="12" t="str">
        <f>IF(A87="","",MAX(G$4:G87))</f>
        <v/>
      </c>
      <c r="I87" s="1" t="str">
        <f t="shared" si="15"/>
        <v/>
      </c>
      <c r="J87" s="16" t="str">
        <f t="shared" si="16"/>
        <v/>
      </c>
      <c r="K87" s="15" t="str">
        <f t="shared" si="17"/>
        <v/>
      </c>
      <c r="L87" s="15" t="str">
        <f t="shared" si="18"/>
        <v/>
      </c>
      <c r="M87" s="14" t="str">
        <f t="shared" si="19"/>
        <v/>
      </c>
    </row>
    <row r="88" spans="2:13">
      <c r="B88" s="183"/>
      <c r="C88" s="183"/>
      <c r="D88" s="184" t="str">
        <f t="shared" si="20"/>
        <v/>
      </c>
      <c r="E88" s="188" t="str">
        <f t="shared" si="14"/>
        <v/>
      </c>
      <c r="G88" s="12" t="str">
        <f>IF(A88="","",(MAX(C$4:C88)-C88)/MAX(C$4:C88))</f>
        <v/>
      </c>
      <c r="H88" s="12" t="str">
        <f>IF(A88="","",MAX(G$4:G88))</f>
        <v/>
      </c>
      <c r="I88" s="1" t="str">
        <f t="shared" si="15"/>
        <v/>
      </c>
      <c r="J88" s="16" t="str">
        <f t="shared" si="16"/>
        <v/>
      </c>
      <c r="K88" s="15" t="str">
        <f t="shared" si="17"/>
        <v/>
      </c>
      <c r="L88" s="15" t="str">
        <f t="shared" si="18"/>
        <v/>
      </c>
      <c r="M88" s="14" t="str">
        <f t="shared" si="19"/>
        <v/>
      </c>
    </row>
    <row r="89" spans="2:13">
      <c r="B89" s="183"/>
      <c r="C89" s="183"/>
      <c r="D89" s="184" t="str">
        <f t="shared" si="20"/>
        <v/>
      </c>
      <c r="E89" s="188" t="str">
        <f t="shared" si="14"/>
        <v/>
      </c>
      <c r="G89" s="12" t="str">
        <f>IF(A89="","",(MAX(C$4:C89)-C89)/MAX(C$4:C89))</f>
        <v/>
      </c>
      <c r="H89" s="12" t="str">
        <f>IF(A89="","",MAX(G$4:G89))</f>
        <v/>
      </c>
      <c r="I89" s="1" t="str">
        <f t="shared" si="15"/>
        <v/>
      </c>
      <c r="J89" s="16" t="str">
        <f t="shared" si="16"/>
        <v/>
      </c>
      <c r="K89" s="15" t="str">
        <f t="shared" si="17"/>
        <v/>
      </c>
      <c r="L89" s="15" t="str">
        <f t="shared" si="18"/>
        <v/>
      </c>
      <c r="M89" s="14" t="str">
        <f t="shared" si="19"/>
        <v/>
      </c>
    </row>
    <row r="90" spans="2:13">
      <c r="B90" s="183"/>
      <c r="C90" s="183"/>
      <c r="D90" s="184" t="str">
        <f t="shared" si="20"/>
        <v/>
      </c>
      <c r="E90" s="188" t="str">
        <f t="shared" si="14"/>
        <v/>
      </c>
      <c r="G90" s="12" t="str">
        <f>IF(A90="","",(MAX(C$4:C90)-C90)/MAX(C$4:C90))</f>
        <v/>
      </c>
      <c r="H90" s="12" t="str">
        <f>IF(A90="","",MAX(G$4:G90))</f>
        <v/>
      </c>
      <c r="I90" s="1" t="str">
        <f t="shared" si="15"/>
        <v/>
      </c>
      <c r="J90" s="16" t="str">
        <f t="shared" si="16"/>
        <v/>
      </c>
      <c r="K90" s="15" t="str">
        <f t="shared" si="17"/>
        <v/>
      </c>
      <c r="L90" s="15" t="str">
        <f t="shared" si="18"/>
        <v/>
      </c>
      <c r="M90" s="14" t="str">
        <f t="shared" si="19"/>
        <v/>
      </c>
    </row>
    <row r="91" spans="2:13">
      <c r="B91" s="183"/>
      <c r="C91" s="183"/>
      <c r="D91" s="184" t="str">
        <f t="shared" si="20"/>
        <v/>
      </c>
      <c r="E91" s="188" t="str">
        <f t="shared" si="14"/>
        <v/>
      </c>
      <c r="G91" s="12" t="str">
        <f>IF(A91="","",(MAX(C$4:C91)-C91)/MAX(C$4:C91))</f>
        <v/>
      </c>
      <c r="H91" s="12" t="str">
        <f>IF(A91="","",MAX(G$4:G91))</f>
        <v/>
      </c>
      <c r="I91" s="1" t="str">
        <f t="shared" si="15"/>
        <v/>
      </c>
      <c r="J91" s="16" t="str">
        <f t="shared" si="16"/>
        <v/>
      </c>
      <c r="K91" s="15" t="str">
        <f t="shared" si="17"/>
        <v/>
      </c>
      <c r="L91" s="15" t="str">
        <f t="shared" si="18"/>
        <v/>
      </c>
      <c r="M91" s="14" t="str">
        <f t="shared" si="19"/>
        <v/>
      </c>
    </row>
    <row r="92" spans="2:13">
      <c r="B92" s="183"/>
      <c r="C92" s="183"/>
      <c r="D92" s="184" t="str">
        <f t="shared" si="20"/>
        <v/>
      </c>
      <c r="E92" s="188" t="str">
        <f t="shared" si="14"/>
        <v/>
      </c>
      <c r="G92" s="12" t="str">
        <f>IF(A92="","",(MAX(C$4:C92)-C92)/MAX(C$4:C92))</f>
        <v/>
      </c>
      <c r="H92" s="12" t="str">
        <f>IF(A92="","",MAX(G$4:G92))</f>
        <v/>
      </c>
      <c r="I92" s="1" t="str">
        <f t="shared" si="15"/>
        <v/>
      </c>
      <c r="J92" s="16" t="str">
        <f t="shared" si="16"/>
        <v/>
      </c>
      <c r="K92" s="15" t="str">
        <f t="shared" si="17"/>
        <v/>
      </c>
      <c r="L92" s="15" t="str">
        <f t="shared" si="18"/>
        <v/>
      </c>
      <c r="M92" s="14" t="str">
        <f t="shared" si="19"/>
        <v/>
      </c>
    </row>
    <row r="93" spans="2:13">
      <c r="B93" s="183"/>
      <c r="C93" s="183"/>
      <c r="D93" s="184" t="str">
        <f t="shared" si="20"/>
        <v/>
      </c>
      <c r="E93" s="188" t="str">
        <f t="shared" si="14"/>
        <v/>
      </c>
      <c r="G93" s="12" t="str">
        <f>IF(A93="","",(MAX(C$4:C93)-C93)/MAX(C$4:C93))</f>
        <v/>
      </c>
      <c r="H93" s="12" t="str">
        <f>IF(A93="","",MAX(G$4:G93))</f>
        <v/>
      </c>
      <c r="I93" s="1" t="str">
        <f t="shared" si="15"/>
        <v/>
      </c>
      <c r="J93" s="16" t="str">
        <f t="shared" si="16"/>
        <v/>
      </c>
      <c r="K93" s="15" t="str">
        <f t="shared" si="17"/>
        <v/>
      </c>
      <c r="L93" s="15" t="str">
        <f t="shared" si="18"/>
        <v/>
      </c>
      <c r="M93" s="14" t="str">
        <f t="shared" si="19"/>
        <v/>
      </c>
    </row>
    <row r="94" spans="2:13">
      <c r="B94" s="183"/>
      <c r="C94" s="183"/>
      <c r="D94" s="184" t="str">
        <f t="shared" si="20"/>
        <v/>
      </c>
      <c r="E94" s="188" t="str">
        <f t="shared" si="14"/>
        <v/>
      </c>
      <c r="G94" s="12" t="str">
        <f>IF(A94="","",(MAX(C$4:C94)-C94)/MAX(C$4:C94))</f>
        <v/>
      </c>
      <c r="H94" s="12" t="str">
        <f>IF(A94="","",MAX(G$4:G94))</f>
        <v/>
      </c>
      <c r="I94" s="1" t="str">
        <f t="shared" si="15"/>
        <v/>
      </c>
      <c r="J94" s="16" t="str">
        <f t="shared" si="16"/>
        <v/>
      </c>
      <c r="K94" s="15" t="str">
        <f t="shared" si="17"/>
        <v/>
      </c>
      <c r="L94" s="15" t="str">
        <f t="shared" si="18"/>
        <v/>
      </c>
      <c r="M94" s="14" t="str">
        <f t="shared" si="19"/>
        <v/>
      </c>
    </row>
    <row r="95" spans="2:13">
      <c r="B95" s="183"/>
      <c r="C95" s="183"/>
      <c r="D95" s="184" t="str">
        <f t="shared" si="20"/>
        <v/>
      </c>
      <c r="E95" s="188" t="str">
        <f t="shared" si="14"/>
        <v/>
      </c>
      <c r="G95" s="12" t="str">
        <f>IF(A95="","",(MAX(C$4:C95)-C95)/MAX(C$4:C95))</f>
        <v/>
      </c>
      <c r="H95" s="12" t="str">
        <f>IF(A95="","",MAX(G$4:G95))</f>
        <v/>
      </c>
      <c r="I95" s="1" t="str">
        <f t="shared" si="15"/>
        <v/>
      </c>
      <c r="J95" s="16" t="str">
        <f t="shared" si="16"/>
        <v/>
      </c>
      <c r="K95" s="15" t="str">
        <f t="shared" si="17"/>
        <v/>
      </c>
      <c r="L95" s="15" t="str">
        <f t="shared" si="18"/>
        <v/>
      </c>
      <c r="M95" s="14" t="str">
        <f t="shared" si="19"/>
        <v/>
      </c>
    </row>
    <row r="96" spans="2:13">
      <c r="B96" s="183"/>
      <c r="C96" s="183"/>
      <c r="D96" s="184" t="str">
        <f t="shared" si="20"/>
        <v/>
      </c>
      <c r="E96" s="188" t="str">
        <f t="shared" si="14"/>
        <v/>
      </c>
      <c r="G96" s="12" t="str">
        <f>IF(A96="","",(MAX(C$4:C96)-C96)/MAX(C$4:C96))</f>
        <v/>
      </c>
      <c r="H96" s="12" t="str">
        <f>IF(A96="","",MAX(G$4:G96))</f>
        <v/>
      </c>
      <c r="I96" s="1" t="str">
        <f t="shared" si="15"/>
        <v/>
      </c>
      <c r="J96" s="16" t="str">
        <f t="shared" si="16"/>
        <v/>
      </c>
      <c r="K96" s="15" t="str">
        <f t="shared" si="17"/>
        <v/>
      </c>
      <c r="L96" s="15" t="str">
        <f t="shared" si="18"/>
        <v/>
      </c>
      <c r="M96" s="14" t="str">
        <f t="shared" si="19"/>
        <v/>
      </c>
    </row>
    <row r="97" spans="2:13">
      <c r="B97" s="183"/>
      <c r="C97" s="183"/>
      <c r="D97" s="184" t="str">
        <f t="shared" si="20"/>
        <v/>
      </c>
      <c r="E97" s="188" t="str">
        <f t="shared" si="14"/>
        <v/>
      </c>
      <c r="G97" s="12" t="str">
        <f>IF(A97="","",(MAX(C$4:C97)-C97)/MAX(C$4:C97))</f>
        <v/>
      </c>
      <c r="H97" s="12" t="str">
        <f>IF(A97="","",MAX(G$4:G97))</f>
        <v/>
      </c>
      <c r="I97" s="1" t="str">
        <f t="shared" si="15"/>
        <v/>
      </c>
      <c r="J97" s="16" t="str">
        <f t="shared" si="16"/>
        <v/>
      </c>
      <c r="K97" s="15" t="str">
        <f t="shared" si="17"/>
        <v/>
      </c>
      <c r="L97" s="15" t="str">
        <f t="shared" si="18"/>
        <v/>
      </c>
      <c r="M97" s="14" t="str">
        <f t="shared" si="19"/>
        <v/>
      </c>
    </row>
    <row r="98" spans="2:13">
      <c r="B98" s="183"/>
      <c r="C98" s="183"/>
      <c r="D98" s="184" t="str">
        <f t="shared" si="20"/>
        <v/>
      </c>
      <c r="E98" s="188" t="str">
        <f t="shared" si="14"/>
        <v/>
      </c>
      <c r="G98" s="12" t="str">
        <f>IF(A98="","",(MAX(C$4:C98)-C98)/MAX(C$4:C98))</f>
        <v/>
      </c>
      <c r="H98" s="12" t="str">
        <f>IF(A98="","",MAX(G$4:G98))</f>
        <v/>
      </c>
      <c r="I98" s="1" t="str">
        <f t="shared" si="15"/>
        <v/>
      </c>
      <c r="J98" s="16" t="str">
        <f t="shared" si="16"/>
        <v/>
      </c>
      <c r="K98" s="15" t="str">
        <f t="shared" si="17"/>
        <v/>
      </c>
      <c r="L98" s="15" t="str">
        <f t="shared" si="18"/>
        <v/>
      </c>
      <c r="M98" s="14" t="str">
        <f t="shared" si="19"/>
        <v/>
      </c>
    </row>
    <row r="99" spans="2:13">
      <c r="B99" s="183"/>
      <c r="C99" s="183"/>
      <c r="D99" s="184" t="str">
        <f t="shared" si="20"/>
        <v/>
      </c>
      <c r="E99" s="188" t="str">
        <f t="shared" si="14"/>
        <v/>
      </c>
      <c r="G99" s="12" t="str">
        <f>IF(A99="","",(MAX(C$4:C99)-C99)/MAX(C$4:C99))</f>
        <v/>
      </c>
      <c r="H99" s="12" t="str">
        <f>IF(A99="","",MAX(G$4:G99))</f>
        <v/>
      </c>
      <c r="I99" s="1" t="str">
        <f t="shared" si="15"/>
        <v/>
      </c>
      <c r="J99" s="16" t="str">
        <f t="shared" si="16"/>
        <v/>
      </c>
      <c r="K99" s="15" t="str">
        <f t="shared" si="17"/>
        <v/>
      </c>
      <c r="L99" s="15" t="str">
        <f t="shared" si="18"/>
        <v/>
      </c>
      <c r="M99" s="14" t="str">
        <f t="shared" si="19"/>
        <v/>
      </c>
    </row>
    <row r="100" spans="2:13">
      <c r="B100" s="183"/>
      <c r="C100" s="183"/>
      <c r="D100" s="184" t="str">
        <f t="shared" si="20"/>
        <v/>
      </c>
      <c r="E100" s="188" t="str">
        <f t="shared" si="14"/>
        <v/>
      </c>
      <c r="G100" s="12" t="str">
        <f>IF(A100="","",(MAX(C$4:C100)-C100)/MAX(C$4:C100))</f>
        <v/>
      </c>
      <c r="H100" s="12" t="str">
        <f>IF(A100="","",MAX(G$4:G100))</f>
        <v/>
      </c>
      <c r="I100" s="1" t="str">
        <f t="shared" si="15"/>
        <v/>
      </c>
      <c r="J100" s="16" t="str">
        <f t="shared" si="16"/>
        <v/>
      </c>
      <c r="K100" s="15" t="str">
        <f t="shared" si="17"/>
        <v/>
      </c>
      <c r="L100" s="15" t="str">
        <f t="shared" si="18"/>
        <v/>
      </c>
      <c r="M100" s="14" t="str">
        <f t="shared" si="19"/>
        <v/>
      </c>
    </row>
    <row r="101" spans="2:13">
      <c r="B101" s="183"/>
      <c r="C101" s="183"/>
      <c r="D101" s="184" t="str">
        <f t="shared" si="20"/>
        <v/>
      </c>
      <c r="E101" s="188" t="str">
        <f t="shared" si="14"/>
        <v/>
      </c>
      <c r="G101" s="12" t="str">
        <f>IF(A101="","",(MAX(C$4:C101)-C101)/MAX(C$4:C101))</f>
        <v/>
      </c>
      <c r="H101" s="12" t="str">
        <f>IF(A101="","",MAX(G$4:G101))</f>
        <v/>
      </c>
      <c r="I101" s="1" t="str">
        <f t="shared" si="15"/>
        <v/>
      </c>
      <c r="J101" s="16" t="str">
        <f t="shared" si="16"/>
        <v/>
      </c>
      <c r="K101" s="15" t="str">
        <f t="shared" si="17"/>
        <v/>
      </c>
      <c r="L101" s="15" t="str">
        <f t="shared" si="18"/>
        <v/>
      </c>
      <c r="M101" s="14" t="str">
        <f t="shared" si="19"/>
        <v/>
      </c>
    </row>
    <row r="102" spans="2:13">
      <c r="B102" s="183"/>
      <c r="C102" s="183"/>
      <c r="D102" s="184" t="str">
        <f t="shared" si="20"/>
        <v/>
      </c>
      <c r="E102" s="188" t="str">
        <f t="shared" si="14"/>
        <v/>
      </c>
      <c r="G102" s="12" t="str">
        <f>IF(A102="","",(MAX(C$4:C102)-C102)/MAX(C$4:C102))</f>
        <v/>
      </c>
      <c r="H102" s="12" t="str">
        <f>IF(A102="","",MAX(G$4:G102))</f>
        <v/>
      </c>
      <c r="I102" s="1" t="str">
        <f t="shared" si="15"/>
        <v/>
      </c>
      <c r="J102" s="16" t="str">
        <f t="shared" si="16"/>
        <v/>
      </c>
      <c r="K102" s="15" t="str">
        <f t="shared" si="17"/>
        <v/>
      </c>
      <c r="L102" s="15" t="str">
        <f t="shared" si="18"/>
        <v/>
      </c>
      <c r="M102" s="14" t="str">
        <f t="shared" si="19"/>
        <v/>
      </c>
    </row>
    <row r="103" spans="2:13">
      <c r="B103" s="183"/>
      <c r="C103" s="183"/>
      <c r="D103" s="184" t="str">
        <f t="shared" si="20"/>
        <v/>
      </c>
      <c r="E103" s="188" t="str">
        <f t="shared" si="14"/>
        <v/>
      </c>
      <c r="G103" s="12" t="str">
        <f>IF(A103="","",(MAX(C$4:C103)-C103)/MAX(C$4:C103))</f>
        <v/>
      </c>
      <c r="H103" s="12" t="str">
        <f>IF(A103="","",MAX(G$4:G103))</f>
        <v/>
      </c>
      <c r="I103" s="1" t="str">
        <f t="shared" si="15"/>
        <v/>
      </c>
      <c r="J103" s="16" t="str">
        <f t="shared" si="16"/>
        <v/>
      </c>
      <c r="K103" s="15" t="str">
        <f t="shared" si="17"/>
        <v/>
      </c>
      <c r="L103" s="15" t="str">
        <f t="shared" si="18"/>
        <v/>
      </c>
      <c r="M103" s="14" t="str">
        <f t="shared" si="19"/>
        <v/>
      </c>
    </row>
    <row r="104" spans="2:13">
      <c r="B104" s="183"/>
      <c r="C104" s="183"/>
      <c r="D104" s="184" t="str">
        <f t="shared" si="20"/>
        <v/>
      </c>
      <c r="E104" s="188" t="str">
        <f t="shared" si="14"/>
        <v/>
      </c>
      <c r="G104" s="12" t="str">
        <f>IF(A104="","",(MAX(C$4:C104)-C104)/MAX(C$4:C104))</f>
        <v/>
      </c>
      <c r="H104" s="12" t="str">
        <f>IF(A104="","",MAX(G$4:G104))</f>
        <v/>
      </c>
      <c r="I104" s="1" t="str">
        <f t="shared" si="15"/>
        <v/>
      </c>
      <c r="J104" s="16" t="str">
        <f t="shared" si="16"/>
        <v/>
      </c>
      <c r="K104" s="15" t="str">
        <f t="shared" si="17"/>
        <v/>
      </c>
      <c r="L104" s="15" t="str">
        <f t="shared" si="18"/>
        <v/>
      </c>
      <c r="M104" s="14" t="str">
        <f t="shared" si="19"/>
        <v/>
      </c>
    </row>
    <row r="105" spans="2:13">
      <c r="B105" s="183"/>
      <c r="C105" s="183"/>
      <c r="D105" s="184" t="str">
        <f t="shared" si="20"/>
        <v/>
      </c>
      <c r="E105" s="188" t="str">
        <f t="shared" si="14"/>
        <v/>
      </c>
      <c r="G105" s="12" t="str">
        <f>IF(A105="","",(MAX(C$4:C105)-C105)/MAX(C$4:C105))</f>
        <v/>
      </c>
      <c r="H105" s="12" t="str">
        <f>IF(A105="","",MAX(G$4:G105))</f>
        <v/>
      </c>
      <c r="I105" s="1" t="str">
        <f t="shared" si="15"/>
        <v/>
      </c>
      <c r="J105" s="16" t="str">
        <f t="shared" si="16"/>
        <v/>
      </c>
      <c r="K105" s="15" t="str">
        <f t="shared" si="17"/>
        <v/>
      </c>
      <c r="L105" s="15" t="str">
        <f t="shared" si="18"/>
        <v/>
      </c>
      <c r="M105" s="14" t="str">
        <f t="shared" si="19"/>
        <v/>
      </c>
    </row>
    <row r="106" spans="2:13">
      <c r="B106" s="183"/>
      <c r="C106" s="183"/>
      <c r="D106" s="184" t="str">
        <f t="shared" si="20"/>
        <v/>
      </c>
      <c r="E106" s="188" t="str">
        <f t="shared" si="14"/>
        <v/>
      </c>
      <c r="G106" s="12" t="str">
        <f>IF(A106="","",(MAX(C$4:C106)-C106)/MAX(C$4:C106))</f>
        <v/>
      </c>
      <c r="H106" s="12" t="str">
        <f>IF(A106="","",MAX(G$4:G106))</f>
        <v/>
      </c>
      <c r="I106" s="1" t="str">
        <f t="shared" si="15"/>
        <v/>
      </c>
      <c r="J106" s="16" t="str">
        <f t="shared" si="16"/>
        <v/>
      </c>
      <c r="K106" s="15" t="str">
        <f t="shared" si="17"/>
        <v/>
      </c>
      <c r="L106" s="15" t="str">
        <f t="shared" si="18"/>
        <v/>
      </c>
      <c r="M106" s="14" t="str">
        <f t="shared" si="19"/>
        <v/>
      </c>
    </row>
    <row r="107" spans="2:13">
      <c r="B107" s="183"/>
      <c r="C107" s="183"/>
      <c r="D107" s="184" t="str">
        <f t="shared" si="20"/>
        <v/>
      </c>
      <c r="E107" s="188" t="str">
        <f t="shared" si="14"/>
        <v/>
      </c>
      <c r="G107" s="12" t="str">
        <f>IF(A107="","",(MAX(C$4:C107)-C107)/MAX(C$4:C107))</f>
        <v/>
      </c>
      <c r="H107" s="12" t="str">
        <f>IF(A107="","",MAX(G$4:G107))</f>
        <v/>
      </c>
      <c r="I107" s="1" t="str">
        <f t="shared" si="15"/>
        <v/>
      </c>
      <c r="J107" s="16" t="str">
        <f t="shared" si="16"/>
        <v/>
      </c>
      <c r="K107" s="15" t="str">
        <f t="shared" si="17"/>
        <v/>
      </c>
      <c r="L107" s="15" t="str">
        <f t="shared" si="18"/>
        <v/>
      </c>
      <c r="M107" s="14" t="str">
        <f t="shared" si="19"/>
        <v/>
      </c>
    </row>
    <row r="108" spans="2:13">
      <c r="B108" s="183"/>
      <c r="C108" s="183"/>
      <c r="D108" s="184" t="str">
        <f t="shared" si="20"/>
        <v/>
      </c>
      <c r="E108" s="188" t="str">
        <f t="shared" si="14"/>
        <v/>
      </c>
      <c r="G108" s="12" t="str">
        <f>IF(A108="","",(MAX(C$4:C108)-C108)/MAX(C$4:C108))</f>
        <v/>
      </c>
      <c r="H108" s="12" t="str">
        <f>IF(A108="","",MAX(G$4:G108))</f>
        <v/>
      </c>
      <c r="I108" s="1" t="str">
        <f t="shared" si="15"/>
        <v/>
      </c>
      <c r="J108" s="16" t="str">
        <f t="shared" si="16"/>
        <v/>
      </c>
      <c r="K108" s="15" t="str">
        <f t="shared" si="17"/>
        <v/>
      </c>
      <c r="L108" s="15" t="str">
        <f t="shared" si="18"/>
        <v/>
      </c>
      <c r="M108" s="14" t="str">
        <f t="shared" si="19"/>
        <v/>
      </c>
    </row>
    <row r="109" spans="2:13">
      <c r="B109" s="183"/>
      <c r="C109" s="183"/>
      <c r="D109" s="184" t="str">
        <f t="shared" si="20"/>
        <v/>
      </c>
      <c r="E109" s="188" t="str">
        <f t="shared" si="14"/>
        <v/>
      </c>
      <c r="G109" s="12" t="str">
        <f>IF(A109="","",(MAX(C$4:C109)-C109)/MAX(C$4:C109))</f>
        <v/>
      </c>
      <c r="H109" s="12" t="str">
        <f>IF(A109="","",MAX(G$4:G109))</f>
        <v/>
      </c>
      <c r="I109" s="1" t="str">
        <f t="shared" si="15"/>
        <v/>
      </c>
      <c r="J109" s="16" t="str">
        <f t="shared" si="16"/>
        <v/>
      </c>
      <c r="K109" s="15" t="str">
        <f t="shared" si="17"/>
        <v/>
      </c>
      <c r="L109" s="15" t="str">
        <f t="shared" si="18"/>
        <v/>
      </c>
      <c r="M109" s="14" t="str">
        <f t="shared" si="19"/>
        <v/>
      </c>
    </row>
    <row r="110" spans="2:13">
      <c r="B110" s="183"/>
      <c r="C110" s="183"/>
      <c r="D110" s="184" t="str">
        <f t="shared" si="20"/>
        <v/>
      </c>
      <c r="E110" s="188" t="str">
        <f t="shared" si="14"/>
        <v/>
      </c>
      <c r="G110" s="12" t="str">
        <f>IF(A110="","",(MAX(C$4:C110)-C110)/MAX(C$4:C110))</f>
        <v/>
      </c>
      <c r="H110" s="12" t="str">
        <f>IF(A110="","",MAX(G$4:G110))</f>
        <v/>
      </c>
      <c r="I110" s="1" t="str">
        <f t="shared" si="15"/>
        <v/>
      </c>
      <c r="J110" s="16" t="str">
        <f t="shared" si="16"/>
        <v/>
      </c>
      <c r="K110" s="15" t="str">
        <f t="shared" si="17"/>
        <v/>
      </c>
      <c r="L110" s="15" t="str">
        <f t="shared" si="18"/>
        <v/>
      </c>
      <c r="M110" s="14" t="str">
        <f t="shared" si="19"/>
        <v/>
      </c>
    </row>
    <row r="111" spans="2:13">
      <c r="B111" s="183"/>
      <c r="C111" s="183"/>
      <c r="D111" s="184" t="str">
        <f t="shared" si="20"/>
        <v/>
      </c>
      <c r="E111" s="188" t="str">
        <f t="shared" si="14"/>
        <v/>
      </c>
      <c r="G111" s="12" t="str">
        <f>IF(A111="","",(MAX(C$4:C111)-C111)/MAX(C$4:C111))</f>
        <v/>
      </c>
      <c r="H111" s="12" t="str">
        <f>IF(A111="","",MAX(G$4:G111))</f>
        <v/>
      </c>
      <c r="I111" s="1" t="str">
        <f t="shared" si="15"/>
        <v/>
      </c>
      <c r="J111" s="16" t="str">
        <f t="shared" si="16"/>
        <v/>
      </c>
      <c r="K111" s="15" t="str">
        <f t="shared" si="17"/>
        <v/>
      </c>
      <c r="L111" s="15" t="str">
        <f t="shared" si="18"/>
        <v/>
      </c>
      <c r="M111" s="14" t="str">
        <f t="shared" si="19"/>
        <v/>
      </c>
    </row>
    <row r="112" spans="2:13">
      <c r="B112" s="183"/>
      <c r="C112" s="183"/>
      <c r="D112" s="184" t="str">
        <f t="shared" si="20"/>
        <v/>
      </c>
      <c r="E112" s="188" t="str">
        <f t="shared" si="14"/>
        <v/>
      </c>
      <c r="G112" s="12" t="str">
        <f>IF(A112="","",(MAX(C$4:C112)-C112)/MAX(C$4:C112))</f>
        <v/>
      </c>
      <c r="H112" s="12" t="str">
        <f>IF(A112="","",MAX(G$4:G112))</f>
        <v/>
      </c>
      <c r="I112" s="1" t="str">
        <f t="shared" si="15"/>
        <v/>
      </c>
      <c r="J112" s="16" t="str">
        <f t="shared" si="16"/>
        <v/>
      </c>
      <c r="K112" s="15" t="str">
        <f t="shared" si="17"/>
        <v/>
      </c>
      <c r="L112" s="15" t="str">
        <f t="shared" si="18"/>
        <v/>
      </c>
      <c r="M112" s="14" t="str">
        <f t="shared" si="19"/>
        <v/>
      </c>
    </row>
    <row r="113" spans="2:13">
      <c r="B113" s="183"/>
      <c r="C113" s="183"/>
      <c r="D113" s="184" t="str">
        <f t="shared" si="20"/>
        <v/>
      </c>
      <c r="E113" s="188" t="str">
        <f t="shared" si="14"/>
        <v/>
      </c>
      <c r="G113" s="12" t="str">
        <f>IF(A113="","",(MAX(C$4:C113)-C113)/MAX(C$4:C113))</f>
        <v/>
      </c>
      <c r="H113" s="12" t="str">
        <f>IF(A113="","",MAX(G$4:G113))</f>
        <v/>
      </c>
      <c r="I113" s="1" t="str">
        <f t="shared" si="15"/>
        <v/>
      </c>
      <c r="J113" s="16" t="str">
        <f t="shared" si="16"/>
        <v/>
      </c>
      <c r="K113" s="15" t="str">
        <f t="shared" si="17"/>
        <v/>
      </c>
      <c r="L113" s="15" t="str">
        <f t="shared" si="18"/>
        <v/>
      </c>
      <c r="M113" s="14" t="str">
        <f t="shared" si="19"/>
        <v/>
      </c>
    </row>
    <row r="114" spans="2:13">
      <c r="B114" s="183"/>
      <c r="C114" s="183"/>
      <c r="D114" s="184" t="str">
        <f t="shared" si="20"/>
        <v/>
      </c>
      <c r="E114" s="188" t="str">
        <f t="shared" si="14"/>
        <v/>
      </c>
      <c r="G114" s="12" t="str">
        <f>IF(A114="","",(MAX(C$4:C114)-C114)/MAX(C$4:C114))</f>
        <v/>
      </c>
      <c r="H114" s="12" t="str">
        <f>IF(A114="","",MAX(G$4:G114))</f>
        <v/>
      </c>
      <c r="I114" s="1" t="str">
        <f t="shared" si="15"/>
        <v/>
      </c>
      <c r="J114" s="16" t="str">
        <f t="shared" si="16"/>
        <v/>
      </c>
      <c r="K114" s="15" t="str">
        <f t="shared" si="17"/>
        <v/>
      </c>
      <c r="L114" s="15" t="str">
        <f t="shared" si="18"/>
        <v/>
      </c>
      <c r="M114" s="14" t="str">
        <f t="shared" si="19"/>
        <v/>
      </c>
    </row>
    <row r="115" spans="2:13">
      <c r="B115" s="183"/>
      <c r="C115" s="183"/>
      <c r="D115" s="184" t="str">
        <f t="shared" si="20"/>
        <v/>
      </c>
      <c r="E115" s="188" t="str">
        <f t="shared" si="14"/>
        <v/>
      </c>
      <c r="G115" s="12" t="str">
        <f>IF(A115="","",(MAX(C$4:C115)-C115)/MAX(C$4:C115))</f>
        <v/>
      </c>
      <c r="H115" s="12" t="str">
        <f>IF(A115="","",MAX(G$4:G115))</f>
        <v/>
      </c>
      <c r="I115" s="1" t="str">
        <f t="shared" si="15"/>
        <v/>
      </c>
      <c r="J115" s="16" t="str">
        <f t="shared" si="16"/>
        <v/>
      </c>
      <c r="K115" s="15" t="str">
        <f t="shared" si="17"/>
        <v/>
      </c>
      <c r="L115" s="15" t="str">
        <f t="shared" si="18"/>
        <v/>
      </c>
      <c r="M115" s="14" t="str">
        <f t="shared" si="19"/>
        <v/>
      </c>
    </row>
    <row r="116" spans="2:13">
      <c r="B116" s="183"/>
      <c r="C116" s="183"/>
      <c r="D116" s="184" t="str">
        <f t="shared" si="20"/>
        <v/>
      </c>
      <c r="E116" s="188" t="str">
        <f t="shared" si="14"/>
        <v/>
      </c>
      <c r="G116" s="12" t="str">
        <f>IF(A116="","",(MAX(C$4:C116)-C116)/MAX(C$4:C116))</f>
        <v/>
      </c>
      <c r="H116" s="12" t="str">
        <f>IF(A116="","",MAX(G$4:G116))</f>
        <v/>
      </c>
      <c r="I116" s="1" t="str">
        <f t="shared" si="15"/>
        <v/>
      </c>
      <c r="J116" s="16" t="str">
        <f t="shared" si="16"/>
        <v/>
      </c>
      <c r="K116" s="15" t="str">
        <f t="shared" si="17"/>
        <v/>
      </c>
      <c r="L116" s="15" t="str">
        <f t="shared" si="18"/>
        <v/>
      </c>
      <c r="M116" s="14" t="str">
        <f t="shared" si="19"/>
        <v/>
      </c>
    </row>
    <row r="117" spans="2:13">
      <c r="B117" s="183"/>
      <c r="C117" s="183"/>
      <c r="D117" s="184" t="str">
        <f t="shared" si="20"/>
        <v/>
      </c>
      <c r="E117" s="188" t="str">
        <f t="shared" si="14"/>
        <v/>
      </c>
      <c r="G117" s="12" t="str">
        <f>IF(A117="","",(MAX(C$4:C117)-C117)/MAX(C$4:C117))</f>
        <v/>
      </c>
      <c r="H117" s="12" t="str">
        <f>IF(A117="","",MAX(G$4:G117))</f>
        <v/>
      </c>
      <c r="I117" s="1" t="str">
        <f t="shared" si="15"/>
        <v/>
      </c>
      <c r="J117" s="16" t="str">
        <f t="shared" si="16"/>
        <v/>
      </c>
      <c r="K117" s="15" t="str">
        <f t="shared" si="17"/>
        <v/>
      </c>
      <c r="L117" s="15" t="str">
        <f t="shared" si="18"/>
        <v/>
      </c>
      <c r="M117" s="14" t="str">
        <f t="shared" si="19"/>
        <v/>
      </c>
    </row>
    <row r="118" spans="2:13">
      <c r="B118" s="183"/>
      <c r="C118" s="183"/>
      <c r="D118" s="184" t="str">
        <f t="shared" si="20"/>
        <v/>
      </c>
      <c r="E118" s="188" t="str">
        <f t="shared" si="14"/>
        <v/>
      </c>
      <c r="G118" s="12" t="str">
        <f>IF(A118="","",(MAX(C$4:C118)-C118)/MAX(C$4:C118))</f>
        <v/>
      </c>
      <c r="H118" s="12" t="str">
        <f>IF(A118="","",MAX(G$4:G118))</f>
        <v/>
      </c>
      <c r="I118" s="1" t="str">
        <f t="shared" si="15"/>
        <v/>
      </c>
      <c r="J118" s="16" t="str">
        <f t="shared" si="16"/>
        <v/>
      </c>
      <c r="K118" s="15" t="str">
        <f t="shared" si="17"/>
        <v/>
      </c>
      <c r="L118" s="15" t="str">
        <f t="shared" si="18"/>
        <v/>
      </c>
      <c r="M118" s="14" t="str">
        <f t="shared" si="19"/>
        <v/>
      </c>
    </row>
    <row r="119" spans="2:13">
      <c r="B119" s="183"/>
      <c r="C119" s="183"/>
      <c r="D119" s="184" t="str">
        <f t="shared" si="20"/>
        <v/>
      </c>
      <c r="E119" s="188" t="str">
        <f t="shared" si="14"/>
        <v/>
      </c>
      <c r="G119" s="12" t="str">
        <f>IF(A119="","",(MAX(C$4:C119)-C119)/MAX(C$4:C119))</f>
        <v/>
      </c>
      <c r="H119" s="12" t="str">
        <f>IF(A119="","",MAX(G$4:G119))</f>
        <v/>
      </c>
      <c r="I119" s="1" t="str">
        <f t="shared" si="15"/>
        <v/>
      </c>
      <c r="J119" s="16" t="str">
        <f t="shared" si="16"/>
        <v/>
      </c>
      <c r="K119" s="15" t="str">
        <f t="shared" si="17"/>
        <v/>
      </c>
      <c r="L119" s="15" t="str">
        <f t="shared" si="18"/>
        <v/>
      </c>
      <c r="M119" s="14" t="str">
        <f t="shared" si="19"/>
        <v/>
      </c>
    </row>
    <row r="120" spans="2:13">
      <c r="B120" s="183"/>
      <c r="C120" s="183"/>
      <c r="D120" s="184" t="str">
        <f t="shared" si="20"/>
        <v/>
      </c>
      <c r="E120" s="188" t="str">
        <f t="shared" si="14"/>
        <v/>
      </c>
      <c r="G120" s="12" t="str">
        <f>IF(A120="","",(MAX(C$4:C120)-C120)/MAX(C$4:C120))</f>
        <v/>
      </c>
      <c r="H120" s="12" t="str">
        <f>IF(A120="","",MAX(G$4:G120))</f>
        <v/>
      </c>
      <c r="I120" s="1" t="str">
        <f t="shared" si="15"/>
        <v/>
      </c>
      <c r="J120" s="16" t="str">
        <f t="shared" si="16"/>
        <v/>
      </c>
      <c r="K120" s="15" t="str">
        <f t="shared" si="17"/>
        <v/>
      </c>
      <c r="L120" s="15" t="str">
        <f t="shared" si="18"/>
        <v/>
      </c>
      <c r="M120" s="14" t="str">
        <f t="shared" si="19"/>
        <v/>
      </c>
    </row>
    <row r="121" spans="2:13">
      <c r="B121" s="183"/>
      <c r="C121" s="183"/>
      <c r="D121" s="184" t="str">
        <f t="shared" si="20"/>
        <v/>
      </c>
      <c r="E121" s="188" t="str">
        <f t="shared" si="14"/>
        <v/>
      </c>
      <c r="G121" s="12" t="str">
        <f>IF(A121="","",(MAX(C$4:C121)-C121)/MAX(C$4:C121))</f>
        <v/>
      </c>
      <c r="H121" s="12" t="str">
        <f>IF(A121="","",MAX(G$4:G121))</f>
        <v/>
      </c>
      <c r="I121" s="1" t="str">
        <f t="shared" si="15"/>
        <v/>
      </c>
      <c r="J121" s="16" t="str">
        <f t="shared" si="16"/>
        <v/>
      </c>
      <c r="K121" s="15" t="str">
        <f t="shared" si="17"/>
        <v/>
      </c>
      <c r="L121" s="15" t="str">
        <f t="shared" si="18"/>
        <v/>
      </c>
      <c r="M121" s="14" t="str">
        <f t="shared" si="19"/>
        <v/>
      </c>
    </row>
    <row r="122" spans="2:13">
      <c r="B122" s="183"/>
      <c r="C122" s="183"/>
      <c r="D122" s="184" t="str">
        <f t="shared" si="20"/>
        <v/>
      </c>
      <c r="E122" s="188" t="str">
        <f t="shared" si="14"/>
        <v/>
      </c>
      <c r="G122" s="12" t="str">
        <f>IF(A122="","",(MAX(C$4:C122)-C122)/MAX(C$4:C122))</f>
        <v/>
      </c>
      <c r="H122" s="12" t="str">
        <f>IF(A122="","",MAX(G$4:G122))</f>
        <v/>
      </c>
      <c r="I122" s="1" t="str">
        <f t="shared" si="15"/>
        <v/>
      </c>
      <c r="J122" s="16" t="str">
        <f t="shared" si="16"/>
        <v/>
      </c>
      <c r="K122" s="15" t="str">
        <f t="shared" si="17"/>
        <v/>
      </c>
      <c r="L122" s="15" t="str">
        <f t="shared" si="18"/>
        <v/>
      </c>
      <c r="M122" s="14" t="str">
        <f t="shared" si="19"/>
        <v/>
      </c>
    </row>
    <row r="123" spans="2:13">
      <c r="B123" s="183"/>
      <c r="C123" s="183"/>
      <c r="D123" s="184" t="str">
        <f t="shared" si="20"/>
        <v/>
      </c>
      <c r="E123" s="188" t="str">
        <f t="shared" si="14"/>
        <v/>
      </c>
      <c r="G123" s="12" t="str">
        <f>IF(A123="","",(MAX(C$4:C123)-C123)/MAX(C$4:C123))</f>
        <v/>
      </c>
      <c r="H123" s="12" t="str">
        <f>IF(A123="","",MAX(G$4:G123))</f>
        <v/>
      </c>
      <c r="I123" s="1" t="str">
        <f t="shared" si="15"/>
        <v/>
      </c>
      <c r="J123" s="16" t="str">
        <f t="shared" si="16"/>
        <v/>
      </c>
      <c r="K123" s="15" t="str">
        <f t="shared" si="17"/>
        <v/>
      </c>
      <c r="L123" s="15" t="str">
        <f t="shared" si="18"/>
        <v/>
      </c>
      <c r="M123" s="14" t="str">
        <f t="shared" si="19"/>
        <v/>
      </c>
    </row>
    <row r="124" spans="2:13">
      <c r="B124" s="183"/>
      <c r="C124" s="183"/>
      <c r="D124" s="184" t="str">
        <f t="shared" si="20"/>
        <v/>
      </c>
      <c r="E124" s="188" t="str">
        <f t="shared" si="14"/>
        <v/>
      </c>
      <c r="G124" s="12" t="str">
        <f>IF(A124="","",(MAX(C$4:C124)-C124)/MAX(C$4:C124))</f>
        <v/>
      </c>
      <c r="H124" s="12" t="str">
        <f>IF(A124="","",MAX(G$4:G124))</f>
        <v/>
      </c>
      <c r="I124" s="1" t="str">
        <f t="shared" si="15"/>
        <v/>
      </c>
      <c r="J124" s="16" t="str">
        <f t="shared" si="16"/>
        <v/>
      </c>
      <c r="K124" s="15" t="str">
        <f t="shared" si="17"/>
        <v/>
      </c>
      <c r="L124" s="15" t="str">
        <f t="shared" si="18"/>
        <v/>
      </c>
      <c r="M124" s="14" t="str">
        <f t="shared" si="19"/>
        <v/>
      </c>
    </row>
    <row r="125" spans="2:13">
      <c r="B125" s="183"/>
      <c r="C125" s="183"/>
      <c r="D125" s="184" t="str">
        <f t="shared" si="20"/>
        <v/>
      </c>
      <c r="E125" s="188" t="str">
        <f t="shared" si="14"/>
        <v/>
      </c>
      <c r="G125" s="12" t="str">
        <f>IF(A125="","",(MAX(C$4:C125)-C125)/MAX(C$4:C125))</f>
        <v/>
      </c>
      <c r="H125" s="12" t="str">
        <f>IF(A125="","",MAX(G$4:G125))</f>
        <v/>
      </c>
      <c r="I125" s="1" t="str">
        <f t="shared" si="15"/>
        <v/>
      </c>
      <c r="J125" s="16" t="str">
        <f t="shared" si="16"/>
        <v/>
      </c>
      <c r="K125" s="15" t="str">
        <f t="shared" si="17"/>
        <v/>
      </c>
      <c r="L125" s="15" t="str">
        <f t="shared" si="18"/>
        <v/>
      </c>
      <c r="M125" s="14" t="str">
        <f t="shared" si="19"/>
        <v/>
      </c>
    </row>
    <row r="126" spans="2:13">
      <c r="B126" s="183"/>
      <c r="C126" s="183"/>
      <c r="D126" s="184" t="str">
        <f t="shared" si="20"/>
        <v/>
      </c>
      <c r="E126" s="188" t="str">
        <f t="shared" si="14"/>
        <v/>
      </c>
      <c r="G126" s="12" t="str">
        <f>IF(A126="","",(MAX(C$4:C126)-C126)/MAX(C$4:C126))</f>
        <v/>
      </c>
      <c r="H126" s="12" t="str">
        <f>IF(A126="","",MAX(G$4:G126))</f>
        <v/>
      </c>
      <c r="I126" s="1" t="str">
        <f t="shared" si="15"/>
        <v/>
      </c>
      <c r="J126" s="16" t="str">
        <f t="shared" si="16"/>
        <v/>
      </c>
      <c r="K126" s="15" t="str">
        <f t="shared" si="17"/>
        <v/>
      </c>
      <c r="L126" s="15" t="str">
        <f t="shared" si="18"/>
        <v/>
      </c>
      <c r="M126" s="14" t="str">
        <f t="shared" si="19"/>
        <v/>
      </c>
    </row>
    <row r="127" spans="2:13">
      <c r="B127" s="183"/>
      <c r="C127" s="183"/>
      <c r="D127" s="184" t="str">
        <f t="shared" si="20"/>
        <v/>
      </c>
      <c r="E127" s="188" t="str">
        <f t="shared" si="14"/>
        <v/>
      </c>
      <c r="G127" s="12" t="str">
        <f>IF(A127="","",(MAX(C$4:C127)-C127)/MAX(C$4:C127))</f>
        <v/>
      </c>
      <c r="H127" s="12" t="str">
        <f>IF(A127="","",MAX(G$4:G127))</f>
        <v/>
      </c>
      <c r="I127" s="1" t="str">
        <f t="shared" si="15"/>
        <v/>
      </c>
      <c r="J127" s="16" t="str">
        <f t="shared" si="16"/>
        <v/>
      </c>
      <c r="K127" s="15" t="str">
        <f t="shared" si="17"/>
        <v/>
      </c>
      <c r="L127" s="15" t="str">
        <f t="shared" si="18"/>
        <v/>
      </c>
      <c r="M127" s="14" t="str">
        <f t="shared" si="19"/>
        <v/>
      </c>
    </row>
    <row r="128" spans="2:13">
      <c r="B128" s="183"/>
      <c r="C128" s="183"/>
      <c r="D128" s="184" t="str">
        <f t="shared" si="20"/>
        <v/>
      </c>
      <c r="E128" s="188" t="str">
        <f t="shared" si="14"/>
        <v/>
      </c>
      <c r="G128" s="12" t="str">
        <f>IF(A128="","",(MAX(C$4:C128)-C128)/MAX(C$4:C128))</f>
        <v/>
      </c>
      <c r="H128" s="12" t="str">
        <f>IF(A128="","",MAX(G$4:G128))</f>
        <v/>
      </c>
      <c r="I128" s="1" t="str">
        <f t="shared" si="15"/>
        <v/>
      </c>
      <c r="J128" s="16" t="str">
        <f t="shared" si="16"/>
        <v/>
      </c>
      <c r="K128" s="15" t="str">
        <f t="shared" si="17"/>
        <v/>
      </c>
      <c r="L128" s="15" t="str">
        <f t="shared" si="18"/>
        <v/>
      </c>
      <c r="M128" s="14" t="str">
        <f t="shared" si="19"/>
        <v/>
      </c>
    </row>
    <row r="129" spans="2:13">
      <c r="B129" s="183"/>
      <c r="C129" s="183"/>
      <c r="D129" s="184" t="str">
        <f t="shared" si="20"/>
        <v/>
      </c>
      <c r="E129" s="188" t="str">
        <f t="shared" si="14"/>
        <v/>
      </c>
      <c r="G129" s="12" t="str">
        <f>IF(A129="","",(MAX(C$4:C129)-C129)/MAX(C$4:C129))</f>
        <v/>
      </c>
      <c r="H129" s="12" t="str">
        <f>IF(A129="","",MAX(G$4:G129))</f>
        <v/>
      </c>
      <c r="I129" s="1" t="str">
        <f t="shared" si="15"/>
        <v/>
      </c>
      <c r="J129" s="16" t="str">
        <f t="shared" si="16"/>
        <v/>
      </c>
      <c r="K129" s="15" t="str">
        <f t="shared" si="17"/>
        <v/>
      </c>
      <c r="L129" s="15" t="str">
        <f t="shared" si="18"/>
        <v/>
      </c>
      <c r="M129" s="14" t="str">
        <f t="shared" si="19"/>
        <v/>
      </c>
    </row>
    <row r="130" spans="2:13">
      <c r="B130" s="183"/>
      <c r="C130" s="183"/>
      <c r="D130" s="184" t="str">
        <f t="shared" si="20"/>
        <v/>
      </c>
      <c r="E130" s="188" t="str">
        <f t="shared" si="14"/>
        <v/>
      </c>
      <c r="G130" s="12" t="str">
        <f>IF(A130="","",(MAX(C$4:C130)-C130)/MAX(C$4:C130))</f>
        <v/>
      </c>
      <c r="H130" s="12" t="str">
        <f>IF(A130="","",MAX(G$4:G130))</f>
        <v/>
      </c>
      <c r="I130" s="1" t="str">
        <f t="shared" si="15"/>
        <v/>
      </c>
      <c r="J130" s="16" t="str">
        <f t="shared" si="16"/>
        <v/>
      </c>
      <c r="K130" s="15" t="str">
        <f t="shared" si="17"/>
        <v/>
      </c>
      <c r="L130" s="15" t="str">
        <f t="shared" si="18"/>
        <v/>
      </c>
      <c r="M130" s="14" t="str">
        <f t="shared" si="19"/>
        <v/>
      </c>
    </row>
    <row r="131" spans="2:13">
      <c r="B131" s="183"/>
      <c r="C131" s="183"/>
      <c r="D131" s="184" t="str">
        <f t="shared" si="20"/>
        <v/>
      </c>
      <c r="E131" s="188" t="str">
        <f t="shared" si="14"/>
        <v/>
      </c>
      <c r="G131" s="12" t="str">
        <f>IF(A131="","",(MAX(C$4:C131)-C131)/MAX(C$4:C131))</f>
        <v/>
      </c>
      <c r="H131" s="12" t="str">
        <f>IF(A131="","",MAX(G$4:G131))</f>
        <v/>
      </c>
      <c r="I131" s="1" t="str">
        <f t="shared" si="15"/>
        <v/>
      </c>
      <c r="J131" s="16" t="str">
        <f t="shared" si="16"/>
        <v/>
      </c>
      <c r="K131" s="15" t="str">
        <f t="shared" si="17"/>
        <v/>
      </c>
      <c r="L131" s="15" t="str">
        <f t="shared" si="18"/>
        <v/>
      </c>
      <c r="M131" s="14" t="str">
        <f t="shared" si="19"/>
        <v/>
      </c>
    </row>
    <row r="132" spans="2:13">
      <c r="B132" s="183"/>
      <c r="C132" s="183"/>
      <c r="D132" s="184" t="str">
        <f t="shared" si="20"/>
        <v/>
      </c>
      <c r="E132" s="188" t="str">
        <f t="shared" si="14"/>
        <v/>
      </c>
      <c r="G132" s="12" t="str">
        <f>IF(A132="","",(MAX(C$4:C132)-C132)/MAX(C$4:C132))</f>
        <v/>
      </c>
      <c r="H132" s="12" t="str">
        <f>IF(A132="","",MAX(G$4:G132))</f>
        <v/>
      </c>
      <c r="I132" s="1" t="str">
        <f t="shared" si="15"/>
        <v/>
      </c>
      <c r="J132" s="16" t="str">
        <f t="shared" si="16"/>
        <v/>
      </c>
      <c r="K132" s="15" t="str">
        <f t="shared" si="17"/>
        <v/>
      </c>
      <c r="L132" s="15" t="str">
        <f t="shared" si="18"/>
        <v/>
      </c>
      <c r="M132" s="14" t="str">
        <f t="shared" si="19"/>
        <v/>
      </c>
    </row>
    <row r="133" spans="2:13">
      <c r="B133" s="183"/>
      <c r="C133" s="183"/>
      <c r="D133" s="184" t="str">
        <f t="shared" si="20"/>
        <v/>
      </c>
      <c r="E133" s="188" t="str">
        <f t="shared" si="14"/>
        <v/>
      </c>
      <c r="G133" s="12" t="str">
        <f>IF(A133="","",(MAX(C$4:C133)-C133)/MAX(C$4:C133))</f>
        <v/>
      </c>
      <c r="H133" s="12" t="str">
        <f>IF(A133="","",MAX(G$4:G133))</f>
        <v/>
      </c>
      <c r="I133" s="1" t="str">
        <f t="shared" si="15"/>
        <v/>
      </c>
      <c r="J133" s="16" t="str">
        <f t="shared" si="16"/>
        <v/>
      </c>
      <c r="K133" s="15" t="str">
        <f t="shared" si="17"/>
        <v/>
      </c>
      <c r="L133" s="15" t="str">
        <f t="shared" si="18"/>
        <v/>
      </c>
      <c r="M133" s="14" t="str">
        <f t="shared" si="19"/>
        <v/>
      </c>
    </row>
    <row r="134" spans="2:13">
      <c r="B134" s="183"/>
      <c r="C134" s="183"/>
      <c r="D134" s="184" t="str">
        <f t="shared" si="20"/>
        <v/>
      </c>
      <c r="E134" s="188" t="str">
        <f t="shared" si="14"/>
        <v/>
      </c>
      <c r="G134" s="12" t="str">
        <f>IF(A134="","",(MAX(C$4:C134)-C134)/MAX(C$4:C134))</f>
        <v/>
      </c>
      <c r="H134" s="12" t="str">
        <f>IF(A134="","",MAX(G$4:G134))</f>
        <v/>
      </c>
      <c r="I134" s="1" t="str">
        <f t="shared" si="15"/>
        <v/>
      </c>
      <c r="J134" s="16" t="str">
        <f t="shared" si="16"/>
        <v/>
      </c>
      <c r="K134" s="15" t="str">
        <f t="shared" si="17"/>
        <v/>
      </c>
      <c r="L134" s="15" t="str">
        <f t="shared" si="18"/>
        <v/>
      </c>
      <c r="M134" s="14" t="str">
        <f t="shared" si="19"/>
        <v/>
      </c>
    </row>
    <row r="135" spans="2:13">
      <c r="B135" s="183"/>
      <c r="C135" s="183"/>
      <c r="D135" s="184" t="str">
        <f t="shared" si="20"/>
        <v/>
      </c>
      <c r="E135" s="188" t="str">
        <f t="shared" si="14"/>
        <v/>
      </c>
      <c r="G135" s="12" t="str">
        <f>IF(A135="","",(MAX(C$4:C135)-C135)/MAX(C$4:C135))</f>
        <v/>
      </c>
      <c r="H135" s="12" t="str">
        <f>IF(A135="","",MAX(G$4:G135))</f>
        <v/>
      </c>
      <c r="I135" s="1" t="str">
        <f t="shared" si="15"/>
        <v/>
      </c>
      <c r="J135" s="16" t="str">
        <f t="shared" si="16"/>
        <v/>
      </c>
      <c r="K135" s="15" t="str">
        <f t="shared" si="17"/>
        <v/>
      </c>
      <c r="L135" s="15" t="str">
        <f t="shared" si="18"/>
        <v/>
      </c>
      <c r="M135" s="14" t="str">
        <f t="shared" si="19"/>
        <v/>
      </c>
    </row>
    <row r="136" spans="2:13">
      <c r="B136" s="183"/>
      <c r="C136" s="183"/>
      <c r="D136" s="184" t="str">
        <f t="shared" si="20"/>
        <v/>
      </c>
      <c r="E136" s="188" t="str">
        <f t="shared" si="14"/>
        <v/>
      </c>
      <c r="G136" s="12" t="str">
        <f>IF(A136="","",(MAX(C$4:C136)-C136)/MAX(C$4:C136))</f>
        <v/>
      </c>
      <c r="H136" s="12" t="str">
        <f>IF(A136="","",MAX(G$4:G136))</f>
        <v/>
      </c>
      <c r="I136" s="1" t="str">
        <f t="shared" si="15"/>
        <v/>
      </c>
      <c r="J136" s="16" t="str">
        <f t="shared" si="16"/>
        <v/>
      </c>
      <c r="K136" s="15" t="str">
        <f t="shared" si="17"/>
        <v/>
      </c>
      <c r="L136" s="15" t="str">
        <f t="shared" si="18"/>
        <v/>
      </c>
      <c r="M136" s="14" t="str">
        <f t="shared" si="19"/>
        <v/>
      </c>
    </row>
    <row r="137" spans="2:13">
      <c r="B137" s="183"/>
      <c r="C137" s="183"/>
      <c r="D137" s="184" t="str">
        <f t="shared" si="20"/>
        <v/>
      </c>
      <c r="E137" s="188" t="str">
        <f t="shared" si="14"/>
        <v/>
      </c>
      <c r="G137" s="12" t="str">
        <f>IF(A137="","",(MAX(C$4:C137)-C137)/MAX(C$4:C137))</f>
        <v/>
      </c>
      <c r="H137" s="12" t="str">
        <f>IF(A137="","",MAX(G$4:G137))</f>
        <v/>
      </c>
      <c r="I137" s="1" t="str">
        <f t="shared" si="15"/>
        <v/>
      </c>
      <c r="J137" s="16" t="str">
        <f t="shared" si="16"/>
        <v/>
      </c>
      <c r="K137" s="15" t="str">
        <f t="shared" si="17"/>
        <v/>
      </c>
      <c r="L137" s="15" t="str">
        <f t="shared" si="18"/>
        <v/>
      </c>
      <c r="M137" s="14" t="str">
        <f t="shared" si="19"/>
        <v/>
      </c>
    </row>
    <row r="138" spans="2:13">
      <c r="B138" s="183"/>
      <c r="C138" s="183"/>
      <c r="D138" s="184" t="str">
        <f t="shared" si="20"/>
        <v/>
      </c>
      <c r="E138" s="188" t="str">
        <f t="shared" si="14"/>
        <v/>
      </c>
      <c r="G138" s="12" t="str">
        <f>IF(A138="","",(MAX(C$4:C138)-C138)/MAX(C$4:C138))</f>
        <v/>
      </c>
      <c r="H138" s="12" t="str">
        <f>IF(A138="","",MAX(G$4:G138))</f>
        <v/>
      </c>
      <c r="I138" s="1" t="str">
        <f t="shared" si="15"/>
        <v/>
      </c>
      <c r="J138" s="16" t="str">
        <f t="shared" si="16"/>
        <v/>
      </c>
      <c r="K138" s="15" t="str">
        <f t="shared" si="17"/>
        <v/>
      </c>
      <c r="L138" s="15" t="str">
        <f t="shared" si="18"/>
        <v/>
      </c>
      <c r="M138" s="14" t="str">
        <f t="shared" si="19"/>
        <v/>
      </c>
    </row>
    <row r="139" spans="2:13">
      <c r="B139" s="183"/>
      <c r="C139" s="183"/>
      <c r="D139" s="184" t="str">
        <f t="shared" si="20"/>
        <v/>
      </c>
      <c r="E139" s="188" t="str">
        <f t="shared" ref="E139:E202" si="21">IF(A139="","",(F139-F138)/F138)</f>
        <v/>
      </c>
      <c r="G139" s="12" t="str">
        <f>IF(A139="","",(MAX(C$4:C139)-C139)/MAX(C$4:C139))</f>
        <v/>
      </c>
      <c r="H139" s="12" t="str">
        <f>IF(A139="","",MAX(G$4:G139))</f>
        <v/>
      </c>
      <c r="I139" s="1" t="str">
        <f t="shared" si="15"/>
        <v/>
      </c>
      <c r="J139" s="16" t="str">
        <f t="shared" si="16"/>
        <v/>
      </c>
      <c r="K139" s="15" t="str">
        <f t="shared" si="17"/>
        <v/>
      </c>
      <c r="L139" s="15" t="str">
        <f t="shared" si="18"/>
        <v/>
      </c>
      <c r="M139" s="14" t="str">
        <f t="shared" si="19"/>
        <v/>
      </c>
    </row>
    <row r="140" spans="2:13">
      <c r="B140" s="183"/>
      <c r="C140" s="183"/>
      <c r="D140" s="184" t="str">
        <f t="shared" si="20"/>
        <v/>
      </c>
      <c r="E140" s="188" t="str">
        <f t="shared" si="21"/>
        <v/>
      </c>
      <c r="G140" s="12" t="str">
        <f>IF(A140="","",(MAX(C$4:C140)-C140)/MAX(C$4:C140))</f>
        <v/>
      </c>
      <c r="H140" s="12" t="str">
        <f>IF(A140="","",MAX(G$4:G140))</f>
        <v/>
      </c>
      <c r="I140" s="1" t="str">
        <f t="shared" si="15"/>
        <v/>
      </c>
      <c r="J140" s="16" t="str">
        <f t="shared" si="16"/>
        <v/>
      </c>
      <c r="K140" s="15" t="str">
        <f t="shared" si="17"/>
        <v/>
      </c>
      <c r="L140" s="15" t="str">
        <f t="shared" si="18"/>
        <v/>
      </c>
      <c r="M140" s="14" t="str">
        <f t="shared" si="19"/>
        <v/>
      </c>
    </row>
    <row r="141" spans="2:13">
      <c r="B141" s="183"/>
      <c r="C141" s="183"/>
      <c r="D141" s="184" t="str">
        <f t="shared" si="20"/>
        <v/>
      </c>
      <c r="E141" s="188" t="str">
        <f t="shared" si="21"/>
        <v/>
      </c>
      <c r="G141" s="12" t="str">
        <f>IF(A141="","",(MAX(C$4:C141)-C141)/MAX(C$4:C141))</f>
        <v/>
      </c>
      <c r="H141" s="12" t="str">
        <f>IF(A141="","",MAX(G$4:G141))</f>
        <v/>
      </c>
      <c r="I141" s="1" t="str">
        <f t="shared" si="15"/>
        <v/>
      </c>
      <c r="J141" s="16" t="str">
        <f t="shared" si="16"/>
        <v/>
      </c>
      <c r="K141" s="15" t="str">
        <f t="shared" si="17"/>
        <v/>
      </c>
      <c r="L141" s="15" t="str">
        <f t="shared" si="18"/>
        <v/>
      </c>
      <c r="M141" s="14" t="str">
        <f t="shared" si="19"/>
        <v/>
      </c>
    </row>
    <row r="142" spans="2:13">
      <c r="B142" s="183"/>
      <c r="C142" s="183"/>
      <c r="D142" s="184" t="str">
        <f t="shared" si="20"/>
        <v/>
      </c>
      <c r="E142" s="188" t="str">
        <f t="shared" si="21"/>
        <v/>
      </c>
      <c r="G142" s="12" t="str">
        <f>IF(A142="","",(MAX(C$4:C142)-C142)/MAX(C$4:C142))</f>
        <v/>
      </c>
      <c r="H142" s="12" t="str">
        <f>IF(A142="","",MAX(G$4:G142))</f>
        <v/>
      </c>
      <c r="I142" s="1" t="str">
        <f t="shared" si="15"/>
        <v/>
      </c>
      <c r="J142" s="16" t="str">
        <f t="shared" si="16"/>
        <v/>
      </c>
      <c r="K142" s="15" t="str">
        <f t="shared" si="17"/>
        <v/>
      </c>
      <c r="L142" s="15" t="str">
        <f t="shared" si="18"/>
        <v/>
      </c>
      <c r="M142" s="14" t="str">
        <f t="shared" si="19"/>
        <v/>
      </c>
    </row>
    <row r="143" spans="2:13">
      <c r="B143" s="183"/>
      <c r="C143" s="183"/>
      <c r="D143" s="184" t="str">
        <f t="shared" si="20"/>
        <v/>
      </c>
      <c r="E143" s="188" t="str">
        <f t="shared" si="21"/>
        <v/>
      </c>
      <c r="G143" s="12" t="str">
        <f>IF(A143="","",(MAX(C$4:C143)-C143)/MAX(C$4:C143))</f>
        <v/>
      </c>
      <c r="H143" s="12" t="str">
        <f>IF(A143="","",MAX(G$4:G143))</f>
        <v/>
      </c>
      <c r="I143" s="1" t="str">
        <f t="shared" ref="I143:I206" si="22">IF(A143="","",C143)</f>
        <v/>
      </c>
      <c r="J143" s="16" t="str">
        <f t="shared" ref="J143:J206" si="23">IF(A143="","",J142*(1+E143))</f>
        <v/>
      </c>
      <c r="K143" s="15" t="str">
        <f t="shared" ref="K143:K206" si="24">IF(A143="","",IF(H143&gt;5%,"是","否"))</f>
        <v/>
      </c>
      <c r="L143" s="15" t="str">
        <f t="shared" ref="L143:L206" si="25">IF(A143="","",IF(B143&gt;0.95,"否","是"))</f>
        <v/>
      </c>
      <c r="M143" s="14" t="str">
        <f t="shared" ref="M143:M206" si="26">IF(A143="","",IF(D143&lt;2%,"否","是"))</f>
        <v/>
      </c>
    </row>
    <row r="144" spans="2:13">
      <c r="B144" s="183"/>
      <c r="C144" s="183"/>
      <c r="D144" s="184" t="str">
        <f t="shared" ref="D144:D207" si="27">IF(A144="","",(B144-B143)/B143)</f>
        <v/>
      </c>
      <c r="E144" s="188" t="str">
        <f t="shared" si="21"/>
        <v/>
      </c>
      <c r="G144" s="12" t="str">
        <f>IF(A144="","",(MAX(C$4:C144)-C144)/MAX(C$4:C144))</f>
        <v/>
      </c>
      <c r="H144" s="12" t="str">
        <f>IF(A144="","",MAX(G$4:G144))</f>
        <v/>
      </c>
      <c r="I144" s="1" t="str">
        <f t="shared" si="22"/>
        <v/>
      </c>
      <c r="J144" s="16" t="str">
        <f t="shared" si="23"/>
        <v/>
      </c>
      <c r="K144" s="15" t="str">
        <f t="shared" si="24"/>
        <v/>
      </c>
      <c r="L144" s="15" t="str">
        <f t="shared" si="25"/>
        <v/>
      </c>
      <c r="M144" s="14" t="str">
        <f t="shared" si="26"/>
        <v/>
      </c>
    </row>
    <row r="145" spans="2:13">
      <c r="B145" s="183"/>
      <c r="C145" s="183"/>
      <c r="D145" s="184" t="str">
        <f t="shared" si="27"/>
        <v/>
      </c>
      <c r="E145" s="188" t="str">
        <f t="shared" si="21"/>
        <v/>
      </c>
      <c r="G145" s="12" t="str">
        <f>IF(A145="","",(MAX(C$4:C145)-C145)/MAX(C$4:C145))</f>
        <v/>
      </c>
      <c r="H145" s="12" t="str">
        <f>IF(A145="","",MAX(G$4:G145))</f>
        <v/>
      </c>
      <c r="I145" s="1" t="str">
        <f t="shared" si="22"/>
        <v/>
      </c>
      <c r="J145" s="16" t="str">
        <f t="shared" si="23"/>
        <v/>
      </c>
      <c r="K145" s="15" t="str">
        <f t="shared" si="24"/>
        <v/>
      </c>
      <c r="L145" s="15" t="str">
        <f t="shared" si="25"/>
        <v/>
      </c>
      <c r="M145" s="14" t="str">
        <f t="shared" si="26"/>
        <v/>
      </c>
    </row>
    <row r="146" spans="2:13">
      <c r="B146" s="183"/>
      <c r="C146" s="183"/>
      <c r="D146" s="184" t="str">
        <f t="shared" si="27"/>
        <v/>
      </c>
      <c r="E146" s="188" t="str">
        <f t="shared" si="21"/>
        <v/>
      </c>
      <c r="G146" s="12" t="str">
        <f>IF(A146="","",(MAX(C$4:C146)-C146)/MAX(C$4:C146))</f>
        <v/>
      </c>
      <c r="H146" s="12" t="str">
        <f>IF(A146="","",MAX(G$4:G146))</f>
        <v/>
      </c>
      <c r="I146" s="1" t="str">
        <f t="shared" si="22"/>
        <v/>
      </c>
      <c r="J146" s="16" t="str">
        <f t="shared" si="23"/>
        <v/>
      </c>
      <c r="K146" s="15" t="str">
        <f t="shared" si="24"/>
        <v/>
      </c>
      <c r="L146" s="15" t="str">
        <f t="shared" si="25"/>
        <v/>
      </c>
      <c r="M146" s="14" t="str">
        <f t="shared" si="26"/>
        <v/>
      </c>
    </row>
    <row r="147" spans="2:13">
      <c r="B147" s="183"/>
      <c r="C147" s="183"/>
      <c r="D147" s="184" t="str">
        <f t="shared" si="27"/>
        <v/>
      </c>
      <c r="E147" s="188" t="str">
        <f t="shared" si="21"/>
        <v/>
      </c>
      <c r="G147" s="12" t="str">
        <f>IF(A147="","",(MAX(C$4:C147)-C147)/MAX(C$4:C147))</f>
        <v/>
      </c>
      <c r="H147" s="12" t="str">
        <f>IF(A147="","",MAX(G$4:G147))</f>
        <v/>
      </c>
      <c r="I147" s="1" t="str">
        <f t="shared" si="22"/>
        <v/>
      </c>
      <c r="J147" s="16" t="str">
        <f t="shared" si="23"/>
        <v/>
      </c>
      <c r="K147" s="15" t="str">
        <f t="shared" si="24"/>
        <v/>
      </c>
      <c r="L147" s="15" t="str">
        <f t="shared" si="25"/>
        <v/>
      </c>
      <c r="M147" s="14" t="str">
        <f t="shared" si="26"/>
        <v/>
      </c>
    </row>
    <row r="148" spans="2:13">
      <c r="B148" s="183"/>
      <c r="C148" s="183"/>
      <c r="D148" s="184" t="str">
        <f t="shared" si="27"/>
        <v/>
      </c>
      <c r="E148" s="188" t="str">
        <f t="shared" si="21"/>
        <v/>
      </c>
      <c r="G148" s="12" t="str">
        <f>IF(A148="","",(MAX(C$4:C148)-C148)/MAX(C$4:C148))</f>
        <v/>
      </c>
      <c r="H148" s="12" t="str">
        <f>IF(A148="","",MAX(G$4:G148))</f>
        <v/>
      </c>
      <c r="I148" s="1" t="str">
        <f t="shared" si="22"/>
        <v/>
      </c>
      <c r="J148" s="16" t="str">
        <f t="shared" si="23"/>
        <v/>
      </c>
      <c r="K148" s="15" t="str">
        <f t="shared" si="24"/>
        <v/>
      </c>
      <c r="L148" s="15" t="str">
        <f t="shared" si="25"/>
        <v/>
      </c>
      <c r="M148" s="14" t="str">
        <f t="shared" si="26"/>
        <v/>
      </c>
    </row>
    <row r="149" spans="2:13">
      <c r="B149" s="183"/>
      <c r="C149" s="183"/>
      <c r="D149" s="184" t="str">
        <f t="shared" si="27"/>
        <v/>
      </c>
      <c r="E149" s="188" t="str">
        <f t="shared" si="21"/>
        <v/>
      </c>
      <c r="G149" s="12" t="str">
        <f>IF(A149="","",(MAX(C$4:C149)-C149)/MAX(C$4:C149))</f>
        <v/>
      </c>
      <c r="H149" s="12" t="str">
        <f>IF(A149="","",MAX(G$4:G149))</f>
        <v/>
      </c>
      <c r="I149" s="1" t="str">
        <f t="shared" si="22"/>
        <v/>
      </c>
      <c r="J149" s="16" t="str">
        <f t="shared" si="23"/>
        <v/>
      </c>
      <c r="K149" s="15" t="str">
        <f t="shared" si="24"/>
        <v/>
      </c>
      <c r="L149" s="15" t="str">
        <f t="shared" si="25"/>
        <v/>
      </c>
      <c r="M149" s="14" t="str">
        <f t="shared" si="26"/>
        <v/>
      </c>
    </row>
    <row r="150" spans="2:13">
      <c r="B150" s="183"/>
      <c r="C150" s="183"/>
      <c r="D150" s="184" t="str">
        <f t="shared" si="27"/>
        <v/>
      </c>
      <c r="E150" s="188" t="str">
        <f t="shared" si="21"/>
        <v/>
      </c>
      <c r="G150" s="12" t="str">
        <f>IF(A150="","",(MAX(C$4:C150)-C150)/MAX(C$4:C150))</f>
        <v/>
      </c>
      <c r="H150" s="12" t="str">
        <f>IF(A150="","",MAX(G$4:G150))</f>
        <v/>
      </c>
      <c r="I150" s="1" t="str">
        <f t="shared" si="22"/>
        <v/>
      </c>
      <c r="J150" s="16" t="str">
        <f t="shared" si="23"/>
        <v/>
      </c>
      <c r="K150" s="15" t="str">
        <f t="shared" si="24"/>
        <v/>
      </c>
      <c r="L150" s="15" t="str">
        <f t="shared" si="25"/>
        <v/>
      </c>
      <c r="M150" s="14" t="str">
        <f t="shared" si="26"/>
        <v/>
      </c>
    </row>
    <row r="151" spans="2:13">
      <c r="B151" s="183"/>
      <c r="C151" s="183"/>
      <c r="D151" s="184" t="str">
        <f t="shared" si="27"/>
        <v/>
      </c>
      <c r="E151" s="188" t="str">
        <f t="shared" si="21"/>
        <v/>
      </c>
      <c r="G151" s="12" t="str">
        <f>IF(A151="","",(MAX(C$4:C151)-C151)/MAX(C$4:C151))</f>
        <v/>
      </c>
      <c r="H151" s="12" t="str">
        <f>IF(A151="","",MAX(G$4:G151))</f>
        <v/>
      </c>
      <c r="I151" s="1" t="str">
        <f t="shared" si="22"/>
        <v/>
      </c>
      <c r="J151" s="16" t="str">
        <f t="shared" si="23"/>
        <v/>
      </c>
      <c r="K151" s="15" t="str">
        <f t="shared" si="24"/>
        <v/>
      </c>
      <c r="L151" s="15" t="str">
        <f t="shared" si="25"/>
        <v/>
      </c>
      <c r="M151" s="14" t="str">
        <f t="shared" si="26"/>
        <v/>
      </c>
    </row>
    <row r="152" spans="2:13">
      <c r="B152" s="183"/>
      <c r="C152" s="183"/>
      <c r="D152" s="184" t="str">
        <f t="shared" si="27"/>
        <v/>
      </c>
      <c r="E152" s="188" t="str">
        <f t="shared" si="21"/>
        <v/>
      </c>
      <c r="G152" s="12" t="str">
        <f>IF(A152="","",(MAX(C$4:C152)-C152)/MAX(C$4:C152))</f>
        <v/>
      </c>
      <c r="H152" s="12" t="str">
        <f>IF(A152="","",MAX(G$4:G152))</f>
        <v/>
      </c>
      <c r="I152" s="1" t="str">
        <f t="shared" si="22"/>
        <v/>
      </c>
      <c r="J152" s="16" t="str">
        <f t="shared" si="23"/>
        <v/>
      </c>
      <c r="K152" s="15" t="str">
        <f t="shared" si="24"/>
        <v/>
      </c>
      <c r="L152" s="15" t="str">
        <f t="shared" si="25"/>
        <v/>
      </c>
      <c r="M152" s="14" t="str">
        <f t="shared" si="26"/>
        <v/>
      </c>
    </row>
    <row r="153" spans="2:13">
      <c r="B153" s="183"/>
      <c r="C153" s="183"/>
      <c r="D153" s="184" t="str">
        <f t="shared" si="27"/>
        <v/>
      </c>
      <c r="E153" s="188" t="str">
        <f t="shared" si="21"/>
        <v/>
      </c>
      <c r="G153" s="12" t="str">
        <f>IF(A153="","",(MAX(C$4:C153)-C153)/MAX(C$4:C153))</f>
        <v/>
      </c>
      <c r="H153" s="12" t="str">
        <f>IF(A153="","",MAX(G$4:G153))</f>
        <v/>
      </c>
      <c r="I153" s="1" t="str">
        <f t="shared" si="22"/>
        <v/>
      </c>
      <c r="J153" s="16" t="str">
        <f t="shared" si="23"/>
        <v/>
      </c>
      <c r="K153" s="15" t="str">
        <f t="shared" si="24"/>
        <v/>
      </c>
      <c r="L153" s="15" t="str">
        <f t="shared" si="25"/>
        <v/>
      </c>
      <c r="M153" s="14" t="str">
        <f t="shared" si="26"/>
        <v/>
      </c>
    </row>
    <row r="154" spans="2:13">
      <c r="B154" s="183"/>
      <c r="C154" s="183"/>
      <c r="D154" s="184" t="str">
        <f t="shared" si="27"/>
        <v/>
      </c>
      <c r="E154" s="188" t="str">
        <f t="shared" si="21"/>
        <v/>
      </c>
      <c r="G154" s="12" t="str">
        <f>IF(A154="","",(MAX(C$4:C154)-C154)/MAX(C$4:C154))</f>
        <v/>
      </c>
      <c r="H154" s="12" t="str">
        <f>IF(A154="","",MAX(G$4:G154))</f>
        <v/>
      </c>
      <c r="I154" s="1" t="str">
        <f t="shared" si="22"/>
        <v/>
      </c>
      <c r="J154" s="16" t="str">
        <f t="shared" si="23"/>
        <v/>
      </c>
      <c r="K154" s="15" t="str">
        <f t="shared" si="24"/>
        <v/>
      </c>
      <c r="L154" s="15" t="str">
        <f t="shared" si="25"/>
        <v/>
      </c>
      <c r="M154" s="14" t="str">
        <f t="shared" si="26"/>
        <v/>
      </c>
    </row>
    <row r="155" spans="2:13">
      <c r="B155" s="183"/>
      <c r="C155" s="183"/>
      <c r="D155" s="184" t="str">
        <f t="shared" si="27"/>
        <v/>
      </c>
      <c r="E155" s="188" t="str">
        <f t="shared" si="21"/>
        <v/>
      </c>
      <c r="G155" s="12" t="str">
        <f>IF(A155="","",(MAX(C$4:C155)-C155)/MAX(C$4:C155))</f>
        <v/>
      </c>
      <c r="H155" s="12" t="str">
        <f>IF(A155="","",MAX(G$4:G155))</f>
        <v/>
      </c>
      <c r="I155" s="1" t="str">
        <f t="shared" si="22"/>
        <v/>
      </c>
      <c r="J155" s="16" t="str">
        <f t="shared" si="23"/>
        <v/>
      </c>
      <c r="K155" s="15" t="str">
        <f t="shared" si="24"/>
        <v/>
      </c>
      <c r="L155" s="15" t="str">
        <f t="shared" si="25"/>
        <v/>
      </c>
      <c r="M155" s="14" t="str">
        <f t="shared" si="26"/>
        <v/>
      </c>
    </row>
    <row r="156" spans="2:13">
      <c r="B156" s="183"/>
      <c r="C156" s="183"/>
      <c r="D156" s="184" t="str">
        <f t="shared" si="27"/>
        <v/>
      </c>
      <c r="E156" s="188" t="str">
        <f t="shared" si="21"/>
        <v/>
      </c>
      <c r="G156" s="12" t="str">
        <f>IF(A156="","",(MAX(C$4:C156)-C156)/MAX(C$4:C156))</f>
        <v/>
      </c>
      <c r="H156" s="12" t="str">
        <f>IF(A156="","",MAX(G$4:G156))</f>
        <v/>
      </c>
      <c r="I156" s="1" t="str">
        <f t="shared" si="22"/>
        <v/>
      </c>
      <c r="J156" s="16" t="str">
        <f t="shared" si="23"/>
        <v/>
      </c>
      <c r="K156" s="15" t="str">
        <f t="shared" si="24"/>
        <v/>
      </c>
      <c r="L156" s="15" t="str">
        <f t="shared" si="25"/>
        <v/>
      </c>
      <c r="M156" s="14" t="str">
        <f t="shared" si="26"/>
        <v/>
      </c>
    </row>
    <row r="157" spans="2:13">
      <c r="B157" s="183"/>
      <c r="C157" s="183"/>
      <c r="D157" s="184" t="str">
        <f t="shared" si="27"/>
        <v/>
      </c>
      <c r="E157" s="188" t="str">
        <f t="shared" si="21"/>
        <v/>
      </c>
      <c r="G157" s="12" t="str">
        <f>IF(A157="","",(MAX(C$4:C157)-C157)/MAX(C$4:C157))</f>
        <v/>
      </c>
      <c r="H157" s="12" t="str">
        <f>IF(A157="","",MAX(G$4:G157))</f>
        <v/>
      </c>
      <c r="I157" s="1" t="str">
        <f t="shared" si="22"/>
        <v/>
      </c>
      <c r="J157" s="16" t="str">
        <f t="shared" si="23"/>
        <v/>
      </c>
      <c r="K157" s="15" t="str">
        <f t="shared" si="24"/>
        <v/>
      </c>
      <c r="L157" s="15" t="str">
        <f t="shared" si="25"/>
        <v/>
      </c>
      <c r="M157" s="14" t="str">
        <f t="shared" si="26"/>
        <v/>
      </c>
    </row>
    <row r="158" spans="2:13">
      <c r="B158" s="183"/>
      <c r="C158" s="183"/>
      <c r="D158" s="184" t="str">
        <f t="shared" si="27"/>
        <v/>
      </c>
      <c r="E158" s="188" t="str">
        <f t="shared" si="21"/>
        <v/>
      </c>
      <c r="G158" s="12" t="str">
        <f>IF(A158="","",(MAX(C$4:C158)-C158)/MAX(C$4:C158))</f>
        <v/>
      </c>
      <c r="H158" s="12" t="str">
        <f>IF(A158="","",MAX(G$4:G158))</f>
        <v/>
      </c>
      <c r="I158" s="1" t="str">
        <f t="shared" si="22"/>
        <v/>
      </c>
      <c r="J158" s="16" t="str">
        <f t="shared" si="23"/>
        <v/>
      </c>
      <c r="K158" s="15" t="str">
        <f t="shared" si="24"/>
        <v/>
      </c>
      <c r="L158" s="15" t="str">
        <f t="shared" si="25"/>
        <v/>
      </c>
      <c r="M158" s="14" t="str">
        <f t="shared" si="26"/>
        <v/>
      </c>
    </row>
    <row r="159" spans="2:13">
      <c r="B159" s="183"/>
      <c r="C159" s="183"/>
      <c r="D159" s="184" t="str">
        <f t="shared" si="27"/>
        <v/>
      </c>
      <c r="E159" s="188" t="str">
        <f t="shared" si="21"/>
        <v/>
      </c>
      <c r="G159" s="12" t="str">
        <f>IF(A159="","",(MAX(C$4:C159)-C159)/MAX(C$4:C159))</f>
        <v/>
      </c>
      <c r="H159" s="12" t="str">
        <f>IF(A159="","",MAX(G$4:G159))</f>
        <v/>
      </c>
      <c r="I159" s="1" t="str">
        <f t="shared" si="22"/>
        <v/>
      </c>
      <c r="J159" s="16" t="str">
        <f t="shared" si="23"/>
        <v/>
      </c>
      <c r="K159" s="15" t="str">
        <f t="shared" si="24"/>
        <v/>
      </c>
      <c r="L159" s="15" t="str">
        <f t="shared" si="25"/>
        <v/>
      </c>
      <c r="M159" s="14" t="str">
        <f t="shared" si="26"/>
        <v/>
      </c>
    </row>
    <row r="160" spans="2:13">
      <c r="B160" s="183"/>
      <c r="C160" s="183"/>
      <c r="D160" s="184" t="str">
        <f t="shared" si="27"/>
        <v/>
      </c>
      <c r="E160" s="188" t="str">
        <f t="shared" si="21"/>
        <v/>
      </c>
      <c r="G160" s="12" t="str">
        <f>IF(A160="","",(MAX(C$4:C160)-C160)/MAX(C$4:C160))</f>
        <v/>
      </c>
      <c r="H160" s="12" t="str">
        <f>IF(A160="","",MAX(G$4:G160))</f>
        <v/>
      </c>
      <c r="I160" s="1" t="str">
        <f t="shared" si="22"/>
        <v/>
      </c>
      <c r="J160" s="16" t="str">
        <f t="shared" si="23"/>
        <v/>
      </c>
      <c r="K160" s="15" t="str">
        <f t="shared" si="24"/>
        <v/>
      </c>
      <c r="L160" s="15" t="str">
        <f t="shared" si="25"/>
        <v/>
      </c>
      <c r="M160" s="14" t="str">
        <f t="shared" si="26"/>
        <v/>
      </c>
    </row>
    <row r="161" spans="2:13">
      <c r="B161" s="183"/>
      <c r="C161" s="183"/>
      <c r="D161" s="184" t="str">
        <f t="shared" si="27"/>
        <v/>
      </c>
      <c r="E161" s="188" t="str">
        <f t="shared" si="21"/>
        <v/>
      </c>
      <c r="G161" s="12" t="str">
        <f>IF(A161="","",(MAX(C$4:C161)-C161)/MAX(C$4:C161))</f>
        <v/>
      </c>
      <c r="H161" s="12" t="str">
        <f>IF(A161="","",MAX(G$4:G161))</f>
        <v/>
      </c>
      <c r="I161" s="1" t="str">
        <f t="shared" si="22"/>
        <v/>
      </c>
      <c r="J161" s="16" t="str">
        <f t="shared" si="23"/>
        <v/>
      </c>
      <c r="K161" s="15" t="str">
        <f t="shared" si="24"/>
        <v/>
      </c>
      <c r="L161" s="15" t="str">
        <f t="shared" si="25"/>
        <v/>
      </c>
      <c r="M161" s="14" t="str">
        <f t="shared" si="26"/>
        <v/>
      </c>
    </row>
    <row r="162" spans="2:13">
      <c r="B162" s="183"/>
      <c r="C162" s="183"/>
      <c r="D162" s="184" t="str">
        <f t="shared" si="27"/>
        <v/>
      </c>
      <c r="E162" s="188" t="str">
        <f t="shared" si="21"/>
        <v/>
      </c>
      <c r="G162" s="12" t="str">
        <f>IF(A162="","",(MAX(C$4:C162)-C162)/MAX(C$4:C162))</f>
        <v/>
      </c>
      <c r="H162" s="12" t="str">
        <f>IF(A162="","",MAX(G$4:G162))</f>
        <v/>
      </c>
      <c r="I162" s="1" t="str">
        <f t="shared" si="22"/>
        <v/>
      </c>
      <c r="J162" s="16" t="str">
        <f t="shared" si="23"/>
        <v/>
      </c>
      <c r="K162" s="15" t="str">
        <f t="shared" si="24"/>
        <v/>
      </c>
      <c r="L162" s="15" t="str">
        <f t="shared" si="25"/>
        <v/>
      </c>
      <c r="M162" s="14" t="str">
        <f t="shared" si="26"/>
        <v/>
      </c>
    </row>
    <row r="163" spans="4:13">
      <c r="D163" s="184" t="str">
        <f t="shared" si="27"/>
        <v/>
      </c>
      <c r="E163" s="188" t="str">
        <f t="shared" si="21"/>
        <v/>
      </c>
      <c r="G163" s="12" t="str">
        <f>IF(A163="","",(MAX(C$4:C163)-C163)/MAX(C$4:C163))</f>
        <v/>
      </c>
      <c r="H163" s="12" t="str">
        <f>IF(A163="","",MAX(G$4:G163))</f>
        <v/>
      </c>
      <c r="I163" s="1" t="str">
        <f t="shared" si="22"/>
        <v/>
      </c>
      <c r="J163" s="16" t="str">
        <f t="shared" si="23"/>
        <v/>
      </c>
      <c r="K163" s="15" t="str">
        <f t="shared" si="24"/>
        <v/>
      </c>
      <c r="L163" s="15" t="str">
        <f t="shared" si="25"/>
        <v/>
      </c>
      <c r="M163" s="14" t="str">
        <f t="shared" si="26"/>
        <v/>
      </c>
    </row>
    <row r="164" spans="4:13">
      <c r="D164" s="184" t="str">
        <f t="shared" si="27"/>
        <v/>
      </c>
      <c r="E164" s="188" t="str">
        <f t="shared" si="21"/>
        <v/>
      </c>
      <c r="G164" s="12" t="str">
        <f>IF(A164="","",(MAX(C$4:C164)-C164)/MAX(C$4:C164))</f>
        <v/>
      </c>
      <c r="H164" s="12" t="str">
        <f>IF(A164="","",MAX(G$4:G164))</f>
        <v/>
      </c>
      <c r="I164" s="1" t="str">
        <f t="shared" si="22"/>
        <v/>
      </c>
      <c r="J164" s="16" t="str">
        <f t="shared" si="23"/>
        <v/>
      </c>
      <c r="K164" s="15" t="str">
        <f t="shared" si="24"/>
        <v/>
      </c>
      <c r="L164" s="15" t="str">
        <f t="shared" si="25"/>
        <v/>
      </c>
      <c r="M164" s="14" t="str">
        <f t="shared" si="26"/>
        <v/>
      </c>
    </row>
    <row r="165" spans="4:13">
      <c r="D165" s="184" t="str">
        <f t="shared" si="27"/>
        <v/>
      </c>
      <c r="E165" s="188" t="str">
        <f t="shared" si="21"/>
        <v/>
      </c>
      <c r="G165" s="12" t="str">
        <f>IF(A165="","",(MAX(C$4:C165)-C165)/MAX(C$4:C165))</f>
        <v/>
      </c>
      <c r="H165" s="12" t="str">
        <f>IF(A165="","",MAX(G$4:G165))</f>
        <v/>
      </c>
      <c r="I165" s="1" t="str">
        <f t="shared" si="22"/>
        <v/>
      </c>
      <c r="J165" s="16" t="str">
        <f t="shared" si="23"/>
        <v/>
      </c>
      <c r="K165" s="15" t="str">
        <f t="shared" si="24"/>
        <v/>
      </c>
      <c r="L165" s="15" t="str">
        <f t="shared" si="25"/>
        <v/>
      </c>
      <c r="M165" s="14" t="str">
        <f t="shared" si="26"/>
        <v/>
      </c>
    </row>
    <row r="166" spans="4:13">
      <c r="D166" s="184" t="str">
        <f t="shared" si="27"/>
        <v/>
      </c>
      <c r="E166" s="188" t="str">
        <f t="shared" si="21"/>
        <v/>
      </c>
      <c r="G166" s="12" t="str">
        <f>IF(A166="","",(MAX(C$4:C166)-C166)/MAX(C$4:C166))</f>
        <v/>
      </c>
      <c r="H166" s="12" t="str">
        <f>IF(A166="","",MAX(G$4:G166))</f>
        <v/>
      </c>
      <c r="I166" s="1" t="str">
        <f t="shared" si="22"/>
        <v/>
      </c>
      <c r="J166" s="16" t="str">
        <f t="shared" si="23"/>
        <v/>
      </c>
      <c r="K166" s="15" t="str">
        <f t="shared" si="24"/>
        <v/>
      </c>
      <c r="L166" s="15" t="str">
        <f t="shared" si="25"/>
        <v/>
      </c>
      <c r="M166" s="14" t="str">
        <f t="shared" si="26"/>
        <v/>
      </c>
    </row>
    <row r="167" spans="4:13">
      <c r="D167" s="184" t="str">
        <f t="shared" si="27"/>
        <v/>
      </c>
      <c r="E167" s="188" t="str">
        <f t="shared" si="21"/>
        <v/>
      </c>
      <c r="G167" s="12" t="str">
        <f>IF(A167="","",(MAX(C$4:C167)-C167)/MAX(C$4:C167))</f>
        <v/>
      </c>
      <c r="H167" s="12" t="str">
        <f>IF(A167="","",MAX(G$4:G167))</f>
        <v/>
      </c>
      <c r="I167" s="1" t="str">
        <f t="shared" si="22"/>
        <v/>
      </c>
      <c r="J167" s="16" t="str">
        <f t="shared" si="23"/>
        <v/>
      </c>
      <c r="K167" s="15" t="str">
        <f t="shared" si="24"/>
        <v/>
      </c>
      <c r="L167" s="15" t="str">
        <f t="shared" si="25"/>
        <v/>
      </c>
      <c r="M167" s="14" t="str">
        <f t="shared" si="26"/>
        <v/>
      </c>
    </row>
    <row r="168" spans="4:13">
      <c r="D168" s="184" t="str">
        <f t="shared" si="27"/>
        <v/>
      </c>
      <c r="E168" s="188" t="str">
        <f t="shared" si="21"/>
        <v/>
      </c>
      <c r="G168" s="12" t="str">
        <f>IF(A168="","",(MAX(C$4:C168)-C168)/MAX(C$4:C168))</f>
        <v/>
      </c>
      <c r="H168" s="12" t="str">
        <f>IF(A168="","",MAX(G$4:G168))</f>
        <v/>
      </c>
      <c r="I168" s="1" t="str">
        <f t="shared" si="22"/>
        <v/>
      </c>
      <c r="J168" s="16" t="str">
        <f t="shared" si="23"/>
        <v/>
      </c>
      <c r="K168" s="15" t="str">
        <f t="shared" si="24"/>
        <v/>
      </c>
      <c r="L168" s="15" t="str">
        <f t="shared" si="25"/>
        <v/>
      </c>
      <c r="M168" s="14" t="str">
        <f t="shared" si="26"/>
        <v/>
      </c>
    </row>
    <row r="169" spans="4:13">
      <c r="D169" s="184" t="str">
        <f t="shared" si="27"/>
        <v/>
      </c>
      <c r="E169" s="188" t="str">
        <f t="shared" si="21"/>
        <v/>
      </c>
      <c r="G169" s="12" t="str">
        <f>IF(A169="","",(MAX(C$4:C169)-C169)/MAX(C$4:C169))</f>
        <v/>
      </c>
      <c r="H169" s="12" t="str">
        <f>IF(A169="","",MAX(G$4:G169))</f>
        <v/>
      </c>
      <c r="I169" s="1" t="str">
        <f t="shared" si="22"/>
        <v/>
      </c>
      <c r="J169" s="16" t="str">
        <f t="shared" si="23"/>
        <v/>
      </c>
      <c r="K169" s="15" t="str">
        <f t="shared" si="24"/>
        <v/>
      </c>
      <c r="L169" s="15" t="str">
        <f t="shared" si="25"/>
        <v/>
      </c>
      <c r="M169" s="14" t="str">
        <f t="shared" si="26"/>
        <v/>
      </c>
    </row>
    <row r="170" spans="4:13">
      <c r="D170" s="184" t="str">
        <f t="shared" si="27"/>
        <v/>
      </c>
      <c r="E170" s="188" t="str">
        <f t="shared" si="21"/>
        <v/>
      </c>
      <c r="G170" s="12" t="str">
        <f>IF(A170="","",(MAX(C$4:C170)-C170)/MAX(C$4:C170))</f>
        <v/>
      </c>
      <c r="H170" s="12" t="str">
        <f>IF(A170="","",MAX(G$4:G170))</f>
        <v/>
      </c>
      <c r="I170" s="1" t="str">
        <f t="shared" si="22"/>
        <v/>
      </c>
      <c r="J170" s="16" t="str">
        <f t="shared" si="23"/>
        <v/>
      </c>
      <c r="K170" s="15" t="str">
        <f t="shared" si="24"/>
        <v/>
      </c>
      <c r="L170" s="15" t="str">
        <f t="shared" si="25"/>
        <v/>
      </c>
      <c r="M170" s="14" t="str">
        <f t="shared" si="26"/>
        <v/>
      </c>
    </row>
    <row r="171" spans="4:13">
      <c r="D171" s="184" t="str">
        <f t="shared" si="27"/>
        <v/>
      </c>
      <c r="E171" s="188" t="str">
        <f t="shared" si="21"/>
        <v/>
      </c>
      <c r="G171" s="12" t="str">
        <f>IF(A171="","",(MAX(C$4:C171)-C171)/MAX(C$4:C171))</f>
        <v/>
      </c>
      <c r="H171" s="12" t="str">
        <f>IF(A171="","",MAX(G$4:G171))</f>
        <v/>
      </c>
      <c r="I171" s="1" t="str">
        <f t="shared" si="22"/>
        <v/>
      </c>
      <c r="J171" s="16" t="str">
        <f t="shared" si="23"/>
        <v/>
      </c>
      <c r="K171" s="15" t="str">
        <f t="shared" si="24"/>
        <v/>
      </c>
      <c r="L171" s="15" t="str">
        <f t="shared" si="25"/>
        <v/>
      </c>
      <c r="M171" s="14" t="str">
        <f t="shared" si="26"/>
        <v/>
      </c>
    </row>
    <row r="172" spans="4:13">
      <c r="D172" s="184" t="str">
        <f t="shared" si="27"/>
        <v/>
      </c>
      <c r="E172" s="188" t="str">
        <f t="shared" si="21"/>
        <v/>
      </c>
      <c r="G172" s="12" t="str">
        <f>IF(A172="","",(MAX(C$4:C172)-C172)/MAX(C$4:C172))</f>
        <v/>
      </c>
      <c r="H172" s="12" t="str">
        <f>IF(A172="","",MAX(G$4:G172))</f>
        <v/>
      </c>
      <c r="I172" s="1" t="str">
        <f t="shared" si="22"/>
        <v/>
      </c>
      <c r="J172" s="16" t="str">
        <f t="shared" si="23"/>
        <v/>
      </c>
      <c r="K172" s="15" t="str">
        <f t="shared" si="24"/>
        <v/>
      </c>
      <c r="L172" s="15" t="str">
        <f t="shared" si="25"/>
        <v/>
      </c>
      <c r="M172" s="14" t="str">
        <f t="shared" si="26"/>
        <v/>
      </c>
    </row>
    <row r="173" spans="4:13">
      <c r="D173" s="184" t="str">
        <f t="shared" si="27"/>
        <v/>
      </c>
      <c r="E173" s="188" t="str">
        <f t="shared" si="21"/>
        <v/>
      </c>
      <c r="G173" s="12" t="str">
        <f>IF(A173="","",(MAX(C$4:C173)-C173)/MAX(C$4:C173))</f>
        <v/>
      </c>
      <c r="H173" s="12" t="str">
        <f>IF(A173="","",MAX(G$4:G173))</f>
        <v/>
      </c>
      <c r="I173" s="1" t="str">
        <f t="shared" si="22"/>
        <v/>
      </c>
      <c r="J173" s="16" t="str">
        <f t="shared" si="23"/>
        <v/>
      </c>
      <c r="K173" s="15" t="str">
        <f t="shared" si="24"/>
        <v/>
      </c>
      <c r="L173" s="15" t="str">
        <f t="shared" si="25"/>
        <v/>
      </c>
      <c r="M173" s="14" t="str">
        <f t="shared" si="26"/>
        <v/>
      </c>
    </row>
    <row r="174" spans="4:13">
      <c r="D174" s="184" t="str">
        <f t="shared" si="27"/>
        <v/>
      </c>
      <c r="E174" s="188" t="str">
        <f t="shared" si="21"/>
        <v/>
      </c>
      <c r="G174" s="12" t="str">
        <f>IF(A174="","",(MAX(C$4:C174)-C174)/MAX(C$4:C174))</f>
        <v/>
      </c>
      <c r="H174" s="12" t="str">
        <f>IF(A174="","",MAX(G$4:G174))</f>
        <v/>
      </c>
      <c r="I174" s="1" t="str">
        <f t="shared" si="22"/>
        <v/>
      </c>
      <c r="J174" s="16" t="str">
        <f t="shared" si="23"/>
        <v/>
      </c>
      <c r="K174" s="15" t="str">
        <f t="shared" si="24"/>
        <v/>
      </c>
      <c r="L174" s="15" t="str">
        <f t="shared" si="25"/>
        <v/>
      </c>
      <c r="M174" s="14" t="str">
        <f t="shared" si="26"/>
        <v/>
      </c>
    </row>
    <row r="175" spans="4:13">
      <c r="D175" s="184" t="str">
        <f t="shared" si="27"/>
        <v/>
      </c>
      <c r="E175" s="188" t="str">
        <f t="shared" si="21"/>
        <v/>
      </c>
      <c r="G175" s="12" t="str">
        <f>IF(A175="","",(MAX(C$4:C175)-C175)/MAX(C$4:C175))</f>
        <v/>
      </c>
      <c r="H175" s="12" t="str">
        <f>IF(A175="","",MAX(G$4:G175))</f>
        <v/>
      </c>
      <c r="I175" s="1" t="str">
        <f t="shared" si="22"/>
        <v/>
      </c>
      <c r="J175" s="16" t="str">
        <f t="shared" si="23"/>
        <v/>
      </c>
      <c r="K175" s="15" t="str">
        <f t="shared" si="24"/>
        <v/>
      </c>
      <c r="L175" s="15" t="str">
        <f t="shared" si="25"/>
        <v/>
      </c>
      <c r="M175" s="14" t="str">
        <f t="shared" si="26"/>
        <v/>
      </c>
    </row>
    <row r="176" spans="4:13">
      <c r="D176" s="184" t="str">
        <f t="shared" si="27"/>
        <v/>
      </c>
      <c r="E176" s="188" t="str">
        <f t="shared" si="21"/>
        <v/>
      </c>
      <c r="G176" s="12" t="str">
        <f>IF(A176="","",(MAX(C$4:C176)-C176)/MAX(C$4:C176))</f>
        <v/>
      </c>
      <c r="H176" s="12" t="str">
        <f>IF(A176="","",MAX(G$4:G176))</f>
        <v/>
      </c>
      <c r="I176" s="1" t="str">
        <f t="shared" si="22"/>
        <v/>
      </c>
      <c r="J176" s="16" t="str">
        <f t="shared" si="23"/>
        <v/>
      </c>
      <c r="K176" s="15" t="str">
        <f t="shared" si="24"/>
        <v/>
      </c>
      <c r="L176" s="15" t="str">
        <f t="shared" si="25"/>
        <v/>
      </c>
      <c r="M176" s="14" t="str">
        <f t="shared" si="26"/>
        <v/>
      </c>
    </row>
    <row r="177" spans="4:13">
      <c r="D177" s="184" t="str">
        <f t="shared" si="27"/>
        <v/>
      </c>
      <c r="E177" s="188" t="str">
        <f t="shared" si="21"/>
        <v/>
      </c>
      <c r="G177" s="12" t="str">
        <f>IF(A177="","",(MAX(C$4:C177)-C177)/MAX(C$4:C177))</f>
        <v/>
      </c>
      <c r="H177" s="12" t="str">
        <f>IF(A177="","",MAX(G$4:G177))</f>
        <v/>
      </c>
      <c r="I177" s="1" t="str">
        <f t="shared" si="22"/>
        <v/>
      </c>
      <c r="J177" s="16" t="str">
        <f t="shared" si="23"/>
        <v/>
      </c>
      <c r="K177" s="15" t="str">
        <f t="shared" si="24"/>
        <v/>
      </c>
      <c r="L177" s="15" t="str">
        <f t="shared" si="25"/>
        <v/>
      </c>
      <c r="M177" s="14" t="str">
        <f t="shared" si="26"/>
        <v/>
      </c>
    </row>
    <row r="178" spans="4:13">
      <c r="D178" s="184" t="str">
        <f t="shared" si="27"/>
        <v/>
      </c>
      <c r="E178" s="188" t="str">
        <f t="shared" si="21"/>
        <v/>
      </c>
      <c r="G178" s="12" t="str">
        <f>IF(A178="","",(MAX(C$4:C178)-C178)/MAX(C$4:C178))</f>
        <v/>
      </c>
      <c r="H178" s="12" t="str">
        <f>IF(A178="","",MAX(G$4:G178))</f>
        <v/>
      </c>
      <c r="I178" s="1" t="str">
        <f t="shared" si="22"/>
        <v/>
      </c>
      <c r="J178" s="16" t="str">
        <f t="shared" si="23"/>
        <v/>
      </c>
      <c r="K178" s="15" t="str">
        <f t="shared" si="24"/>
        <v/>
      </c>
      <c r="L178" s="15" t="str">
        <f t="shared" si="25"/>
        <v/>
      </c>
      <c r="M178" s="14" t="str">
        <f t="shared" si="26"/>
        <v/>
      </c>
    </row>
    <row r="179" spans="4:13">
      <c r="D179" s="184" t="str">
        <f t="shared" si="27"/>
        <v/>
      </c>
      <c r="E179" s="188" t="str">
        <f t="shared" si="21"/>
        <v/>
      </c>
      <c r="G179" s="12" t="str">
        <f>IF(A179="","",(MAX(C$4:C179)-C179)/MAX(C$4:C179))</f>
        <v/>
      </c>
      <c r="H179" s="12" t="str">
        <f>IF(A179="","",MAX(G$4:G179))</f>
        <v/>
      </c>
      <c r="I179" s="1" t="str">
        <f t="shared" si="22"/>
        <v/>
      </c>
      <c r="J179" s="16" t="str">
        <f t="shared" si="23"/>
        <v/>
      </c>
      <c r="K179" s="15" t="str">
        <f t="shared" si="24"/>
        <v/>
      </c>
      <c r="L179" s="15" t="str">
        <f t="shared" si="25"/>
        <v/>
      </c>
      <c r="M179" s="14" t="str">
        <f t="shared" si="26"/>
        <v/>
      </c>
    </row>
    <row r="180" spans="4:13">
      <c r="D180" s="184" t="str">
        <f t="shared" si="27"/>
        <v/>
      </c>
      <c r="E180" s="188" t="str">
        <f t="shared" si="21"/>
        <v/>
      </c>
      <c r="G180" s="12" t="str">
        <f>IF(A180="","",(MAX(C$4:C180)-C180)/MAX(C$4:C180))</f>
        <v/>
      </c>
      <c r="H180" s="12" t="str">
        <f>IF(A180="","",MAX(G$4:G180))</f>
        <v/>
      </c>
      <c r="I180" s="1" t="str">
        <f t="shared" si="22"/>
        <v/>
      </c>
      <c r="J180" s="16" t="str">
        <f t="shared" si="23"/>
        <v/>
      </c>
      <c r="K180" s="15" t="str">
        <f t="shared" si="24"/>
        <v/>
      </c>
      <c r="L180" s="15" t="str">
        <f t="shared" si="25"/>
        <v/>
      </c>
      <c r="M180" s="14" t="str">
        <f t="shared" si="26"/>
        <v/>
      </c>
    </row>
    <row r="181" spans="4:13">
      <c r="D181" s="184" t="str">
        <f t="shared" si="27"/>
        <v/>
      </c>
      <c r="E181" s="188" t="str">
        <f t="shared" si="21"/>
        <v/>
      </c>
      <c r="G181" s="12" t="str">
        <f>IF(A181="","",(MAX(C$4:C181)-C181)/MAX(C$4:C181))</f>
        <v/>
      </c>
      <c r="H181" s="12" t="str">
        <f>IF(A181="","",MAX(G$4:G181))</f>
        <v/>
      </c>
      <c r="I181" s="1" t="str">
        <f t="shared" si="22"/>
        <v/>
      </c>
      <c r="J181" s="16" t="str">
        <f t="shared" si="23"/>
        <v/>
      </c>
      <c r="K181" s="15" t="str">
        <f t="shared" si="24"/>
        <v/>
      </c>
      <c r="L181" s="15" t="str">
        <f t="shared" si="25"/>
        <v/>
      </c>
      <c r="M181" s="14" t="str">
        <f t="shared" si="26"/>
        <v/>
      </c>
    </row>
    <row r="182" spans="4:13">
      <c r="D182" s="184" t="str">
        <f t="shared" si="27"/>
        <v/>
      </c>
      <c r="E182" s="188" t="str">
        <f t="shared" si="21"/>
        <v/>
      </c>
      <c r="G182" s="12" t="str">
        <f>IF(A182="","",(MAX(C$4:C182)-C182)/MAX(C$4:C182))</f>
        <v/>
      </c>
      <c r="H182" s="12" t="str">
        <f>IF(A182="","",MAX(G$4:G182))</f>
        <v/>
      </c>
      <c r="I182" s="1" t="str">
        <f t="shared" si="22"/>
        <v/>
      </c>
      <c r="J182" s="16" t="str">
        <f t="shared" si="23"/>
        <v/>
      </c>
      <c r="K182" s="15" t="str">
        <f t="shared" si="24"/>
        <v/>
      </c>
      <c r="L182" s="15" t="str">
        <f t="shared" si="25"/>
        <v/>
      </c>
      <c r="M182" s="14" t="str">
        <f t="shared" si="26"/>
        <v/>
      </c>
    </row>
    <row r="183" spans="4:13">
      <c r="D183" s="184" t="str">
        <f t="shared" si="27"/>
        <v/>
      </c>
      <c r="E183" s="188" t="str">
        <f t="shared" si="21"/>
        <v/>
      </c>
      <c r="G183" s="12" t="str">
        <f>IF(A183="","",(MAX(C$4:C183)-C183)/MAX(C$4:C183))</f>
        <v/>
      </c>
      <c r="H183" s="12" t="str">
        <f>IF(A183="","",MAX(G$4:G183))</f>
        <v/>
      </c>
      <c r="I183" s="1" t="str">
        <f t="shared" si="22"/>
        <v/>
      </c>
      <c r="J183" s="16" t="str">
        <f t="shared" si="23"/>
        <v/>
      </c>
      <c r="K183" s="15" t="str">
        <f t="shared" si="24"/>
        <v/>
      </c>
      <c r="L183" s="15" t="str">
        <f t="shared" si="25"/>
        <v/>
      </c>
      <c r="M183" s="14" t="str">
        <f t="shared" si="26"/>
        <v/>
      </c>
    </row>
    <row r="184" spans="4:13">
      <c r="D184" s="184" t="str">
        <f t="shared" si="27"/>
        <v/>
      </c>
      <c r="E184" s="188" t="str">
        <f t="shared" si="21"/>
        <v/>
      </c>
      <c r="G184" s="12" t="str">
        <f>IF(A184="","",(MAX(C$4:C184)-C184)/MAX(C$4:C184))</f>
        <v/>
      </c>
      <c r="H184" s="12" t="str">
        <f>IF(A184="","",MAX(G$4:G184))</f>
        <v/>
      </c>
      <c r="I184" s="1" t="str">
        <f t="shared" si="22"/>
        <v/>
      </c>
      <c r="J184" s="16" t="str">
        <f t="shared" si="23"/>
        <v/>
      </c>
      <c r="K184" s="15" t="str">
        <f t="shared" si="24"/>
        <v/>
      </c>
      <c r="L184" s="15" t="str">
        <f t="shared" si="25"/>
        <v/>
      </c>
      <c r="M184" s="14" t="str">
        <f t="shared" si="26"/>
        <v/>
      </c>
    </row>
    <row r="185" spans="4:13">
      <c r="D185" s="184" t="str">
        <f t="shared" si="27"/>
        <v/>
      </c>
      <c r="E185" s="188" t="str">
        <f t="shared" si="21"/>
        <v/>
      </c>
      <c r="G185" s="12" t="str">
        <f>IF(A185="","",(MAX(C$4:C185)-C185)/MAX(C$4:C185))</f>
        <v/>
      </c>
      <c r="H185" s="12" t="str">
        <f>IF(A185="","",MAX(G$4:G185))</f>
        <v/>
      </c>
      <c r="I185" s="1" t="str">
        <f t="shared" si="22"/>
        <v/>
      </c>
      <c r="J185" s="16" t="str">
        <f t="shared" si="23"/>
        <v/>
      </c>
      <c r="K185" s="15" t="str">
        <f t="shared" si="24"/>
        <v/>
      </c>
      <c r="L185" s="15" t="str">
        <f t="shared" si="25"/>
        <v/>
      </c>
      <c r="M185" s="14" t="str">
        <f t="shared" si="26"/>
        <v/>
      </c>
    </row>
    <row r="186" spans="4:13">
      <c r="D186" s="184" t="str">
        <f t="shared" si="27"/>
        <v/>
      </c>
      <c r="E186" s="188" t="str">
        <f t="shared" si="21"/>
        <v/>
      </c>
      <c r="G186" s="12" t="str">
        <f>IF(A186="","",(MAX(C$4:C186)-C186)/MAX(C$4:C186))</f>
        <v/>
      </c>
      <c r="H186" s="12" t="str">
        <f>IF(A186="","",MAX(G$4:G186))</f>
        <v/>
      </c>
      <c r="I186" s="1" t="str">
        <f t="shared" si="22"/>
        <v/>
      </c>
      <c r="J186" s="16" t="str">
        <f t="shared" si="23"/>
        <v/>
      </c>
      <c r="K186" s="15" t="str">
        <f t="shared" si="24"/>
        <v/>
      </c>
      <c r="L186" s="15" t="str">
        <f t="shared" si="25"/>
        <v/>
      </c>
      <c r="M186" s="14" t="str">
        <f t="shared" si="26"/>
        <v/>
      </c>
    </row>
    <row r="187" spans="4:13">
      <c r="D187" s="184" t="str">
        <f t="shared" si="27"/>
        <v/>
      </c>
      <c r="E187" s="188" t="str">
        <f t="shared" si="21"/>
        <v/>
      </c>
      <c r="G187" s="12" t="str">
        <f>IF(A187="","",(MAX(C$4:C187)-C187)/MAX(C$4:C187))</f>
        <v/>
      </c>
      <c r="H187" s="12" t="str">
        <f>IF(A187="","",MAX(G$4:G187))</f>
        <v/>
      </c>
      <c r="I187" s="1" t="str">
        <f t="shared" si="22"/>
        <v/>
      </c>
      <c r="J187" s="16" t="str">
        <f t="shared" si="23"/>
        <v/>
      </c>
      <c r="K187" s="15" t="str">
        <f t="shared" si="24"/>
        <v/>
      </c>
      <c r="L187" s="15" t="str">
        <f t="shared" si="25"/>
        <v/>
      </c>
      <c r="M187" s="14" t="str">
        <f t="shared" si="26"/>
        <v/>
      </c>
    </row>
    <row r="188" spans="4:13">
      <c r="D188" s="184" t="str">
        <f t="shared" si="27"/>
        <v/>
      </c>
      <c r="E188" s="188" t="str">
        <f t="shared" si="21"/>
        <v/>
      </c>
      <c r="G188" s="12" t="str">
        <f>IF(A188="","",(MAX(C$4:C188)-C188)/MAX(C$4:C188))</f>
        <v/>
      </c>
      <c r="H188" s="12" t="str">
        <f>IF(A188="","",MAX(G$4:G188))</f>
        <v/>
      </c>
      <c r="I188" s="1" t="str">
        <f t="shared" si="22"/>
        <v/>
      </c>
      <c r="J188" s="16" t="str">
        <f t="shared" si="23"/>
        <v/>
      </c>
      <c r="K188" s="15" t="str">
        <f t="shared" si="24"/>
        <v/>
      </c>
      <c r="L188" s="15" t="str">
        <f t="shared" si="25"/>
        <v/>
      </c>
      <c r="M188" s="14" t="str">
        <f t="shared" si="26"/>
        <v/>
      </c>
    </row>
    <row r="189" spans="4:13">
      <c r="D189" s="184" t="str">
        <f t="shared" si="27"/>
        <v/>
      </c>
      <c r="E189" s="188" t="str">
        <f t="shared" si="21"/>
        <v/>
      </c>
      <c r="G189" s="12" t="str">
        <f>IF(A189="","",(MAX(C$4:C189)-C189)/MAX(C$4:C189))</f>
        <v/>
      </c>
      <c r="H189" s="12" t="str">
        <f>IF(A189="","",MAX(G$4:G189))</f>
        <v/>
      </c>
      <c r="I189" s="1" t="str">
        <f t="shared" si="22"/>
        <v/>
      </c>
      <c r="J189" s="16" t="str">
        <f t="shared" si="23"/>
        <v/>
      </c>
      <c r="K189" s="15" t="str">
        <f t="shared" si="24"/>
        <v/>
      </c>
      <c r="L189" s="15" t="str">
        <f t="shared" si="25"/>
        <v/>
      </c>
      <c r="M189" s="14" t="str">
        <f t="shared" si="26"/>
        <v/>
      </c>
    </row>
    <row r="190" spans="4:13">
      <c r="D190" s="184" t="str">
        <f t="shared" si="27"/>
        <v/>
      </c>
      <c r="E190" s="188" t="str">
        <f t="shared" si="21"/>
        <v/>
      </c>
      <c r="G190" s="12" t="str">
        <f>IF(A190="","",(MAX(C$4:C190)-C190)/MAX(C$4:C190))</f>
        <v/>
      </c>
      <c r="H190" s="12" t="str">
        <f>IF(A190="","",MAX(G$4:G190))</f>
        <v/>
      </c>
      <c r="I190" s="1" t="str">
        <f t="shared" si="22"/>
        <v/>
      </c>
      <c r="J190" s="16" t="str">
        <f t="shared" si="23"/>
        <v/>
      </c>
      <c r="K190" s="15" t="str">
        <f t="shared" si="24"/>
        <v/>
      </c>
      <c r="L190" s="15" t="str">
        <f t="shared" si="25"/>
        <v/>
      </c>
      <c r="M190" s="14" t="str">
        <f t="shared" si="26"/>
        <v/>
      </c>
    </row>
    <row r="191" spans="4:13">
      <c r="D191" s="184" t="str">
        <f t="shared" si="27"/>
        <v/>
      </c>
      <c r="E191" s="188" t="str">
        <f t="shared" si="21"/>
        <v/>
      </c>
      <c r="G191" s="12" t="str">
        <f>IF(A191="","",(MAX(C$4:C191)-C191)/MAX(C$4:C191))</f>
        <v/>
      </c>
      <c r="H191" s="12" t="str">
        <f>IF(A191="","",MAX(G$4:G191))</f>
        <v/>
      </c>
      <c r="I191" s="1" t="str">
        <f t="shared" si="22"/>
        <v/>
      </c>
      <c r="J191" s="16" t="str">
        <f t="shared" si="23"/>
        <v/>
      </c>
      <c r="K191" s="15" t="str">
        <f t="shared" si="24"/>
        <v/>
      </c>
      <c r="L191" s="15" t="str">
        <f t="shared" si="25"/>
        <v/>
      </c>
      <c r="M191" s="14" t="str">
        <f t="shared" si="26"/>
        <v/>
      </c>
    </row>
    <row r="192" spans="4:13">
      <c r="D192" s="184" t="str">
        <f t="shared" si="27"/>
        <v/>
      </c>
      <c r="E192" s="188" t="str">
        <f t="shared" si="21"/>
        <v/>
      </c>
      <c r="G192" s="12" t="str">
        <f>IF(A192="","",(MAX(C$4:C192)-C192)/MAX(C$4:C192))</f>
        <v/>
      </c>
      <c r="H192" s="12" t="str">
        <f>IF(A192="","",MAX(G$4:G192))</f>
        <v/>
      </c>
      <c r="I192" s="1" t="str">
        <f t="shared" si="22"/>
        <v/>
      </c>
      <c r="J192" s="16" t="str">
        <f t="shared" si="23"/>
        <v/>
      </c>
      <c r="K192" s="15" t="str">
        <f t="shared" si="24"/>
        <v/>
      </c>
      <c r="L192" s="15" t="str">
        <f t="shared" si="25"/>
        <v/>
      </c>
      <c r="M192" s="14" t="str">
        <f t="shared" si="26"/>
        <v/>
      </c>
    </row>
    <row r="193" spans="4:13">
      <c r="D193" s="184" t="str">
        <f t="shared" si="27"/>
        <v/>
      </c>
      <c r="E193" s="188" t="str">
        <f t="shared" si="21"/>
        <v/>
      </c>
      <c r="G193" s="12" t="str">
        <f>IF(A193="","",(MAX(C$4:C193)-C193)/MAX(C$4:C193))</f>
        <v/>
      </c>
      <c r="H193" s="12" t="str">
        <f>IF(A193="","",MAX(G$4:G193))</f>
        <v/>
      </c>
      <c r="I193" s="1" t="str">
        <f t="shared" si="22"/>
        <v/>
      </c>
      <c r="J193" s="16" t="str">
        <f t="shared" si="23"/>
        <v/>
      </c>
      <c r="K193" s="15" t="str">
        <f t="shared" si="24"/>
        <v/>
      </c>
      <c r="L193" s="15" t="str">
        <f t="shared" si="25"/>
        <v/>
      </c>
      <c r="M193" s="14" t="str">
        <f t="shared" si="26"/>
        <v/>
      </c>
    </row>
    <row r="194" spans="4:13">
      <c r="D194" s="184" t="str">
        <f t="shared" si="27"/>
        <v/>
      </c>
      <c r="E194" s="188" t="str">
        <f t="shared" si="21"/>
        <v/>
      </c>
      <c r="G194" s="12" t="str">
        <f>IF(A194="","",(MAX(C$4:C194)-C194)/MAX(C$4:C194))</f>
        <v/>
      </c>
      <c r="H194" s="12" t="str">
        <f>IF(A194="","",MAX(G$4:G194))</f>
        <v/>
      </c>
      <c r="I194" s="1" t="str">
        <f t="shared" si="22"/>
        <v/>
      </c>
      <c r="J194" s="16" t="str">
        <f t="shared" si="23"/>
        <v/>
      </c>
      <c r="K194" s="15" t="str">
        <f t="shared" si="24"/>
        <v/>
      </c>
      <c r="L194" s="15" t="str">
        <f t="shared" si="25"/>
        <v/>
      </c>
      <c r="M194" s="14" t="str">
        <f t="shared" si="26"/>
        <v/>
      </c>
    </row>
    <row r="195" spans="4:13">
      <c r="D195" s="184" t="str">
        <f t="shared" si="27"/>
        <v/>
      </c>
      <c r="E195" s="188" t="str">
        <f t="shared" si="21"/>
        <v/>
      </c>
      <c r="G195" s="12" t="str">
        <f>IF(A195="","",(MAX(C$4:C195)-C195)/MAX(C$4:C195))</f>
        <v/>
      </c>
      <c r="H195" s="12" t="str">
        <f>IF(A195="","",MAX(G$4:G195))</f>
        <v/>
      </c>
      <c r="I195" s="1" t="str">
        <f t="shared" si="22"/>
        <v/>
      </c>
      <c r="J195" s="16" t="str">
        <f t="shared" si="23"/>
        <v/>
      </c>
      <c r="K195" s="15" t="str">
        <f t="shared" si="24"/>
        <v/>
      </c>
      <c r="L195" s="15" t="str">
        <f t="shared" si="25"/>
        <v/>
      </c>
      <c r="M195" s="14" t="str">
        <f t="shared" si="26"/>
        <v/>
      </c>
    </row>
    <row r="196" spans="4:13">
      <c r="D196" s="184" t="str">
        <f t="shared" si="27"/>
        <v/>
      </c>
      <c r="E196" s="188" t="str">
        <f t="shared" si="21"/>
        <v/>
      </c>
      <c r="G196" s="12" t="str">
        <f>IF(A196="","",(MAX(C$4:C196)-C196)/MAX(C$4:C196))</f>
        <v/>
      </c>
      <c r="H196" s="12" t="str">
        <f>IF(A196="","",MAX(G$4:G196))</f>
        <v/>
      </c>
      <c r="I196" s="1" t="str">
        <f t="shared" si="22"/>
        <v/>
      </c>
      <c r="J196" s="16" t="str">
        <f t="shared" si="23"/>
        <v/>
      </c>
      <c r="K196" s="15" t="str">
        <f t="shared" si="24"/>
        <v/>
      </c>
      <c r="L196" s="15" t="str">
        <f t="shared" si="25"/>
        <v/>
      </c>
      <c r="M196" s="14" t="str">
        <f t="shared" si="26"/>
        <v/>
      </c>
    </row>
    <row r="197" spans="4:13">
      <c r="D197" s="184" t="str">
        <f t="shared" si="27"/>
        <v/>
      </c>
      <c r="E197" s="188" t="str">
        <f t="shared" si="21"/>
        <v/>
      </c>
      <c r="G197" s="12" t="str">
        <f>IF(A197="","",(MAX(C$4:C197)-C197)/MAX(C$4:C197))</f>
        <v/>
      </c>
      <c r="H197" s="12" t="str">
        <f>IF(A197="","",MAX(G$4:G197))</f>
        <v/>
      </c>
      <c r="I197" s="1" t="str">
        <f t="shared" si="22"/>
        <v/>
      </c>
      <c r="J197" s="16" t="str">
        <f t="shared" si="23"/>
        <v/>
      </c>
      <c r="K197" s="15" t="str">
        <f t="shared" si="24"/>
        <v/>
      </c>
      <c r="L197" s="15" t="str">
        <f t="shared" si="25"/>
        <v/>
      </c>
      <c r="M197" s="14" t="str">
        <f t="shared" si="26"/>
        <v/>
      </c>
    </row>
    <row r="198" spans="4:13">
      <c r="D198" s="184" t="str">
        <f t="shared" si="27"/>
        <v/>
      </c>
      <c r="E198" s="188" t="str">
        <f t="shared" si="21"/>
        <v/>
      </c>
      <c r="G198" s="12" t="str">
        <f>IF(A198="","",(MAX(C$4:C198)-C198)/MAX(C$4:C198))</f>
        <v/>
      </c>
      <c r="H198" s="12" t="str">
        <f>IF(A198="","",MAX(G$4:G198))</f>
        <v/>
      </c>
      <c r="I198" s="1" t="str">
        <f t="shared" si="22"/>
        <v/>
      </c>
      <c r="J198" s="16" t="str">
        <f t="shared" si="23"/>
        <v/>
      </c>
      <c r="K198" s="15" t="str">
        <f t="shared" si="24"/>
        <v/>
      </c>
      <c r="L198" s="15" t="str">
        <f t="shared" si="25"/>
        <v/>
      </c>
      <c r="M198" s="14" t="str">
        <f t="shared" si="26"/>
        <v/>
      </c>
    </row>
    <row r="199" spans="4:13">
      <c r="D199" s="184" t="str">
        <f t="shared" si="27"/>
        <v/>
      </c>
      <c r="E199" s="188" t="str">
        <f t="shared" si="21"/>
        <v/>
      </c>
      <c r="G199" s="12" t="str">
        <f>IF(A199="","",(MAX(C$4:C199)-C199)/MAX(C$4:C199))</f>
        <v/>
      </c>
      <c r="H199" s="12" t="str">
        <f>IF(A199="","",MAX(G$4:G199))</f>
        <v/>
      </c>
      <c r="I199" s="1" t="str">
        <f t="shared" si="22"/>
        <v/>
      </c>
      <c r="J199" s="16" t="str">
        <f t="shared" si="23"/>
        <v/>
      </c>
      <c r="K199" s="15" t="str">
        <f t="shared" si="24"/>
        <v/>
      </c>
      <c r="L199" s="15" t="str">
        <f t="shared" si="25"/>
        <v/>
      </c>
      <c r="M199" s="14" t="str">
        <f t="shared" si="26"/>
        <v/>
      </c>
    </row>
    <row r="200" spans="4:13">
      <c r="D200" s="184" t="str">
        <f t="shared" si="27"/>
        <v/>
      </c>
      <c r="E200" s="188" t="str">
        <f t="shared" si="21"/>
        <v/>
      </c>
      <c r="G200" s="12" t="str">
        <f>IF(A200="","",(MAX(C$4:C200)-C200)/MAX(C$4:C200))</f>
        <v/>
      </c>
      <c r="H200" s="12" t="str">
        <f>IF(A200="","",MAX(G$4:G200))</f>
        <v/>
      </c>
      <c r="I200" s="1" t="str">
        <f t="shared" si="22"/>
        <v/>
      </c>
      <c r="J200" s="16" t="str">
        <f t="shared" si="23"/>
        <v/>
      </c>
      <c r="K200" s="15" t="str">
        <f t="shared" si="24"/>
        <v/>
      </c>
      <c r="L200" s="15" t="str">
        <f t="shared" si="25"/>
        <v/>
      </c>
      <c r="M200" s="14" t="str">
        <f t="shared" si="26"/>
        <v/>
      </c>
    </row>
    <row r="201" spans="4:13">
      <c r="D201" s="184" t="str">
        <f t="shared" si="27"/>
        <v/>
      </c>
      <c r="E201" s="188" t="str">
        <f t="shared" si="21"/>
        <v/>
      </c>
      <c r="G201" s="12" t="str">
        <f>IF(A201="","",(MAX(C$4:C201)-C201)/MAX(C$4:C201))</f>
        <v/>
      </c>
      <c r="H201" s="12" t="str">
        <f>IF(A201="","",MAX(G$4:G201))</f>
        <v/>
      </c>
      <c r="I201" s="1" t="str">
        <f t="shared" si="22"/>
        <v/>
      </c>
      <c r="J201" s="16" t="str">
        <f t="shared" si="23"/>
        <v/>
      </c>
      <c r="K201" s="15" t="str">
        <f t="shared" si="24"/>
        <v/>
      </c>
      <c r="L201" s="15" t="str">
        <f t="shared" si="25"/>
        <v/>
      </c>
      <c r="M201" s="14" t="str">
        <f t="shared" si="26"/>
        <v/>
      </c>
    </row>
    <row r="202" spans="4:13">
      <c r="D202" s="184" t="str">
        <f t="shared" si="27"/>
        <v/>
      </c>
      <c r="E202" s="188" t="str">
        <f t="shared" si="21"/>
        <v/>
      </c>
      <c r="G202" s="12" t="str">
        <f>IF(A202="","",(MAX(C$4:C202)-C202)/MAX(C$4:C202))</f>
        <v/>
      </c>
      <c r="H202" s="12" t="str">
        <f>IF(A202="","",MAX(G$4:G202))</f>
        <v/>
      </c>
      <c r="I202" s="1" t="str">
        <f t="shared" si="22"/>
        <v/>
      </c>
      <c r="J202" s="16" t="str">
        <f t="shared" si="23"/>
        <v/>
      </c>
      <c r="K202" s="15" t="str">
        <f t="shared" si="24"/>
        <v/>
      </c>
      <c r="L202" s="15" t="str">
        <f t="shared" si="25"/>
        <v/>
      </c>
      <c r="M202" s="14" t="str">
        <f t="shared" si="26"/>
        <v/>
      </c>
    </row>
    <row r="203" spans="4:13">
      <c r="D203" s="184" t="str">
        <f t="shared" si="27"/>
        <v/>
      </c>
      <c r="E203" s="188" t="str">
        <f t="shared" ref="E203:E266" si="28">IF(A203="","",(F203-F202)/F202)</f>
        <v/>
      </c>
      <c r="G203" s="12" t="str">
        <f>IF(A203="","",(MAX(C$4:C203)-C203)/MAX(C$4:C203))</f>
        <v/>
      </c>
      <c r="H203" s="12" t="str">
        <f>IF(A203="","",MAX(G$4:G203))</f>
        <v/>
      </c>
      <c r="I203" s="1" t="str">
        <f t="shared" si="22"/>
        <v/>
      </c>
      <c r="J203" s="16" t="str">
        <f t="shared" si="23"/>
        <v/>
      </c>
      <c r="K203" s="15" t="str">
        <f t="shared" si="24"/>
        <v/>
      </c>
      <c r="L203" s="15" t="str">
        <f t="shared" si="25"/>
        <v/>
      </c>
      <c r="M203" s="14" t="str">
        <f t="shared" si="26"/>
        <v/>
      </c>
    </row>
    <row r="204" spans="4:13">
      <c r="D204" s="184" t="str">
        <f t="shared" si="27"/>
        <v/>
      </c>
      <c r="E204" s="188" t="str">
        <f t="shared" si="28"/>
        <v/>
      </c>
      <c r="G204" s="12" t="str">
        <f>IF(A204="","",(MAX(C$4:C204)-C204)/MAX(C$4:C204))</f>
        <v/>
      </c>
      <c r="H204" s="12" t="str">
        <f>IF(A204="","",MAX(G$4:G204))</f>
        <v/>
      </c>
      <c r="I204" s="1" t="str">
        <f t="shared" si="22"/>
        <v/>
      </c>
      <c r="J204" s="16" t="str">
        <f t="shared" si="23"/>
        <v/>
      </c>
      <c r="K204" s="15" t="str">
        <f t="shared" si="24"/>
        <v/>
      </c>
      <c r="L204" s="15" t="str">
        <f t="shared" si="25"/>
        <v/>
      </c>
      <c r="M204" s="14" t="str">
        <f t="shared" si="26"/>
        <v/>
      </c>
    </row>
    <row r="205" spans="4:13">
      <c r="D205" s="184" t="str">
        <f t="shared" si="27"/>
        <v/>
      </c>
      <c r="E205" s="188" t="str">
        <f t="shared" si="28"/>
        <v/>
      </c>
      <c r="G205" s="12" t="str">
        <f>IF(A205="","",(MAX(C$4:C205)-C205)/MAX(C$4:C205))</f>
        <v/>
      </c>
      <c r="H205" s="12" t="str">
        <f>IF(A205="","",MAX(G$4:G205))</f>
        <v/>
      </c>
      <c r="I205" s="1" t="str">
        <f t="shared" si="22"/>
        <v/>
      </c>
      <c r="J205" s="16" t="str">
        <f t="shared" si="23"/>
        <v/>
      </c>
      <c r="K205" s="15" t="str">
        <f t="shared" si="24"/>
        <v/>
      </c>
      <c r="L205" s="15" t="str">
        <f t="shared" si="25"/>
        <v/>
      </c>
      <c r="M205" s="14" t="str">
        <f t="shared" si="26"/>
        <v/>
      </c>
    </row>
    <row r="206" spans="4:13">
      <c r="D206" s="184" t="str">
        <f t="shared" si="27"/>
        <v/>
      </c>
      <c r="E206" s="188" t="str">
        <f t="shared" si="28"/>
        <v/>
      </c>
      <c r="G206" s="12" t="str">
        <f>IF(A206="","",(MAX(C$4:C206)-C206)/MAX(C$4:C206))</f>
        <v/>
      </c>
      <c r="H206" s="12" t="str">
        <f>IF(A206="","",MAX(G$4:G206))</f>
        <v/>
      </c>
      <c r="I206" s="1" t="str">
        <f t="shared" si="22"/>
        <v/>
      </c>
      <c r="J206" s="16" t="str">
        <f t="shared" si="23"/>
        <v/>
      </c>
      <c r="K206" s="15" t="str">
        <f t="shared" si="24"/>
        <v/>
      </c>
      <c r="L206" s="15" t="str">
        <f t="shared" si="25"/>
        <v/>
      </c>
      <c r="M206" s="14" t="str">
        <f t="shared" si="26"/>
        <v/>
      </c>
    </row>
    <row r="207" spans="4:13">
      <c r="D207" s="184" t="str">
        <f t="shared" si="27"/>
        <v/>
      </c>
      <c r="E207" s="188" t="str">
        <f t="shared" si="28"/>
        <v/>
      </c>
      <c r="G207" s="12" t="str">
        <f>IF(A207="","",(MAX(C$4:C207)-C207)/MAX(C$4:C207))</f>
        <v/>
      </c>
      <c r="H207" s="12" t="str">
        <f>IF(A207="","",MAX(G$4:G207))</f>
        <v/>
      </c>
      <c r="I207" s="1" t="str">
        <f t="shared" ref="I207:I270" si="29">IF(A207="","",C207)</f>
        <v/>
      </c>
      <c r="J207" s="16" t="str">
        <f t="shared" ref="J207:J270" si="30">IF(A207="","",J206*(1+E207))</f>
        <v/>
      </c>
      <c r="K207" s="15" t="str">
        <f t="shared" ref="K207:K270" si="31">IF(A207="","",IF(H207&gt;5%,"是","否"))</f>
        <v/>
      </c>
      <c r="L207" s="15" t="str">
        <f t="shared" ref="L207:L270" si="32">IF(A207="","",IF(B207&gt;0.95,"否","是"))</f>
        <v/>
      </c>
      <c r="M207" s="14" t="str">
        <f t="shared" ref="M207:M270" si="33">IF(A207="","",IF(D207&lt;2%,"否","是"))</f>
        <v/>
      </c>
    </row>
    <row r="208" spans="4:13">
      <c r="D208" s="184" t="str">
        <f t="shared" ref="D208:D271" si="34">IF(A208="","",(B208-B207)/B207)</f>
        <v/>
      </c>
      <c r="E208" s="188" t="str">
        <f t="shared" si="28"/>
        <v/>
      </c>
      <c r="G208" s="12" t="str">
        <f>IF(A208="","",(MAX(C$4:C208)-C208)/MAX(C$4:C208))</f>
        <v/>
      </c>
      <c r="H208" s="12" t="str">
        <f>IF(A208="","",MAX(G$4:G208))</f>
        <v/>
      </c>
      <c r="I208" s="1" t="str">
        <f t="shared" si="29"/>
        <v/>
      </c>
      <c r="J208" s="16" t="str">
        <f t="shared" si="30"/>
        <v/>
      </c>
      <c r="K208" s="15" t="str">
        <f t="shared" si="31"/>
        <v/>
      </c>
      <c r="L208" s="15" t="str">
        <f t="shared" si="32"/>
        <v/>
      </c>
      <c r="M208" s="14" t="str">
        <f t="shared" si="33"/>
        <v/>
      </c>
    </row>
    <row r="209" spans="4:13">
      <c r="D209" s="184" t="str">
        <f t="shared" si="34"/>
        <v/>
      </c>
      <c r="E209" s="188" t="str">
        <f t="shared" si="28"/>
        <v/>
      </c>
      <c r="G209" s="12" t="str">
        <f>IF(A209="","",(MAX(C$4:C209)-C209)/MAX(C$4:C209))</f>
        <v/>
      </c>
      <c r="H209" s="12" t="str">
        <f>IF(A209="","",MAX(G$4:G209))</f>
        <v/>
      </c>
      <c r="I209" s="1" t="str">
        <f t="shared" si="29"/>
        <v/>
      </c>
      <c r="J209" s="16" t="str">
        <f t="shared" si="30"/>
        <v/>
      </c>
      <c r="K209" s="15" t="str">
        <f t="shared" si="31"/>
        <v/>
      </c>
      <c r="L209" s="15" t="str">
        <f t="shared" si="32"/>
        <v/>
      </c>
      <c r="M209" s="14" t="str">
        <f t="shared" si="33"/>
        <v/>
      </c>
    </row>
    <row r="210" spans="4:13">
      <c r="D210" s="184" t="str">
        <f t="shared" si="34"/>
        <v/>
      </c>
      <c r="E210" s="188" t="str">
        <f t="shared" si="28"/>
        <v/>
      </c>
      <c r="G210" s="12" t="str">
        <f>IF(A210="","",(MAX(C$4:C210)-C210)/MAX(C$4:C210))</f>
        <v/>
      </c>
      <c r="H210" s="12" t="str">
        <f>IF(A210="","",MAX(G$4:G210))</f>
        <v/>
      </c>
      <c r="I210" s="1" t="str">
        <f t="shared" si="29"/>
        <v/>
      </c>
      <c r="J210" s="16" t="str">
        <f t="shared" si="30"/>
        <v/>
      </c>
      <c r="K210" s="15" t="str">
        <f t="shared" si="31"/>
        <v/>
      </c>
      <c r="L210" s="15" t="str">
        <f t="shared" si="32"/>
        <v/>
      </c>
      <c r="M210" s="14" t="str">
        <f t="shared" si="33"/>
        <v/>
      </c>
    </row>
    <row r="211" spans="4:13">
      <c r="D211" s="184" t="str">
        <f t="shared" si="34"/>
        <v/>
      </c>
      <c r="E211" s="188" t="str">
        <f t="shared" si="28"/>
        <v/>
      </c>
      <c r="G211" s="12" t="str">
        <f>IF(A211="","",(MAX(C$4:C211)-C211)/MAX(C$4:C211))</f>
        <v/>
      </c>
      <c r="H211" s="12" t="str">
        <f>IF(A211="","",MAX(G$4:G211))</f>
        <v/>
      </c>
      <c r="I211" s="1" t="str">
        <f t="shared" si="29"/>
        <v/>
      </c>
      <c r="J211" s="16" t="str">
        <f t="shared" si="30"/>
        <v/>
      </c>
      <c r="K211" s="15" t="str">
        <f t="shared" si="31"/>
        <v/>
      </c>
      <c r="L211" s="15" t="str">
        <f t="shared" si="32"/>
        <v/>
      </c>
      <c r="M211" s="14" t="str">
        <f t="shared" si="33"/>
        <v/>
      </c>
    </row>
    <row r="212" spans="4:13">
      <c r="D212" s="184" t="str">
        <f t="shared" si="34"/>
        <v/>
      </c>
      <c r="E212" s="188" t="str">
        <f t="shared" si="28"/>
        <v/>
      </c>
      <c r="G212" s="12" t="str">
        <f>IF(A212="","",(MAX(C$4:C212)-C212)/MAX(C$4:C212))</f>
        <v/>
      </c>
      <c r="H212" s="12" t="str">
        <f>IF(A212="","",MAX(G$4:G212))</f>
        <v/>
      </c>
      <c r="I212" s="1" t="str">
        <f t="shared" si="29"/>
        <v/>
      </c>
      <c r="J212" s="16" t="str">
        <f t="shared" si="30"/>
        <v/>
      </c>
      <c r="K212" s="15" t="str">
        <f t="shared" si="31"/>
        <v/>
      </c>
      <c r="L212" s="15" t="str">
        <f t="shared" si="32"/>
        <v/>
      </c>
      <c r="M212" s="14" t="str">
        <f t="shared" si="33"/>
        <v/>
      </c>
    </row>
    <row r="213" spans="4:13">
      <c r="D213" s="184" t="str">
        <f t="shared" si="34"/>
        <v/>
      </c>
      <c r="E213" s="188" t="str">
        <f t="shared" si="28"/>
        <v/>
      </c>
      <c r="G213" s="12" t="str">
        <f>IF(A213="","",(MAX(C$4:C213)-C213)/MAX(C$4:C213))</f>
        <v/>
      </c>
      <c r="H213" s="12" t="str">
        <f>IF(A213="","",MAX(G$4:G213))</f>
        <v/>
      </c>
      <c r="I213" s="1" t="str">
        <f t="shared" si="29"/>
        <v/>
      </c>
      <c r="J213" s="16" t="str">
        <f t="shared" si="30"/>
        <v/>
      </c>
      <c r="K213" s="15" t="str">
        <f t="shared" si="31"/>
        <v/>
      </c>
      <c r="L213" s="15" t="str">
        <f t="shared" si="32"/>
        <v/>
      </c>
      <c r="M213" s="14" t="str">
        <f t="shared" si="33"/>
        <v/>
      </c>
    </row>
    <row r="214" spans="4:13">
      <c r="D214" s="184" t="str">
        <f t="shared" si="34"/>
        <v/>
      </c>
      <c r="E214" s="188" t="str">
        <f t="shared" si="28"/>
        <v/>
      </c>
      <c r="G214" s="12" t="str">
        <f>IF(A214="","",(MAX(C$4:C214)-C214)/MAX(C$4:C214))</f>
        <v/>
      </c>
      <c r="H214" s="12" t="str">
        <f>IF(A214="","",MAX(G$4:G214))</f>
        <v/>
      </c>
      <c r="I214" s="1" t="str">
        <f t="shared" si="29"/>
        <v/>
      </c>
      <c r="J214" s="16" t="str">
        <f t="shared" si="30"/>
        <v/>
      </c>
      <c r="K214" s="15" t="str">
        <f t="shared" si="31"/>
        <v/>
      </c>
      <c r="L214" s="15" t="str">
        <f t="shared" si="32"/>
        <v/>
      </c>
      <c r="M214" s="14" t="str">
        <f t="shared" si="33"/>
        <v/>
      </c>
    </row>
    <row r="215" spans="4:13">
      <c r="D215" s="184" t="str">
        <f t="shared" si="34"/>
        <v/>
      </c>
      <c r="E215" s="188" t="str">
        <f t="shared" si="28"/>
        <v/>
      </c>
      <c r="G215" s="12" t="str">
        <f>IF(A215="","",(MAX(C$4:C215)-C215)/MAX(C$4:C215))</f>
        <v/>
      </c>
      <c r="H215" s="12" t="str">
        <f>IF(A215="","",MAX(G$4:G215))</f>
        <v/>
      </c>
      <c r="I215" s="1" t="str">
        <f t="shared" si="29"/>
        <v/>
      </c>
      <c r="J215" s="16" t="str">
        <f t="shared" si="30"/>
        <v/>
      </c>
      <c r="K215" s="15" t="str">
        <f t="shared" si="31"/>
        <v/>
      </c>
      <c r="L215" s="15" t="str">
        <f t="shared" si="32"/>
        <v/>
      </c>
      <c r="M215" s="14" t="str">
        <f t="shared" si="33"/>
        <v/>
      </c>
    </row>
    <row r="216" spans="4:13">
      <c r="D216" s="184" t="str">
        <f t="shared" si="34"/>
        <v/>
      </c>
      <c r="E216" s="188" t="str">
        <f t="shared" si="28"/>
        <v/>
      </c>
      <c r="G216" s="12" t="str">
        <f>IF(A216="","",(MAX(C$4:C216)-C216)/MAX(C$4:C216))</f>
        <v/>
      </c>
      <c r="H216" s="12" t="str">
        <f>IF(A216="","",MAX(G$4:G216))</f>
        <v/>
      </c>
      <c r="I216" s="1" t="str">
        <f t="shared" si="29"/>
        <v/>
      </c>
      <c r="J216" s="16" t="str">
        <f t="shared" si="30"/>
        <v/>
      </c>
      <c r="K216" s="15" t="str">
        <f t="shared" si="31"/>
        <v/>
      </c>
      <c r="L216" s="15" t="str">
        <f t="shared" si="32"/>
        <v/>
      </c>
      <c r="M216" s="14" t="str">
        <f t="shared" si="33"/>
        <v/>
      </c>
    </row>
    <row r="217" spans="4:13">
      <c r="D217" s="184" t="str">
        <f t="shared" si="34"/>
        <v/>
      </c>
      <c r="E217" s="188" t="str">
        <f t="shared" si="28"/>
        <v/>
      </c>
      <c r="G217" s="12" t="str">
        <f>IF(A217="","",(MAX(C$4:C217)-C217)/MAX(C$4:C217))</f>
        <v/>
      </c>
      <c r="H217" s="12" t="str">
        <f>IF(A217="","",MAX(G$4:G217))</f>
        <v/>
      </c>
      <c r="I217" s="1" t="str">
        <f t="shared" si="29"/>
        <v/>
      </c>
      <c r="J217" s="16" t="str">
        <f t="shared" si="30"/>
        <v/>
      </c>
      <c r="K217" s="15" t="str">
        <f t="shared" si="31"/>
        <v/>
      </c>
      <c r="L217" s="15" t="str">
        <f t="shared" si="32"/>
        <v/>
      </c>
      <c r="M217" s="14" t="str">
        <f t="shared" si="33"/>
        <v/>
      </c>
    </row>
    <row r="218" spans="4:13">
      <c r="D218" s="184" t="str">
        <f t="shared" si="34"/>
        <v/>
      </c>
      <c r="E218" s="188" t="str">
        <f t="shared" si="28"/>
        <v/>
      </c>
      <c r="G218" s="12" t="str">
        <f>IF(A218="","",(MAX(C$4:C218)-C218)/MAX(C$4:C218))</f>
        <v/>
      </c>
      <c r="H218" s="12" t="str">
        <f>IF(A218="","",MAX(G$4:G218))</f>
        <v/>
      </c>
      <c r="I218" s="1" t="str">
        <f t="shared" si="29"/>
        <v/>
      </c>
      <c r="J218" s="16" t="str">
        <f t="shared" si="30"/>
        <v/>
      </c>
      <c r="K218" s="15" t="str">
        <f t="shared" si="31"/>
        <v/>
      </c>
      <c r="L218" s="15" t="str">
        <f t="shared" si="32"/>
        <v/>
      </c>
      <c r="M218" s="14" t="str">
        <f t="shared" si="33"/>
        <v/>
      </c>
    </row>
    <row r="219" spans="4:13">
      <c r="D219" s="184" t="str">
        <f t="shared" si="34"/>
        <v/>
      </c>
      <c r="E219" s="188" t="str">
        <f t="shared" si="28"/>
        <v/>
      </c>
      <c r="G219" s="12" t="str">
        <f>IF(A219="","",(MAX(C$4:C219)-C219)/MAX(C$4:C219))</f>
        <v/>
      </c>
      <c r="H219" s="12" t="str">
        <f>IF(A219="","",MAX(G$4:G219))</f>
        <v/>
      </c>
      <c r="I219" s="1" t="str">
        <f t="shared" si="29"/>
        <v/>
      </c>
      <c r="J219" s="16" t="str">
        <f t="shared" si="30"/>
        <v/>
      </c>
      <c r="K219" s="15" t="str">
        <f t="shared" si="31"/>
        <v/>
      </c>
      <c r="L219" s="15" t="str">
        <f t="shared" si="32"/>
        <v/>
      </c>
      <c r="M219" s="14" t="str">
        <f t="shared" si="33"/>
        <v/>
      </c>
    </row>
    <row r="220" spans="4:13">
      <c r="D220" s="184" t="str">
        <f t="shared" si="34"/>
        <v/>
      </c>
      <c r="E220" s="188" t="str">
        <f t="shared" si="28"/>
        <v/>
      </c>
      <c r="G220" s="12" t="str">
        <f>IF(A220="","",(MAX(C$4:C220)-C220)/MAX(C$4:C220))</f>
        <v/>
      </c>
      <c r="H220" s="12" t="str">
        <f>IF(A220="","",MAX(G$4:G220))</f>
        <v/>
      </c>
      <c r="I220" s="1" t="str">
        <f t="shared" si="29"/>
        <v/>
      </c>
      <c r="J220" s="16" t="str">
        <f t="shared" si="30"/>
        <v/>
      </c>
      <c r="K220" s="15" t="str">
        <f t="shared" si="31"/>
        <v/>
      </c>
      <c r="L220" s="15" t="str">
        <f t="shared" si="32"/>
        <v/>
      </c>
      <c r="M220" s="14" t="str">
        <f t="shared" si="33"/>
        <v/>
      </c>
    </row>
    <row r="221" spans="4:13">
      <c r="D221" s="184" t="str">
        <f t="shared" si="34"/>
        <v/>
      </c>
      <c r="E221" s="188" t="str">
        <f t="shared" si="28"/>
        <v/>
      </c>
      <c r="G221" s="12" t="str">
        <f>IF(A221="","",(MAX(C$4:C221)-C221)/MAX(C$4:C221))</f>
        <v/>
      </c>
      <c r="H221" s="12" t="str">
        <f>IF(A221="","",MAX(G$4:G221))</f>
        <v/>
      </c>
      <c r="I221" s="1" t="str">
        <f t="shared" si="29"/>
        <v/>
      </c>
      <c r="J221" s="16" t="str">
        <f t="shared" si="30"/>
        <v/>
      </c>
      <c r="K221" s="15" t="str">
        <f t="shared" si="31"/>
        <v/>
      </c>
      <c r="L221" s="15" t="str">
        <f t="shared" si="32"/>
        <v/>
      </c>
      <c r="M221" s="14" t="str">
        <f t="shared" si="33"/>
        <v/>
      </c>
    </row>
    <row r="222" spans="4:13">
      <c r="D222" s="184" t="str">
        <f t="shared" si="34"/>
        <v/>
      </c>
      <c r="E222" s="188" t="str">
        <f t="shared" si="28"/>
        <v/>
      </c>
      <c r="G222" s="12" t="str">
        <f>IF(A222="","",(MAX(C$4:C222)-C222)/MAX(C$4:C222))</f>
        <v/>
      </c>
      <c r="H222" s="12" t="str">
        <f>IF(A222="","",MAX(G$4:G222))</f>
        <v/>
      </c>
      <c r="I222" s="1" t="str">
        <f t="shared" si="29"/>
        <v/>
      </c>
      <c r="J222" s="16" t="str">
        <f t="shared" si="30"/>
        <v/>
      </c>
      <c r="K222" s="15" t="str">
        <f t="shared" si="31"/>
        <v/>
      </c>
      <c r="L222" s="15" t="str">
        <f t="shared" si="32"/>
        <v/>
      </c>
      <c r="M222" s="14" t="str">
        <f t="shared" si="33"/>
        <v/>
      </c>
    </row>
    <row r="223" spans="4:13">
      <c r="D223" s="184" t="str">
        <f t="shared" si="34"/>
        <v/>
      </c>
      <c r="E223" s="188" t="str">
        <f t="shared" si="28"/>
        <v/>
      </c>
      <c r="G223" s="12" t="str">
        <f>IF(A223="","",(MAX(C$4:C223)-C223)/MAX(C$4:C223))</f>
        <v/>
      </c>
      <c r="H223" s="12" t="str">
        <f>IF(A223="","",MAX(G$4:G223))</f>
        <v/>
      </c>
      <c r="I223" s="1" t="str">
        <f t="shared" si="29"/>
        <v/>
      </c>
      <c r="J223" s="16" t="str">
        <f t="shared" si="30"/>
        <v/>
      </c>
      <c r="K223" s="15" t="str">
        <f t="shared" si="31"/>
        <v/>
      </c>
      <c r="L223" s="15" t="str">
        <f t="shared" si="32"/>
        <v/>
      </c>
      <c r="M223" s="14" t="str">
        <f t="shared" si="33"/>
        <v/>
      </c>
    </row>
    <row r="224" spans="4:13">
      <c r="D224" s="184" t="str">
        <f t="shared" si="34"/>
        <v/>
      </c>
      <c r="E224" s="188" t="str">
        <f t="shared" si="28"/>
        <v/>
      </c>
      <c r="G224" s="12" t="str">
        <f>IF(A224="","",(MAX(C$4:C224)-C224)/MAX(C$4:C224))</f>
        <v/>
      </c>
      <c r="H224" s="12" t="str">
        <f>IF(A224="","",MAX(G$4:G224))</f>
        <v/>
      </c>
      <c r="I224" s="1" t="str">
        <f t="shared" si="29"/>
        <v/>
      </c>
      <c r="J224" s="16" t="str">
        <f t="shared" si="30"/>
        <v/>
      </c>
      <c r="K224" s="15" t="str">
        <f t="shared" si="31"/>
        <v/>
      </c>
      <c r="L224" s="15" t="str">
        <f t="shared" si="32"/>
        <v/>
      </c>
      <c r="M224" s="14" t="str">
        <f t="shared" si="33"/>
        <v/>
      </c>
    </row>
    <row r="225" spans="4:13">
      <c r="D225" s="184" t="str">
        <f t="shared" si="34"/>
        <v/>
      </c>
      <c r="E225" s="188" t="str">
        <f t="shared" si="28"/>
        <v/>
      </c>
      <c r="G225" s="12" t="str">
        <f>IF(A225="","",(MAX(C$4:C225)-C225)/MAX(C$4:C225))</f>
        <v/>
      </c>
      <c r="H225" s="12" t="str">
        <f>IF(A225="","",MAX(G$4:G225))</f>
        <v/>
      </c>
      <c r="I225" s="1" t="str">
        <f t="shared" si="29"/>
        <v/>
      </c>
      <c r="J225" s="16" t="str">
        <f t="shared" si="30"/>
        <v/>
      </c>
      <c r="K225" s="15" t="str">
        <f t="shared" si="31"/>
        <v/>
      </c>
      <c r="L225" s="15" t="str">
        <f t="shared" si="32"/>
        <v/>
      </c>
      <c r="M225" s="14" t="str">
        <f t="shared" si="33"/>
        <v/>
      </c>
    </row>
    <row r="226" spans="4:13">
      <c r="D226" s="184" t="str">
        <f t="shared" si="34"/>
        <v/>
      </c>
      <c r="E226" s="188" t="str">
        <f t="shared" si="28"/>
        <v/>
      </c>
      <c r="G226" s="12" t="str">
        <f>IF(A226="","",(MAX(C$4:C226)-C226)/MAX(C$4:C226))</f>
        <v/>
      </c>
      <c r="H226" s="12" t="str">
        <f>IF(A226="","",MAX(G$4:G226))</f>
        <v/>
      </c>
      <c r="I226" s="1" t="str">
        <f t="shared" si="29"/>
        <v/>
      </c>
      <c r="J226" s="16" t="str">
        <f t="shared" si="30"/>
        <v/>
      </c>
      <c r="K226" s="15" t="str">
        <f t="shared" si="31"/>
        <v/>
      </c>
      <c r="L226" s="15" t="str">
        <f t="shared" si="32"/>
        <v/>
      </c>
      <c r="M226" s="14" t="str">
        <f t="shared" si="33"/>
        <v/>
      </c>
    </row>
    <row r="227" spans="4:13">
      <c r="D227" s="184" t="str">
        <f t="shared" si="34"/>
        <v/>
      </c>
      <c r="E227" s="188" t="str">
        <f t="shared" si="28"/>
        <v/>
      </c>
      <c r="G227" s="12" t="str">
        <f>IF(A227="","",(MAX(C$4:C227)-C227)/MAX(C$4:C227))</f>
        <v/>
      </c>
      <c r="H227" s="12" t="str">
        <f>IF(A227="","",MAX(G$4:G227))</f>
        <v/>
      </c>
      <c r="I227" s="1" t="str">
        <f t="shared" si="29"/>
        <v/>
      </c>
      <c r="J227" s="16" t="str">
        <f t="shared" si="30"/>
        <v/>
      </c>
      <c r="K227" s="15" t="str">
        <f t="shared" si="31"/>
        <v/>
      </c>
      <c r="L227" s="15" t="str">
        <f t="shared" si="32"/>
        <v/>
      </c>
      <c r="M227" s="14" t="str">
        <f t="shared" si="33"/>
        <v/>
      </c>
    </row>
    <row r="228" spans="4:13">
      <c r="D228" s="184" t="str">
        <f t="shared" si="34"/>
        <v/>
      </c>
      <c r="E228" s="188" t="str">
        <f t="shared" si="28"/>
        <v/>
      </c>
      <c r="G228" s="12" t="str">
        <f>IF(A228="","",(MAX(C$4:C228)-C228)/MAX(C$4:C228))</f>
        <v/>
      </c>
      <c r="H228" s="12" t="str">
        <f>IF(A228="","",MAX(G$4:G228))</f>
        <v/>
      </c>
      <c r="I228" s="1" t="str">
        <f t="shared" si="29"/>
        <v/>
      </c>
      <c r="J228" s="16" t="str">
        <f t="shared" si="30"/>
        <v/>
      </c>
      <c r="K228" s="15" t="str">
        <f t="shared" si="31"/>
        <v/>
      </c>
      <c r="L228" s="15" t="str">
        <f t="shared" si="32"/>
        <v/>
      </c>
      <c r="M228" s="14" t="str">
        <f t="shared" si="33"/>
        <v/>
      </c>
    </row>
    <row r="229" spans="4:13">
      <c r="D229" s="184" t="str">
        <f t="shared" si="34"/>
        <v/>
      </c>
      <c r="E229" s="188" t="str">
        <f t="shared" si="28"/>
        <v/>
      </c>
      <c r="G229" s="12" t="str">
        <f>IF(A229="","",(MAX(C$4:C229)-C229)/MAX(C$4:C229))</f>
        <v/>
      </c>
      <c r="H229" s="12" t="str">
        <f>IF(A229="","",MAX(G$4:G229))</f>
        <v/>
      </c>
      <c r="I229" s="1" t="str">
        <f t="shared" si="29"/>
        <v/>
      </c>
      <c r="J229" s="16" t="str">
        <f t="shared" si="30"/>
        <v/>
      </c>
      <c r="K229" s="15" t="str">
        <f t="shared" si="31"/>
        <v/>
      </c>
      <c r="L229" s="15" t="str">
        <f t="shared" si="32"/>
        <v/>
      </c>
      <c r="M229" s="14" t="str">
        <f t="shared" si="33"/>
        <v/>
      </c>
    </row>
    <row r="230" spans="4:13">
      <c r="D230" s="184" t="str">
        <f t="shared" si="34"/>
        <v/>
      </c>
      <c r="E230" s="188" t="str">
        <f t="shared" si="28"/>
        <v/>
      </c>
      <c r="G230" s="12" t="str">
        <f>IF(A230="","",(MAX(C$4:C230)-C230)/MAX(C$4:C230))</f>
        <v/>
      </c>
      <c r="H230" s="12" t="str">
        <f>IF(A230="","",MAX(G$4:G230))</f>
        <v/>
      </c>
      <c r="I230" s="1" t="str">
        <f t="shared" si="29"/>
        <v/>
      </c>
      <c r="J230" s="16" t="str">
        <f t="shared" si="30"/>
        <v/>
      </c>
      <c r="K230" s="15" t="str">
        <f t="shared" si="31"/>
        <v/>
      </c>
      <c r="L230" s="15" t="str">
        <f t="shared" si="32"/>
        <v/>
      </c>
      <c r="M230" s="14" t="str">
        <f t="shared" si="33"/>
        <v/>
      </c>
    </row>
    <row r="231" spans="4:13">
      <c r="D231" s="184" t="str">
        <f t="shared" si="34"/>
        <v/>
      </c>
      <c r="E231" s="188" t="str">
        <f t="shared" si="28"/>
        <v/>
      </c>
      <c r="G231" s="12" t="str">
        <f>IF(A231="","",(MAX(C$4:C231)-C231)/MAX(C$4:C231))</f>
        <v/>
      </c>
      <c r="H231" s="12" t="str">
        <f>IF(A231="","",MAX(G$4:G231))</f>
        <v/>
      </c>
      <c r="I231" s="1" t="str">
        <f t="shared" si="29"/>
        <v/>
      </c>
      <c r="J231" s="16" t="str">
        <f t="shared" si="30"/>
        <v/>
      </c>
      <c r="K231" s="15" t="str">
        <f t="shared" si="31"/>
        <v/>
      </c>
      <c r="L231" s="15" t="str">
        <f t="shared" si="32"/>
        <v/>
      </c>
      <c r="M231" s="14" t="str">
        <f t="shared" si="33"/>
        <v/>
      </c>
    </row>
    <row r="232" spans="4:13">
      <c r="D232" s="184" t="str">
        <f t="shared" si="34"/>
        <v/>
      </c>
      <c r="E232" s="188" t="str">
        <f t="shared" si="28"/>
        <v/>
      </c>
      <c r="G232" s="12" t="str">
        <f>IF(A232="","",(MAX(C$4:C232)-C232)/MAX(C$4:C232))</f>
        <v/>
      </c>
      <c r="H232" s="12" t="str">
        <f>IF(A232="","",MAX(G$4:G232))</f>
        <v/>
      </c>
      <c r="I232" s="1" t="str">
        <f t="shared" si="29"/>
        <v/>
      </c>
      <c r="J232" s="16" t="str">
        <f t="shared" si="30"/>
        <v/>
      </c>
      <c r="K232" s="15" t="str">
        <f t="shared" si="31"/>
        <v/>
      </c>
      <c r="L232" s="15" t="str">
        <f t="shared" si="32"/>
        <v/>
      </c>
      <c r="M232" s="14" t="str">
        <f t="shared" si="33"/>
        <v/>
      </c>
    </row>
    <row r="233" spans="4:13">
      <c r="D233" s="184" t="str">
        <f t="shared" si="34"/>
        <v/>
      </c>
      <c r="E233" s="188" t="str">
        <f t="shared" si="28"/>
        <v/>
      </c>
      <c r="G233" s="12" t="str">
        <f>IF(A233="","",(MAX(C$4:C233)-C233)/MAX(C$4:C233))</f>
        <v/>
      </c>
      <c r="H233" s="12" t="str">
        <f>IF(A233="","",MAX(G$4:G233))</f>
        <v/>
      </c>
      <c r="I233" s="1" t="str">
        <f t="shared" si="29"/>
        <v/>
      </c>
      <c r="J233" s="16" t="str">
        <f t="shared" si="30"/>
        <v/>
      </c>
      <c r="K233" s="15" t="str">
        <f t="shared" si="31"/>
        <v/>
      </c>
      <c r="L233" s="15" t="str">
        <f t="shared" si="32"/>
        <v/>
      </c>
      <c r="M233" s="14" t="str">
        <f t="shared" si="33"/>
        <v/>
      </c>
    </row>
    <row r="234" spans="4:13">
      <c r="D234" s="184" t="str">
        <f t="shared" si="34"/>
        <v/>
      </c>
      <c r="E234" s="188" t="str">
        <f t="shared" si="28"/>
        <v/>
      </c>
      <c r="G234" s="12" t="str">
        <f>IF(A234="","",(MAX(C$4:C234)-C234)/MAX(C$4:C234))</f>
        <v/>
      </c>
      <c r="H234" s="12" t="str">
        <f>IF(A234="","",MAX(G$4:G234))</f>
        <v/>
      </c>
      <c r="I234" s="1" t="str">
        <f t="shared" si="29"/>
        <v/>
      </c>
      <c r="J234" s="16" t="str">
        <f t="shared" si="30"/>
        <v/>
      </c>
      <c r="K234" s="15" t="str">
        <f t="shared" si="31"/>
        <v/>
      </c>
      <c r="L234" s="15" t="str">
        <f t="shared" si="32"/>
        <v/>
      </c>
      <c r="M234" s="14" t="str">
        <f t="shared" si="33"/>
        <v/>
      </c>
    </row>
    <row r="235" spans="4:13">
      <c r="D235" s="184" t="str">
        <f t="shared" si="34"/>
        <v/>
      </c>
      <c r="E235" s="188" t="str">
        <f t="shared" si="28"/>
        <v/>
      </c>
      <c r="G235" s="12" t="str">
        <f>IF(A235="","",(MAX(C$4:C235)-C235)/MAX(C$4:C235))</f>
        <v/>
      </c>
      <c r="H235" s="12" t="str">
        <f>IF(A235="","",MAX(G$4:G235))</f>
        <v/>
      </c>
      <c r="I235" s="1" t="str">
        <f t="shared" si="29"/>
        <v/>
      </c>
      <c r="J235" s="16" t="str">
        <f t="shared" si="30"/>
        <v/>
      </c>
      <c r="K235" s="15" t="str">
        <f t="shared" si="31"/>
        <v/>
      </c>
      <c r="L235" s="15" t="str">
        <f t="shared" si="32"/>
        <v/>
      </c>
      <c r="M235" s="14" t="str">
        <f t="shared" si="33"/>
        <v/>
      </c>
    </row>
    <row r="236" spans="4:13">
      <c r="D236" s="184" t="str">
        <f t="shared" si="34"/>
        <v/>
      </c>
      <c r="E236" s="188" t="str">
        <f t="shared" si="28"/>
        <v/>
      </c>
      <c r="G236" s="12" t="str">
        <f>IF(A236="","",(MAX(C$4:C236)-C236)/MAX(C$4:C236))</f>
        <v/>
      </c>
      <c r="H236" s="12" t="str">
        <f>IF(A236="","",MAX(G$4:G236))</f>
        <v/>
      </c>
      <c r="I236" s="1" t="str">
        <f t="shared" si="29"/>
        <v/>
      </c>
      <c r="J236" s="16" t="str">
        <f t="shared" si="30"/>
        <v/>
      </c>
      <c r="K236" s="15" t="str">
        <f t="shared" si="31"/>
        <v/>
      </c>
      <c r="L236" s="15" t="str">
        <f t="shared" si="32"/>
        <v/>
      </c>
      <c r="M236" s="14" t="str">
        <f t="shared" si="33"/>
        <v/>
      </c>
    </row>
    <row r="237" spans="4:13">
      <c r="D237" s="184" t="str">
        <f t="shared" si="34"/>
        <v/>
      </c>
      <c r="E237" s="188" t="str">
        <f t="shared" si="28"/>
        <v/>
      </c>
      <c r="G237" s="12" t="str">
        <f>IF(A237="","",(MAX(C$4:C237)-C237)/MAX(C$4:C237))</f>
        <v/>
      </c>
      <c r="H237" s="12" t="str">
        <f>IF(A237="","",MAX(G$4:G237))</f>
        <v/>
      </c>
      <c r="I237" s="1" t="str">
        <f t="shared" si="29"/>
        <v/>
      </c>
      <c r="J237" s="16" t="str">
        <f t="shared" si="30"/>
        <v/>
      </c>
      <c r="K237" s="15" t="str">
        <f t="shared" si="31"/>
        <v/>
      </c>
      <c r="L237" s="15" t="str">
        <f t="shared" si="32"/>
        <v/>
      </c>
      <c r="M237" s="14" t="str">
        <f t="shared" si="33"/>
        <v/>
      </c>
    </row>
    <row r="238" spans="4:13">
      <c r="D238" s="184" t="str">
        <f t="shared" si="34"/>
        <v/>
      </c>
      <c r="E238" s="188" t="str">
        <f t="shared" si="28"/>
        <v/>
      </c>
      <c r="G238" s="12" t="str">
        <f>IF(A238="","",(MAX(C$4:C238)-C238)/MAX(C$4:C238))</f>
        <v/>
      </c>
      <c r="H238" s="12" t="str">
        <f>IF(A238="","",MAX(G$4:G238))</f>
        <v/>
      </c>
      <c r="I238" s="1" t="str">
        <f t="shared" si="29"/>
        <v/>
      </c>
      <c r="J238" s="16" t="str">
        <f t="shared" si="30"/>
        <v/>
      </c>
      <c r="K238" s="15" t="str">
        <f t="shared" si="31"/>
        <v/>
      </c>
      <c r="L238" s="15" t="str">
        <f t="shared" si="32"/>
        <v/>
      </c>
      <c r="M238" s="14" t="str">
        <f t="shared" si="33"/>
        <v/>
      </c>
    </row>
    <row r="239" spans="4:13">
      <c r="D239" s="184" t="str">
        <f t="shared" si="34"/>
        <v/>
      </c>
      <c r="E239" s="188" t="str">
        <f t="shared" si="28"/>
        <v/>
      </c>
      <c r="G239" s="12" t="str">
        <f>IF(A239="","",(MAX(C$4:C239)-C239)/MAX(C$4:C239))</f>
        <v/>
      </c>
      <c r="H239" s="12" t="str">
        <f>IF(A239="","",MAX(G$4:G239))</f>
        <v/>
      </c>
      <c r="I239" s="1" t="str">
        <f t="shared" si="29"/>
        <v/>
      </c>
      <c r="J239" s="16" t="str">
        <f t="shared" si="30"/>
        <v/>
      </c>
      <c r="K239" s="15" t="str">
        <f t="shared" si="31"/>
        <v/>
      </c>
      <c r="L239" s="15" t="str">
        <f t="shared" si="32"/>
        <v/>
      </c>
      <c r="M239" s="14" t="str">
        <f t="shared" si="33"/>
        <v/>
      </c>
    </row>
    <row r="240" spans="4:13">
      <c r="D240" s="184" t="str">
        <f t="shared" si="34"/>
        <v/>
      </c>
      <c r="E240" s="188" t="str">
        <f t="shared" si="28"/>
        <v/>
      </c>
      <c r="G240" s="12" t="str">
        <f>IF(A240="","",(MAX(C$4:C240)-C240)/MAX(C$4:C240))</f>
        <v/>
      </c>
      <c r="H240" s="12" t="str">
        <f>IF(A240="","",MAX(G$4:G240))</f>
        <v/>
      </c>
      <c r="I240" s="1" t="str">
        <f t="shared" si="29"/>
        <v/>
      </c>
      <c r="J240" s="16" t="str">
        <f t="shared" si="30"/>
        <v/>
      </c>
      <c r="K240" s="15" t="str">
        <f t="shared" si="31"/>
        <v/>
      </c>
      <c r="L240" s="15" t="str">
        <f t="shared" si="32"/>
        <v/>
      </c>
      <c r="M240" s="14" t="str">
        <f t="shared" si="33"/>
        <v/>
      </c>
    </row>
    <row r="241" spans="4:13">
      <c r="D241" s="184" t="str">
        <f t="shared" si="34"/>
        <v/>
      </c>
      <c r="E241" s="188" t="str">
        <f t="shared" si="28"/>
        <v/>
      </c>
      <c r="G241" s="12" t="str">
        <f>IF(A241="","",(MAX(C$4:C241)-C241)/MAX(C$4:C241))</f>
        <v/>
      </c>
      <c r="H241" s="12" t="str">
        <f>IF(A241="","",MAX(G$4:G241))</f>
        <v/>
      </c>
      <c r="I241" s="1" t="str">
        <f t="shared" si="29"/>
        <v/>
      </c>
      <c r="J241" s="16" t="str">
        <f t="shared" si="30"/>
        <v/>
      </c>
      <c r="K241" s="15" t="str">
        <f t="shared" si="31"/>
        <v/>
      </c>
      <c r="L241" s="15" t="str">
        <f t="shared" si="32"/>
        <v/>
      </c>
      <c r="M241" s="14" t="str">
        <f t="shared" si="33"/>
        <v/>
      </c>
    </row>
    <row r="242" spans="4:13">
      <c r="D242" s="184" t="str">
        <f t="shared" si="34"/>
        <v/>
      </c>
      <c r="E242" s="188" t="str">
        <f t="shared" si="28"/>
        <v/>
      </c>
      <c r="G242" s="12" t="str">
        <f>IF(A242="","",(MAX(C$4:C242)-C242)/MAX(C$4:C242))</f>
        <v/>
      </c>
      <c r="H242" s="12" t="str">
        <f>IF(A242="","",MAX(G$4:G242))</f>
        <v/>
      </c>
      <c r="I242" s="1" t="str">
        <f t="shared" si="29"/>
        <v/>
      </c>
      <c r="J242" s="16" t="str">
        <f t="shared" si="30"/>
        <v/>
      </c>
      <c r="K242" s="15" t="str">
        <f t="shared" si="31"/>
        <v/>
      </c>
      <c r="L242" s="15" t="str">
        <f t="shared" si="32"/>
        <v/>
      </c>
      <c r="M242" s="14" t="str">
        <f t="shared" si="33"/>
        <v/>
      </c>
    </row>
    <row r="243" spans="4:13">
      <c r="D243" s="184" t="str">
        <f t="shared" si="34"/>
        <v/>
      </c>
      <c r="E243" s="188" t="str">
        <f t="shared" si="28"/>
        <v/>
      </c>
      <c r="G243" s="12" t="str">
        <f>IF(A243="","",(MAX(C$4:C243)-C243)/MAX(C$4:C243))</f>
        <v/>
      </c>
      <c r="H243" s="12" t="str">
        <f>IF(A243="","",MAX(G$4:G243))</f>
        <v/>
      </c>
      <c r="I243" s="1" t="str">
        <f t="shared" si="29"/>
        <v/>
      </c>
      <c r="J243" s="16" t="str">
        <f t="shared" si="30"/>
        <v/>
      </c>
      <c r="K243" s="15" t="str">
        <f t="shared" si="31"/>
        <v/>
      </c>
      <c r="L243" s="15" t="str">
        <f t="shared" si="32"/>
        <v/>
      </c>
      <c r="M243" s="14" t="str">
        <f t="shared" si="33"/>
        <v/>
      </c>
    </row>
    <row r="244" spans="4:13">
      <c r="D244" s="184" t="str">
        <f t="shared" si="34"/>
        <v/>
      </c>
      <c r="E244" s="188" t="str">
        <f t="shared" si="28"/>
        <v/>
      </c>
      <c r="G244" s="12" t="str">
        <f>IF(A244="","",(MAX(C$4:C244)-C244)/MAX(C$4:C244))</f>
        <v/>
      </c>
      <c r="H244" s="12" t="str">
        <f>IF(A244="","",MAX(G$4:G244))</f>
        <v/>
      </c>
      <c r="I244" s="1" t="str">
        <f t="shared" si="29"/>
        <v/>
      </c>
      <c r="J244" s="16" t="str">
        <f t="shared" si="30"/>
        <v/>
      </c>
      <c r="K244" s="15" t="str">
        <f t="shared" si="31"/>
        <v/>
      </c>
      <c r="L244" s="15" t="str">
        <f t="shared" si="32"/>
        <v/>
      </c>
      <c r="M244" s="14" t="str">
        <f t="shared" si="33"/>
        <v/>
      </c>
    </row>
    <row r="245" spans="4:13">
      <c r="D245" s="184" t="str">
        <f t="shared" si="34"/>
        <v/>
      </c>
      <c r="E245" s="188" t="str">
        <f t="shared" si="28"/>
        <v/>
      </c>
      <c r="G245" s="12" t="str">
        <f>IF(A245="","",(MAX(C$4:C245)-C245)/MAX(C$4:C245))</f>
        <v/>
      </c>
      <c r="H245" s="12" t="str">
        <f>IF(A245="","",MAX(G$4:G245))</f>
        <v/>
      </c>
      <c r="I245" s="1" t="str">
        <f t="shared" si="29"/>
        <v/>
      </c>
      <c r="J245" s="16" t="str">
        <f t="shared" si="30"/>
        <v/>
      </c>
      <c r="K245" s="15" t="str">
        <f t="shared" si="31"/>
        <v/>
      </c>
      <c r="L245" s="15" t="str">
        <f t="shared" si="32"/>
        <v/>
      </c>
      <c r="M245" s="14" t="str">
        <f t="shared" si="33"/>
        <v/>
      </c>
    </row>
    <row r="246" spans="4:13">
      <c r="D246" s="184" t="str">
        <f t="shared" si="34"/>
        <v/>
      </c>
      <c r="E246" s="188" t="str">
        <f t="shared" si="28"/>
        <v/>
      </c>
      <c r="G246" s="12" t="str">
        <f>IF(A246="","",(MAX(C$4:C246)-C246)/MAX(C$4:C246))</f>
        <v/>
      </c>
      <c r="H246" s="12" t="str">
        <f>IF(A246="","",MAX(G$4:G246))</f>
        <v/>
      </c>
      <c r="I246" s="1" t="str">
        <f t="shared" si="29"/>
        <v/>
      </c>
      <c r="J246" s="16" t="str">
        <f t="shared" si="30"/>
        <v/>
      </c>
      <c r="K246" s="15" t="str">
        <f t="shared" si="31"/>
        <v/>
      </c>
      <c r="L246" s="15" t="str">
        <f t="shared" si="32"/>
        <v/>
      </c>
      <c r="M246" s="14" t="str">
        <f t="shared" si="33"/>
        <v/>
      </c>
    </row>
    <row r="247" spans="4:13">
      <c r="D247" s="184" t="str">
        <f t="shared" si="34"/>
        <v/>
      </c>
      <c r="E247" s="188" t="str">
        <f t="shared" si="28"/>
        <v/>
      </c>
      <c r="G247" s="12" t="str">
        <f>IF(A247="","",(MAX(C$4:C247)-C247)/MAX(C$4:C247))</f>
        <v/>
      </c>
      <c r="H247" s="12" t="str">
        <f>IF(A247="","",MAX(G$4:G247))</f>
        <v/>
      </c>
      <c r="I247" s="1" t="str">
        <f t="shared" si="29"/>
        <v/>
      </c>
      <c r="J247" s="16" t="str">
        <f t="shared" si="30"/>
        <v/>
      </c>
      <c r="K247" s="15" t="str">
        <f t="shared" si="31"/>
        <v/>
      </c>
      <c r="L247" s="15" t="str">
        <f t="shared" si="32"/>
        <v/>
      </c>
      <c r="M247" s="14" t="str">
        <f t="shared" si="33"/>
        <v/>
      </c>
    </row>
    <row r="248" spans="4:13">
      <c r="D248" s="184" t="str">
        <f t="shared" si="34"/>
        <v/>
      </c>
      <c r="E248" s="188" t="str">
        <f t="shared" si="28"/>
        <v/>
      </c>
      <c r="G248" s="12" t="str">
        <f>IF(A248="","",(MAX(C$4:C248)-C248)/MAX(C$4:C248))</f>
        <v/>
      </c>
      <c r="H248" s="12" t="str">
        <f>IF(A248="","",MAX(G$4:G248))</f>
        <v/>
      </c>
      <c r="I248" s="1" t="str">
        <f t="shared" si="29"/>
        <v/>
      </c>
      <c r="J248" s="16" t="str">
        <f t="shared" si="30"/>
        <v/>
      </c>
      <c r="K248" s="15" t="str">
        <f t="shared" si="31"/>
        <v/>
      </c>
      <c r="L248" s="15" t="str">
        <f t="shared" si="32"/>
        <v/>
      </c>
      <c r="M248" s="14" t="str">
        <f t="shared" si="33"/>
        <v/>
      </c>
    </row>
    <row r="249" spans="4:13">
      <c r="D249" s="184" t="str">
        <f t="shared" si="34"/>
        <v/>
      </c>
      <c r="E249" s="188" t="str">
        <f t="shared" si="28"/>
        <v/>
      </c>
      <c r="G249" s="12" t="str">
        <f>IF(A249="","",(MAX(C$4:C249)-C249)/MAX(C$4:C249))</f>
        <v/>
      </c>
      <c r="H249" s="12" t="str">
        <f>IF(A249="","",MAX(G$4:G249))</f>
        <v/>
      </c>
      <c r="I249" s="1" t="str">
        <f t="shared" si="29"/>
        <v/>
      </c>
      <c r="J249" s="16" t="str">
        <f t="shared" si="30"/>
        <v/>
      </c>
      <c r="K249" s="15" t="str">
        <f t="shared" si="31"/>
        <v/>
      </c>
      <c r="L249" s="15" t="str">
        <f t="shared" si="32"/>
        <v/>
      </c>
      <c r="M249" s="14" t="str">
        <f t="shared" si="33"/>
        <v/>
      </c>
    </row>
    <row r="250" spans="4:13">
      <c r="D250" s="184" t="str">
        <f t="shared" si="34"/>
        <v/>
      </c>
      <c r="E250" s="188" t="str">
        <f t="shared" si="28"/>
        <v/>
      </c>
      <c r="G250" s="12" t="str">
        <f>IF(A250="","",(MAX(C$4:C250)-C250)/MAX(C$4:C250))</f>
        <v/>
      </c>
      <c r="H250" s="12" t="str">
        <f>IF(A250="","",MAX(G$4:G250))</f>
        <v/>
      </c>
      <c r="I250" s="1" t="str">
        <f t="shared" si="29"/>
        <v/>
      </c>
      <c r="J250" s="16" t="str">
        <f t="shared" si="30"/>
        <v/>
      </c>
      <c r="K250" s="15" t="str">
        <f t="shared" si="31"/>
        <v/>
      </c>
      <c r="L250" s="15" t="str">
        <f t="shared" si="32"/>
        <v/>
      </c>
      <c r="M250" s="14" t="str">
        <f t="shared" si="33"/>
        <v/>
      </c>
    </row>
    <row r="251" spans="4:13">
      <c r="D251" s="184" t="str">
        <f t="shared" si="34"/>
        <v/>
      </c>
      <c r="E251" s="188" t="str">
        <f t="shared" si="28"/>
        <v/>
      </c>
      <c r="G251" s="12" t="str">
        <f>IF(A251="","",(MAX(C$4:C251)-C251)/MAX(C$4:C251))</f>
        <v/>
      </c>
      <c r="H251" s="12" t="str">
        <f>IF(A251="","",MAX(G$4:G251))</f>
        <v/>
      </c>
      <c r="I251" s="1" t="str">
        <f t="shared" si="29"/>
        <v/>
      </c>
      <c r="J251" s="16" t="str">
        <f t="shared" si="30"/>
        <v/>
      </c>
      <c r="K251" s="15" t="str">
        <f t="shared" si="31"/>
        <v/>
      </c>
      <c r="L251" s="15" t="str">
        <f t="shared" si="32"/>
        <v/>
      </c>
      <c r="M251" s="14" t="str">
        <f t="shared" si="33"/>
        <v/>
      </c>
    </row>
    <row r="252" spans="4:13">
      <c r="D252" s="184" t="str">
        <f t="shared" si="34"/>
        <v/>
      </c>
      <c r="E252" s="188" t="str">
        <f t="shared" si="28"/>
        <v/>
      </c>
      <c r="G252" s="12" t="str">
        <f>IF(A252="","",(MAX(C$4:C252)-C252)/MAX(C$4:C252))</f>
        <v/>
      </c>
      <c r="H252" s="12" t="str">
        <f>IF(A252="","",MAX(G$4:G252))</f>
        <v/>
      </c>
      <c r="I252" s="1" t="str">
        <f t="shared" si="29"/>
        <v/>
      </c>
      <c r="J252" s="16" t="str">
        <f t="shared" si="30"/>
        <v/>
      </c>
      <c r="K252" s="15" t="str">
        <f t="shared" si="31"/>
        <v/>
      </c>
      <c r="L252" s="15" t="str">
        <f t="shared" si="32"/>
        <v/>
      </c>
      <c r="M252" s="14" t="str">
        <f t="shared" si="33"/>
        <v/>
      </c>
    </row>
    <row r="253" spans="4:13">
      <c r="D253" s="184" t="str">
        <f t="shared" si="34"/>
        <v/>
      </c>
      <c r="E253" s="188" t="str">
        <f t="shared" si="28"/>
        <v/>
      </c>
      <c r="G253" s="12" t="str">
        <f>IF(A253="","",(MAX(C$4:C253)-C253)/MAX(C$4:C253))</f>
        <v/>
      </c>
      <c r="H253" s="12" t="str">
        <f>IF(A253="","",MAX(G$4:G253))</f>
        <v/>
      </c>
      <c r="I253" s="1" t="str">
        <f t="shared" si="29"/>
        <v/>
      </c>
      <c r="J253" s="16" t="str">
        <f t="shared" si="30"/>
        <v/>
      </c>
      <c r="K253" s="15" t="str">
        <f t="shared" si="31"/>
        <v/>
      </c>
      <c r="L253" s="15" t="str">
        <f t="shared" si="32"/>
        <v/>
      </c>
      <c r="M253" s="14" t="str">
        <f t="shared" si="33"/>
        <v/>
      </c>
    </row>
    <row r="254" spans="4:13">
      <c r="D254" s="184" t="str">
        <f t="shared" si="34"/>
        <v/>
      </c>
      <c r="E254" s="188" t="str">
        <f t="shared" si="28"/>
        <v/>
      </c>
      <c r="G254" s="12" t="str">
        <f>IF(A254="","",(MAX(C$4:C254)-C254)/MAX(C$4:C254))</f>
        <v/>
      </c>
      <c r="H254" s="12" t="str">
        <f>IF(A254="","",MAX(G$4:G254))</f>
        <v/>
      </c>
      <c r="I254" s="1" t="str">
        <f t="shared" si="29"/>
        <v/>
      </c>
      <c r="J254" s="16" t="str">
        <f t="shared" si="30"/>
        <v/>
      </c>
      <c r="K254" s="15" t="str">
        <f t="shared" si="31"/>
        <v/>
      </c>
      <c r="L254" s="15" t="str">
        <f t="shared" si="32"/>
        <v/>
      </c>
      <c r="M254" s="14" t="str">
        <f t="shared" si="33"/>
        <v/>
      </c>
    </row>
    <row r="255" spans="4:13">
      <c r="D255" s="184" t="str">
        <f t="shared" si="34"/>
        <v/>
      </c>
      <c r="E255" s="188" t="str">
        <f t="shared" si="28"/>
        <v/>
      </c>
      <c r="G255" s="12" t="str">
        <f>IF(A255="","",(MAX(C$4:C255)-C255)/MAX(C$4:C255))</f>
        <v/>
      </c>
      <c r="H255" s="12" t="str">
        <f>IF(A255="","",MAX(G$4:G255))</f>
        <v/>
      </c>
      <c r="I255" s="1" t="str">
        <f t="shared" si="29"/>
        <v/>
      </c>
      <c r="J255" s="16" t="str">
        <f t="shared" si="30"/>
        <v/>
      </c>
      <c r="K255" s="15" t="str">
        <f t="shared" si="31"/>
        <v/>
      </c>
      <c r="L255" s="15" t="str">
        <f t="shared" si="32"/>
        <v/>
      </c>
      <c r="M255" s="14" t="str">
        <f t="shared" si="33"/>
        <v/>
      </c>
    </row>
    <row r="256" spans="4:13">
      <c r="D256" s="184" t="str">
        <f t="shared" si="34"/>
        <v/>
      </c>
      <c r="E256" s="188" t="str">
        <f t="shared" si="28"/>
        <v/>
      </c>
      <c r="G256" s="12" t="str">
        <f>IF(A256="","",(MAX(C$4:C256)-C256)/MAX(C$4:C256))</f>
        <v/>
      </c>
      <c r="H256" s="12" t="str">
        <f>IF(A256="","",MAX(G$4:G256))</f>
        <v/>
      </c>
      <c r="I256" s="1" t="str">
        <f t="shared" si="29"/>
        <v/>
      </c>
      <c r="J256" s="16" t="str">
        <f t="shared" si="30"/>
        <v/>
      </c>
      <c r="K256" s="15" t="str">
        <f t="shared" si="31"/>
        <v/>
      </c>
      <c r="L256" s="15" t="str">
        <f t="shared" si="32"/>
        <v/>
      </c>
      <c r="M256" s="14" t="str">
        <f t="shared" si="33"/>
        <v/>
      </c>
    </row>
    <row r="257" spans="4:13">
      <c r="D257" s="184" t="str">
        <f t="shared" si="34"/>
        <v/>
      </c>
      <c r="E257" s="188" t="str">
        <f t="shared" si="28"/>
        <v/>
      </c>
      <c r="G257" s="12" t="str">
        <f>IF(A257="","",(MAX(C$4:C257)-C257)/MAX(C$4:C257))</f>
        <v/>
      </c>
      <c r="H257" s="12" t="str">
        <f>IF(A257="","",MAX(G$4:G257))</f>
        <v/>
      </c>
      <c r="I257" s="1" t="str">
        <f t="shared" si="29"/>
        <v/>
      </c>
      <c r="J257" s="16" t="str">
        <f t="shared" si="30"/>
        <v/>
      </c>
      <c r="K257" s="15" t="str">
        <f t="shared" si="31"/>
        <v/>
      </c>
      <c r="L257" s="15" t="str">
        <f t="shared" si="32"/>
        <v/>
      </c>
      <c r="M257" s="14" t="str">
        <f t="shared" si="33"/>
        <v/>
      </c>
    </row>
    <row r="258" spans="4:13">
      <c r="D258" s="184" t="str">
        <f t="shared" si="34"/>
        <v/>
      </c>
      <c r="E258" s="188" t="str">
        <f t="shared" si="28"/>
        <v/>
      </c>
      <c r="G258" s="12" t="str">
        <f>IF(A258="","",(MAX(C$4:C258)-C258)/MAX(C$4:C258))</f>
        <v/>
      </c>
      <c r="H258" s="12" t="str">
        <f>IF(A258="","",MAX(G$4:G258))</f>
        <v/>
      </c>
      <c r="I258" s="1" t="str">
        <f t="shared" si="29"/>
        <v/>
      </c>
      <c r="J258" s="16" t="str">
        <f t="shared" si="30"/>
        <v/>
      </c>
      <c r="K258" s="15" t="str">
        <f t="shared" si="31"/>
        <v/>
      </c>
      <c r="L258" s="15" t="str">
        <f t="shared" si="32"/>
        <v/>
      </c>
      <c r="M258" s="14" t="str">
        <f t="shared" si="33"/>
        <v/>
      </c>
    </row>
    <row r="259" spans="4:13">
      <c r="D259" s="184" t="str">
        <f t="shared" si="34"/>
        <v/>
      </c>
      <c r="E259" s="188" t="str">
        <f t="shared" si="28"/>
        <v/>
      </c>
      <c r="G259" s="12" t="str">
        <f>IF(A259="","",(MAX(C$4:C259)-C259)/MAX(C$4:C259))</f>
        <v/>
      </c>
      <c r="H259" s="12" t="str">
        <f>IF(A259="","",MAX(G$4:G259))</f>
        <v/>
      </c>
      <c r="I259" s="1" t="str">
        <f t="shared" si="29"/>
        <v/>
      </c>
      <c r="J259" s="16" t="str">
        <f t="shared" si="30"/>
        <v/>
      </c>
      <c r="K259" s="15" t="str">
        <f t="shared" si="31"/>
        <v/>
      </c>
      <c r="L259" s="15" t="str">
        <f t="shared" si="32"/>
        <v/>
      </c>
      <c r="M259" s="14" t="str">
        <f t="shared" si="33"/>
        <v/>
      </c>
    </row>
    <row r="260" spans="4:13">
      <c r="D260" s="184" t="str">
        <f t="shared" si="34"/>
        <v/>
      </c>
      <c r="E260" s="188" t="str">
        <f t="shared" si="28"/>
        <v/>
      </c>
      <c r="G260" s="12" t="str">
        <f>IF(A260="","",(MAX(C$4:C260)-C260)/MAX(C$4:C260))</f>
        <v/>
      </c>
      <c r="H260" s="12" t="str">
        <f>IF(A260="","",MAX(G$4:G260))</f>
        <v/>
      </c>
      <c r="I260" s="1" t="str">
        <f t="shared" si="29"/>
        <v/>
      </c>
      <c r="J260" s="16" t="str">
        <f t="shared" si="30"/>
        <v/>
      </c>
      <c r="K260" s="15" t="str">
        <f t="shared" si="31"/>
        <v/>
      </c>
      <c r="L260" s="15" t="str">
        <f t="shared" si="32"/>
        <v/>
      </c>
      <c r="M260" s="14" t="str">
        <f t="shared" si="33"/>
        <v/>
      </c>
    </row>
    <row r="261" spans="4:13">
      <c r="D261" s="184" t="str">
        <f t="shared" si="34"/>
        <v/>
      </c>
      <c r="E261" s="188" t="str">
        <f t="shared" si="28"/>
        <v/>
      </c>
      <c r="G261" s="12" t="str">
        <f>IF(A261="","",(MAX(C$4:C261)-C261)/MAX(C$4:C261))</f>
        <v/>
      </c>
      <c r="H261" s="12" t="str">
        <f>IF(A261="","",MAX(G$4:G261))</f>
        <v/>
      </c>
      <c r="I261" s="1" t="str">
        <f t="shared" si="29"/>
        <v/>
      </c>
      <c r="J261" s="16" t="str">
        <f t="shared" si="30"/>
        <v/>
      </c>
      <c r="K261" s="15" t="str">
        <f t="shared" si="31"/>
        <v/>
      </c>
      <c r="L261" s="15" t="str">
        <f t="shared" si="32"/>
        <v/>
      </c>
      <c r="M261" s="14" t="str">
        <f t="shared" si="33"/>
        <v/>
      </c>
    </row>
    <row r="262" spans="4:13">
      <c r="D262" s="184" t="str">
        <f t="shared" si="34"/>
        <v/>
      </c>
      <c r="E262" s="188" t="str">
        <f t="shared" si="28"/>
        <v/>
      </c>
      <c r="G262" s="12" t="str">
        <f>IF(A262="","",(MAX(C$4:C262)-C262)/MAX(C$4:C262))</f>
        <v/>
      </c>
      <c r="H262" s="12" t="str">
        <f>IF(A262="","",MAX(G$4:G262))</f>
        <v/>
      </c>
      <c r="I262" s="1" t="str">
        <f t="shared" si="29"/>
        <v/>
      </c>
      <c r="J262" s="16" t="str">
        <f t="shared" si="30"/>
        <v/>
      </c>
      <c r="K262" s="15" t="str">
        <f t="shared" si="31"/>
        <v/>
      </c>
      <c r="L262" s="15" t="str">
        <f t="shared" si="32"/>
        <v/>
      </c>
      <c r="M262" s="14" t="str">
        <f t="shared" si="33"/>
        <v/>
      </c>
    </row>
    <row r="263" spans="4:13">
      <c r="D263" s="184" t="str">
        <f t="shared" si="34"/>
        <v/>
      </c>
      <c r="E263" s="188" t="str">
        <f t="shared" si="28"/>
        <v/>
      </c>
      <c r="G263" s="12" t="str">
        <f>IF(A263="","",(MAX(C$4:C263)-C263)/MAX(C$4:C263))</f>
        <v/>
      </c>
      <c r="H263" s="12" t="str">
        <f>IF(A263="","",MAX(G$4:G263))</f>
        <v/>
      </c>
      <c r="I263" s="1" t="str">
        <f t="shared" si="29"/>
        <v/>
      </c>
      <c r="J263" s="16" t="str">
        <f t="shared" si="30"/>
        <v/>
      </c>
      <c r="K263" s="15" t="str">
        <f t="shared" si="31"/>
        <v/>
      </c>
      <c r="L263" s="15" t="str">
        <f t="shared" si="32"/>
        <v/>
      </c>
      <c r="M263" s="14" t="str">
        <f t="shared" si="33"/>
        <v/>
      </c>
    </row>
    <row r="264" spans="4:13">
      <c r="D264" s="184" t="str">
        <f t="shared" si="34"/>
        <v/>
      </c>
      <c r="E264" s="188" t="str">
        <f t="shared" si="28"/>
        <v/>
      </c>
      <c r="G264" s="12" t="str">
        <f>IF(A264="","",(MAX(C$4:C264)-C264)/MAX(C$4:C264))</f>
        <v/>
      </c>
      <c r="H264" s="12" t="str">
        <f>IF(A264="","",MAX(G$4:G264))</f>
        <v/>
      </c>
      <c r="I264" s="1" t="str">
        <f t="shared" si="29"/>
        <v/>
      </c>
      <c r="J264" s="16" t="str">
        <f t="shared" si="30"/>
        <v/>
      </c>
      <c r="K264" s="15" t="str">
        <f t="shared" si="31"/>
        <v/>
      </c>
      <c r="L264" s="15" t="str">
        <f t="shared" si="32"/>
        <v/>
      </c>
      <c r="M264" s="14" t="str">
        <f t="shared" si="33"/>
        <v/>
      </c>
    </row>
    <row r="265" spans="4:13">
      <c r="D265" s="184" t="str">
        <f t="shared" si="34"/>
        <v/>
      </c>
      <c r="E265" s="188" t="str">
        <f t="shared" si="28"/>
        <v/>
      </c>
      <c r="G265" s="12" t="str">
        <f>IF(A265="","",(MAX(C$4:C265)-C265)/MAX(C$4:C265))</f>
        <v/>
      </c>
      <c r="H265" s="12" t="str">
        <f>IF(A265="","",MAX(G$4:G265))</f>
        <v/>
      </c>
      <c r="I265" s="1" t="str">
        <f t="shared" si="29"/>
        <v/>
      </c>
      <c r="J265" s="16" t="str">
        <f t="shared" si="30"/>
        <v/>
      </c>
      <c r="K265" s="15" t="str">
        <f t="shared" si="31"/>
        <v/>
      </c>
      <c r="L265" s="15" t="str">
        <f t="shared" si="32"/>
        <v/>
      </c>
      <c r="M265" s="14" t="str">
        <f t="shared" si="33"/>
        <v/>
      </c>
    </row>
    <row r="266" spans="4:13">
      <c r="D266" s="184" t="str">
        <f t="shared" si="34"/>
        <v/>
      </c>
      <c r="E266" s="188" t="str">
        <f t="shared" si="28"/>
        <v/>
      </c>
      <c r="G266" s="12" t="str">
        <f>IF(A266="","",(MAX(C$4:C266)-C266)/MAX(C$4:C266))</f>
        <v/>
      </c>
      <c r="H266" s="12" t="str">
        <f>IF(A266="","",MAX(G$4:G266))</f>
        <v/>
      </c>
      <c r="I266" s="1" t="str">
        <f t="shared" si="29"/>
        <v/>
      </c>
      <c r="J266" s="16" t="str">
        <f t="shared" si="30"/>
        <v/>
      </c>
      <c r="K266" s="15" t="str">
        <f t="shared" si="31"/>
        <v/>
      </c>
      <c r="L266" s="15" t="str">
        <f t="shared" si="32"/>
        <v/>
      </c>
      <c r="M266" s="14" t="str">
        <f t="shared" si="33"/>
        <v/>
      </c>
    </row>
    <row r="267" spans="4:13">
      <c r="D267" s="184" t="str">
        <f t="shared" si="34"/>
        <v/>
      </c>
      <c r="E267" s="188" t="str">
        <f t="shared" ref="E267:E330" si="35">IF(A267="","",(F267-F266)/F266)</f>
        <v/>
      </c>
      <c r="G267" s="12" t="str">
        <f>IF(A267="","",(MAX(C$4:C267)-C267)/MAX(C$4:C267))</f>
        <v/>
      </c>
      <c r="H267" s="12" t="str">
        <f>IF(A267="","",MAX(G$4:G267))</f>
        <v/>
      </c>
      <c r="I267" s="1" t="str">
        <f t="shared" si="29"/>
        <v/>
      </c>
      <c r="J267" s="16" t="str">
        <f t="shared" si="30"/>
        <v/>
      </c>
      <c r="K267" s="15" t="str">
        <f t="shared" si="31"/>
        <v/>
      </c>
      <c r="L267" s="15" t="str">
        <f t="shared" si="32"/>
        <v/>
      </c>
      <c r="M267" s="14" t="str">
        <f t="shared" si="33"/>
        <v/>
      </c>
    </row>
    <row r="268" spans="4:13">
      <c r="D268" s="184" t="str">
        <f t="shared" si="34"/>
        <v/>
      </c>
      <c r="E268" s="188" t="str">
        <f t="shared" si="35"/>
        <v/>
      </c>
      <c r="G268" s="12" t="str">
        <f>IF(A268="","",(MAX(C$4:C268)-C268)/MAX(C$4:C268))</f>
        <v/>
      </c>
      <c r="H268" s="12" t="str">
        <f>IF(A268="","",MAX(G$4:G268))</f>
        <v/>
      </c>
      <c r="I268" s="1" t="str">
        <f t="shared" si="29"/>
        <v/>
      </c>
      <c r="J268" s="16" t="str">
        <f t="shared" si="30"/>
        <v/>
      </c>
      <c r="K268" s="15" t="str">
        <f t="shared" si="31"/>
        <v/>
      </c>
      <c r="L268" s="15" t="str">
        <f t="shared" si="32"/>
        <v/>
      </c>
      <c r="M268" s="14" t="str">
        <f t="shared" si="33"/>
        <v/>
      </c>
    </row>
    <row r="269" spans="4:13">
      <c r="D269" s="184" t="str">
        <f t="shared" si="34"/>
        <v/>
      </c>
      <c r="E269" s="188" t="str">
        <f t="shared" si="35"/>
        <v/>
      </c>
      <c r="G269" s="12" t="str">
        <f>IF(A269="","",(MAX(C$4:C269)-C269)/MAX(C$4:C269))</f>
        <v/>
      </c>
      <c r="H269" s="12" t="str">
        <f>IF(A269="","",MAX(G$4:G269))</f>
        <v/>
      </c>
      <c r="I269" s="1" t="str">
        <f t="shared" si="29"/>
        <v/>
      </c>
      <c r="J269" s="16" t="str">
        <f t="shared" si="30"/>
        <v/>
      </c>
      <c r="K269" s="15" t="str">
        <f t="shared" si="31"/>
        <v/>
      </c>
      <c r="L269" s="15" t="str">
        <f t="shared" si="32"/>
        <v/>
      </c>
      <c r="M269" s="14" t="str">
        <f t="shared" si="33"/>
        <v/>
      </c>
    </row>
    <row r="270" spans="4:13">
      <c r="D270" s="184" t="str">
        <f t="shared" si="34"/>
        <v/>
      </c>
      <c r="E270" s="188" t="str">
        <f t="shared" si="35"/>
        <v/>
      </c>
      <c r="G270" s="12" t="str">
        <f>IF(A270="","",(MAX(C$4:C270)-C270)/MAX(C$4:C270))</f>
        <v/>
      </c>
      <c r="H270" s="12" t="str">
        <f>IF(A270="","",MAX(G$4:G270))</f>
        <v/>
      </c>
      <c r="I270" s="1" t="str">
        <f t="shared" si="29"/>
        <v/>
      </c>
      <c r="J270" s="16" t="str">
        <f t="shared" si="30"/>
        <v/>
      </c>
      <c r="K270" s="15" t="str">
        <f t="shared" si="31"/>
        <v/>
      </c>
      <c r="L270" s="15" t="str">
        <f t="shared" si="32"/>
        <v/>
      </c>
      <c r="M270" s="14" t="str">
        <f t="shared" si="33"/>
        <v/>
      </c>
    </row>
    <row r="271" spans="4:13">
      <c r="D271" s="184" t="str">
        <f t="shared" si="34"/>
        <v/>
      </c>
      <c r="E271" s="188" t="str">
        <f t="shared" si="35"/>
        <v/>
      </c>
      <c r="G271" s="12" t="str">
        <f>IF(A271="","",(MAX(C$4:C271)-C271)/MAX(C$4:C271))</f>
        <v/>
      </c>
      <c r="H271" s="12" t="str">
        <f>IF(A271="","",MAX(G$4:G271))</f>
        <v/>
      </c>
      <c r="I271" s="1" t="str">
        <f t="shared" ref="I271:I334" si="36">IF(A271="","",C271)</f>
        <v/>
      </c>
      <c r="J271" s="16" t="str">
        <f t="shared" ref="J271:J334" si="37">IF(A271="","",J270*(1+E271))</f>
        <v/>
      </c>
      <c r="K271" s="15" t="str">
        <f t="shared" ref="K271:K334" si="38">IF(A271="","",IF(H271&gt;5%,"是","否"))</f>
        <v/>
      </c>
      <c r="L271" s="15" t="str">
        <f t="shared" ref="L271:L334" si="39">IF(A271="","",IF(B271&gt;0.95,"否","是"))</f>
        <v/>
      </c>
      <c r="M271" s="14" t="str">
        <f t="shared" ref="M271:M334" si="40">IF(A271="","",IF(D271&lt;2%,"否","是"))</f>
        <v/>
      </c>
    </row>
    <row r="272" spans="4:13">
      <c r="D272" s="184" t="str">
        <f t="shared" ref="D272:D335" si="41">IF(A272="","",(B272-B271)/B271)</f>
        <v/>
      </c>
      <c r="E272" s="188" t="str">
        <f t="shared" si="35"/>
        <v/>
      </c>
      <c r="G272" s="12" t="str">
        <f>IF(A272="","",(MAX(C$4:C272)-C272)/MAX(C$4:C272))</f>
        <v/>
      </c>
      <c r="H272" s="12" t="str">
        <f>IF(A272="","",MAX(G$4:G272))</f>
        <v/>
      </c>
      <c r="I272" s="1" t="str">
        <f t="shared" si="36"/>
        <v/>
      </c>
      <c r="J272" s="16" t="str">
        <f t="shared" si="37"/>
        <v/>
      </c>
      <c r="K272" s="15" t="str">
        <f t="shared" si="38"/>
        <v/>
      </c>
      <c r="L272" s="15" t="str">
        <f t="shared" si="39"/>
        <v/>
      </c>
      <c r="M272" s="14" t="str">
        <f t="shared" si="40"/>
        <v/>
      </c>
    </row>
    <row r="273" spans="4:13">
      <c r="D273" s="184" t="str">
        <f t="shared" si="41"/>
        <v/>
      </c>
      <c r="E273" s="188" t="str">
        <f t="shared" si="35"/>
        <v/>
      </c>
      <c r="G273" s="12" t="str">
        <f>IF(A273="","",(MAX(C$4:C273)-C273)/MAX(C$4:C273))</f>
        <v/>
      </c>
      <c r="H273" s="12" t="str">
        <f>IF(A273="","",MAX(G$4:G273))</f>
        <v/>
      </c>
      <c r="I273" s="1" t="str">
        <f t="shared" si="36"/>
        <v/>
      </c>
      <c r="J273" s="16" t="str">
        <f t="shared" si="37"/>
        <v/>
      </c>
      <c r="K273" s="15" t="str">
        <f t="shared" si="38"/>
        <v/>
      </c>
      <c r="L273" s="15" t="str">
        <f t="shared" si="39"/>
        <v/>
      </c>
      <c r="M273" s="14" t="str">
        <f t="shared" si="40"/>
        <v/>
      </c>
    </row>
    <row r="274" spans="4:13">
      <c r="D274" s="184" t="str">
        <f t="shared" si="41"/>
        <v/>
      </c>
      <c r="E274" s="188" t="str">
        <f t="shared" si="35"/>
        <v/>
      </c>
      <c r="G274" s="12" t="str">
        <f>IF(A274="","",(MAX(C$4:C274)-C274)/MAX(C$4:C274))</f>
        <v/>
      </c>
      <c r="H274" s="12" t="str">
        <f>IF(A274="","",MAX(G$4:G274))</f>
        <v/>
      </c>
      <c r="I274" s="1" t="str">
        <f t="shared" si="36"/>
        <v/>
      </c>
      <c r="J274" s="16" t="str">
        <f t="shared" si="37"/>
        <v/>
      </c>
      <c r="K274" s="15" t="str">
        <f t="shared" si="38"/>
        <v/>
      </c>
      <c r="L274" s="15" t="str">
        <f t="shared" si="39"/>
        <v/>
      </c>
      <c r="M274" s="14" t="str">
        <f t="shared" si="40"/>
        <v/>
      </c>
    </row>
    <row r="275" spans="4:13">
      <c r="D275" s="184" t="str">
        <f t="shared" si="41"/>
        <v/>
      </c>
      <c r="E275" s="188" t="str">
        <f t="shared" si="35"/>
        <v/>
      </c>
      <c r="G275" s="12" t="str">
        <f>IF(A275="","",(MAX(C$4:C275)-C275)/MAX(C$4:C275))</f>
        <v/>
      </c>
      <c r="H275" s="12" t="str">
        <f>IF(A275="","",MAX(G$4:G275))</f>
        <v/>
      </c>
      <c r="I275" s="1" t="str">
        <f t="shared" si="36"/>
        <v/>
      </c>
      <c r="J275" s="16" t="str">
        <f t="shared" si="37"/>
        <v/>
      </c>
      <c r="K275" s="15" t="str">
        <f t="shared" si="38"/>
        <v/>
      </c>
      <c r="L275" s="15" t="str">
        <f t="shared" si="39"/>
        <v/>
      </c>
      <c r="M275" s="14" t="str">
        <f t="shared" si="40"/>
        <v/>
      </c>
    </row>
    <row r="276" spans="4:13">
      <c r="D276" s="184" t="str">
        <f t="shared" si="41"/>
        <v/>
      </c>
      <c r="E276" s="188" t="str">
        <f t="shared" si="35"/>
        <v/>
      </c>
      <c r="G276" s="12" t="str">
        <f>IF(A276="","",(MAX(C$4:C276)-C276)/MAX(C$4:C276))</f>
        <v/>
      </c>
      <c r="H276" s="12" t="str">
        <f>IF(A276="","",MAX(G$4:G276))</f>
        <v/>
      </c>
      <c r="I276" s="1" t="str">
        <f t="shared" si="36"/>
        <v/>
      </c>
      <c r="J276" s="16" t="str">
        <f t="shared" si="37"/>
        <v/>
      </c>
      <c r="K276" s="15" t="str">
        <f t="shared" si="38"/>
        <v/>
      </c>
      <c r="L276" s="15" t="str">
        <f t="shared" si="39"/>
        <v/>
      </c>
      <c r="M276" s="14" t="str">
        <f t="shared" si="40"/>
        <v/>
      </c>
    </row>
    <row r="277" spans="4:13">
      <c r="D277" s="184" t="str">
        <f t="shared" si="41"/>
        <v/>
      </c>
      <c r="E277" s="188" t="str">
        <f t="shared" si="35"/>
        <v/>
      </c>
      <c r="G277" s="12" t="str">
        <f>IF(A277="","",(MAX(C$4:C277)-C277)/MAX(C$4:C277))</f>
        <v/>
      </c>
      <c r="H277" s="12" t="str">
        <f>IF(A277="","",MAX(G$4:G277))</f>
        <v/>
      </c>
      <c r="I277" s="1" t="str">
        <f t="shared" si="36"/>
        <v/>
      </c>
      <c r="J277" s="16" t="str">
        <f t="shared" si="37"/>
        <v/>
      </c>
      <c r="K277" s="15" t="str">
        <f t="shared" si="38"/>
        <v/>
      </c>
      <c r="L277" s="15" t="str">
        <f t="shared" si="39"/>
        <v/>
      </c>
      <c r="M277" s="14" t="str">
        <f t="shared" si="40"/>
        <v/>
      </c>
    </row>
    <row r="278" spans="4:13">
      <c r="D278" s="184" t="str">
        <f t="shared" si="41"/>
        <v/>
      </c>
      <c r="E278" s="188" t="str">
        <f t="shared" si="35"/>
        <v/>
      </c>
      <c r="G278" s="12" t="str">
        <f>IF(A278="","",(MAX(C$4:C278)-C278)/MAX(C$4:C278))</f>
        <v/>
      </c>
      <c r="H278" s="12" t="str">
        <f>IF(A278="","",MAX(G$4:G278))</f>
        <v/>
      </c>
      <c r="I278" s="1" t="str">
        <f t="shared" si="36"/>
        <v/>
      </c>
      <c r="J278" s="16" t="str">
        <f t="shared" si="37"/>
        <v/>
      </c>
      <c r="K278" s="15" t="str">
        <f t="shared" si="38"/>
        <v/>
      </c>
      <c r="L278" s="15" t="str">
        <f t="shared" si="39"/>
        <v/>
      </c>
      <c r="M278" s="14" t="str">
        <f t="shared" si="40"/>
        <v/>
      </c>
    </row>
    <row r="279" spans="4:13">
      <c r="D279" s="184" t="str">
        <f t="shared" si="41"/>
        <v/>
      </c>
      <c r="E279" s="188" t="str">
        <f t="shared" si="35"/>
        <v/>
      </c>
      <c r="G279" s="12" t="str">
        <f>IF(A279="","",(MAX(C$4:C279)-C279)/MAX(C$4:C279))</f>
        <v/>
      </c>
      <c r="H279" s="12" t="str">
        <f>IF(A279="","",MAX(G$4:G279))</f>
        <v/>
      </c>
      <c r="I279" s="1" t="str">
        <f t="shared" si="36"/>
        <v/>
      </c>
      <c r="J279" s="16" t="str">
        <f t="shared" si="37"/>
        <v/>
      </c>
      <c r="K279" s="15" t="str">
        <f t="shared" si="38"/>
        <v/>
      </c>
      <c r="L279" s="15" t="str">
        <f t="shared" si="39"/>
        <v/>
      </c>
      <c r="M279" s="14" t="str">
        <f t="shared" si="40"/>
        <v/>
      </c>
    </row>
    <row r="280" spans="4:13">
      <c r="D280" s="184" t="str">
        <f t="shared" si="41"/>
        <v/>
      </c>
      <c r="E280" s="188" t="str">
        <f t="shared" si="35"/>
        <v/>
      </c>
      <c r="G280" s="12" t="str">
        <f>IF(A280="","",(MAX(C$4:C280)-C280)/MAX(C$4:C280))</f>
        <v/>
      </c>
      <c r="H280" s="12" t="str">
        <f>IF(A280="","",MAX(G$4:G280))</f>
        <v/>
      </c>
      <c r="I280" s="1" t="str">
        <f t="shared" si="36"/>
        <v/>
      </c>
      <c r="J280" s="16" t="str">
        <f t="shared" si="37"/>
        <v/>
      </c>
      <c r="K280" s="15" t="str">
        <f t="shared" si="38"/>
        <v/>
      </c>
      <c r="L280" s="15" t="str">
        <f t="shared" si="39"/>
        <v/>
      </c>
      <c r="M280" s="14" t="str">
        <f t="shared" si="40"/>
        <v/>
      </c>
    </row>
    <row r="281" spans="4:13">
      <c r="D281" s="184" t="str">
        <f t="shared" si="41"/>
        <v/>
      </c>
      <c r="E281" s="188" t="str">
        <f t="shared" si="35"/>
        <v/>
      </c>
      <c r="G281" s="12" t="str">
        <f>IF(A281="","",(MAX(C$4:C281)-C281)/MAX(C$4:C281))</f>
        <v/>
      </c>
      <c r="H281" s="12" t="str">
        <f>IF(A281="","",MAX(G$4:G281))</f>
        <v/>
      </c>
      <c r="I281" s="1" t="str">
        <f t="shared" si="36"/>
        <v/>
      </c>
      <c r="J281" s="16" t="str">
        <f t="shared" si="37"/>
        <v/>
      </c>
      <c r="K281" s="15" t="str">
        <f t="shared" si="38"/>
        <v/>
      </c>
      <c r="L281" s="15" t="str">
        <f t="shared" si="39"/>
        <v/>
      </c>
      <c r="M281" s="14" t="str">
        <f t="shared" si="40"/>
        <v/>
      </c>
    </row>
    <row r="282" spans="4:13">
      <c r="D282" s="184" t="str">
        <f t="shared" si="41"/>
        <v/>
      </c>
      <c r="E282" s="188" t="str">
        <f t="shared" si="35"/>
        <v/>
      </c>
      <c r="G282" s="12" t="str">
        <f>IF(A282="","",(MAX(C$4:C282)-C282)/MAX(C$4:C282))</f>
        <v/>
      </c>
      <c r="H282" s="12" t="str">
        <f>IF(A282="","",MAX(G$4:G282))</f>
        <v/>
      </c>
      <c r="I282" s="1" t="str">
        <f t="shared" si="36"/>
        <v/>
      </c>
      <c r="J282" s="16" t="str">
        <f t="shared" si="37"/>
        <v/>
      </c>
      <c r="K282" s="15" t="str">
        <f t="shared" si="38"/>
        <v/>
      </c>
      <c r="L282" s="15" t="str">
        <f t="shared" si="39"/>
        <v/>
      </c>
      <c r="M282" s="14" t="str">
        <f t="shared" si="40"/>
        <v/>
      </c>
    </row>
    <row r="283" spans="4:13">
      <c r="D283" s="184" t="str">
        <f t="shared" si="41"/>
        <v/>
      </c>
      <c r="E283" s="188" t="str">
        <f t="shared" si="35"/>
        <v/>
      </c>
      <c r="G283" s="12" t="str">
        <f>IF(A283="","",(MAX(C$4:C283)-C283)/MAX(C$4:C283))</f>
        <v/>
      </c>
      <c r="H283" s="12" t="str">
        <f>IF(A283="","",MAX(G$4:G283))</f>
        <v/>
      </c>
      <c r="I283" s="1" t="str">
        <f t="shared" si="36"/>
        <v/>
      </c>
      <c r="J283" s="16" t="str">
        <f t="shared" si="37"/>
        <v/>
      </c>
      <c r="K283" s="15" t="str">
        <f t="shared" si="38"/>
        <v/>
      </c>
      <c r="L283" s="15" t="str">
        <f t="shared" si="39"/>
        <v/>
      </c>
      <c r="M283" s="14" t="str">
        <f t="shared" si="40"/>
        <v/>
      </c>
    </row>
    <row r="284" spans="4:13">
      <c r="D284" s="184" t="str">
        <f t="shared" si="41"/>
        <v/>
      </c>
      <c r="E284" s="188" t="str">
        <f t="shared" si="35"/>
        <v/>
      </c>
      <c r="G284" s="12" t="str">
        <f>IF(A284="","",(MAX(C$4:C284)-C284)/MAX(C$4:C284))</f>
        <v/>
      </c>
      <c r="H284" s="12" t="str">
        <f>IF(A284="","",MAX(G$4:G284))</f>
        <v/>
      </c>
      <c r="I284" s="1" t="str">
        <f t="shared" si="36"/>
        <v/>
      </c>
      <c r="J284" s="16" t="str">
        <f t="shared" si="37"/>
        <v/>
      </c>
      <c r="K284" s="15" t="str">
        <f t="shared" si="38"/>
        <v/>
      </c>
      <c r="L284" s="15" t="str">
        <f t="shared" si="39"/>
        <v/>
      </c>
      <c r="M284" s="14" t="str">
        <f t="shared" si="40"/>
        <v/>
      </c>
    </row>
    <row r="285" spans="4:13">
      <c r="D285" s="184" t="str">
        <f t="shared" si="41"/>
        <v/>
      </c>
      <c r="E285" s="188" t="str">
        <f t="shared" si="35"/>
        <v/>
      </c>
      <c r="G285" s="12" t="str">
        <f>IF(A285="","",(MAX(C$4:C285)-C285)/MAX(C$4:C285))</f>
        <v/>
      </c>
      <c r="H285" s="12" t="str">
        <f>IF(A285="","",MAX(G$4:G285))</f>
        <v/>
      </c>
      <c r="I285" s="1" t="str">
        <f t="shared" si="36"/>
        <v/>
      </c>
      <c r="J285" s="16" t="str">
        <f t="shared" si="37"/>
        <v/>
      </c>
      <c r="K285" s="15" t="str">
        <f t="shared" si="38"/>
        <v/>
      </c>
      <c r="L285" s="15" t="str">
        <f t="shared" si="39"/>
        <v/>
      </c>
      <c r="M285" s="14" t="str">
        <f t="shared" si="40"/>
        <v/>
      </c>
    </row>
    <row r="286" spans="4:13">
      <c r="D286" s="184" t="str">
        <f t="shared" si="41"/>
        <v/>
      </c>
      <c r="E286" s="188" t="str">
        <f t="shared" si="35"/>
        <v/>
      </c>
      <c r="G286" s="12" t="str">
        <f>IF(A286="","",(MAX(C$4:C286)-C286)/MAX(C$4:C286))</f>
        <v/>
      </c>
      <c r="H286" s="12" t="str">
        <f>IF(A286="","",MAX(G$4:G286))</f>
        <v/>
      </c>
      <c r="I286" s="1" t="str">
        <f t="shared" si="36"/>
        <v/>
      </c>
      <c r="J286" s="16" t="str">
        <f t="shared" si="37"/>
        <v/>
      </c>
      <c r="K286" s="15" t="str">
        <f t="shared" si="38"/>
        <v/>
      </c>
      <c r="L286" s="15" t="str">
        <f t="shared" si="39"/>
        <v/>
      </c>
      <c r="M286" s="14" t="str">
        <f t="shared" si="40"/>
        <v/>
      </c>
    </row>
    <row r="287" spans="4:13">
      <c r="D287" s="184" t="str">
        <f t="shared" si="41"/>
        <v/>
      </c>
      <c r="E287" s="188" t="str">
        <f t="shared" si="35"/>
        <v/>
      </c>
      <c r="G287" s="12" t="str">
        <f>IF(A287="","",(MAX(C$4:C287)-C287)/MAX(C$4:C287))</f>
        <v/>
      </c>
      <c r="H287" s="12" t="str">
        <f>IF(A287="","",MAX(G$4:G287))</f>
        <v/>
      </c>
      <c r="I287" s="1" t="str">
        <f t="shared" si="36"/>
        <v/>
      </c>
      <c r="J287" s="16" t="str">
        <f t="shared" si="37"/>
        <v/>
      </c>
      <c r="K287" s="15" t="str">
        <f t="shared" si="38"/>
        <v/>
      </c>
      <c r="L287" s="15" t="str">
        <f t="shared" si="39"/>
        <v/>
      </c>
      <c r="M287" s="14" t="str">
        <f t="shared" si="40"/>
        <v/>
      </c>
    </row>
    <row r="288" spans="4:13">
      <c r="D288" s="184" t="str">
        <f t="shared" si="41"/>
        <v/>
      </c>
      <c r="E288" s="188" t="str">
        <f t="shared" si="35"/>
        <v/>
      </c>
      <c r="G288" s="12" t="str">
        <f>IF(A288="","",(MAX(C$4:C288)-C288)/MAX(C$4:C288))</f>
        <v/>
      </c>
      <c r="H288" s="12" t="str">
        <f>IF(A288="","",MAX(G$4:G288))</f>
        <v/>
      </c>
      <c r="I288" s="1" t="str">
        <f t="shared" si="36"/>
        <v/>
      </c>
      <c r="J288" s="16" t="str">
        <f t="shared" si="37"/>
        <v/>
      </c>
      <c r="K288" s="15" t="str">
        <f t="shared" si="38"/>
        <v/>
      </c>
      <c r="L288" s="15" t="str">
        <f t="shared" si="39"/>
        <v/>
      </c>
      <c r="M288" s="14" t="str">
        <f t="shared" si="40"/>
        <v/>
      </c>
    </row>
    <row r="289" spans="4:13">
      <c r="D289" s="184" t="str">
        <f t="shared" si="41"/>
        <v/>
      </c>
      <c r="E289" s="188" t="str">
        <f t="shared" si="35"/>
        <v/>
      </c>
      <c r="G289" s="12" t="str">
        <f>IF(A289="","",(MAX(C$4:C289)-C289)/MAX(C$4:C289))</f>
        <v/>
      </c>
      <c r="H289" s="12" t="str">
        <f>IF(A289="","",MAX(G$4:G289))</f>
        <v/>
      </c>
      <c r="I289" s="1" t="str">
        <f t="shared" si="36"/>
        <v/>
      </c>
      <c r="J289" s="16" t="str">
        <f t="shared" si="37"/>
        <v/>
      </c>
      <c r="K289" s="15" t="str">
        <f t="shared" si="38"/>
        <v/>
      </c>
      <c r="L289" s="15" t="str">
        <f t="shared" si="39"/>
        <v/>
      </c>
      <c r="M289" s="14" t="str">
        <f t="shared" si="40"/>
        <v/>
      </c>
    </row>
    <row r="290" spans="4:13">
      <c r="D290" s="184" t="str">
        <f t="shared" si="41"/>
        <v/>
      </c>
      <c r="E290" s="188" t="str">
        <f t="shared" si="35"/>
        <v/>
      </c>
      <c r="G290" s="12" t="str">
        <f>IF(A290="","",(MAX(C$4:C290)-C290)/MAX(C$4:C290))</f>
        <v/>
      </c>
      <c r="H290" s="12" t="str">
        <f>IF(A290="","",MAX(G$4:G290))</f>
        <v/>
      </c>
      <c r="I290" s="1" t="str">
        <f t="shared" si="36"/>
        <v/>
      </c>
      <c r="J290" s="16" t="str">
        <f t="shared" si="37"/>
        <v/>
      </c>
      <c r="K290" s="15" t="str">
        <f t="shared" si="38"/>
        <v/>
      </c>
      <c r="L290" s="15" t="str">
        <f t="shared" si="39"/>
        <v/>
      </c>
      <c r="M290" s="14" t="str">
        <f t="shared" si="40"/>
        <v/>
      </c>
    </row>
    <row r="291" spans="4:13">
      <c r="D291" s="184" t="str">
        <f t="shared" si="41"/>
        <v/>
      </c>
      <c r="E291" s="188" t="str">
        <f t="shared" si="35"/>
        <v/>
      </c>
      <c r="G291" s="12" t="str">
        <f>IF(A291="","",(MAX(C$4:C291)-C291)/MAX(C$4:C291))</f>
        <v/>
      </c>
      <c r="H291" s="12" t="str">
        <f>IF(A291="","",MAX(G$4:G291))</f>
        <v/>
      </c>
      <c r="I291" s="1" t="str">
        <f t="shared" si="36"/>
        <v/>
      </c>
      <c r="J291" s="16" t="str">
        <f t="shared" si="37"/>
        <v/>
      </c>
      <c r="K291" s="15" t="str">
        <f t="shared" si="38"/>
        <v/>
      </c>
      <c r="L291" s="15" t="str">
        <f t="shared" si="39"/>
        <v/>
      </c>
      <c r="M291" s="14" t="str">
        <f t="shared" si="40"/>
        <v/>
      </c>
    </row>
    <row r="292" spans="4:13">
      <c r="D292" s="184" t="str">
        <f t="shared" si="41"/>
        <v/>
      </c>
      <c r="E292" s="188" t="str">
        <f t="shared" si="35"/>
        <v/>
      </c>
      <c r="G292" s="12" t="str">
        <f>IF(A292="","",(MAX(C$4:C292)-C292)/MAX(C$4:C292))</f>
        <v/>
      </c>
      <c r="H292" s="12" t="str">
        <f>IF(A292="","",MAX(G$4:G292))</f>
        <v/>
      </c>
      <c r="I292" s="1" t="str">
        <f t="shared" si="36"/>
        <v/>
      </c>
      <c r="J292" s="16" t="str">
        <f t="shared" si="37"/>
        <v/>
      </c>
      <c r="K292" s="15" t="str">
        <f t="shared" si="38"/>
        <v/>
      </c>
      <c r="L292" s="15" t="str">
        <f t="shared" si="39"/>
        <v/>
      </c>
      <c r="M292" s="14" t="str">
        <f t="shared" si="40"/>
        <v/>
      </c>
    </row>
    <row r="293" spans="4:13">
      <c r="D293" s="184" t="str">
        <f t="shared" si="41"/>
        <v/>
      </c>
      <c r="E293" s="188" t="str">
        <f t="shared" si="35"/>
        <v/>
      </c>
      <c r="G293" s="12" t="str">
        <f>IF(A293="","",(MAX(C$4:C293)-C293)/MAX(C$4:C293))</f>
        <v/>
      </c>
      <c r="H293" s="12" t="str">
        <f>IF(A293="","",MAX(G$4:G293))</f>
        <v/>
      </c>
      <c r="I293" s="1" t="str">
        <f t="shared" si="36"/>
        <v/>
      </c>
      <c r="J293" s="16" t="str">
        <f t="shared" si="37"/>
        <v/>
      </c>
      <c r="K293" s="15" t="str">
        <f t="shared" si="38"/>
        <v/>
      </c>
      <c r="L293" s="15" t="str">
        <f t="shared" si="39"/>
        <v/>
      </c>
      <c r="M293" s="14" t="str">
        <f t="shared" si="40"/>
        <v/>
      </c>
    </row>
    <row r="294" spans="4:13">
      <c r="D294" s="184" t="str">
        <f t="shared" si="41"/>
        <v/>
      </c>
      <c r="E294" s="188" t="str">
        <f t="shared" si="35"/>
        <v/>
      </c>
      <c r="G294" s="12" t="str">
        <f>IF(A294="","",(MAX(C$4:C294)-C294)/MAX(C$4:C294))</f>
        <v/>
      </c>
      <c r="H294" s="12" t="str">
        <f>IF(A294="","",MAX(G$4:G294))</f>
        <v/>
      </c>
      <c r="I294" s="1" t="str">
        <f t="shared" si="36"/>
        <v/>
      </c>
      <c r="J294" s="16" t="str">
        <f t="shared" si="37"/>
        <v/>
      </c>
      <c r="K294" s="15" t="str">
        <f t="shared" si="38"/>
        <v/>
      </c>
      <c r="L294" s="15" t="str">
        <f t="shared" si="39"/>
        <v/>
      </c>
      <c r="M294" s="14" t="str">
        <f t="shared" si="40"/>
        <v/>
      </c>
    </row>
    <row r="295" spans="4:13">
      <c r="D295" s="184" t="str">
        <f t="shared" si="41"/>
        <v/>
      </c>
      <c r="E295" s="188" t="str">
        <f t="shared" si="35"/>
        <v/>
      </c>
      <c r="G295" s="12" t="str">
        <f>IF(A295="","",(MAX(C$4:C295)-C295)/MAX(C$4:C295))</f>
        <v/>
      </c>
      <c r="H295" s="12" t="str">
        <f>IF(A295="","",MAX(G$4:G295))</f>
        <v/>
      </c>
      <c r="I295" s="1" t="str">
        <f t="shared" si="36"/>
        <v/>
      </c>
      <c r="J295" s="16" t="str">
        <f t="shared" si="37"/>
        <v/>
      </c>
      <c r="K295" s="15" t="str">
        <f t="shared" si="38"/>
        <v/>
      </c>
      <c r="L295" s="15" t="str">
        <f t="shared" si="39"/>
        <v/>
      </c>
      <c r="M295" s="14" t="str">
        <f t="shared" si="40"/>
        <v/>
      </c>
    </row>
    <row r="296" spans="4:13">
      <c r="D296" s="184" t="str">
        <f t="shared" si="41"/>
        <v/>
      </c>
      <c r="E296" s="188" t="str">
        <f t="shared" si="35"/>
        <v/>
      </c>
      <c r="G296" s="12" t="str">
        <f>IF(A296="","",(MAX(C$4:C296)-C296)/MAX(C$4:C296))</f>
        <v/>
      </c>
      <c r="H296" s="12" t="str">
        <f>IF(A296="","",MAX(G$4:G296))</f>
        <v/>
      </c>
      <c r="I296" s="1" t="str">
        <f t="shared" si="36"/>
        <v/>
      </c>
      <c r="J296" s="16" t="str">
        <f t="shared" si="37"/>
        <v/>
      </c>
      <c r="K296" s="15" t="str">
        <f t="shared" si="38"/>
        <v/>
      </c>
      <c r="L296" s="15" t="str">
        <f t="shared" si="39"/>
        <v/>
      </c>
      <c r="M296" s="14" t="str">
        <f t="shared" si="40"/>
        <v/>
      </c>
    </row>
    <row r="297" spans="4:13">
      <c r="D297" s="184" t="str">
        <f t="shared" si="41"/>
        <v/>
      </c>
      <c r="E297" s="188" t="str">
        <f t="shared" si="35"/>
        <v/>
      </c>
      <c r="G297" s="12" t="str">
        <f>IF(A297="","",(MAX(C$4:C297)-C297)/MAX(C$4:C297))</f>
        <v/>
      </c>
      <c r="H297" s="12" t="str">
        <f>IF(A297="","",MAX(G$4:G297))</f>
        <v/>
      </c>
      <c r="I297" s="1" t="str">
        <f t="shared" si="36"/>
        <v/>
      </c>
      <c r="J297" s="16" t="str">
        <f t="shared" si="37"/>
        <v/>
      </c>
      <c r="K297" s="15" t="str">
        <f t="shared" si="38"/>
        <v/>
      </c>
      <c r="L297" s="15" t="str">
        <f t="shared" si="39"/>
        <v/>
      </c>
      <c r="M297" s="14" t="str">
        <f t="shared" si="40"/>
        <v/>
      </c>
    </row>
    <row r="298" spans="4:13">
      <c r="D298" s="184" t="str">
        <f t="shared" si="41"/>
        <v/>
      </c>
      <c r="E298" s="188" t="str">
        <f t="shared" si="35"/>
        <v/>
      </c>
      <c r="G298" s="12" t="str">
        <f>IF(A298="","",(MAX(C$4:C298)-C298)/MAX(C$4:C298))</f>
        <v/>
      </c>
      <c r="H298" s="12" t="str">
        <f>IF(A298="","",MAX(G$4:G298))</f>
        <v/>
      </c>
      <c r="I298" s="1" t="str">
        <f t="shared" si="36"/>
        <v/>
      </c>
      <c r="J298" s="16" t="str">
        <f t="shared" si="37"/>
        <v/>
      </c>
      <c r="K298" s="15" t="str">
        <f t="shared" si="38"/>
        <v/>
      </c>
      <c r="L298" s="15" t="str">
        <f t="shared" si="39"/>
        <v/>
      </c>
      <c r="M298" s="14" t="str">
        <f t="shared" si="40"/>
        <v/>
      </c>
    </row>
    <row r="299" spans="4:13">
      <c r="D299" s="184" t="str">
        <f t="shared" si="41"/>
        <v/>
      </c>
      <c r="E299" s="188" t="str">
        <f t="shared" si="35"/>
        <v/>
      </c>
      <c r="G299" s="12" t="str">
        <f>IF(A299="","",(MAX(C$4:C299)-C299)/MAX(C$4:C299))</f>
        <v/>
      </c>
      <c r="H299" s="12" t="str">
        <f>IF(A299="","",MAX(G$4:G299))</f>
        <v/>
      </c>
      <c r="I299" s="1" t="str">
        <f t="shared" si="36"/>
        <v/>
      </c>
      <c r="J299" s="16" t="str">
        <f t="shared" si="37"/>
        <v/>
      </c>
      <c r="K299" s="15" t="str">
        <f t="shared" si="38"/>
        <v/>
      </c>
      <c r="L299" s="15" t="str">
        <f t="shared" si="39"/>
        <v/>
      </c>
      <c r="M299" s="14" t="str">
        <f t="shared" si="40"/>
        <v/>
      </c>
    </row>
    <row r="300" spans="4:13">
      <c r="D300" s="184" t="str">
        <f t="shared" si="41"/>
        <v/>
      </c>
      <c r="E300" s="188" t="str">
        <f t="shared" si="35"/>
        <v/>
      </c>
      <c r="G300" s="12" t="str">
        <f>IF(A300="","",(MAX(C$4:C300)-C300)/MAX(C$4:C300))</f>
        <v/>
      </c>
      <c r="H300" s="12" t="str">
        <f>IF(A300="","",MAX(G$4:G300))</f>
        <v/>
      </c>
      <c r="I300" s="1" t="str">
        <f t="shared" si="36"/>
        <v/>
      </c>
      <c r="J300" s="16" t="str">
        <f t="shared" si="37"/>
        <v/>
      </c>
      <c r="K300" s="15" t="str">
        <f t="shared" si="38"/>
        <v/>
      </c>
      <c r="L300" s="15" t="str">
        <f t="shared" si="39"/>
        <v/>
      </c>
      <c r="M300" s="14" t="str">
        <f t="shared" si="40"/>
        <v/>
      </c>
    </row>
    <row r="301" spans="4:13">
      <c r="D301" s="184" t="str">
        <f t="shared" si="41"/>
        <v/>
      </c>
      <c r="E301" s="188" t="str">
        <f t="shared" si="35"/>
        <v/>
      </c>
      <c r="G301" s="12" t="str">
        <f>IF(A301="","",(MAX(C$4:C301)-C301)/MAX(C$4:C301))</f>
        <v/>
      </c>
      <c r="H301" s="12" t="str">
        <f>IF(A301="","",MAX(G$4:G301))</f>
        <v/>
      </c>
      <c r="I301" s="1" t="str">
        <f t="shared" si="36"/>
        <v/>
      </c>
      <c r="J301" s="16" t="str">
        <f t="shared" si="37"/>
        <v/>
      </c>
      <c r="K301" s="15" t="str">
        <f t="shared" si="38"/>
        <v/>
      </c>
      <c r="L301" s="15" t="str">
        <f t="shared" si="39"/>
        <v/>
      </c>
      <c r="M301" s="14" t="str">
        <f t="shared" si="40"/>
        <v/>
      </c>
    </row>
    <row r="302" spans="4:13">
      <c r="D302" s="184" t="str">
        <f t="shared" si="41"/>
        <v/>
      </c>
      <c r="E302" s="188" t="str">
        <f t="shared" si="35"/>
        <v/>
      </c>
      <c r="G302" s="12" t="str">
        <f>IF(A302="","",(MAX(C$4:C302)-C302)/MAX(C$4:C302))</f>
        <v/>
      </c>
      <c r="H302" s="12" t="str">
        <f>IF(A302="","",MAX(G$4:G302))</f>
        <v/>
      </c>
      <c r="I302" s="1" t="str">
        <f t="shared" si="36"/>
        <v/>
      </c>
      <c r="J302" s="16" t="str">
        <f t="shared" si="37"/>
        <v/>
      </c>
      <c r="K302" s="15" t="str">
        <f t="shared" si="38"/>
        <v/>
      </c>
      <c r="L302" s="15" t="str">
        <f t="shared" si="39"/>
        <v/>
      </c>
      <c r="M302" s="14" t="str">
        <f t="shared" si="40"/>
        <v/>
      </c>
    </row>
    <row r="303" spans="4:13">
      <c r="D303" s="184" t="str">
        <f t="shared" si="41"/>
        <v/>
      </c>
      <c r="E303" s="188" t="str">
        <f t="shared" si="35"/>
        <v/>
      </c>
      <c r="G303" s="12" t="str">
        <f>IF(A303="","",(MAX(C$4:C303)-C303)/MAX(C$4:C303))</f>
        <v/>
      </c>
      <c r="H303" s="12" t="str">
        <f>IF(A303="","",MAX(G$4:G303))</f>
        <v/>
      </c>
      <c r="I303" s="1" t="str">
        <f t="shared" si="36"/>
        <v/>
      </c>
      <c r="J303" s="16" t="str">
        <f t="shared" si="37"/>
        <v/>
      </c>
      <c r="K303" s="15" t="str">
        <f t="shared" si="38"/>
        <v/>
      </c>
      <c r="L303" s="15" t="str">
        <f t="shared" si="39"/>
        <v/>
      </c>
      <c r="M303" s="14" t="str">
        <f t="shared" si="40"/>
        <v/>
      </c>
    </row>
    <row r="304" spans="4:13">
      <c r="D304" s="184" t="str">
        <f t="shared" si="41"/>
        <v/>
      </c>
      <c r="E304" s="188" t="str">
        <f t="shared" si="35"/>
        <v/>
      </c>
      <c r="G304" s="12" t="str">
        <f>IF(A304="","",(MAX(C$4:C304)-C304)/MAX(C$4:C304))</f>
        <v/>
      </c>
      <c r="H304" s="12" t="str">
        <f>IF(A304="","",MAX(G$4:G304))</f>
        <v/>
      </c>
      <c r="I304" s="1" t="str">
        <f t="shared" si="36"/>
        <v/>
      </c>
      <c r="J304" s="16" t="str">
        <f t="shared" si="37"/>
        <v/>
      </c>
      <c r="K304" s="15" t="str">
        <f t="shared" si="38"/>
        <v/>
      </c>
      <c r="L304" s="15" t="str">
        <f t="shared" si="39"/>
        <v/>
      </c>
      <c r="M304" s="14" t="str">
        <f t="shared" si="40"/>
        <v/>
      </c>
    </row>
    <row r="305" spans="4:13">
      <c r="D305" s="184" t="str">
        <f t="shared" si="41"/>
        <v/>
      </c>
      <c r="E305" s="188" t="str">
        <f t="shared" si="35"/>
        <v/>
      </c>
      <c r="G305" s="12" t="str">
        <f>IF(A305="","",(MAX(C$4:C305)-C305)/MAX(C$4:C305))</f>
        <v/>
      </c>
      <c r="H305" s="12" t="str">
        <f>IF(A305="","",MAX(G$4:G305))</f>
        <v/>
      </c>
      <c r="I305" s="1" t="str">
        <f t="shared" si="36"/>
        <v/>
      </c>
      <c r="J305" s="16" t="str">
        <f t="shared" si="37"/>
        <v/>
      </c>
      <c r="K305" s="15" t="str">
        <f t="shared" si="38"/>
        <v/>
      </c>
      <c r="L305" s="15" t="str">
        <f t="shared" si="39"/>
        <v/>
      </c>
      <c r="M305" s="14" t="str">
        <f t="shared" si="40"/>
        <v/>
      </c>
    </row>
    <row r="306" spans="4:13">
      <c r="D306" s="184" t="str">
        <f t="shared" si="41"/>
        <v/>
      </c>
      <c r="E306" s="188" t="str">
        <f t="shared" si="35"/>
        <v/>
      </c>
      <c r="G306" s="12" t="str">
        <f>IF(A306="","",(MAX(C$4:C306)-C306)/MAX(C$4:C306))</f>
        <v/>
      </c>
      <c r="H306" s="12" t="str">
        <f>IF(A306="","",MAX(G$4:G306))</f>
        <v/>
      </c>
      <c r="I306" s="1" t="str">
        <f t="shared" si="36"/>
        <v/>
      </c>
      <c r="J306" s="16" t="str">
        <f t="shared" si="37"/>
        <v/>
      </c>
      <c r="K306" s="15" t="str">
        <f t="shared" si="38"/>
        <v/>
      </c>
      <c r="L306" s="15" t="str">
        <f t="shared" si="39"/>
        <v/>
      </c>
      <c r="M306" s="14" t="str">
        <f t="shared" si="40"/>
        <v/>
      </c>
    </row>
    <row r="307" spans="4:13">
      <c r="D307" s="184" t="str">
        <f t="shared" si="41"/>
        <v/>
      </c>
      <c r="E307" s="188" t="str">
        <f t="shared" si="35"/>
        <v/>
      </c>
      <c r="G307" s="12" t="str">
        <f>IF(A307="","",(MAX(C$4:C307)-C307)/MAX(C$4:C307))</f>
        <v/>
      </c>
      <c r="H307" s="12" t="str">
        <f>IF(A307="","",MAX(G$4:G307))</f>
        <v/>
      </c>
      <c r="I307" s="1" t="str">
        <f t="shared" si="36"/>
        <v/>
      </c>
      <c r="J307" s="16" t="str">
        <f t="shared" si="37"/>
        <v/>
      </c>
      <c r="K307" s="15" t="str">
        <f t="shared" si="38"/>
        <v/>
      </c>
      <c r="L307" s="15" t="str">
        <f t="shared" si="39"/>
        <v/>
      </c>
      <c r="M307" s="14" t="str">
        <f t="shared" si="40"/>
        <v/>
      </c>
    </row>
    <row r="308" spans="4:13">
      <c r="D308" s="184" t="str">
        <f t="shared" si="41"/>
        <v/>
      </c>
      <c r="E308" s="188" t="str">
        <f t="shared" si="35"/>
        <v/>
      </c>
      <c r="G308" s="12" t="str">
        <f>IF(A308="","",(MAX(C$4:C308)-C308)/MAX(C$4:C308))</f>
        <v/>
      </c>
      <c r="H308" s="12" t="str">
        <f>IF(A308="","",MAX(G$4:G308))</f>
        <v/>
      </c>
      <c r="I308" s="1" t="str">
        <f t="shared" si="36"/>
        <v/>
      </c>
      <c r="J308" s="16" t="str">
        <f t="shared" si="37"/>
        <v/>
      </c>
      <c r="K308" s="15" t="str">
        <f t="shared" si="38"/>
        <v/>
      </c>
      <c r="L308" s="15" t="str">
        <f t="shared" si="39"/>
        <v/>
      </c>
      <c r="M308" s="14" t="str">
        <f t="shared" si="40"/>
        <v/>
      </c>
    </row>
    <row r="309" spans="4:13">
      <c r="D309" s="184" t="str">
        <f t="shared" si="41"/>
        <v/>
      </c>
      <c r="E309" s="188" t="str">
        <f t="shared" si="35"/>
        <v/>
      </c>
      <c r="G309" s="12" t="str">
        <f>IF(A309="","",(MAX(C$4:C309)-C309)/MAX(C$4:C309))</f>
        <v/>
      </c>
      <c r="H309" s="12" t="str">
        <f>IF(A309="","",MAX(G$4:G309))</f>
        <v/>
      </c>
      <c r="I309" s="1" t="str">
        <f t="shared" si="36"/>
        <v/>
      </c>
      <c r="J309" s="16" t="str">
        <f t="shared" si="37"/>
        <v/>
      </c>
      <c r="K309" s="15" t="str">
        <f t="shared" si="38"/>
        <v/>
      </c>
      <c r="L309" s="15" t="str">
        <f t="shared" si="39"/>
        <v/>
      </c>
      <c r="M309" s="14" t="str">
        <f t="shared" si="40"/>
        <v/>
      </c>
    </row>
    <row r="310" spans="4:13">
      <c r="D310" s="184" t="str">
        <f t="shared" si="41"/>
        <v/>
      </c>
      <c r="E310" s="188" t="str">
        <f t="shared" si="35"/>
        <v/>
      </c>
      <c r="G310" s="12" t="str">
        <f>IF(A310="","",(MAX(C$4:C310)-C310)/MAX(C$4:C310))</f>
        <v/>
      </c>
      <c r="H310" s="12" t="str">
        <f>IF(A310="","",MAX(G$4:G310))</f>
        <v/>
      </c>
      <c r="I310" s="1" t="str">
        <f t="shared" si="36"/>
        <v/>
      </c>
      <c r="J310" s="16" t="str">
        <f t="shared" si="37"/>
        <v/>
      </c>
      <c r="K310" s="15" t="str">
        <f t="shared" si="38"/>
        <v/>
      </c>
      <c r="L310" s="15" t="str">
        <f t="shared" si="39"/>
        <v/>
      </c>
      <c r="M310" s="14" t="str">
        <f t="shared" si="40"/>
        <v/>
      </c>
    </row>
    <row r="311" spans="4:13">
      <c r="D311" s="184" t="str">
        <f t="shared" si="41"/>
        <v/>
      </c>
      <c r="E311" s="188" t="str">
        <f t="shared" si="35"/>
        <v/>
      </c>
      <c r="G311" s="12" t="str">
        <f>IF(A311="","",(MAX(C$4:C311)-C311)/MAX(C$4:C311))</f>
        <v/>
      </c>
      <c r="H311" s="12" t="str">
        <f>IF(A311="","",MAX(G$4:G311))</f>
        <v/>
      </c>
      <c r="I311" s="1" t="str">
        <f t="shared" si="36"/>
        <v/>
      </c>
      <c r="J311" s="16" t="str">
        <f t="shared" si="37"/>
        <v/>
      </c>
      <c r="K311" s="15" t="str">
        <f t="shared" si="38"/>
        <v/>
      </c>
      <c r="L311" s="15" t="str">
        <f t="shared" si="39"/>
        <v/>
      </c>
      <c r="M311" s="14" t="str">
        <f t="shared" si="40"/>
        <v/>
      </c>
    </row>
    <row r="312" spans="4:13">
      <c r="D312" s="184" t="str">
        <f t="shared" si="41"/>
        <v/>
      </c>
      <c r="E312" s="188" t="str">
        <f t="shared" si="35"/>
        <v/>
      </c>
      <c r="G312" s="12" t="str">
        <f>IF(A312="","",(MAX(C$4:C312)-C312)/MAX(C$4:C312))</f>
        <v/>
      </c>
      <c r="H312" s="12" t="str">
        <f>IF(A312="","",MAX(G$4:G312))</f>
        <v/>
      </c>
      <c r="I312" s="1" t="str">
        <f t="shared" si="36"/>
        <v/>
      </c>
      <c r="J312" s="16" t="str">
        <f t="shared" si="37"/>
        <v/>
      </c>
      <c r="K312" s="15" t="str">
        <f t="shared" si="38"/>
        <v/>
      </c>
      <c r="L312" s="15" t="str">
        <f t="shared" si="39"/>
        <v/>
      </c>
      <c r="M312" s="14" t="str">
        <f t="shared" si="40"/>
        <v/>
      </c>
    </row>
    <row r="313" spans="4:13">
      <c r="D313" s="184" t="str">
        <f t="shared" si="41"/>
        <v/>
      </c>
      <c r="E313" s="188" t="str">
        <f t="shared" si="35"/>
        <v/>
      </c>
      <c r="G313" s="12" t="str">
        <f>IF(A313="","",(MAX(C$4:C313)-C313)/MAX(C$4:C313))</f>
        <v/>
      </c>
      <c r="H313" s="12" t="str">
        <f>IF(A313="","",MAX(G$4:G313))</f>
        <v/>
      </c>
      <c r="I313" s="1" t="str">
        <f t="shared" si="36"/>
        <v/>
      </c>
      <c r="J313" s="16" t="str">
        <f t="shared" si="37"/>
        <v/>
      </c>
      <c r="K313" s="15" t="str">
        <f t="shared" si="38"/>
        <v/>
      </c>
      <c r="L313" s="15" t="str">
        <f t="shared" si="39"/>
        <v/>
      </c>
      <c r="M313" s="14" t="str">
        <f t="shared" si="40"/>
        <v/>
      </c>
    </row>
    <row r="314" spans="4:13">
      <c r="D314" s="184" t="str">
        <f t="shared" si="41"/>
        <v/>
      </c>
      <c r="E314" s="188" t="str">
        <f t="shared" si="35"/>
        <v/>
      </c>
      <c r="G314" s="12" t="str">
        <f>IF(A314="","",(MAX(C$4:C314)-C314)/MAX(C$4:C314))</f>
        <v/>
      </c>
      <c r="H314" s="12" t="str">
        <f>IF(A314="","",MAX(G$4:G314))</f>
        <v/>
      </c>
      <c r="I314" s="1" t="str">
        <f t="shared" si="36"/>
        <v/>
      </c>
      <c r="J314" s="16" t="str">
        <f t="shared" si="37"/>
        <v/>
      </c>
      <c r="K314" s="15" t="str">
        <f t="shared" si="38"/>
        <v/>
      </c>
      <c r="L314" s="15" t="str">
        <f t="shared" si="39"/>
        <v/>
      </c>
      <c r="M314" s="14" t="str">
        <f t="shared" si="40"/>
        <v/>
      </c>
    </row>
    <row r="315" spans="4:13">
      <c r="D315" s="184" t="str">
        <f t="shared" si="41"/>
        <v/>
      </c>
      <c r="E315" s="188" t="str">
        <f t="shared" si="35"/>
        <v/>
      </c>
      <c r="G315" s="12" t="str">
        <f>IF(A315="","",(MAX(C$4:C315)-C315)/MAX(C$4:C315))</f>
        <v/>
      </c>
      <c r="H315" s="12" t="str">
        <f>IF(A315="","",MAX(G$4:G315))</f>
        <v/>
      </c>
      <c r="I315" s="1" t="str">
        <f t="shared" si="36"/>
        <v/>
      </c>
      <c r="J315" s="16" t="str">
        <f t="shared" si="37"/>
        <v/>
      </c>
      <c r="K315" s="15" t="str">
        <f t="shared" si="38"/>
        <v/>
      </c>
      <c r="L315" s="15" t="str">
        <f t="shared" si="39"/>
        <v/>
      </c>
      <c r="M315" s="14" t="str">
        <f t="shared" si="40"/>
        <v/>
      </c>
    </row>
    <row r="316" spans="4:13">
      <c r="D316" s="184" t="str">
        <f t="shared" si="41"/>
        <v/>
      </c>
      <c r="E316" s="188" t="str">
        <f t="shared" si="35"/>
        <v/>
      </c>
      <c r="G316" s="12" t="str">
        <f>IF(A316="","",(MAX(C$4:C316)-C316)/MAX(C$4:C316))</f>
        <v/>
      </c>
      <c r="H316" s="12" t="str">
        <f>IF(A316="","",MAX(G$4:G316))</f>
        <v/>
      </c>
      <c r="I316" s="1" t="str">
        <f t="shared" si="36"/>
        <v/>
      </c>
      <c r="J316" s="16" t="str">
        <f t="shared" si="37"/>
        <v/>
      </c>
      <c r="K316" s="15" t="str">
        <f t="shared" si="38"/>
        <v/>
      </c>
      <c r="L316" s="15" t="str">
        <f t="shared" si="39"/>
        <v/>
      </c>
      <c r="M316" s="14" t="str">
        <f t="shared" si="40"/>
        <v/>
      </c>
    </row>
    <row r="317" spans="4:13">
      <c r="D317" s="184" t="str">
        <f t="shared" si="41"/>
        <v/>
      </c>
      <c r="E317" s="188" t="str">
        <f t="shared" si="35"/>
        <v/>
      </c>
      <c r="G317" s="12" t="str">
        <f>IF(A317="","",(MAX(C$4:C317)-C317)/MAX(C$4:C317))</f>
        <v/>
      </c>
      <c r="H317" s="12" t="str">
        <f>IF(A317="","",MAX(G$4:G317))</f>
        <v/>
      </c>
      <c r="I317" s="1" t="str">
        <f t="shared" si="36"/>
        <v/>
      </c>
      <c r="J317" s="16" t="str">
        <f t="shared" si="37"/>
        <v/>
      </c>
      <c r="K317" s="15" t="str">
        <f t="shared" si="38"/>
        <v/>
      </c>
      <c r="L317" s="15" t="str">
        <f t="shared" si="39"/>
        <v/>
      </c>
      <c r="M317" s="14" t="str">
        <f t="shared" si="40"/>
        <v/>
      </c>
    </row>
    <row r="318" spans="4:13">
      <c r="D318" s="184" t="str">
        <f t="shared" si="41"/>
        <v/>
      </c>
      <c r="E318" s="188" t="str">
        <f t="shared" si="35"/>
        <v/>
      </c>
      <c r="G318" s="12" t="str">
        <f>IF(A318="","",(MAX(C$4:C318)-C318)/MAX(C$4:C318))</f>
        <v/>
      </c>
      <c r="H318" s="12" t="str">
        <f>IF(A318="","",MAX(G$4:G318))</f>
        <v/>
      </c>
      <c r="I318" s="1" t="str">
        <f t="shared" si="36"/>
        <v/>
      </c>
      <c r="J318" s="16" t="str">
        <f t="shared" si="37"/>
        <v/>
      </c>
      <c r="K318" s="15" t="str">
        <f t="shared" si="38"/>
        <v/>
      </c>
      <c r="L318" s="15" t="str">
        <f t="shared" si="39"/>
        <v/>
      </c>
      <c r="M318" s="14" t="str">
        <f t="shared" si="40"/>
        <v/>
      </c>
    </row>
    <row r="319" spans="4:13">
      <c r="D319" s="184" t="str">
        <f t="shared" si="41"/>
        <v/>
      </c>
      <c r="E319" s="188" t="str">
        <f t="shared" si="35"/>
        <v/>
      </c>
      <c r="G319" s="12" t="str">
        <f>IF(A319="","",(MAX(C$4:C319)-C319)/MAX(C$4:C319))</f>
        <v/>
      </c>
      <c r="H319" s="12" t="str">
        <f>IF(A319="","",MAX(G$4:G319))</f>
        <v/>
      </c>
      <c r="I319" s="1" t="str">
        <f t="shared" si="36"/>
        <v/>
      </c>
      <c r="J319" s="16" t="str">
        <f t="shared" si="37"/>
        <v/>
      </c>
      <c r="K319" s="15" t="str">
        <f t="shared" si="38"/>
        <v/>
      </c>
      <c r="L319" s="15" t="str">
        <f t="shared" si="39"/>
        <v/>
      </c>
      <c r="M319" s="14" t="str">
        <f t="shared" si="40"/>
        <v/>
      </c>
    </row>
    <row r="320" spans="4:13">
      <c r="D320" s="184" t="str">
        <f t="shared" si="41"/>
        <v/>
      </c>
      <c r="E320" s="188" t="str">
        <f t="shared" si="35"/>
        <v/>
      </c>
      <c r="G320" s="12" t="str">
        <f>IF(A320="","",(MAX(C$4:C320)-C320)/MAX(C$4:C320))</f>
        <v/>
      </c>
      <c r="H320" s="12" t="str">
        <f>IF(A320="","",MAX(G$4:G320))</f>
        <v/>
      </c>
      <c r="I320" s="1" t="str">
        <f t="shared" si="36"/>
        <v/>
      </c>
      <c r="J320" s="16" t="str">
        <f t="shared" si="37"/>
        <v/>
      </c>
      <c r="K320" s="15" t="str">
        <f t="shared" si="38"/>
        <v/>
      </c>
      <c r="L320" s="15" t="str">
        <f t="shared" si="39"/>
        <v/>
      </c>
      <c r="M320" s="14" t="str">
        <f t="shared" si="40"/>
        <v/>
      </c>
    </row>
    <row r="321" spans="4:13">
      <c r="D321" s="184" t="str">
        <f t="shared" si="41"/>
        <v/>
      </c>
      <c r="E321" s="188" t="str">
        <f t="shared" si="35"/>
        <v/>
      </c>
      <c r="G321" s="12" t="str">
        <f>IF(A321="","",(MAX(C$4:C321)-C321)/MAX(C$4:C321))</f>
        <v/>
      </c>
      <c r="H321" s="12" t="str">
        <f>IF(A321="","",MAX(G$4:G321))</f>
        <v/>
      </c>
      <c r="I321" s="1" t="str">
        <f t="shared" si="36"/>
        <v/>
      </c>
      <c r="J321" s="16" t="str">
        <f t="shared" si="37"/>
        <v/>
      </c>
      <c r="K321" s="15" t="str">
        <f t="shared" si="38"/>
        <v/>
      </c>
      <c r="L321" s="15" t="str">
        <f t="shared" si="39"/>
        <v/>
      </c>
      <c r="M321" s="14" t="str">
        <f t="shared" si="40"/>
        <v/>
      </c>
    </row>
    <row r="322" spans="4:13">
      <c r="D322" s="184" t="str">
        <f t="shared" si="41"/>
        <v/>
      </c>
      <c r="E322" s="188" t="str">
        <f t="shared" si="35"/>
        <v/>
      </c>
      <c r="G322" s="12" t="str">
        <f>IF(A322="","",(MAX(C$4:C322)-C322)/MAX(C$4:C322))</f>
        <v/>
      </c>
      <c r="H322" s="12" t="str">
        <f>IF(A322="","",MAX(G$4:G322))</f>
        <v/>
      </c>
      <c r="I322" s="1" t="str">
        <f t="shared" si="36"/>
        <v/>
      </c>
      <c r="J322" s="16" t="str">
        <f t="shared" si="37"/>
        <v/>
      </c>
      <c r="K322" s="15" t="str">
        <f t="shared" si="38"/>
        <v/>
      </c>
      <c r="L322" s="15" t="str">
        <f t="shared" si="39"/>
        <v/>
      </c>
      <c r="M322" s="14" t="str">
        <f t="shared" si="40"/>
        <v/>
      </c>
    </row>
    <row r="323" spans="4:13">
      <c r="D323" s="184" t="str">
        <f t="shared" si="41"/>
        <v/>
      </c>
      <c r="E323" s="188" t="str">
        <f t="shared" si="35"/>
        <v/>
      </c>
      <c r="G323" s="12" t="str">
        <f>IF(A323="","",(MAX(C$4:C323)-C323)/MAX(C$4:C323))</f>
        <v/>
      </c>
      <c r="H323" s="12" t="str">
        <f>IF(A323="","",MAX(G$4:G323))</f>
        <v/>
      </c>
      <c r="I323" s="1" t="str">
        <f t="shared" si="36"/>
        <v/>
      </c>
      <c r="J323" s="16" t="str">
        <f t="shared" si="37"/>
        <v/>
      </c>
      <c r="K323" s="15" t="str">
        <f t="shared" si="38"/>
        <v/>
      </c>
      <c r="L323" s="15" t="str">
        <f t="shared" si="39"/>
        <v/>
      </c>
      <c r="M323" s="14" t="str">
        <f t="shared" si="40"/>
        <v/>
      </c>
    </row>
    <row r="324" spans="4:13">
      <c r="D324" s="184" t="str">
        <f t="shared" si="41"/>
        <v/>
      </c>
      <c r="E324" s="188" t="str">
        <f t="shared" si="35"/>
        <v/>
      </c>
      <c r="G324" s="12" t="str">
        <f>IF(A324="","",(MAX(C$4:C324)-C324)/MAX(C$4:C324))</f>
        <v/>
      </c>
      <c r="H324" s="12" t="str">
        <f>IF(A324="","",MAX(G$4:G324))</f>
        <v/>
      </c>
      <c r="I324" s="1" t="str">
        <f t="shared" si="36"/>
        <v/>
      </c>
      <c r="J324" s="16" t="str">
        <f t="shared" si="37"/>
        <v/>
      </c>
      <c r="K324" s="15" t="str">
        <f t="shared" si="38"/>
        <v/>
      </c>
      <c r="L324" s="15" t="str">
        <f t="shared" si="39"/>
        <v/>
      </c>
      <c r="M324" s="14" t="str">
        <f t="shared" si="40"/>
        <v/>
      </c>
    </row>
    <row r="325" spans="4:13">
      <c r="D325" s="184" t="str">
        <f t="shared" si="41"/>
        <v/>
      </c>
      <c r="E325" s="188" t="str">
        <f t="shared" si="35"/>
        <v/>
      </c>
      <c r="G325" s="12" t="str">
        <f>IF(A325="","",(MAX(C$4:C325)-C325)/MAX(C$4:C325))</f>
        <v/>
      </c>
      <c r="H325" s="12" t="str">
        <f>IF(A325="","",MAX(G$4:G325))</f>
        <v/>
      </c>
      <c r="I325" s="1" t="str">
        <f t="shared" si="36"/>
        <v/>
      </c>
      <c r="J325" s="16" t="str">
        <f t="shared" si="37"/>
        <v/>
      </c>
      <c r="K325" s="15" t="str">
        <f t="shared" si="38"/>
        <v/>
      </c>
      <c r="L325" s="15" t="str">
        <f t="shared" si="39"/>
        <v/>
      </c>
      <c r="M325" s="14" t="str">
        <f t="shared" si="40"/>
        <v/>
      </c>
    </row>
    <row r="326" spans="4:13">
      <c r="D326" s="184" t="str">
        <f t="shared" si="41"/>
        <v/>
      </c>
      <c r="E326" s="188" t="str">
        <f t="shared" si="35"/>
        <v/>
      </c>
      <c r="G326" s="12" t="str">
        <f>IF(A326="","",(MAX(C$4:C326)-C326)/MAX(C$4:C326))</f>
        <v/>
      </c>
      <c r="H326" s="12" t="str">
        <f>IF(A326="","",MAX(G$4:G326))</f>
        <v/>
      </c>
      <c r="I326" s="1" t="str">
        <f t="shared" si="36"/>
        <v/>
      </c>
      <c r="J326" s="16" t="str">
        <f t="shared" si="37"/>
        <v/>
      </c>
      <c r="K326" s="15" t="str">
        <f t="shared" si="38"/>
        <v/>
      </c>
      <c r="L326" s="15" t="str">
        <f t="shared" si="39"/>
        <v/>
      </c>
      <c r="M326" s="14" t="str">
        <f t="shared" si="40"/>
        <v/>
      </c>
    </row>
    <row r="327" spans="4:13">
      <c r="D327" s="184" t="str">
        <f t="shared" si="41"/>
        <v/>
      </c>
      <c r="E327" s="188" t="str">
        <f t="shared" si="35"/>
        <v/>
      </c>
      <c r="G327" s="12" t="str">
        <f>IF(A327="","",(MAX(C$4:C327)-C327)/MAX(C$4:C327))</f>
        <v/>
      </c>
      <c r="H327" s="12" t="str">
        <f>IF(A327="","",MAX(G$4:G327))</f>
        <v/>
      </c>
      <c r="I327" s="1" t="str">
        <f t="shared" si="36"/>
        <v/>
      </c>
      <c r="J327" s="16" t="str">
        <f t="shared" si="37"/>
        <v/>
      </c>
      <c r="K327" s="15" t="str">
        <f t="shared" si="38"/>
        <v/>
      </c>
      <c r="L327" s="15" t="str">
        <f t="shared" si="39"/>
        <v/>
      </c>
      <c r="M327" s="14" t="str">
        <f t="shared" si="40"/>
        <v/>
      </c>
    </row>
    <row r="328" spans="4:13">
      <c r="D328" s="184" t="str">
        <f t="shared" si="41"/>
        <v/>
      </c>
      <c r="E328" s="188" t="str">
        <f t="shared" si="35"/>
        <v/>
      </c>
      <c r="G328" s="12" t="str">
        <f>IF(A328="","",(MAX(C$4:C328)-C328)/MAX(C$4:C328))</f>
        <v/>
      </c>
      <c r="H328" s="12" t="str">
        <f>IF(A328="","",MAX(G$4:G328))</f>
        <v/>
      </c>
      <c r="I328" s="1" t="str">
        <f t="shared" si="36"/>
        <v/>
      </c>
      <c r="J328" s="16" t="str">
        <f t="shared" si="37"/>
        <v/>
      </c>
      <c r="K328" s="15" t="str">
        <f t="shared" si="38"/>
        <v/>
      </c>
      <c r="L328" s="15" t="str">
        <f t="shared" si="39"/>
        <v/>
      </c>
      <c r="M328" s="14" t="str">
        <f t="shared" si="40"/>
        <v/>
      </c>
    </row>
    <row r="329" spans="4:13">
      <c r="D329" s="184" t="str">
        <f t="shared" si="41"/>
        <v/>
      </c>
      <c r="E329" s="188" t="str">
        <f t="shared" si="35"/>
        <v/>
      </c>
      <c r="G329" s="12" t="str">
        <f>IF(A329="","",(MAX(C$4:C329)-C329)/MAX(C$4:C329))</f>
        <v/>
      </c>
      <c r="H329" s="12" t="str">
        <f>IF(A329="","",MAX(G$4:G329))</f>
        <v/>
      </c>
      <c r="I329" s="1" t="str">
        <f t="shared" si="36"/>
        <v/>
      </c>
      <c r="J329" s="16" t="str">
        <f t="shared" si="37"/>
        <v/>
      </c>
      <c r="K329" s="15" t="str">
        <f t="shared" si="38"/>
        <v/>
      </c>
      <c r="L329" s="15" t="str">
        <f t="shared" si="39"/>
        <v/>
      </c>
      <c r="M329" s="14" t="str">
        <f t="shared" si="40"/>
        <v/>
      </c>
    </row>
    <row r="330" spans="4:13">
      <c r="D330" s="184" t="str">
        <f t="shared" si="41"/>
        <v/>
      </c>
      <c r="E330" s="188" t="str">
        <f t="shared" si="35"/>
        <v/>
      </c>
      <c r="G330" s="12" t="str">
        <f>IF(A330="","",(MAX(C$4:C330)-C330)/MAX(C$4:C330))</f>
        <v/>
      </c>
      <c r="H330" s="12" t="str">
        <f>IF(A330="","",MAX(G$4:G330))</f>
        <v/>
      </c>
      <c r="I330" s="1" t="str">
        <f t="shared" si="36"/>
        <v/>
      </c>
      <c r="J330" s="16" t="str">
        <f t="shared" si="37"/>
        <v/>
      </c>
      <c r="K330" s="15" t="str">
        <f t="shared" si="38"/>
        <v/>
      </c>
      <c r="L330" s="15" t="str">
        <f t="shared" si="39"/>
        <v/>
      </c>
      <c r="M330" s="14" t="str">
        <f t="shared" si="40"/>
        <v/>
      </c>
    </row>
    <row r="331" spans="4:13">
      <c r="D331" s="184" t="str">
        <f t="shared" si="41"/>
        <v/>
      </c>
      <c r="E331" s="188" t="str">
        <f t="shared" ref="E331:E361" si="42">IF(A331="","",(F331-F330)/F330)</f>
        <v/>
      </c>
      <c r="G331" s="12" t="str">
        <f>IF(A331="","",(MAX(C$4:C331)-C331)/MAX(C$4:C331))</f>
        <v/>
      </c>
      <c r="H331" s="12" t="str">
        <f>IF(A331="","",MAX(G$4:G331))</f>
        <v/>
      </c>
      <c r="I331" s="1" t="str">
        <f t="shared" si="36"/>
        <v/>
      </c>
      <c r="J331" s="16" t="str">
        <f t="shared" si="37"/>
        <v/>
      </c>
      <c r="K331" s="15" t="str">
        <f t="shared" si="38"/>
        <v/>
      </c>
      <c r="L331" s="15" t="str">
        <f t="shared" si="39"/>
        <v/>
      </c>
      <c r="M331" s="14" t="str">
        <f t="shared" si="40"/>
        <v/>
      </c>
    </row>
    <row r="332" spans="4:13">
      <c r="D332" s="184" t="str">
        <f t="shared" si="41"/>
        <v/>
      </c>
      <c r="E332" s="188" t="str">
        <f t="shared" si="42"/>
        <v/>
      </c>
      <c r="G332" s="12" t="str">
        <f>IF(A332="","",(MAX(C$4:C332)-C332)/MAX(C$4:C332))</f>
        <v/>
      </c>
      <c r="H332" s="12" t="str">
        <f>IF(A332="","",MAX(G$4:G332))</f>
        <v/>
      </c>
      <c r="I332" s="1" t="str">
        <f t="shared" si="36"/>
        <v/>
      </c>
      <c r="J332" s="16" t="str">
        <f t="shared" si="37"/>
        <v/>
      </c>
      <c r="K332" s="15" t="str">
        <f t="shared" si="38"/>
        <v/>
      </c>
      <c r="L332" s="15" t="str">
        <f t="shared" si="39"/>
        <v/>
      </c>
      <c r="M332" s="14" t="str">
        <f t="shared" si="40"/>
        <v/>
      </c>
    </row>
    <row r="333" spans="4:13">
      <c r="D333" s="184" t="str">
        <f t="shared" si="41"/>
        <v/>
      </c>
      <c r="E333" s="188" t="str">
        <f t="shared" si="42"/>
        <v/>
      </c>
      <c r="G333" s="12" t="str">
        <f>IF(A333="","",(MAX(C$4:C333)-C333)/MAX(C$4:C333))</f>
        <v/>
      </c>
      <c r="H333" s="12" t="str">
        <f>IF(A333="","",MAX(G$4:G333))</f>
        <v/>
      </c>
      <c r="I333" s="1" t="str">
        <f t="shared" si="36"/>
        <v/>
      </c>
      <c r="J333" s="16" t="str">
        <f t="shared" si="37"/>
        <v/>
      </c>
      <c r="K333" s="15" t="str">
        <f t="shared" si="38"/>
        <v/>
      </c>
      <c r="L333" s="15" t="str">
        <f t="shared" si="39"/>
        <v/>
      </c>
      <c r="M333" s="14" t="str">
        <f t="shared" si="40"/>
        <v/>
      </c>
    </row>
    <row r="334" spans="4:13">
      <c r="D334" s="184" t="str">
        <f t="shared" si="41"/>
        <v/>
      </c>
      <c r="E334" s="188" t="str">
        <f t="shared" si="42"/>
        <v/>
      </c>
      <c r="G334" s="12" t="str">
        <f>IF(A334="","",(MAX(C$4:C334)-C334)/MAX(C$4:C334))</f>
        <v/>
      </c>
      <c r="H334" s="12" t="str">
        <f>IF(A334="","",MAX(G$4:G334))</f>
        <v/>
      </c>
      <c r="I334" s="1" t="str">
        <f t="shared" si="36"/>
        <v/>
      </c>
      <c r="J334" s="16" t="str">
        <f t="shared" si="37"/>
        <v/>
      </c>
      <c r="K334" s="15" t="str">
        <f t="shared" si="38"/>
        <v/>
      </c>
      <c r="L334" s="15" t="str">
        <f t="shared" si="39"/>
        <v/>
      </c>
      <c r="M334" s="14" t="str">
        <f t="shared" si="40"/>
        <v/>
      </c>
    </row>
    <row r="335" spans="4:13">
      <c r="D335" s="184" t="str">
        <f t="shared" si="41"/>
        <v/>
      </c>
      <c r="E335" s="188" t="str">
        <f t="shared" si="42"/>
        <v/>
      </c>
      <c r="G335" s="12" t="str">
        <f>IF(A335="","",(MAX(C$4:C335)-C335)/MAX(C$4:C335))</f>
        <v/>
      </c>
      <c r="H335" s="12" t="str">
        <f>IF(A335="","",MAX(G$4:G335))</f>
        <v/>
      </c>
      <c r="I335" s="1" t="str">
        <f t="shared" ref="I335:I361" si="43">IF(A335="","",C335)</f>
        <v/>
      </c>
      <c r="J335" s="16" t="str">
        <f t="shared" ref="J335:J361" si="44">IF(A335="","",J334*(1+E335))</f>
        <v/>
      </c>
      <c r="K335" s="15" t="str">
        <f t="shared" ref="K335:K361" si="45">IF(A335="","",IF(H335&gt;5%,"是","否"))</f>
        <v/>
      </c>
      <c r="L335" s="15" t="str">
        <f t="shared" ref="L335:L361" si="46">IF(A335="","",IF(B335&gt;0.95,"否","是"))</f>
        <v/>
      </c>
      <c r="M335" s="14" t="str">
        <f t="shared" ref="M335:M361" si="47">IF(A335="","",IF(D335&lt;2%,"否","是"))</f>
        <v/>
      </c>
    </row>
    <row r="336" spans="4:13">
      <c r="D336" s="184" t="str">
        <f t="shared" ref="D336:D361" si="48">IF(A336="","",(B336-B335)/B335)</f>
        <v/>
      </c>
      <c r="E336" s="188" t="str">
        <f t="shared" si="42"/>
        <v/>
      </c>
      <c r="G336" s="12" t="str">
        <f>IF(A336="","",(MAX(C$4:C336)-C336)/MAX(C$4:C336))</f>
        <v/>
      </c>
      <c r="H336" s="12" t="str">
        <f>IF(A336="","",MAX(G$4:G336))</f>
        <v/>
      </c>
      <c r="I336" s="1" t="str">
        <f t="shared" si="43"/>
        <v/>
      </c>
      <c r="J336" s="16" t="str">
        <f t="shared" si="44"/>
        <v/>
      </c>
      <c r="K336" s="15" t="str">
        <f t="shared" si="45"/>
        <v/>
      </c>
      <c r="L336" s="15" t="str">
        <f t="shared" si="46"/>
        <v/>
      </c>
      <c r="M336" s="14" t="str">
        <f t="shared" si="47"/>
        <v/>
      </c>
    </row>
    <row r="337" spans="4:13">
      <c r="D337" s="184" t="str">
        <f t="shared" si="48"/>
        <v/>
      </c>
      <c r="E337" s="188" t="str">
        <f t="shared" si="42"/>
        <v/>
      </c>
      <c r="G337" s="12" t="str">
        <f>IF(A337="","",(MAX(C$4:C337)-C337)/MAX(C$4:C337))</f>
        <v/>
      </c>
      <c r="H337" s="12" t="str">
        <f>IF(A337="","",MAX(G$4:G337))</f>
        <v/>
      </c>
      <c r="I337" s="1" t="str">
        <f t="shared" si="43"/>
        <v/>
      </c>
      <c r="J337" s="16" t="str">
        <f t="shared" si="44"/>
        <v/>
      </c>
      <c r="K337" s="15" t="str">
        <f t="shared" si="45"/>
        <v/>
      </c>
      <c r="L337" s="15" t="str">
        <f t="shared" si="46"/>
        <v/>
      </c>
      <c r="M337" s="14" t="str">
        <f t="shared" si="47"/>
        <v/>
      </c>
    </row>
    <row r="338" spans="4:13">
      <c r="D338" s="184" t="str">
        <f t="shared" si="48"/>
        <v/>
      </c>
      <c r="E338" s="188" t="str">
        <f t="shared" si="42"/>
        <v/>
      </c>
      <c r="G338" s="12" t="str">
        <f>IF(A338="","",(MAX(C$4:C338)-C338)/MAX(C$4:C338))</f>
        <v/>
      </c>
      <c r="H338" s="12" t="str">
        <f>IF(A338="","",MAX(G$4:G338))</f>
        <v/>
      </c>
      <c r="I338" s="1" t="str">
        <f t="shared" si="43"/>
        <v/>
      </c>
      <c r="J338" s="16" t="str">
        <f t="shared" si="44"/>
        <v/>
      </c>
      <c r="K338" s="15" t="str">
        <f t="shared" si="45"/>
        <v/>
      </c>
      <c r="L338" s="15" t="str">
        <f t="shared" si="46"/>
        <v/>
      </c>
      <c r="M338" s="14" t="str">
        <f t="shared" si="47"/>
        <v/>
      </c>
    </row>
    <row r="339" spans="4:13">
      <c r="D339" s="184" t="str">
        <f t="shared" si="48"/>
        <v/>
      </c>
      <c r="E339" s="188" t="str">
        <f t="shared" si="42"/>
        <v/>
      </c>
      <c r="G339" s="12" t="str">
        <f>IF(A339="","",(MAX(C$4:C339)-C339)/MAX(C$4:C339))</f>
        <v/>
      </c>
      <c r="H339" s="12" t="str">
        <f>IF(A339="","",MAX(G$4:G339))</f>
        <v/>
      </c>
      <c r="I339" s="1" t="str">
        <f t="shared" si="43"/>
        <v/>
      </c>
      <c r="J339" s="16" t="str">
        <f t="shared" si="44"/>
        <v/>
      </c>
      <c r="K339" s="15" t="str">
        <f t="shared" si="45"/>
        <v/>
      </c>
      <c r="L339" s="15" t="str">
        <f t="shared" si="46"/>
        <v/>
      </c>
      <c r="M339" s="14" t="str">
        <f t="shared" si="47"/>
        <v/>
      </c>
    </row>
    <row r="340" spans="4:13">
      <c r="D340" s="184" t="str">
        <f t="shared" si="48"/>
        <v/>
      </c>
      <c r="E340" s="188" t="str">
        <f t="shared" si="42"/>
        <v/>
      </c>
      <c r="G340" s="12" t="str">
        <f>IF(A340="","",(MAX(C$4:C340)-C340)/MAX(C$4:C340))</f>
        <v/>
      </c>
      <c r="H340" s="12" t="str">
        <f>IF(A340="","",MAX(G$4:G340))</f>
        <v/>
      </c>
      <c r="I340" s="1" t="str">
        <f t="shared" si="43"/>
        <v/>
      </c>
      <c r="J340" s="16" t="str">
        <f t="shared" si="44"/>
        <v/>
      </c>
      <c r="K340" s="15" t="str">
        <f t="shared" si="45"/>
        <v/>
      </c>
      <c r="L340" s="15" t="str">
        <f t="shared" si="46"/>
        <v/>
      </c>
      <c r="M340" s="14" t="str">
        <f t="shared" si="47"/>
        <v/>
      </c>
    </row>
    <row r="341" spans="4:13">
      <c r="D341" s="184" t="str">
        <f t="shared" si="48"/>
        <v/>
      </c>
      <c r="E341" s="188" t="str">
        <f t="shared" si="42"/>
        <v/>
      </c>
      <c r="G341" s="12" t="str">
        <f>IF(A341="","",(MAX(C$4:C341)-C341)/MAX(C$4:C341))</f>
        <v/>
      </c>
      <c r="H341" s="12" t="str">
        <f>IF(A341="","",MAX(G$4:G341))</f>
        <v/>
      </c>
      <c r="I341" s="1" t="str">
        <f t="shared" si="43"/>
        <v/>
      </c>
      <c r="J341" s="16" t="str">
        <f t="shared" si="44"/>
        <v/>
      </c>
      <c r="K341" s="15" t="str">
        <f t="shared" si="45"/>
        <v/>
      </c>
      <c r="L341" s="15" t="str">
        <f t="shared" si="46"/>
        <v/>
      </c>
      <c r="M341" s="14" t="str">
        <f t="shared" si="47"/>
        <v/>
      </c>
    </row>
    <row r="342" spans="4:13">
      <c r="D342" s="184" t="str">
        <f t="shared" si="48"/>
        <v/>
      </c>
      <c r="E342" s="188" t="str">
        <f t="shared" si="42"/>
        <v/>
      </c>
      <c r="G342" s="12" t="str">
        <f>IF(A342="","",(MAX(C$4:C342)-C342)/MAX(C$4:C342))</f>
        <v/>
      </c>
      <c r="H342" s="12" t="str">
        <f>IF(A342="","",MAX(G$4:G342))</f>
        <v/>
      </c>
      <c r="I342" s="1" t="str">
        <f t="shared" si="43"/>
        <v/>
      </c>
      <c r="J342" s="16" t="str">
        <f t="shared" si="44"/>
        <v/>
      </c>
      <c r="K342" s="15" t="str">
        <f t="shared" si="45"/>
        <v/>
      </c>
      <c r="L342" s="15" t="str">
        <f t="shared" si="46"/>
        <v/>
      </c>
      <c r="M342" s="14" t="str">
        <f t="shared" si="47"/>
        <v/>
      </c>
    </row>
    <row r="343" spans="4:13">
      <c r="D343" s="184" t="str">
        <f t="shared" si="48"/>
        <v/>
      </c>
      <c r="E343" s="188" t="str">
        <f t="shared" si="42"/>
        <v/>
      </c>
      <c r="G343" s="12" t="str">
        <f>IF(A343="","",(MAX(C$4:C343)-C343)/MAX(C$4:C343))</f>
        <v/>
      </c>
      <c r="H343" s="12" t="str">
        <f>IF(A343="","",MAX(G$4:G343))</f>
        <v/>
      </c>
      <c r="I343" s="1" t="str">
        <f t="shared" si="43"/>
        <v/>
      </c>
      <c r="J343" s="16" t="str">
        <f t="shared" si="44"/>
        <v/>
      </c>
      <c r="K343" s="15" t="str">
        <f t="shared" si="45"/>
        <v/>
      </c>
      <c r="L343" s="15" t="str">
        <f t="shared" si="46"/>
        <v/>
      </c>
      <c r="M343" s="14" t="str">
        <f t="shared" si="47"/>
        <v/>
      </c>
    </row>
    <row r="344" spans="4:13">
      <c r="D344" s="184" t="str">
        <f t="shared" si="48"/>
        <v/>
      </c>
      <c r="E344" s="188" t="str">
        <f t="shared" si="42"/>
        <v/>
      </c>
      <c r="G344" s="12" t="str">
        <f>IF(A344="","",(MAX(C$4:C344)-C344)/MAX(C$4:C344))</f>
        <v/>
      </c>
      <c r="H344" s="12" t="str">
        <f>IF(A344="","",MAX(G$4:G344))</f>
        <v/>
      </c>
      <c r="I344" s="1" t="str">
        <f t="shared" si="43"/>
        <v/>
      </c>
      <c r="J344" s="16" t="str">
        <f t="shared" si="44"/>
        <v/>
      </c>
      <c r="K344" s="15" t="str">
        <f t="shared" si="45"/>
        <v/>
      </c>
      <c r="L344" s="15" t="str">
        <f t="shared" si="46"/>
        <v/>
      </c>
      <c r="M344" s="14" t="str">
        <f t="shared" si="47"/>
        <v/>
      </c>
    </row>
    <row r="345" spans="4:13">
      <c r="D345" s="184" t="str">
        <f t="shared" si="48"/>
        <v/>
      </c>
      <c r="E345" s="188" t="str">
        <f t="shared" si="42"/>
        <v/>
      </c>
      <c r="G345" s="12" t="str">
        <f>IF(A345="","",(MAX(C$4:C345)-C345)/MAX(C$4:C345))</f>
        <v/>
      </c>
      <c r="H345" s="12" t="str">
        <f>IF(A345="","",MAX(G$4:G345))</f>
        <v/>
      </c>
      <c r="I345" s="1" t="str">
        <f t="shared" si="43"/>
        <v/>
      </c>
      <c r="J345" s="16" t="str">
        <f t="shared" si="44"/>
        <v/>
      </c>
      <c r="K345" s="15" t="str">
        <f t="shared" si="45"/>
        <v/>
      </c>
      <c r="L345" s="15" t="str">
        <f t="shared" si="46"/>
        <v/>
      </c>
      <c r="M345" s="14" t="str">
        <f t="shared" si="47"/>
        <v/>
      </c>
    </row>
    <row r="346" spans="4:13">
      <c r="D346" s="184" t="str">
        <f t="shared" si="48"/>
        <v/>
      </c>
      <c r="E346" s="188" t="str">
        <f t="shared" si="42"/>
        <v/>
      </c>
      <c r="G346" s="12" t="str">
        <f>IF(A346="","",(MAX(C$4:C346)-C346)/MAX(C$4:C346))</f>
        <v/>
      </c>
      <c r="H346" s="12" t="str">
        <f>IF(A346="","",MAX(G$4:G346))</f>
        <v/>
      </c>
      <c r="I346" s="1" t="str">
        <f t="shared" si="43"/>
        <v/>
      </c>
      <c r="J346" s="16" t="str">
        <f t="shared" si="44"/>
        <v/>
      </c>
      <c r="K346" s="15" t="str">
        <f t="shared" si="45"/>
        <v/>
      </c>
      <c r="L346" s="15" t="str">
        <f t="shared" si="46"/>
        <v/>
      </c>
      <c r="M346" s="14" t="str">
        <f t="shared" si="47"/>
        <v/>
      </c>
    </row>
    <row r="347" spans="4:13">
      <c r="D347" s="184" t="str">
        <f t="shared" si="48"/>
        <v/>
      </c>
      <c r="E347" s="188" t="str">
        <f t="shared" si="42"/>
        <v/>
      </c>
      <c r="G347" s="12" t="str">
        <f>IF(A347="","",(MAX(C$4:C347)-C347)/MAX(C$4:C347))</f>
        <v/>
      </c>
      <c r="H347" s="12" t="str">
        <f>IF(A347="","",MAX(G$4:G347))</f>
        <v/>
      </c>
      <c r="I347" s="1" t="str">
        <f t="shared" si="43"/>
        <v/>
      </c>
      <c r="J347" s="16" t="str">
        <f t="shared" si="44"/>
        <v/>
      </c>
      <c r="K347" s="15" t="str">
        <f t="shared" si="45"/>
        <v/>
      </c>
      <c r="L347" s="15" t="str">
        <f t="shared" si="46"/>
        <v/>
      </c>
      <c r="M347" s="14" t="str">
        <f t="shared" si="47"/>
        <v/>
      </c>
    </row>
    <row r="348" spans="4:13">
      <c r="D348" s="184" t="str">
        <f t="shared" si="48"/>
        <v/>
      </c>
      <c r="E348" s="188" t="str">
        <f t="shared" si="42"/>
        <v/>
      </c>
      <c r="G348" s="12" t="str">
        <f>IF(A348="","",(MAX(C$4:C348)-C348)/MAX(C$4:C348))</f>
        <v/>
      </c>
      <c r="H348" s="12" t="str">
        <f>IF(A348="","",MAX(G$4:G348))</f>
        <v/>
      </c>
      <c r="I348" s="1" t="str">
        <f t="shared" si="43"/>
        <v/>
      </c>
      <c r="J348" s="16" t="str">
        <f t="shared" si="44"/>
        <v/>
      </c>
      <c r="K348" s="15" t="str">
        <f t="shared" si="45"/>
        <v/>
      </c>
      <c r="L348" s="15" t="str">
        <f t="shared" si="46"/>
        <v/>
      </c>
      <c r="M348" s="14" t="str">
        <f t="shared" si="47"/>
        <v/>
      </c>
    </row>
    <row r="349" spans="4:13">
      <c r="D349" s="184" t="str">
        <f t="shared" si="48"/>
        <v/>
      </c>
      <c r="E349" s="188" t="str">
        <f t="shared" si="42"/>
        <v/>
      </c>
      <c r="G349" s="12" t="str">
        <f>IF(A349="","",(MAX(C$4:C349)-C349)/MAX(C$4:C349))</f>
        <v/>
      </c>
      <c r="H349" s="12" t="str">
        <f>IF(A349="","",MAX(G$4:G349))</f>
        <v/>
      </c>
      <c r="I349" s="1" t="str">
        <f t="shared" si="43"/>
        <v/>
      </c>
      <c r="J349" s="16" t="str">
        <f t="shared" si="44"/>
        <v/>
      </c>
      <c r="K349" s="15" t="str">
        <f t="shared" si="45"/>
        <v/>
      </c>
      <c r="L349" s="15" t="str">
        <f t="shared" si="46"/>
        <v/>
      </c>
      <c r="M349" s="14" t="str">
        <f t="shared" si="47"/>
        <v/>
      </c>
    </row>
    <row r="350" spans="4:13">
      <c r="D350" s="184" t="str">
        <f t="shared" si="48"/>
        <v/>
      </c>
      <c r="E350" s="188" t="str">
        <f t="shared" si="42"/>
        <v/>
      </c>
      <c r="G350" s="12" t="str">
        <f>IF(A350="","",(MAX(C$4:C350)-C350)/MAX(C$4:C350))</f>
        <v/>
      </c>
      <c r="H350" s="12" t="str">
        <f>IF(A350="","",MAX(G$4:G350))</f>
        <v/>
      </c>
      <c r="I350" s="1" t="str">
        <f t="shared" si="43"/>
        <v/>
      </c>
      <c r="J350" s="16" t="str">
        <f t="shared" si="44"/>
        <v/>
      </c>
      <c r="K350" s="15" t="str">
        <f t="shared" si="45"/>
        <v/>
      </c>
      <c r="L350" s="15" t="str">
        <f t="shared" si="46"/>
        <v/>
      </c>
      <c r="M350" s="14" t="str">
        <f t="shared" si="47"/>
        <v/>
      </c>
    </row>
    <row r="351" spans="4:13">
      <c r="D351" s="184" t="str">
        <f t="shared" si="48"/>
        <v/>
      </c>
      <c r="E351" s="188" t="str">
        <f t="shared" si="42"/>
        <v/>
      </c>
      <c r="G351" s="12" t="str">
        <f>IF(A351="","",(MAX(C$4:C351)-C351)/MAX(C$4:C351))</f>
        <v/>
      </c>
      <c r="H351" s="12" t="str">
        <f>IF(A351="","",MAX(G$4:G351))</f>
        <v/>
      </c>
      <c r="I351" s="1" t="str">
        <f t="shared" si="43"/>
        <v/>
      </c>
      <c r="J351" s="16" t="str">
        <f t="shared" si="44"/>
        <v/>
      </c>
      <c r="K351" s="15" t="str">
        <f t="shared" si="45"/>
        <v/>
      </c>
      <c r="L351" s="15" t="str">
        <f t="shared" si="46"/>
        <v/>
      </c>
      <c r="M351" s="14" t="str">
        <f t="shared" si="47"/>
        <v/>
      </c>
    </row>
    <row r="352" spans="4:13">
      <c r="D352" s="184" t="str">
        <f t="shared" si="48"/>
        <v/>
      </c>
      <c r="E352" s="188" t="str">
        <f t="shared" si="42"/>
        <v/>
      </c>
      <c r="G352" s="12" t="str">
        <f>IF(A352="","",(MAX(C$4:C352)-C352)/MAX(C$4:C352))</f>
        <v/>
      </c>
      <c r="H352" s="12" t="str">
        <f>IF(A352="","",MAX(G$4:G352))</f>
        <v/>
      </c>
      <c r="I352" s="1" t="str">
        <f t="shared" si="43"/>
        <v/>
      </c>
      <c r="J352" s="16" t="str">
        <f t="shared" si="44"/>
        <v/>
      </c>
      <c r="K352" s="15" t="str">
        <f t="shared" si="45"/>
        <v/>
      </c>
      <c r="L352" s="15" t="str">
        <f t="shared" si="46"/>
        <v/>
      </c>
      <c r="M352" s="14" t="str">
        <f t="shared" si="47"/>
        <v/>
      </c>
    </row>
    <row r="353" spans="4:13">
      <c r="D353" s="184" t="str">
        <f t="shared" si="48"/>
        <v/>
      </c>
      <c r="E353" s="188" t="str">
        <f t="shared" si="42"/>
        <v/>
      </c>
      <c r="G353" s="12" t="str">
        <f>IF(A353="","",(MAX(C$4:C353)-C353)/MAX(C$4:C353))</f>
        <v/>
      </c>
      <c r="H353" s="12" t="str">
        <f>IF(A353="","",MAX(G$4:G353))</f>
        <v/>
      </c>
      <c r="I353" s="1" t="str">
        <f t="shared" si="43"/>
        <v/>
      </c>
      <c r="J353" s="16" t="str">
        <f t="shared" si="44"/>
        <v/>
      </c>
      <c r="K353" s="15" t="str">
        <f t="shared" si="45"/>
        <v/>
      </c>
      <c r="L353" s="15" t="str">
        <f t="shared" si="46"/>
        <v/>
      </c>
      <c r="M353" s="14" t="str">
        <f t="shared" si="47"/>
        <v/>
      </c>
    </row>
    <row r="354" spans="4:13">
      <c r="D354" s="184" t="str">
        <f t="shared" si="48"/>
        <v/>
      </c>
      <c r="E354" s="188" t="str">
        <f t="shared" si="42"/>
        <v/>
      </c>
      <c r="G354" s="12" t="str">
        <f>IF(A354="","",(MAX(C$4:C354)-C354)/MAX(C$4:C354))</f>
        <v/>
      </c>
      <c r="H354" s="12" t="str">
        <f>IF(A354="","",MAX(G$4:G354))</f>
        <v/>
      </c>
      <c r="I354" s="1" t="str">
        <f t="shared" si="43"/>
        <v/>
      </c>
      <c r="J354" s="16" t="str">
        <f t="shared" si="44"/>
        <v/>
      </c>
      <c r="K354" s="15" t="str">
        <f t="shared" si="45"/>
        <v/>
      </c>
      <c r="L354" s="15" t="str">
        <f t="shared" si="46"/>
        <v/>
      </c>
      <c r="M354" s="14" t="str">
        <f t="shared" si="47"/>
        <v/>
      </c>
    </row>
    <row r="355" spans="4:13">
      <c r="D355" s="184" t="str">
        <f t="shared" si="48"/>
        <v/>
      </c>
      <c r="E355" s="188" t="str">
        <f t="shared" si="42"/>
        <v/>
      </c>
      <c r="G355" s="12" t="str">
        <f>IF(A355="","",(MAX(C$4:C355)-C355)/MAX(C$4:C355))</f>
        <v/>
      </c>
      <c r="H355" s="12" t="str">
        <f>IF(A355="","",MAX(G$4:G355))</f>
        <v/>
      </c>
      <c r="I355" s="1" t="str">
        <f t="shared" si="43"/>
        <v/>
      </c>
      <c r="J355" s="16" t="str">
        <f t="shared" si="44"/>
        <v/>
      </c>
      <c r="K355" s="15" t="str">
        <f t="shared" si="45"/>
        <v/>
      </c>
      <c r="L355" s="15" t="str">
        <f t="shared" si="46"/>
        <v/>
      </c>
      <c r="M355" s="14" t="str">
        <f t="shared" si="47"/>
        <v/>
      </c>
    </row>
    <row r="356" spans="4:13">
      <c r="D356" s="184" t="str">
        <f t="shared" si="48"/>
        <v/>
      </c>
      <c r="E356" s="188" t="str">
        <f t="shared" si="42"/>
        <v/>
      </c>
      <c r="G356" s="12" t="str">
        <f>IF(A356="","",(MAX(C$4:C356)-C356)/MAX(C$4:C356))</f>
        <v/>
      </c>
      <c r="H356" s="12" t="str">
        <f>IF(A356="","",MAX(G$4:G356))</f>
        <v/>
      </c>
      <c r="I356" s="1" t="str">
        <f t="shared" si="43"/>
        <v/>
      </c>
      <c r="J356" s="16" t="str">
        <f t="shared" si="44"/>
        <v/>
      </c>
      <c r="K356" s="15" t="str">
        <f t="shared" si="45"/>
        <v/>
      </c>
      <c r="L356" s="15" t="str">
        <f t="shared" si="46"/>
        <v/>
      </c>
      <c r="M356" s="14" t="str">
        <f t="shared" si="47"/>
        <v/>
      </c>
    </row>
    <row r="357" spans="4:13">
      <c r="D357" s="184" t="str">
        <f t="shared" si="48"/>
        <v/>
      </c>
      <c r="E357" s="188" t="str">
        <f t="shared" si="42"/>
        <v/>
      </c>
      <c r="G357" s="12" t="str">
        <f>IF(A357="","",(MAX(C$4:C357)-C357)/MAX(C$4:C357))</f>
        <v/>
      </c>
      <c r="H357" s="12" t="str">
        <f>IF(A357="","",MAX(G$4:G357))</f>
        <v/>
      </c>
      <c r="I357" s="1" t="str">
        <f t="shared" si="43"/>
        <v/>
      </c>
      <c r="J357" s="16" t="str">
        <f t="shared" si="44"/>
        <v/>
      </c>
      <c r="K357" s="15" t="str">
        <f t="shared" si="45"/>
        <v/>
      </c>
      <c r="L357" s="15" t="str">
        <f t="shared" si="46"/>
        <v/>
      </c>
      <c r="M357" s="14" t="str">
        <f t="shared" si="47"/>
        <v/>
      </c>
    </row>
    <row r="358" spans="4:13">
      <c r="D358" s="184" t="str">
        <f t="shared" si="48"/>
        <v/>
      </c>
      <c r="E358" s="188" t="str">
        <f t="shared" si="42"/>
        <v/>
      </c>
      <c r="G358" s="12" t="str">
        <f>IF(A358="","",(MAX(C$4:C358)-C358)/MAX(C$4:C358))</f>
        <v/>
      </c>
      <c r="H358" s="12" t="str">
        <f>IF(A358="","",MAX(G$4:G358))</f>
        <v/>
      </c>
      <c r="I358" s="1" t="str">
        <f t="shared" si="43"/>
        <v/>
      </c>
      <c r="J358" s="16" t="str">
        <f t="shared" si="44"/>
        <v/>
      </c>
      <c r="K358" s="15" t="str">
        <f t="shared" si="45"/>
        <v/>
      </c>
      <c r="L358" s="15" t="str">
        <f t="shared" si="46"/>
        <v/>
      </c>
      <c r="M358" s="14" t="str">
        <f t="shared" si="47"/>
        <v/>
      </c>
    </row>
    <row r="359" spans="4:13">
      <c r="D359" s="184" t="str">
        <f t="shared" si="48"/>
        <v/>
      </c>
      <c r="E359" s="188" t="str">
        <f t="shared" si="42"/>
        <v/>
      </c>
      <c r="G359" s="12" t="str">
        <f>IF(A359="","",(MAX(C$4:C359)-C359)/MAX(C$4:C359))</f>
        <v/>
      </c>
      <c r="H359" s="12" t="str">
        <f>IF(A359="","",MAX(G$4:G359))</f>
        <v/>
      </c>
      <c r="I359" s="1" t="str">
        <f t="shared" si="43"/>
        <v/>
      </c>
      <c r="J359" s="16" t="str">
        <f t="shared" si="44"/>
        <v/>
      </c>
      <c r="K359" s="15" t="str">
        <f t="shared" si="45"/>
        <v/>
      </c>
      <c r="L359" s="15" t="str">
        <f t="shared" si="46"/>
        <v/>
      </c>
      <c r="M359" s="14" t="str">
        <f t="shared" si="47"/>
        <v/>
      </c>
    </row>
    <row r="360" spans="4:13">
      <c r="D360" s="184" t="str">
        <f t="shared" si="48"/>
        <v/>
      </c>
      <c r="E360" s="188" t="str">
        <f t="shared" si="42"/>
        <v/>
      </c>
      <c r="G360" s="12" t="str">
        <f>IF(A360="","",(MAX(C$4:C360)-C360)/MAX(C$4:C360))</f>
        <v/>
      </c>
      <c r="H360" s="12" t="str">
        <f>IF(A360="","",MAX(G$4:G360))</f>
        <v/>
      </c>
      <c r="I360" s="1" t="str">
        <f t="shared" si="43"/>
        <v/>
      </c>
      <c r="J360" s="16" t="str">
        <f t="shared" si="44"/>
        <v/>
      </c>
      <c r="K360" s="15" t="str">
        <f t="shared" si="45"/>
        <v/>
      </c>
      <c r="L360" s="15" t="str">
        <f t="shared" si="46"/>
        <v/>
      </c>
      <c r="M360" s="14" t="str">
        <f t="shared" si="47"/>
        <v/>
      </c>
    </row>
    <row r="361" spans="4:13">
      <c r="D361" s="184" t="str">
        <f t="shared" si="48"/>
        <v/>
      </c>
      <c r="E361" s="188" t="str">
        <f t="shared" si="42"/>
        <v/>
      </c>
      <c r="G361" s="12" t="str">
        <f>IF(A361="","",(MAX(C$4:C361)-C361)/MAX(C$4:C361))</f>
        <v/>
      </c>
      <c r="H361" s="12" t="str">
        <f>IF(A361="","",MAX(G$4:G361))</f>
        <v/>
      </c>
      <c r="I361" s="1" t="str">
        <f t="shared" si="43"/>
        <v/>
      </c>
      <c r="J361" s="16" t="str">
        <f t="shared" si="44"/>
        <v/>
      </c>
      <c r="K361" s="15" t="str">
        <f t="shared" si="45"/>
        <v/>
      </c>
      <c r="L361" s="15" t="str">
        <f t="shared" si="46"/>
        <v/>
      </c>
      <c r="M361" s="14" t="str">
        <f t="shared" si="47"/>
        <v/>
      </c>
    </row>
  </sheetData>
  <conditionalFormatting sqref="D4:E361">
    <cfRule type="dataBar" priority="1">
      <dataBar>
        <cfvo type="min"/>
        <cfvo type="max"/>
        <color rgb="FFFF0000"/>
      </dataBar>
      <extLst>
        <ext xmlns:x14="http://schemas.microsoft.com/office/spreadsheetml/2009/9/main" uri="{B025F937-C7B1-47D3-B67F-A62EFF666E3E}">
          <x14:id>{69c6bbe1-425a-4de1-8f05-b1a69ba98b5e}</x14:id>
        </ext>
      </extLst>
    </cfRule>
  </conditionalFormatting>
  <pageMargins left="0.7" right="0.7" top="0.75" bottom="0.75" header="0.3" footer="0.3"/>
  <pageSetup paperSize="9"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69c6bbe1-425a-4de1-8f05-b1a69ba98b5e}">
            <x14:dataBar minLength="0" maxLength="100">
              <x14:cfvo type="autoMin"/>
              <x14:cfvo type="autoMax"/>
              <x14:negativeFillColor rgb="FF00B050"/>
              <x14:axisColor rgb="FF000000"/>
            </x14:dataBar>
          </x14:cfRule>
          <xm:sqref>D4:E361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7" tint="0.799829096346934"/>
  </sheetPr>
  <dimension ref="A1:AM72"/>
  <sheetViews>
    <sheetView topLeftCell="AD1" workbookViewId="0">
      <pane ySplit="2" topLeftCell="A53" activePane="bottomLeft" state="frozen"/>
      <selection/>
      <selection pane="bottomLeft" activeCell="AG70" sqref="AG70"/>
    </sheetView>
  </sheetViews>
  <sheetFormatPr defaultColWidth="9" defaultRowHeight="16.8"/>
  <cols>
    <col min="1" max="1" width="11.625" style="1" customWidth="1"/>
    <col min="2" max="2" width="8.875" style="1" customWidth="1"/>
    <col min="3" max="3" width="10.5073529411765" style="1" customWidth="1"/>
    <col min="4" max="4" width="8" style="1" customWidth="1"/>
    <col min="5" max="6" width="8.375" style="1" customWidth="1"/>
    <col min="7" max="7" width="9.625" style="1" customWidth="1"/>
    <col min="8" max="8" width="9" style="1" customWidth="1"/>
    <col min="9" max="9" width="9.25" style="1" customWidth="1"/>
    <col min="10" max="23" width="10.25" style="1" customWidth="1"/>
    <col min="24" max="33" width="14" style="1" customWidth="1"/>
    <col min="34" max="34" width="12.5073529411765" style="1" customWidth="1"/>
    <col min="35" max="35" width="13.75" style="1" customWidth="1"/>
    <col min="36" max="36" width="16.75" style="1" customWidth="1"/>
    <col min="37" max="37" width="14.875" style="1" customWidth="1"/>
    <col min="38" max="38" width="13.375" style="167" customWidth="1"/>
    <col min="39" max="39" width="15.5073529411765" style="1" customWidth="1"/>
    <col min="40" max="16384" width="9" style="1"/>
  </cols>
  <sheetData>
    <row r="1" spans="1:33">
      <c r="A1" s="1">
        <v>1</v>
      </c>
      <c r="B1" s="1">
        <v>2</v>
      </c>
      <c r="C1" s="1">
        <v>3</v>
      </c>
      <c r="D1" s="1">
        <v>4</v>
      </c>
      <c r="E1" s="1">
        <v>5</v>
      </c>
      <c r="F1" s="1">
        <v>6</v>
      </c>
      <c r="G1" s="1">
        <v>7</v>
      </c>
      <c r="H1" s="1">
        <v>8</v>
      </c>
      <c r="I1" s="1">
        <v>9</v>
      </c>
      <c r="J1" s="1">
        <v>10</v>
      </c>
      <c r="K1" s="1">
        <v>11</v>
      </c>
      <c r="L1" s="1">
        <v>12</v>
      </c>
      <c r="M1" s="1">
        <v>13</v>
      </c>
      <c r="N1" s="1">
        <v>14</v>
      </c>
      <c r="O1" s="1">
        <v>15</v>
      </c>
      <c r="P1" s="1">
        <v>16</v>
      </c>
      <c r="Q1" s="1">
        <v>17</v>
      </c>
      <c r="R1" s="1">
        <v>18</v>
      </c>
      <c r="S1" s="1">
        <v>19</v>
      </c>
      <c r="T1" s="1">
        <v>20</v>
      </c>
      <c r="U1" s="1">
        <v>21</v>
      </c>
      <c r="V1" s="1">
        <v>22</v>
      </c>
      <c r="W1" s="1">
        <v>23</v>
      </c>
      <c r="X1" s="1">
        <v>24</v>
      </c>
      <c r="Y1" s="1">
        <v>25</v>
      </c>
      <c r="Z1" s="1">
        <v>26</v>
      </c>
      <c r="AA1" s="1">
        <v>27</v>
      </c>
      <c r="AB1" s="1">
        <v>28</v>
      </c>
      <c r="AC1" s="1">
        <v>29</v>
      </c>
      <c r="AD1" s="1">
        <v>30</v>
      </c>
      <c r="AE1" s="1">
        <v>31</v>
      </c>
      <c r="AF1" s="1">
        <v>32</v>
      </c>
      <c r="AG1" s="175" t="s">
        <v>38</v>
      </c>
    </row>
    <row r="2" s="171" customFormat="1" ht="51" customHeight="1" spans="1:39">
      <c r="A2" s="172" t="s">
        <v>2</v>
      </c>
      <c r="B2" s="172" t="s">
        <v>39</v>
      </c>
      <c r="C2" s="172" t="s">
        <v>40</v>
      </c>
      <c r="D2" s="172" t="s">
        <v>41</v>
      </c>
      <c r="E2" s="172" t="s">
        <v>42</v>
      </c>
      <c r="F2" s="172" t="s">
        <v>43</v>
      </c>
      <c r="G2" s="172" t="s">
        <v>44</v>
      </c>
      <c r="H2" s="172" t="s">
        <v>45</v>
      </c>
      <c r="I2" s="172" t="s">
        <v>46</v>
      </c>
      <c r="J2" s="172" t="s">
        <v>47</v>
      </c>
      <c r="K2" s="172" t="s">
        <v>48</v>
      </c>
      <c r="L2" s="172" t="s">
        <v>49</v>
      </c>
      <c r="M2" s="172" t="s">
        <v>50</v>
      </c>
      <c r="N2" s="172" t="s">
        <v>51</v>
      </c>
      <c r="O2" s="172" t="s">
        <v>52</v>
      </c>
      <c r="P2" s="172" t="s">
        <v>53</v>
      </c>
      <c r="Q2" s="172" t="s">
        <v>54</v>
      </c>
      <c r="R2" s="172" t="s">
        <v>55</v>
      </c>
      <c r="S2" s="172" t="s">
        <v>56</v>
      </c>
      <c r="T2" s="172" t="s">
        <v>57</v>
      </c>
      <c r="U2" s="172" t="s">
        <v>58</v>
      </c>
      <c r="V2" s="172" t="s">
        <v>59</v>
      </c>
      <c r="W2" s="172" t="s">
        <v>60</v>
      </c>
      <c r="X2" s="172" t="s">
        <v>61</v>
      </c>
      <c r="Y2" s="172" t="s">
        <v>62</v>
      </c>
      <c r="Z2" s="172" t="s">
        <v>63</v>
      </c>
      <c r="AA2" s="172" t="s">
        <v>64</v>
      </c>
      <c r="AB2" s="172" t="s">
        <v>65</v>
      </c>
      <c r="AC2" s="172" t="s">
        <v>66</v>
      </c>
      <c r="AD2" s="172" t="s">
        <v>67</v>
      </c>
      <c r="AE2" s="172" t="s">
        <v>68</v>
      </c>
      <c r="AF2" s="172" t="s">
        <v>69</v>
      </c>
      <c r="AG2" s="176" t="s">
        <v>70</v>
      </c>
      <c r="AH2" s="176" t="s">
        <v>71</v>
      </c>
      <c r="AI2" s="176" t="s">
        <v>72</v>
      </c>
      <c r="AJ2" s="176" t="s">
        <v>73</v>
      </c>
      <c r="AK2" s="176" t="s">
        <v>74</v>
      </c>
      <c r="AL2" s="178" t="s">
        <v>75</v>
      </c>
      <c r="AM2" s="178" t="s">
        <v>76</v>
      </c>
    </row>
    <row r="3" spans="1:3">
      <c r="A3" s="7">
        <v>45469</v>
      </c>
      <c r="B3" s="1">
        <v>1.0494</v>
      </c>
      <c r="C3" s="1">
        <v>1.386</v>
      </c>
    </row>
    <row r="4" spans="1:33">
      <c r="A4" s="7">
        <v>45471</v>
      </c>
      <c r="B4" s="16">
        <v>1.051</v>
      </c>
      <c r="C4" s="1">
        <v>1.386</v>
      </c>
      <c r="AG4" s="1">
        <v>1991.1394</v>
      </c>
    </row>
    <row r="5" spans="1:34">
      <c r="A5" s="7">
        <v>45478</v>
      </c>
      <c r="B5" s="1">
        <v>1.0518</v>
      </c>
      <c r="C5" s="1">
        <v>1.387</v>
      </c>
      <c r="D5" s="1">
        <v>1.3759</v>
      </c>
      <c r="AG5" s="1">
        <v>1906.6949</v>
      </c>
      <c r="AH5" s="1">
        <v>2475.0671</v>
      </c>
    </row>
    <row r="6" spans="1:34">
      <c r="A6" s="7">
        <v>45485</v>
      </c>
      <c r="B6" s="1">
        <v>1.0527</v>
      </c>
      <c r="C6" s="1">
        <v>1.385</v>
      </c>
      <c r="D6" s="1">
        <v>1.3786</v>
      </c>
      <c r="AG6" s="1">
        <v>1907.2442</v>
      </c>
      <c r="AH6" s="1">
        <v>2477.9758</v>
      </c>
    </row>
    <row r="7" spans="1:34">
      <c r="A7" s="7">
        <v>45492</v>
      </c>
      <c r="B7" s="1">
        <v>1.0536</v>
      </c>
      <c r="C7" s="1">
        <v>1.386</v>
      </c>
      <c r="D7" s="1">
        <v>1.3823</v>
      </c>
      <c r="E7" s="1">
        <v>1.0227</v>
      </c>
      <c r="X7" s="16"/>
      <c r="Y7" s="16"/>
      <c r="Z7" s="16"/>
      <c r="AA7" s="16"/>
      <c r="AB7" s="16"/>
      <c r="AC7" s="16"/>
      <c r="AD7" s="16"/>
      <c r="AE7" s="16"/>
      <c r="AF7" s="16"/>
      <c r="AG7" s="16">
        <v>1898.121</v>
      </c>
      <c r="AH7" s="1">
        <v>2475.8544</v>
      </c>
    </row>
    <row r="8" spans="1:34">
      <c r="A8" s="7">
        <v>45499</v>
      </c>
      <c r="B8" s="1">
        <v>1.0585</v>
      </c>
      <c r="C8" s="1">
        <v>1.388</v>
      </c>
      <c r="D8" s="1">
        <v>1.3807</v>
      </c>
      <c r="E8" s="1">
        <v>1.0234</v>
      </c>
      <c r="AG8" s="1">
        <v>1898.1919</v>
      </c>
      <c r="AH8" s="1">
        <v>2468.5907</v>
      </c>
    </row>
    <row r="9" spans="1:34">
      <c r="A9" s="7">
        <v>45506</v>
      </c>
      <c r="B9" s="1">
        <v>1.0615</v>
      </c>
      <c r="C9" s="1">
        <v>1.385</v>
      </c>
      <c r="D9" s="1">
        <v>1.3806</v>
      </c>
      <c r="E9" s="1">
        <v>1.0188</v>
      </c>
      <c r="X9" s="16"/>
      <c r="Y9" s="16"/>
      <c r="Z9" s="16"/>
      <c r="AA9" s="16"/>
      <c r="AB9" s="16"/>
      <c r="AC9" s="16"/>
      <c r="AD9" s="16"/>
      <c r="AE9" s="16"/>
      <c r="AF9" s="16"/>
      <c r="AG9" s="16">
        <v>1898.171</v>
      </c>
      <c r="AH9" s="1">
        <v>2468.8505</v>
      </c>
    </row>
    <row r="10" spans="1:34">
      <c r="A10" s="7">
        <v>45513</v>
      </c>
      <c r="B10" s="1">
        <v>1.0762</v>
      </c>
      <c r="C10" s="1">
        <v>1.388</v>
      </c>
      <c r="D10" s="1">
        <v>1.3778</v>
      </c>
      <c r="E10" s="1">
        <v>1.0195</v>
      </c>
      <c r="AG10" s="1">
        <v>1890.9012</v>
      </c>
      <c r="AH10" s="1">
        <v>2463.1697</v>
      </c>
    </row>
    <row r="11" spans="1:34">
      <c r="A11" s="7">
        <v>45520</v>
      </c>
      <c r="B11" s="1">
        <v>1.0767</v>
      </c>
      <c r="C11" s="1">
        <v>1.388</v>
      </c>
      <c r="D11" s="1">
        <v>1.3774</v>
      </c>
      <c r="E11" s="1">
        <v>1.0205</v>
      </c>
      <c r="AG11" s="1">
        <v>1990.9192</v>
      </c>
      <c r="AH11" s="1">
        <v>2471.9122</v>
      </c>
    </row>
    <row r="12" spans="1:34">
      <c r="A12" s="7">
        <v>45527</v>
      </c>
      <c r="B12" s="1">
        <v>1.0783</v>
      </c>
      <c r="C12" s="1">
        <v>1.388</v>
      </c>
      <c r="D12" s="16">
        <v>1.376</v>
      </c>
      <c r="E12" s="1">
        <v>1.0204</v>
      </c>
      <c r="AG12" s="1">
        <v>1896.9679</v>
      </c>
      <c r="AH12" s="1">
        <v>2469.6998</v>
      </c>
    </row>
    <row r="13" spans="1:34">
      <c r="A13" s="7">
        <v>45534</v>
      </c>
      <c r="B13" s="16">
        <v>1.078</v>
      </c>
      <c r="C13" s="1">
        <v>1.391</v>
      </c>
      <c r="D13" s="1">
        <v>1.3766</v>
      </c>
      <c r="E13" s="1">
        <v>1.0173</v>
      </c>
      <c r="AG13" s="1">
        <v>1891.1312</v>
      </c>
      <c r="AH13" s="1">
        <v>2472.3681</v>
      </c>
    </row>
    <row r="14" spans="1:34">
      <c r="A14" s="7">
        <v>45541</v>
      </c>
      <c r="B14" s="1">
        <v>1.0775</v>
      </c>
      <c r="C14" s="1">
        <v>1.389</v>
      </c>
      <c r="D14" s="1">
        <v>1.3771</v>
      </c>
      <c r="E14" s="1">
        <v>1.0217</v>
      </c>
      <c r="AG14" s="1">
        <v>1892.5221</v>
      </c>
      <c r="AH14" s="1">
        <v>2468.7615</v>
      </c>
    </row>
    <row r="15" spans="1:34">
      <c r="A15" s="7">
        <v>45548</v>
      </c>
      <c r="B15" s="1">
        <v>1.0757</v>
      </c>
      <c r="C15" s="173">
        <v>1.39</v>
      </c>
      <c r="D15" s="1">
        <v>1.3753</v>
      </c>
      <c r="E15" s="1">
        <v>1.0213</v>
      </c>
      <c r="AG15" s="1">
        <v>1965.7205</v>
      </c>
      <c r="AH15" s="1">
        <v>2464.0527</v>
      </c>
    </row>
    <row r="16" spans="1:34">
      <c r="A16" s="7">
        <v>45555</v>
      </c>
      <c r="B16" s="1">
        <v>1.0718</v>
      </c>
      <c r="C16" s="1">
        <v>1.389</v>
      </c>
      <c r="D16" s="1">
        <v>1.3748</v>
      </c>
      <c r="E16" s="1">
        <v>1.0254</v>
      </c>
      <c r="AG16" s="1">
        <v>1970.6754</v>
      </c>
      <c r="AH16" s="1">
        <v>2462.8354</v>
      </c>
    </row>
    <row r="17" spans="1:34">
      <c r="A17" s="7">
        <v>45562</v>
      </c>
      <c r="B17" s="1">
        <v>1.0705</v>
      </c>
      <c r="C17" s="1">
        <v>1.406</v>
      </c>
      <c r="D17" s="1">
        <v>1.4032</v>
      </c>
      <c r="E17" s="1">
        <v>1.0016</v>
      </c>
      <c r="AG17" s="1">
        <v>1936.1795</v>
      </c>
      <c r="AH17" s="1">
        <v>2460.9337</v>
      </c>
    </row>
    <row r="18" spans="1:34">
      <c r="A18" s="7">
        <v>45565</v>
      </c>
      <c r="B18" s="1">
        <v>1.0662</v>
      </c>
      <c r="C18" s="1">
        <v>1.409</v>
      </c>
      <c r="D18" s="1">
        <v>1.4354</v>
      </c>
      <c r="E18" s="1">
        <v>0.9982</v>
      </c>
      <c r="AG18" s="1">
        <v>1956.9334</v>
      </c>
      <c r="AH18" s="1">
        <v>2480.3431</v>
      </c>
    </row>
    <row r="19" spans="1:34">
      <c r="A19" s="7">
        <v>45576</v>
      </c>
      <c r="B19" s="16">
        <v>1.074246</v>
      </c>
      <c r="C19" s="1">
        <v>1.4162</v>
      </c>
      <c r="D19" s="1">
        <v>1.441</v>
      </c>
      <c r="E19" s="1">
        <v>1.0363</v>
      </c>
      <c r="F19" s="1">
        <v>1.0314</v>
      </c>
      <c r="X19" s="16"/>
      <c r="Y19" s="16"/>
      <c r="Z19" s="16"/>
      <c r="AA19" s="16"/>
      <c r="AB19" s="16"/>
      <c r="AC19" s="16"/>
      <c r="AD19" s="16"/>
      <c r="AE19" s="16"/>
      <c r="AF19" s="16"/>
      <c r="AG19" s="16">
        <v>1968.446</v>
      </c>
      <c r="AH19" s="1">
        <v>2496.6067</v>
      </c>
    </row>
    <row r="20" spans="1:34">
      <c r="A20" s="7">
        <v>45583</v>
      </c>
      <c r="B20" s="16">
        <v>1.079986</v>
      </c>
      <c r="C20" s="1">
        <v>1.4178</v>
      </c>
      <c r="D20" s="1">
        <v>1.4585</v>
      </c>
      <c r="E20" s="1">
        <v>1.0327</v>
      </c>
      <c r="F20" s="1">
        <v>1.0153</v>
      </c>
      <c r="AG20" s="1">
        <v>1962.9914</v>
      </c>
      <c r="AH20" s="1">
        <v>2497.0735</v>
      </c>
    </row>
    <row r="21" spans="1:34">
      <c r="A21" s="7">
        <v>45590</v>
      </c>
      <c r="B21" s="16">
        <v>1.077116</v>
      </c>
      <c r="C21" s="1">
        <v>1.4194</v>
      </c>
      <c r="D21" s="1">
        <v>1.4599</v>
      </c>
      <c r="E21" s="1">
        <v>1.0387</v>
      </c>
      <c r="F21" s="1">
        <v>1.0287</v>
      </c>
      <c r="G21" s="1">
        <v>1.0458</v>
      </c>
      <c r="H21" s="1">
        <v>1.0766</v>
      </c>
      <c r="I21" s="1">
        <v>1.0902</v>
      </c>
      <c r="J21" s="1">
        <v>0.9951</v>
      </c>
      <c r="AG21" s="1">
        <v>1987.3681</v>
      </c>
      <c r="AH21" s="1">
        <v>2512.9154</v>
      </c>
    </row>
    <row r="22" spans="1:34">
      <c r="A22" s="7">
        <v>45597</v>
      </c>
      <c r="B22" s="16">
        <v>1.081298</v>
      </c>
      <c r="C22" s="1">
        <v>1.421</v>
      </c>
      <c r="D22" s="1">
        <v>1.4638</v>
      </c>
      <c r="E22" s="1">
        <v>1.0398</v>
      </c>
      <c r="F22" s="1">
        <v>1.0225</v>
      </c>
      <c r="G22" s="1">
        <v>1.0373</v>
      </c>
      <c r="H22" s="1">
        <v>1.0753</v>
      </c>
      <c r="I22" s="16">
        <v>1.09428</v>
      </c>
      <c r="J22" s="1">
        <v>0.9974</v>
      </c>
      <c r="AG22" s="1">
        <v>1982.0559</v>
      </c>
      <c r="AH22" s="1">
        <v>2516.4288</v>
      </c>
    </row>
    <row r="23" spans="1:34">
      <c r="A23" s="7">
        <v>45604</v>
      </c>
      <c r="B23" s="16">
        <v>1.107374</v>
      </c>
      <c r="C23" s="1">
        <v>1.417</v>
      </c>
      <c r="D23" s="1">
        <v>1.4682</v>
      </c>
      <c r="E23" s="1">
        <v>1.041</v>
      </c>
      <c r="F23" s="1">
        <v>1.0179</v>
      </c>
      <c r="G23" s="1">
        <v>1.0439</v>
      </c>
      <c r="H23" s="1">
        <v>1.0753</v>
      </c>
      <c r="I23" s="16">
        <v>1.10068</v>
      </c>
      <c r="J23" s="1">
        <v>0.9976</v>
      </c>
      <c r="AG23" s="1">
        <v>2003.0979</v>
      </c>
      <c r="AH23" s="1">
        <v>2543.3126</v>
      </c>
    </row>
    <row r="24" spans="1:34">
      <c r="A24" s="7">
        <v>45611</v>
      </c>
      <c r="B24" s="16">
        <v>1.117378</v>
      </c>
      <c r="C24" s="1">
        <v>1.4122</v>
      </c>
      <c r="D24" s="1">
        <v>1.4727</v>
      </c>
      <c r="E24" s="1">
        <v>1.0422</v>
      </c>
      <c r="F24" s="1">
        <v>1.0189</v>
      </c>
      <c r="G24" s="1">
        <v>1.0389</v>
      </c>
      <c r="H24" s="1">
        <v>1.0867</v>
      </c>
      <c r="I24" s="16">
        <v>1.09868</v>
      </c>
      <c r="J24" s="1">
        <v>0.9942</v>
      </c>
      <c r="AG24" s="1">
        <v>2005.0707</v>
      </c>
      <c r="AH24" s="1">
        <v>2543.7176</v>
      </c>
    </row>
    <row r="25" spans="1:34">
      <c r="A25" s="7">
        <v>45618</v>
      </c>
      <c r="B25" s="16">
        <v>1.1191</v>
      </c>
      <c r="C25" s="1">
        <v>1.4098</v>
      </c>
      <c r="D25" s="1">
        <v>1.4759</v>
      </c>
      <c r="E25" s="1">
        <v>1.0434</v>
      </c>
      <c r="F25" s="1">
        <v>1.0289</v>
      </c>
      <c r="G25" s="1">
        <v>1.0473</v>
      </c>
      <c r="H25" s="1">
        <v>1.0901</v>
      </c>
      <c r="I25" s="16">
        <v>1.10556</v>
      </c>
      <c r="J25" s="1">
        <v>1.0012</v>
      </c>
      <c r="AG25" s="1">
        <v>2022.2224</v>
      </c>
      <c r="AH25" s="1">
        <v>2545.1616</v>
      </c>
    </row>
    <row r="26" spans="1:34">
      <c r="A26" s="7">
        <v>45625</v>
      </c>
      <c r="B26" s="16">
        <v>1.117296</v>
      </c>
      <c r="C26" s="1">
        <v>1.4106</v>
      </c>
      <c r="D26" s="1">
        <v>1.4877</v>
      </c>
      <c r="E26" s="1">
        <v>1.0445</v>
      </c>
      <c r="F26" s="1">
        <v>1.0351</v>
      </c>
      <c r="G26" s="1">
        <v>1.0609</v>
      </c>
      <c r="H26" s="1">
        <v>1.0915</v>
      </c>
      <c r="I26" s="16">
        <v>1.10908</v>
      </c>
      <c r="J26" s="1">
        <v>1.0058</v>
      </c>
      <c r="AG26" s="1">
        <v>2041.7648</v>
      </c>
      <c r="AH26" s="1">
        <v>2555.2175</v>
      </c>
    </row>
    <row r="27" spans="1:34">
      <c r="A27" s="7">
        <v>45632</v>
      </c>
      <c r="B27" s="16">
        <v>1.11213</v>
      </c>
      <c r="C27" s="1">
        <v>1.4106</v>
      </c>
      <c r="D27" s="16">
        <v>1.49</v>
      </c>
      <c r="E27" s="1">
        <v>1.0457</v>
      </c>
      <c r="F27" s="1">
        <v>1.0378</v>
      </c>
      <c r="G27" s="1">
        <v>1.0644</v>
      </c>
      <c r="H27" s="1">
        <v>1.0901</v>
      </c>
      <c r="I27" s="16">
        <v>1.11267999</v>
      </c>
      <c r="J27" s="1">
        <v>1.0113</v>
      </c>
      <c r="AG27" s="1">
        <v>2059.9262</v>
      </c>
      <c r="AH27" s="1">
        <v>2564.2629</v>
      </c>
    </row>
    <row r="28" spans="1:35">
      <c r="A28" s="7">
        <v>45639</v>
      </c>
      <c r="B28" s="16">
        <v>1.124594</v>
      </c>
      <c r="C28" s="1">
        <v>1.4106</v>
      </c>
      <c r="D28" s="1">
        <v>1.4958</v>
      </c>
      <c r="E28" s="1">
        <v>1.0469</v>
      </c>
      <c r="F28" s="1">
        <v>1.0407</v>
      </c>
      <c r="G28" s="1">
        <v>1.0722</v>
      </c>
      <c r="H28" s="1">
        <v>1.0917</v>
      </c>
      <c r="I28" s="16">
        <v>1.11708</v>
      </c>
      <c r="J28" s="1">
        <v>1.0171</v>
      </c>
      <c r="K28" s="1">
        <v>1.6066</v>
      </c>
      <c r="AG28" s="1">
        <v>2066.3942</v>
      </c>
      <c r="AH28" s="1">
        <v>2568.7853</v>
      </c>
      <c r="AI28" s="177">
        <v>0.0108</v>
      </c>
    </row>
    <row r="29" spans="1:35">
      <c r="A29" s="7">
        <v>45646</v>
      </c>
      <c r="B29" s="16">
        <v>1.125086</v>
      </c>
      <c r="C29" s="1">
        <v>1.4106</v>
      </c>
      <c r="D29" s="1">
        <v>1.5253</v>
      </c>
      <c r="E29" s="1">
        <v>1.0481</v>
      </c>
      <c r="F29" s="1">
        <v>1.0376</v>
      </c>
      <c r="G29" s="1">
        <v>1.0658</v>
      </c>
      <c r="H29" s="1">
        <v>1.0984</v>
      </c>
      <c r="I29" s="16">
        <v>1.11964</v>
      </c>
      <c r="J29" s="1">
        <v>1.0154</v>
      </c>
      <c r="K29" s="1">
        <v>1.6171</v>
      </c>
      <c r="AG29" s="1">
        <v>2068.2326</v>
      </c>
      <c r="AH29" s="1">
        <v>2569.8461</v>
      </c>
      <c r="AI29" s="177">
        <v>-0.0137</v>
      </c>
    </row>
    <row r="30" spans="1:35">
      <c r="A30" s="7">
        <v>45653</v>
      </c>
      <c r="B30" s="16">
        <v>1.122052</v>
      </c>
      <c r="C30" s="1">
        <v>1.4122</v>
      </c>
      <c r="D30" s="1">
        <v>1.5286</v>
      </c>
      <c r="E30" s="1">
        <v>1.0492</v>
      </c>
      <c r="F30" s="1">
        <v>1.0375</v>
      </c>
      <c r="G30" s="1">
        <v>1.0636</v>
      </c>
      <c r="H30" s="1">
        <v>1.1045</v>
      </c>
      <c r="I30" s="16">
        <v>1.11396</v>
      </c>
      <c r="J30" s="1">
        <v>1.0177</v>
      </c>
      <c r="K30" s="1">
        <v>1.6042</v>
      </c>
      <c r="AG30" s="1">
        <v>2056.8554</v>
      </c>
      <c r="AH30" s="1">
        <v>2570.0928</v>
      </c>
      <c r="AI30" s="177">
        <v>-0.0053</v>
      </c>
    </row>
    <row r="31" spans="1:35">
      <c r="A31" s="7">
        <v>45660</v>
      </c>
      <c r="B31" s="1">
        <v>1.0524</v>
      </c>
      <c r="D31" s="1">
        <v>1.5327</v>
      </c>
      <c r="E31" s="1">
        <v>1.0504</v>
      </c>
      <c r="F31" s="1">
        <v>1.0458</v>
      </c>
      <c r="G31" s="1">
        <v>1.0606</v>
      </c>
      <c r="H31" s="1">
        <v>1.0978</v>
      </c>
      <c r="I31" s="16">
        <v>1.10836</v>
      </c>
      <c r="J31" s="1">
        <v>1.0189</v>
      </c>
      <c r="K31" s="1">
        <v>1.5944</v>
      </c>
      <c r="L31" s="1">
        <v>1.0052</v>
      </c>
      <c r="AG31" s="1">
        <v>2045.0243</v>
      </c>
      <c r="AH31" s="1">
        <v>2558.912</v>
      </c>
      <c r="AI31" s="177">
        <v>-0.0094</v>
      </c>
    </row>
    <row r="32" spans="1:35">
      <c r="A32" s="7">
        <v>45667</v>
      </c>
      <c r="B32" s="1">
        <v>1.0588</v>
      </c>
      <c r="D32" s="1">
        <v>1.5446</v>
      </c>
      <c r="E32" s="1">
        <v>1.0516</v>
      </c>
      <c r="F32" s="1">
        <v>1.0454</v>
      </c>
      <c r="G32" s="1">
        <v>1.0617</v>
      </c>
      <c r="H32" s="1">
        <v>1.0973</v>
      </c>
      <c r="I32" s="16">
        <v>1.11012</v>
      </c>
      <c r="J32" s="1">
        <v>1.0201</v>
      </c>
      <c r="K32" s="1">
        <v>1.6351</v>
      </c>
      <c r="L32" s="1">
        <v>0.9989</v>
      </c>
      <c r="M32" s="1">
        <v>0.9031</v>
      </c>
      <c r="AG32" s="1">
        <v>2052.0449</v>
      </c>
      <c r="AH32" s="1">
        <v>2559.4037</v>
      </c>
      <c r="AI32" s="177">
        <v>0.0044</v>
      </c>
    </row>
    <row r="33" spans="1:35">
      <c r="A33" s="7">
        <v>45674</v>
      </c>
      <c r="B33" s="1">
        <v>1.0606</v>
      </c>
      <c r="D33" s="1">
        <v>1.5443</v>
      </c>
      <c r="E33" s="1">
        <v>1.0528</v>
      </c>
      <c r="F33" s="1">
        <v>1.0472</v>
      </c>
      <c r="G33" s="1">
        <v>1.0644</v>
      </c>
      <c r="H33" s="1">
        <v>1.0969</v>
      </c>
      <c r="I33" s="16">
        <v>1.11124</v>
      </c>
      <c r="J33" s="1">
        <v>1.0229</v>
      </c>
      <c r="K33" s="1">
        <v>1.6292</v>
      </c>
      <c r="L33" s="1">
        <v>1.0015</v>
      </c>
      <c r="M33" s="1">
        <v>0.9164</v>
      </c>
      <c r="AG33" s="1">
        <v>2069.2505</v>
      </c>
      <c r="AH33" s="1">
        <v>2569.0407</v>
      </c>
      <c r="AI33" s="177">
        <v>0.0076</v>
      </c>
    </row>
    <row r="34" spans="1:36">
      <c r="A34" s="7">
        <v>45681</v>
      </c>
      <c r="B34" s="1">
        <v>1.0609</v>
      </c>
      <c r="D34" s="1">
        <v>1.5504</v>
      </c>
      <c r="E34" s="1">
        <v>1.0539</v>
      </c>
      <c r="F34" s="1">
        <v>1.0444</v>
      </c>
      <c r="G34" s="1">
        <v>1.0652</v>
      </c>
      <c r="H34" s="1">
        <v>1.0969</v>
      </c>
      <c r="I34" s="16">
        <v>1.10876</v>
      </c>
      <c r="J34" s="1">
        <v>1.0266</v>
      </c>
      <c r="K34" s="1">
        <v>1.6221</v>
      </c>
      <c r="L34" s="1">
        <v>1.0011</v>
      </c>
      <c r="M34" s="16">
        <v>0.924</v>
      </c>
      <c r="N34" s="1">
        <v>1.0621</v>
      </c>
      <c r="O34" s="1">
        <v>1.061</v>
      </c>
      <c r="P34" s="1">
        <v>1.0234</v>
      </c>
      <c r="AG34" s="1">
        <v>2078.4731</v>
      </c>
      <c r="AH34" s="1">
        <v>2576.0619</v>
      </c>
      <c r="AI34" s="177">
        <v>-0.0024</v>
      </c>
      <c r="AJ34" s="177">
        <v>0.0133</v>
      </c>
    </row>
    <row r="35" spans="1:36">
      <c r="A35" s="7">
        <v>45684</v>
      </c>
      <c r="B35" s="1">
        <v>1.06447</v>
      </c>
      <c r="D35" s="1">
        <v>1.5537</v>
      </c>
      <c r="E35" s="1">
        <v>1.0555</v>
      </c>
      <c r="F35" s="1">
        <v>1.0502</v>
      </c>
      <c r="G35" s="1">
        <v>1.0661</v>
      </c>
      <c r="H35" s="1">
        <v>1.101</v>
      </c>
      <c r="I35" s="16">
        <v>1.10724</v>
      </c>
      <c r="J35" s="1">
        <v>1.027</v>
      </c>
      <c r="K35" s="1">
        <v>1.6213</v>
      </c>
      <c r="L35" s="1">
        <v>0.9958</v>
      </c>
      <c r="M35" s="16">
        <v>0.9202</v>
      </c>
      <c r="N35" s="1">
        <v>1.061</v>
      </c>
      <c r="O35" s="1">
        <v>1.059</v>
      </c>
      <c r="P35" s="1">
        <v>1.0325</v>
      </c>
      <c r="AG35" s="1">
        <v>2078.6747</v>
      </c>
      <c r="AH35" s="1">
        <v>2576.8476</v>
      </c>
      <c r="AI35" s="177">
        <v>-0.0047</v>
      </c>
      <c r="AJ35" s="177">
        <v>-0.0016</v>
      </c>
    </row>
    <row r="36" spans="1:36">
      <c r="A36" s="7">
        <v>45695</v>
      </c>
      <c r="B36" s="1">
        <v>1.0682</v>
      </c>
      <c r="D36" s="1">
        <v>1.5603</v>
      </c>
      <c r="E36" s="1">
        <v>1.0563</v>
      </c>
      <c r="F36" s="1">
        <v>1.0471</v>
      </c>
      <c r="G36" s="1">
        <v>1.0749</v>
      </c>
      <c r="H36" s="1">
        <v>1.1021</v>
      </c>
      <c r="I36" s="16">
        <v>1.119</v>
      </c>
      <c r="J36" s="1">
        <v>1.0279</v>
      </c>
      <c r="K36" s="1">
        <v>1.6231</v>
      </c>
      <c r="L36" s="1">
        <v>0.9993</v>
      </c>
      <c r="M36" s="1">
        <v>0.9337</v>
      </c>
      <c r="N36" s="1">
        <v>1.0633</v>
      </c>
      <c r="O36" s="1">
        <v>1.065</v>
      </c>
      <c r="P36" s="1">
        <v>1.0335</v>
      </c>
      <c r="AG36" s="1">
        <v>2092.8097</v>
      </c>
      <c r="AH36" s="1">
        <v>2583.9932</v>
      </c>
      <c r="AI36" s="177">
        <v>0.0173</v>
      </c>
      <c r="AJ36" s="177">
        <v>0.0231</v>
      </c>
    </row>
    <row r="37" spans="1:36">
      <c r="A37" s="7">
        <v>45702</v>
      </c>
      <c r="B37" s="1">
        <v>1.07513</v>
      </c>
      <c r="D37" s="1">
        <v>1.5625</v>
      </c>
      <c r="E37" s="1">
        <v>1.0575</v>
      </c>
      <c r="F37" s="1">
        <v>1.043</v>
      </c>
      <c r="G37" s="1">
        <v>1.0758</v>
      </c>
      <c r="H37" s="1">
        <v>1.1001</v>
      </c>
      <c r="I37" s="1">
        <v>1.12668</v>
      </c>
      <c r="J37" s="1">
        <v>1.0338</v>
      </c>
      <c r="K37" s="1">
        <v>1.6656</v>
      </c>
      <c r="L37" s="16">
        <v>1.01087</v>
      </c>
      <c r="M37" s="1">
        <v>0.9384</v>
      </c>
      <c r="N37" s="1">
        <v>1.068</v>
      </c>
      <c r="O37" s="1">
        <v>1.063</v>
      </c>
      <c r="P37" s="1">
        <v>1.0499</v>
      </c>
      <c r="AG37" s="1">
        <v>2100.2368</v>
      </c>
      <c r="AH37" s="1">
        <v>2589.6122</v>
      </c>
      <c r="AI37" s="177">
        <v>0.0145</v>
      </c>
      <c r="AJ37" s="177">
        <v>0.0042</v>
      </c>
    </row>
    <row r="38" spans="1:36">
      <c r="A38" s="7">
        <v>45709</v>
      </c>
      <c r="B38" s="1">
        <v>1.08128</v>
      </c>
      <c r="D38" s="1">
        <v>1.5666</v>
      </c>
      <c r="E38" s="1">
        <v>1.0586</v>
      </c>
      <c r="F38" s="1">
        <v>1.0368</v>
      </c>
      <c r="G38" s="1">
        <v>1.0772</v>
      </c>
      <c r="H38" s="1">
        <v>1.086</v>
      </c>
      <c r="I38" s="1">
        <v>1.13108</v>
      </c>
      <c r="J38" s="1">
        <v>1.0409</v>
      </c>
      <c r="K38" s="1">
        <v>1.6977</v>
      </c>
      <c r="L38" s="16">
        <v>1.01976786</v>
      </c>
      <c r="M38" s="1">
        <v>0.9519</v>
      </c>
      <c r="N38" s="1">
        <v>1.0705</v>
      </c>
      <c r="O38" s="1">
        <v>1.065</v>
      </c>
      <c r="P38" s="1">
        <v>1.0521</v>
      </c>
      <c r="AG38" s="1">
        <v>2107.3377</v>
      </c>
      <c r="AH38" s="1">
        <v>2604.8592</v>
      </c>
      <c r="AI38" s="177">
        <v>0.0194</v>
      </c>
      <c r="AJ38" s="177">
        <v>0.0235</v>
      </c>
    </row>
    <row r="39" spans="1:36">
      <c r="A39" s="7">
        <v>45716</v>
      </c>
      <c r="B39" s="1">
        <v>1.090136</v>
      </c>
      <c r="D39" s="1">
        <v>1.5709</v>
      </c>
      <c r="E39" s="1">
        <v>1.0598</v>
      </c>
      <c r="F39" s="1">
        <v>1.0488</v>
      </c>
      <c r="G39" s="1">
        <v>1.0837</v>
      </c>
      <c r="H39" s="1">
        <v>1.0919</v>
      </c>
      <c r="I39" s="1">
        <v>1.13036</v>
      </c>
      <c r="J39" s="1">
        <v>1.0386</v>
      </c>
      <c r="K39" s="1">
        <v>1.7133</v>
      </c>
      <c r="L39" s="16">
        <v>1.0205462</v>
      </c>
      <c r="M39" s="1">
        <v>0.9444</v>
      </c>
      <c r="N39" s="1">
        <v>1.0701</v>
      </c>
      <c r="O39" s="1">
        <v>1.063</v>
      </c>
      <c r="P39" s="1">
        <v>1.0573</v>
      </c>
      <c r="AG39" s="1">
        <v>2108.1727</v>
      </c>
      <c r="AH39" s="1">
        <v>2602.7604</v>
      </c>
      <c r="AI39" s="177">
        <v>0.0036</v>
      </c>
      <c r="AJ39" s="177">
        <v>-0.0164</v>
      </c>
    </row>
    <row r="40" spans="1:36">
      <c r="A40" s="7">
        <v>45723</v>
      </c>
      <c r="B40" s="1">
        <v>1.08579</v>
      </c>
      <c r="D40" s="1">
        <v>1.5733</v>
      </c>
      <c r="E40" s="16">
        <v>1.061</v>
      </c>
      <c r="F40" s="16">
        <v>1.05</v>
      </c>
      <c r="G40" s="16">
        <v>1.084</v>
      </c>
      <c r="H40" s="1">
        <v>1.0919</v>
      </c>
      <c r="I40" s="1">
        <v>1.13716</v>
      </c>
      <c r="J40" s="1">
        <v>1.0494</v>
      </c>
      <c r="K40" s="1">
        <v>1.7204</v>
      </c>
      <c r="L40" s="16">
        <v>1.02822453</v>
      </c>
      <c r="M40" s="1">
        <v>0.9593</v>
      </c>
      <c r="N40" s="1">
        <v>1.0712</v>
      </c>
      <c r="O40" s="1">
        <v>1.058</v>
      </c>
      <c r="P40" s="1">
        <v>1.0706</v>
      </c>
      <c r="Q40" s="1">
        <v>1.106</v>
      </c>
      <c r="S40" s="1" t="s">
        <v>77</v>
      </c>
      <c r="AG40" s="1">
        <v>2130.045</v>
      </c>
      <c r="AH40" s="1">
        <v>2615.1614</v>
      </c>
      <c r="AI40" s="177">
        <v>0.0099</v>
      </c>
      <c r="AJ40" s="177">
        <v>0.0215</v>
      </c>
    </row>
    <row r="41" spans="1:36">
      <c r="A41" s="7">
        <v>45730</v>
      </c>
      <c r="B41" s="1">
        <v>1.086692</v>
      </c>
      <c r="D41" s="1">
        <v>1.5794</v>
      </c>
      <c r="E41" s="1">
        <v>1.0622</v>
      </c>
      <c r="F41" s="1">
        <v>1.0542</v>
      </c>
      <c r="G41" s="16">
        <v>1.08</v>
      </c>
      <c r="I41" s="1">
        <v>1.13828</v>
      </c>
      <c r="J41" s="1">
        <v>1.0482</v>
      </c>
      <c r="K41" s="1">
        <v>1.7116</v>
      </c>
      <c r="L41" s="16">
        <v>1.03050287</v>
      </c>
      <c r="M41" s="1">
        <v>0.9617</v>
      </c>
      <c r="N41" s="1">
        <v>1.0688</v>
      </c>
      <c r="O41" s="1">
        <v>1.06</v>
      </c>
      <c r="P41" s="1">
        <v>1.0716</v>
      </c>
      <c r="Q41" s="1">
        <v>1.097</v>
      </c>
      <c r="AG41" s="1">
        <v>2135.7075</v>
      </c>
      <c r="AH41" s="1">
        <v>2618.3786</v>
      </c>
      <c r="AI41" s="177">
        <v>0.0059</v>
      </c>
      <c r="AJ41" s="177">
        <v>0.0006</v>
      </c>
    </row>
    <row r="42" spans="1:36">
      <c r="A42" s="7">
        <v>45737</v>
      </c>
      <c r="B42" s="1">
        <v>1.08989</v>
      </c>
      <c r="D42" s="1">
        <v>1.5789</v>
      </c>
      <c r="E42" s="1">
        <v>1.0634</v>
      </c>
      <c r="F42" s="1">
        <v>1.0629</v>
      </c>
      <c r="G42" s="1">
        <v>1.0924</v>
      </c>
      <c r="I42" s="1">
        <v>1.14108</v>
      </c>
      <c r="J42" s="1">
        <v>1.0527</v>
      </c>
      <c r="K42" s="1">
        <v>1.7104</v>
      </c>
      <c r="L42" s="16">
        <v>1.0345812</v>
      </c>
      <c r="M42" s="1">
        <v>0.9515</v>
      </c>
      <c r="N42" s="1">
        <v>1.0713</v>
      </c>
      <c r="O42" s="1">
        <v>1.06</v>
      </c>
      <c r="P42" s="1">
        <v>1.0701</v>
      </c>
      <c r="Q42" s="1">
        <v>1.099</v>
      </c>
      <c r="AG42" s="1">
        <v>2144.7807</v>
      </c>
      <c r="AH42" s="1">
        <v>2616.8266</v>
      </c>
      <c r="AI42" s="177">
        <v>0.0001</v>
      </c>
      <c r="AJ42" s="177">
        <v>-0.0174</v>
      </c>
    </row>
    <row r="43" spans="1:36">
      <c r="A43" s="7">
        <v>45744</v>
      </c>
      <c r="B43" s="1">
        <v>1.088824</v>
      </c>
      <c r="D43" s="1">
        <v>1.5773</v>
      </c>
      <c r="E43" s="1">
        <v>1.0645</v>
      </c>
      <c r="F43" s="1">
        <v>1.0628</v>
      </c>
      <c r="G43" s="1">
        <v>1.0969</v>
      </c>
      <c r="I43" s="1">
        <v>1.14052</v>
      </c>
      <c r="J43" s="1">
        <v>1.0486</v>
      </c>
      <c r="K43" s="1">
        <v>1.6997</v>
      </c>
      <c r="L43" s="16">
        <v>1.03655953</v>
      </c>
      <c r="M43" s="1">
        <v>0.9548</v>
      </c>
      <c r="N43" s="1">
        <v>1.0686</v>
      </c>
      <c r="O43" s="1">
        <v>1.053</v>
      </c>
      <c r="P43" s="1">
        <v>1.0714</v>
      </c>
      <c r="Q43" s="1">
        <v>1.096</v>
      </c>
      <c r="R43" s="1">
        <v>1.0051</v>
      </c>
      <c r="S43" s="1">
        <v>0.9999</v>
      </c>
      <c r="AG43" s="1">
        <v>2136.9658</v>
      </c>
      <c r="AH43" s="1">
        <v>2616.0886</v>
      </c>
      <c r="AI43" s="177">
        <v>-0.0101</v>
      </c>
      <c r="AJ43" s="177">
        <v>-0.0071</v>
      </c>
    </row>
    <row r="44" spans="1:36">
      <c r="A44" s="7">
        <v>45750</v>
      </c>
      <c r="B44" s="1">
        <v>1.093826</v>
      </c>
      <c r="D44" s="1">
        <v>1.5796</v>
      </c>
      <c r="E44" s="1">
        <v>1.0657</v>
      </c>
      <c r="F44" s="1">
        <v>1.0691</v>
      </c>
      <c r="G44" s="1">
        <v>1.1032</v>
      </c>
      <c r="I44" s="1">
        <v>1.14092</v>
      </c>
      <c r="J44" s="1">
        <v>1.0499</v>
      </c>
      <c r="K44" s="1">
        <v>1.707</v>
      </c>
      <c r="L44" s="16">
        <v>1.03585525</v>
      </c>
      <c r="M44" s="1">
        <v>0.9541</v>
      </c>
      <c r="N44" s="1">
        <v>1.0746</v>
      </c>
      <c r="O44" s="1">
        <v>1.043</v>
      </c>
      <c r="P44" s="1">
        <v>1.0739</v>
      </c>
      <c r="Q44" s="1">
        <v>1.095</v>
      </c>
      <c r="R44" s="1">
        <v>1.0074</v>
      </c>
      <c r="S44" s="1">
        <v>1</v>
      </c>
      <c r="T44" s="1">
        <v>1.0776</v>
      </c>
      <c r="AG44" s="1">
        <v>2140.6064</v>
      </c>
      <c r="AH44" s="1">
        <v>2619.9042</v>
      </c>
      <c r="AI44" s="177">
        <v>0.0015</v>
      </c>
      <c r="AJ44" s="177">
        <v>-0.0024</v>
      </c>
    </row>
    <row r="45" spans="1:36">
      <c r="A45" s="7">
        <v>45758</v>
      </c>
      <c r="B45" s="1">
        <v>1.11203</v>
      </c>
      <c r="D45" s="1">
        <v>1.6575</v>
      </c>
      <c r="E45" s="1">
        <v>1.0669</v>
      </c>
      <c r="F45" s="1">
        <v>1.0808</v>
      </c>
      <c r="G45" s="1">
        <v>1.0931</v>
      </c>
      <c r="I45" s="1">
        <v>1.14116</v>
      </c>
      <c r="J45" s="1">
        <v>1.054</v>
      </c>
      <c r="K45" s="1">
        <v>1.7245</v>
      </c>
      <c r="L45" s="16">
        <v>1.0389162</v>
      </c>
      <c r="M45" s="1">
        <v>0.9448</v>
      </c>
      <c r="N45" s="1">
        <v>1.0765</v>
      </c>
      <c r="O45" s="1">
        <v>1.046</v>
      </c>
      <c r="P45" s="1">
        <v>1.0767</v>
      </c>
      <c r="Q45" s="1">
        <v>1.1</v>
      </c>
      <c r="R45" s="1">
        <v>1.0125</v>
      </c>
      <c r="S45" s="1">
        <v>0.9955</v>
      </c>
      <c r="T45" s="1">
        <v>1.0911</v>
      </c>
      <c r="AG45" s="1">
        <v>2135.9013</v>
      </c>
      <c r="AH45" s="1">
        <v>2603.7421</v>
      </c>
      <c r="AI45" s="177">
        <v>0.0297</v>
      </c>
      <c r="AJ45" s="177">
        <v>-0.0187</v>
      </c>
    </row>
    <row r="46" spans="1:36">
      <c r="A46" s="7">
        <v>45765</v>
      </c>
      <c r="B46" s="1">
        <v>1.110062</v>
      </c>
      <c r="D46" s="1">
        <v>1.6629</v>
      </c>
      <c r="E46" s="1">
        <v>1.0681</v>
      </c>
      <c r="F46" s="1">
        <v>1.0856</v>
      </c>
      <c r="G46" s="1">
        <v>1.0954</v>
      </c>
      <c r="I46" s="1">
        <v>1.14124</v>
      </c>
      <c r="J46" s="1">
        <v>1.0567</v>
      </c>
      <c r="K46" s="1">
        <v>1.7191</v>
      </c>
      <c r="L46" s="16">
        <v>1.04234454</v>
      </c>
      <c r="M46" s="1">
        <v>0.9384</v>
      </c>
      <c r="N46" s="1">
        <v>1.0806</v>
      </c>
      <c r="O46" s="1">
        <v>1.041</v>
      </c>
      <c r="P46" s="1">
        <v>1.0762</v>
      </c>
      <c r="Q46" s="1">
        <v>1.096</v>
      </c>
      <c r="R46" s="1">
        <v>1.0126</v>
      </c>
      <c r="S46" s="1">
        <v>0.9927</v>
      </c>
      <c r="T46" s="1">
        <v>1.0882</v>
      </c>
      <c r="AG46" s="1">
        <v>2143.3827</v>
      </c>
      <c r="AH46" s="1">
        <v>2614.8582</v>
      </c>
      <c r="AI46" s="177">
        <v>0.0027</v>
      </c>
      <c r="AJ46" s="177">
        <v>-0.0077</v>
      </c>
    </row>
    <row r="47" spans="1:36">
      <c r="A47" s="7">
        <v>45772</v>
      </c>
      <c r="B47" s="1">
        <v>1.109652</v>
      </c>
      <c r="D47" s="1">
        <v>1.6587</v>
      </c>
      <c r="E47" s="1">
        <v>1.0686</v>
      </c>
      <c r="F47" s="1">
        <v>1.0907</v>
      </c>
      <c r="G47" s="1">
        <v>1.1072</v>
      </c>
      <c r="I47" s="1">
        <v>1.14116</v>
      </c>
      <c r="J47" s="1">
        <v>1.0566</v>
      </c>
      <c r="K47" s="1">
        <v>1.7336</v>
      </c>
      <c r="L47" s="16">
        <v>1.04352287</v>
      </c>
      <c r="M47" s="1">
        <v>0.9515</v>
      </c>
      <c r="N47" s="1">
        <v>1.0852</v>
      </c>
      <c r="P47" s="1">
        <v>1.0775</v>
      </c>
      <c r="Q47" s="1">
        <v>1.094</v>
      </c>
      <c r="R47" s="1">
        <v>1.0125</v>
      </c>
      <c r="S47" s="1">
        <v>0.9901</v>
      </c>
      <c r="T47" s="1">
        <v>1.0892</v>
      </c>
      <c r="AG47" s="1">
        <v>2158.2422</v>
      </c>
      <c r="AH47" s="1">
        <v>2621.0871</v>
      </c>
      <c r="AI47" s="177">
        <v>-0.0071</v>
      </c>
      <c r="AJ47" s="177">
        <v>0.0156</v>
      </c>
    </row>
    <row r="48" spans="1:36">
      <c r="A48" s="7">
        <v>45786</v>
      </c>
      <c r="B48" s="1">
        <v>1.112604</v>
      </c>
      <c r="D48" s="1">
        <v>1.6645</v>
      </c>
      <c r="E48" s="1">
        <v>1.068</v>
      </c>
      <c r="F48" s="1">
        <v>1.0964</v>
      </c>
      <c r="G48" s="1">
        <v>1.1091</v>
      </c>
      <c r="I48" s="1">
        <v>1.14116</v>
      </c>
      <c r="J48" s="1">
        <v>1.0569</v>
      </c>
      <c r="K48" s="1">
        <v>1.7077</v>
      </c>
      <c r="L48" s="16">
        <v>1.05557954</v>
      </c>
      <c r="M48" s="1">
        <v>0.9636</v>
      </c>
      <c r="N48" s="1">
        <v>1.0902</v>
      </c>
      <c r="P48" s="1">
        <v>1.0826</v>
      </c>
      <c r="Q48" s="1">
        <v>1.102</v>
      </c>
      <c r="R48" s="1">
        <v>1.0153</v>
      </c>
      <c r="S48" s="1">
        <v>0.99</v>
      </c>
      <c r="T48" s="1">
        <v>1.0886</v>
      </c>
      <c r="AG48" s="1">
        <v>2178.466</v>
      </c>
      <c r="AH48" s="1">
        <v>2638.5694</v>
      </c>
      <c r="AI48" s="177">
        <v>0.0166</v>
      </c>
      <c r="AJ48" s="177">
        <v>0.0147</v>
      </c>
    </row>
    <row r="49" spans="1:36">
      <c r="A49" s="7">
        <v>45793</v>
      </c>
      <c r="B49" s="1">
        <v>1.111046</v>
      </c>
      <c r="D49" s="1">
        <v>1.6685</v>
      </c>
      <c r="E49" s="1">
        <v>1.068</v>
      </c>
      <c r="F49" s="174">
        <v>1.1</v>
      </c>
      <c r="G49" s="1">
        <v>1.1087</v>
      </c>
      <c r="I49" s="1">
        <v>1.1414</v>
      </c>
      <c r="J49" s="1">
        <v>1.059</v>
      </c>
      <c r="K49" s="1">
        <v>1.6868</v>
      </c>
      <c r="L49" s="1">
        <v>1.06190787</v>
      </c>
      <c r="M49" s="1">
        <v>0.9657</v>
      </c>
      <c r="N49" s="1">
        <v>1.0885</v>
      </c>
      <c r="P49" s="1">
        <v>1.0848</v>
      </c>
      <c r="Q49" s="1">
        <v>1.095</v>
      </c>
      <c r="R49" s="1">
        <v>1.0089</v>
      </c>
      <c r="S49" s="1">
        <v>0.9865</v>
      </c>
      <c r="T49" s="1">
        <v>1.0889</v>
      </c>
      <c r="AG49" s="1">
        <v>2178.8378</v>
      </c>
      <c r="AH49" s="1">
        <v>2664.7609</v>
      </c>
      <c r="AI49" s="177">
        <v>0.0095</v>
      </c>
      <c r="AJ49" s="177">
        <v>0.0042</v>
      </c>
    </row>
    <row r="50" spans="1:36">
      <c r="A50" s="7">
        <v>45800</v>
      </c>
      <c r="B50" s="1">
        <v>1.110882</v>
      </c>
      <c r="D50" s="1">
        <v>1.6695</v>
      </c>
      <c r="E50" s="1">
        <v>1.0678</v>
      </c>
      <c r="F50" s="1">
        <v>1.0988</v>
      </c>
      <c r="G50" s="1">
        <v>1.113</v>
      </c>
      <c r="I50" s="1">
        <v>1.14212</v>
      </c>
      <c r="J50" s="1">
        <v>1.0573</v>
      </c>
      <c r="K50" s="1">
        <v>1.7057</v>
      </c>
      <c r="L50" s="1">
        <v>1.06658621</v>
      </c>
      <c r="M50" s="1">
        <v>0.9628</v>
      </c>
      <c r="N50" s="1">
        <v>1.0872</v>
      </c>
      <c r="P50" s="1">
        <v>1.0852</v>
      </c>
      <c r="Q50" s="1">
        <v>1.09</v>
      </c>
      <c r="R50" s="1">
        <v>1.0039</v>
      </c>
      <c r="S50" s="1">
        <v>0.9833</v>
      </c>
      <c r="T50" s="1">
        <v>1.0917</v>
      </c>
      <c r="AG50" s="1">
        <v>2191.9846</v>
      </c>
      <c r="AH50" s="1">
        <v>2645.8189</v>
      </c>
      <c r="AI50" s="177">
        <v>0.0027</v>
      </c>
      <c r="AJ50" s="177">
        <v>-0.0043</v>
      </c>
    </row>
    <row r="51" spans="1:36">
      <c r="A51" s="7">
        <v>45807</v>
      </c>
      <c r="B51" s="1">
        <v>1.10916</v>
      </c>
      <c r="D51" s="1">
        <v>1.6715</v>
      </c>
      <c r="F51" s="1">
        <v>1.0967</v>
      </c>
      <c r="G51" s="1">
        <v>1.1199</v>
      </c>
      <c r="I51" s="1">
        <v>1.14228</v>
      </c>
      <c r="J51" s="1">
        <v>1.0585</v>
      </c>
      <c r="K51" s="1">
        <v>1.6981</v>
      </c>
      <c r="L51" s="1">
        <v>1.07051454</v>
      </c>
      <c r="M51" s="1">
        <v>0.9622</v>
      </c>
      <c r="N51" s="1">
        <v>1.097</v>
      </c>
      <c r="P51" s="1">
        <v>1.0864</v>
      </c>
      <c r="Q51" s="1">
        <v>1.095</v>
      </c>
      <c r="R51" s="1">
        <v>1.0013</v>
      </c>
      <c r="S51" s="1">
        <v>0.9827</v>
      </c>
      <c r="T51" s="1">
        <v>1.0811</v>
      </c>
      <c r="AG51" s="1">
        <v>2196.5462</v>
      </c>
      <c r="AH51" s="1">
        <v>2649.6897</v>
      </c>
      <c r="AI51" s="177">
        <v>0.014</v>
      </c>
      <c r="AJ51" s="177">
        <v>0.0003</v>
      </c>
    </row>
    <row r="52" spans="1:37">
      <c r="A52" s="7">
        <v>45814</v>
      </c>
      <c r="B52" s="1">
        <v>1.10752</v>
      </c>
      <c r="D52" s="1">
        <v>1.6683</v>
      </c>
      <c r="F52" s="1">
        <v>1.0969</v>
      </c>
      <c r="G52" s="1">
        <v>1.1274</v>
      </c>
      <c r="I52" s="1">
        <v>1.14292</v>
      </c>
      <c r="J52" s="1">
        <v>1.0589</v>
      </c>
      <c r="K52" s="1">
        <v>1.7072</v>
      </c>
      <c r="L52" s="1">
        <v>1.07279288</v>
      </c>
      <c r="M52" s="1">
        <v>0.9716</v>
      </c>
      <c r="N52" s="1">
        <v>1.0974</v>
      </c>
      <c r="P52" s="1">
        <v>1.0873</v>
      </c>
      <c r="Q52" s="1">
        <v>1.094</v>
      </c>
      <c r="R52" s="1">
        <v>1.0002</v>
      </c>
      <c r="S52" s="1">
        <v>0.982</v>
      </c>
      <c r="T52" s="1">
        <v>1.0777</v>
      </c>
      <c r="U52" s="1">
        <v>1.0503</v>
      </c>
      <c r="V52" s="1">
        <v>0.9978</v>
      </c>
      <c r="AG52" s="1">
        <v>2202.6528</v>
      </c>
      <c r="AH52" s="1">
        <v>2658.8637</v>
      </c>
      <c r="AI52" s="177">
        <v>0.0045</v>
      </c>
      <c r="AJ52" s="177">
        <v>0.0156</v>
      </c>
      <c r="AK52" s="177"/>
    </row>
    <row r="53" spans="1:37">
      <c r="A53" s="7">
        <v>45821</v>
      </c>
      <c r="B53" s="1">
        <v>1.105224</v>
      </c>
      <c r="D53" s="1">
        <v>1.6701</v>
      </c>
      <c r="F53" s="1">
        <v>1.0957</v>
      </c>
      <c r="G53" s="1">
        <v>1.1307</v>
      </c>
      <c r="I53" s="1">
        <v>1.14251999</v>
      </c>
      <c r="J53" s="1">
        <v>1.0618</v>
      </c>
      <c r="K53" s="1">
        <v>1.6963</v>
      </c>
      <c r="L53" s="1">
        <v>1.06957121</v>
      </c>
      <c r="M53" s="1">
        <v>0.9696</v>
      </c>
      <c r="N53" s="1">
        <v>1.0953</v>
      </c>
      <c r="P53" s="1">
        <v>1.0875</v>
      </c>
      <c r="Q53" s="1">
        <v>1.094</v>
      </c>
      <c r="R53" s="1">
        <v>1.0006</v>
      </c>
      <c r="S53" s="1">
        <v>0.9812</v>
      </c>
      <c r="T53" s="1">
        <v>1.0716</v>
      </c>
      <c r="U53" s="1">
        <v>1.0472</v>
      </c>
      <c r="V53" s="1">
        <v>0.9979</v>
      </c>
      <c r="AG53" s="1">
        <v>2205.8637</v>
      </c>
      <c r="AH53" s="1">
        <v>2659.3154</v>
      </c>
      <c r="AI53" s="177">
        <v>0.0037</v>
      </c>
      <c r="AJ53" s="177">
        <v>-0.0032</v>
      </c>
      <c r="AK53" s="177">
        <v>0.006</v>
      </c>
    </row>
    <row r="54" spans="1:37">
      <c r="A54" s="7">
        <v>45828</v>
      </c>
      <c r="B54" s="1">
        <v>1.10547</v>
      </c>
      <c r="D54" s="1">
        <v>1.6694</v>
      </c>
      <c r="F54" s="1">
        <v>1.0962</v>
      </c>
      <c r="G54" s="1">
        <v>1.1285</v>
      </c>
      <c r="I54" s="1">
        <v>1.14116</v>
      </c>
      <c r="J54" s="1">
        <v>1.0608</v>
      </c>
      <c r="K54" s="1">
        <v>1.6871</v>
      </c>
      <c r="L54" s="1">
        <v>1.06949954</v>
      </c>
      <c r="M54" s="1">
        <v>0.9665</v>
      </c>
      <c r="N54" s="1">
        <v>1.0897</v>
      </c>
      <c r="P54" s="1">
        <v>1.0877</v>
      </c>
      <c r="Q54" s="1">
        <v>1.094</v>
      </c>
      <c r="R54" s="1">
        <v>0.9986</v>
      </c>
      <c r="S54" s="1">
        <v>0.979</v>
      </c>
      <c r="T54" s="1">
        <v>1.0718</v>
      </c>
      <c r="U54" s="1">
        <v>1.05294</v>
      </c>
      <c r="V54" s="1">
        <v>0.9996</v>
      </c>
      <c r="X54" s="25"/>
      <c r="Y54" s="25"/>
      <c r="Z54" s="25"/>
      <c r="AA54" s="25"/>
      <c r="AB54" s="25"/>
      <c r="AC54" s="25"/>
      <c r="AD54" s="25"/>
      <c r="AE54" s="25"/>
      <c r="AF54" s="25"/>
      <c r="AG54" s="25">
        <v>2198.379</v>
      </c>
      <c r="AH54" s="1">
        <v>2656.4566</v>
      </c>
      <c r="AI54" s="177">
        <v>0.0047</v>
      </c>
      <c r="AJ54" s="177">
        <v>-0.0057</v>
      </c>
      <c r="AK54" s="177">
        <v>-0.0046</v>
      </c>
    </row>
    <row r="55" spans="1:37">
      <c r="A55" s="7">
        <v>45835</v>
      </c>
      <c r="B55" s="1">
        <v>1.102272</v>
      </c>
      <c r="D55" s="1">
        <v>1.675</v>
      </c>
      <c r="F55" s="1">
        <v>1.09</v>
      </c>
      <c r="G55" s="1">
        <v>1.1305</v>
      </c>
      <c r="I55" s="1">
        <v>1.13892</v>
      </c>
      <c r="J55" s="1">
        <v>1.0594</v>
      </c>
      <c r="K55" s="1">
        <v>1.6952</v>
      </c>
      <c r="L55" s="1">
        <v>1.07282788</v>
      </c>
      <c r="M55" s="1">
        <v>0.9862</v>
      </c>
      <c r="N55" s="1">
        <v>1.0992</v>
      </c>
      <c r="P55" s="1">
        <v>1.0878</v>
      </c>
      <c r="Q55" s="1">
        <v>1.091</v>
      </c>
      <c r="R55" s="1">
        <v>1.0022</v>
      </c>
      <c r="S55" s="1">
        <v>0.9823</v>
      </c>
      <c r="T55" s="1">
        <v>1.069</v>
      </c>
      <c r="U55" s="1">
        <v>1.05446</v>
      </c>
      <c r="V55" s="1">
        <v>0.9994</v>
      </c>
      <c r="AG55" s="1">
        <v>2205.2784</v>
      </c>
      <c r="AH55" s="1">
        <v>2667.4446</v>
      </c>
      <c r="AI55" s="177">
        <v>0.017</v>
      </c>
      <c r="AJ55" s="177">
        <v>0.0257</v>
      </c>
      <c r="AK55" s="177">
        <v>-0.0023</v>
      </c>
    </row>
    <row r="56" spans="1:37">
      <c r="A56" s="7">
        <v>45842</v>
      </c>
      <c r="B56" s="1">
        <v>1.100304</v>
      </c>
      <c r="D56" s="1">
        <v>1.6766</v>
      </c>
      <c r="F56" s="1">
        <v>1.0949</v>
      </c>
      <c r="G56" s="1">
        <v>1.1528</v>
      </c>
      <c r="I56" s="1">
        <v>1.14604</v>
      </c>
      <c r="J56" s="1">
        <v>1.0616</v>
      </c>
      <c r="K56" s="1">
        <v>1.704</v>
      </c>
      <c r="L56" s="1">
        <v>1.07225621</v>
      </c>
      <c r="M56" s="1">
        <v>0.9929</v>
      </c>
      <c r="N56" s="1">
        <v>1.0916</v>
      </c>
      <c r="P56" s="1">
        <v>1.088</v>
      </c>
      <c r="Q56" s="1">
        <v>1.091</v>
      </c>
      <c r="R56" s="1">
        <v>1.0026</v>
      </c>
      <c r="S56" s="1">
        <v>0.9827</v>
      </c>
      <c r="T56" s="1">
        <v>1.0639</v>
      </c>
      <c r="U56" s="1">
        <v>1.05354</v>
      </c>
      <c r="V56" s="1">
        <v>1.0026</v>
      </c>
      <c r="W56" s="1">
        <v>1.3132</v>
      </c>
      <c r="AG56" s="1">
        <v>2218.3961</v>
      </c>
      <c r="AH56" s="1">
        <v>2679.8989</v>
      </c>
      <c r="AI56" s="177">
        <v>0.0021</v>
      </c>
      <c r="AJ56" s="177">
        <v>0.009</v>
      </c>
      <c r="AK56" s="177">
        <v>0.0055</v>
      </c>
    </row>
    <row r="57" spans="1:37">
      <c r="A57" s="7">
        <v>45849</v>
      </c>
      <c r="B57" s="1">
        <v>1.0988</v>
      </c>
      <c r="D57" s="1">
        <v>1.6782</v>
      </c>
      <c r="F57" s="1">
        <v>1.0892</v>
      </c>
      <c r="G57" s="1">
        <v>1.1478</v>
      </c>
      <c r="I57" s="1">
        <v>1.14372</v>
      </c>
      <c r="J57" s="1">
        <v>1.0607</v>
      </c>
      <c r="K57" s="1">
        <v>1.672</v>
      </c>
      <c r="L57" s="1">
        <v>1.07283455</v>
      </c>
      <c r="M57" s="1">
        <v>0.9998</v>
      </c>
      <c r="N57" s="1">
        <v>1.09</v>
      </c>
      <c r="P57" s="1">
        <v>1.0885</v>
      </c>
      <c r="Q57" s="1">
        <v>1.091</v>
      </c>
      <c r="R57" s="1">
        <v>1.0037</v>
      </c>
      <c r="S57" s="1">
        <v>0.9841</v>
      </c>
      <c r="T57" s="1">
        <v>1.0549</v>
      </c>
      <c r="U57" s="1">
        <v>1.05486</v>
      </c>
      <c r="V57" s="1">
        <v>1.0059</v>
      </c>
      <c r="W57" s="1">
        <v>1.3099</v>
      </c>
      <c r="X57" s="1">
        <v>1.0046</v>
      </c>
      <c r="Y57" s="1">
        <v>0.9986</v>
      </c>
      <c r="Z57" s="1">
        <v>1.2582</v>
      </c>
      <c r="AA57" s="1">
        <v>1.0666</v>
      </c>
      <c r="AB57" s="1">
        <v>0.9927</v>
      </c>
      <c r="AG57" s="1">
        <v>2218.1541</v>
      </c>
      <c r="AH57" s="1">
        <v>2686.7489</v>
      </c>
      <c r="AI57" s="177">
        <v>0.0121</v>
      </c>
      <c r="AJ57" s="177">
        <v>0.0083</v>
      </c>
      <c r="AK57" s="177">
        <v>0.0005</v>
      </c>
    </row>
    <row r="58" spans="1:37">
      <c r="A58" s="7">
        <v>45856</v>
      </c>
      <c r="B58" s="1">
        <v>1.09932</v>
      </c>
      <c r="D58" s="1">
        <v>1.6837</v>
      </c>
      <c r="F58" s="1">
        <v>1.0928</v>
      </c>
      <c r="G58" s="1">
        <v>1.1544</v>
      </c>
      <c r="I58" s="1">
        <v>1.14652</v>
      </c>
      <c r="J58" s="1">
        <v>1.064</v>
      </c>
      <c r="K58" s="1">
        <v>1.6707</v>
      </c>
      <c r="L58" s="1">
        <v>1.07276503</v>
      </c>
      <c r="M58" s="1">
        <v>1.0082</v>
      </c>
      <c r="N58" s="1">
        <v>1.0914</v>
      </c>
      <c r="P58" s="1">
        <v>1.1037</v>
      </c>
      <c r="Q58" s="1">
        <v>1.086</v>
      </c>
      <c r="R58" s="1">
        <v>1.0006</v>
      </c>
      <c r="S58" s="1">
        <v>0.9822</v>
      </c>
      <c r="U58" s="1">
        <v>1.05738</v>
      </c>
      <c r="V58" s="1">
        <v>1.0069</v>
      </c>
      <c r="W58" s="1">
        <v>1.31704</v>
      </c>
      <c r="X58" s="1">
        <v>1.0044</v>
      </c>
      <c r="Y58" s="1">
        <v>0.9983</v>
      </c>
      <c r="Z58" s="1">
        <v>1.2588</v>
      </c>
      <c r="AA58" s="1">
        <v>1.0604</v>
      </c>
      <c r="AB58" s="1">
        <v>0.9944</v>
      </c>
      <c r="AG58" s="1">
        <v>2226.1554</v>
      </c>
      <c r="AH58" s="1">
        <v>2698.2031</v>
      </c>
      <c r="AI58" s="177">
        <v>0.0054</v>
      </c>
      <c r="AJ58" s="177">
        <v>0.0137</v>
      </c>
      <c r="AK58" s="177">
        <v>0.0044</v>
      </c>
    </row>
    <row r="59" spans="1:37">
      <c r="A59" s="7">
        <v>45863</v>
      </c>
      <c r="B59" s="1">
        <v>1.100468</v>
      </c>
      <c r="D59" s="1">
        <v>1.6807</v>
      </c>
      <c r="F59" s="1">
        <v>1.0895</v>
      </c>
      <c r="G59" s="1">
        <v>1.1536</v>
      </c>
      <c r="I59" s="1">
        <v>1.14276</v>
      </c>
      <c r="J59" s="1">
        <v>1.062</v>
      </c>
      <c r="K59" s="1">
        <v>1.6618</v>
      </c>
      <c r="L59" s="1">
        <v>1.07276503</v>
      </c>
      <c r="M59" s="1">
        <v>1.0263</v>
      </c>
      <c r="N59" s="1">
        <v>1.0731</v>
      </c>
      <c r="P59" s="1">
        <v>1.1436</v>
      </c>
      <c r="Q59" s="1">
        <v>1.099</v>
      </c>
      <c r="R59" s="1">
        <v>1.0029</v>
      </c>
      <c r="S59" s="1">
        <v>0.9837</v>
      </c>
      <c r="U59" s="1">
        <v>1.06898</v>
      </c>
      <c r="V59" s="1">
        <v>1.0098</v>
      </c>
      <c r="W59" s="1">
        <v>1.3248</v>
      </c>
      <c r="X59" s="1">
        <v>1.0026</v>
      </c>
      <c r="Y59" s="1">
        <v>0.9958</v>
      </c>
      <c r="Z59" s="1">
        <v>1.2574</v>
      </c>
      <c r="AA59" s="1">
        <v>1.0707</v>
      </c>
      <c r="AB59" s="1">
        <v>0.99862</v>
      </c>
      <c r="AG59" s="1">
        <v>2229.5493</v>
      </c>
      <c r="AH59" s="1">
        <v>2698.1023</v>
      </c>
      <c r="AI59" s="177">
        <v>0.0066</v>
      </c>
      <c r="AJ59" s="177">
        <v>0.0238</v>
      </c>
      <c r="AK59" s="177">
        <v>0.0037</v>
      </c>
    </row>
    <row r="60" spans="1:37">
      <c r="A60" s="7">
        <v>45870</v>
      </c>
      <c r="B60" s="1">
        <v>1.09768</v>
      </c>
      <c r="D60" s="1">
        <v>1.6764</v>
      </c>
      <c r="F60" s="1">
        <v>1.0927</v>
      </c>
      <c r="G60" s="1">
        <v>1.1592</v>
      </c>
      <c r="I60" s="1">
        <v>1.14564</v>
      </c>
      <c r="J60" s="1">
        <v>1.0602</v>
      </c>
      <c r="K60" s="1">
        <v>1.668</v>
      </c>
      <c r="M60" s="1">
        <v>1.0192</v>
      </c>
      <c r="N60" s="1">
        <v>1.089</v>
      </c>
      <c r="P60" s="1">
        <v>1.1437</v>
      </c>
      <c r="Q60" s="1">
        <v>1.095</v>
      </c>
      <c r="R60" s="1">
        <v>1.0142</v>
      </c>
      <c r="S60" s="1">
        <v>0.9938</v>
      </c>
      <c r="U60" s="1">
        <v>1.0685</v>
      </c>
      <c r="V60" s="1">
        <v>1.0054</v>
      </c>
      <c r="W60" s="1">
        <v>1.3296</v>
      </c>
      <c r="X60" s="1">
        <v>1.0067</v>
      </c>
      <c r="Y60" s="1">
        <v>1.0006</v>
      </c>
      <c r="Z60" s="1">
        <v>1.2633</v>
      </c>
      <c r="AA60" s="1">
        <v>1.0793</v>
      </c>
      <c r="AB60" s="1">
        <v>1.00000422</v>
      </c>
      <c r="AG60" s="1">
        <v>2236.1398</v>
      </c>
      <c r="AH60" s="1">
        <v>2708.2237</v>
      </c>
      <c r="AI60" s="177">
        <v>0.007</v>
      </c>
      <c r="AJ60" s="177">
        <v>-0.0092</v>
      </c>
      <c r="AK60" s="177">
        <v>-0.0058</v>
      </c>
    </row>
    <row r="61" spans="1:37">
      <c r="A61" s="7">
        <v>45877</v>
      </c>
      <c r="B61" s="1">
        <v>1.09891</v>
      </c>
      <c r="D61" s="1">
        <v>1.6761</v>
      </c>
      <c r="F61" s="1">
        <v>1.0953</v>
      </c>
      <c r="G61" s="1">
        <v>1.1645</v>
      </c>
      <c r="I61" s="1">
        <v>1.14572</v>
      </c>
      <c r="J61" s="1">
        <v>1.0647</v>
      </c>
      <c r="K61" s="1">
        <v>1.6646</v>
      </c>
      <c r="M61" s="1">
        <v>1.0387</v>
      </c>
      <c r="N61" s="1">
        <v>1.0983</v>
      </c>
      <c r="P61" s="1">
        <v>1.144</v>
      </c>
      <c r="Q61" s="1">
        <v>1.1116</v>
      </c>
      <c r="R61" s="1">
        <v>1.014</v>
      </c>
      <c r="S61" s="1">
        <v>0.9909</v>
      </c>
      <c r="U61" s="1">
        <v>1.0711</v>
      </c>
      <c r="V61" s="1">
        <v>1.0065</v>
      </c>
      <c r="W61" s="1">
        <v>1.33</v>
      </c>
      <c r="X61" s="1">
        <v>1.0084</v>
      </c>
      <c r="Y61" s="1">
        <v>1.0024</v>
      </c>
      <c r="Z61" s="1">
        <v>1.266</v>
      </c>
      <c r="AA61" s="1">
        <v>1.092</v>
      </c>
      <c r="AB61" s="1">
        <v>0.99755162</v>
      </c>
      <c r="AG61" s="1">
        <v>2247.9096</v>
      </c>
      <c r="AH61" s="1">
        <v>2724.6463</v>
      </c>
      <c r="AI61" s="177">
        <v>0.0185</v>
      </c>
      <c r="AJ61" s="177">
        <v>0.0273</v>
      </c>
      <c r="AK61" s="177">
        <v>0.0092</v>
      </c>
    </row>
    <row r="62" spans="1:38">
      <c r="A62" s="7">
        <v>45884</v>
      </c>
      <c r="B62" s="1">
        <v>1.100878</v>
      </c>
      <c r="D62" s="1">
        <v>1.6885</v>
      </c>
      <c r="F62" s="1">
        <v>1.0762</v>
      </c>
      <c r="G62" s="1">
        <v>1.1579</v>
      </c>
      <c r="I62" s="1">
        <v>1.1358</v>
      </c>
      <c r="J62" s="1">
        <v>1.0612</v>
      </c>
      <c r="K62" s="1">
        <v>1.7047</v>
      </c>
      <c r="M62" s="1">
        <v>1.0528</v>
      </c>
      <c r="N62" s="1">
        <v>1.1078</v>
      </c>
      <c r="P62" s="1">
        <v>1.1479</v>
      </c>
      <c r="Q62" s="1">
        <v>1.1298</v>
      </c>
      <c r="R62" s="1">
        <v>1.0144</v>
      </c>
      <c r="S62" s="1">
        <v>0.9924</v>
      </c>
      <c r="U62" s="1">
        <v>1.0707</v>
      </c>
      <c r="V62" s="1">
        <v>1.0154</v>
      </c>
      <c r="W62" s="1">
        <v>1.31528</v>
      </c>
      <c r="X62" s="1">
        <v>1.0029</v>
      </c>
      <c r="Y62" s="1">
        <v>0.9947</v>
      </c>
      <c r="Z62" s="1">
        <v>1.267</v>
      </c>
      <c r="AA62" s="1">
        <v>1.0506</v>
      </c>
      <c r="AB62" s="1">
        <v>0.9695</v>
      </c>
      <c r="AG62" s="1">
        <v>2235.4205</v>
      </c>
      <c r="AH62" s="1">
        <v>2731.3628</v>
      </c>
      <c r="AI62" s="177">
        <v>0.0262</v>
      </c>
      <c r="AJ62" s="177">
        <v>0.0233</v>
      </c>
      <c r="AK62" s="177">
        <v>-0.0009</v>
      </c>
      <c r="AL62" s="167">
        <v>0.0216</v>
      </c>
    </row>
    <row r="63" spans="1:38">
      <c r="A63" s="7">
        <v>45891</v>
      </c>
      <c r="B63" s="1">
        <v>1.108996</v>
      </c>
      <c r="D63" s="1">
        <v>1.6983</v>
      </c>
      <c r="F63" s="1">
        <v>1.0634</v>
      </c>
      <c r="G63" s="1">
        <v>1.1643</v>
      </c>
      <c r="J63" s="1">
        <v>1.0579</v>
      </c>
      <c r="K63" s="1">
        <v>1.7047</v>
      </c>
      <c r="M63" s="1">
        <v>1.0765</v>
      </c>
      <c r="N63" s="1">
        <v>1.111</v>
      </c>
      <c r="P63" s="1">
        <v>1.1506</v>
      </c>
      <c r="Q63" s="1">
        <v>1.1508</v>
      </c>
      <c r="R63" s="1">
        <v>1.017</v>
      </c>
      <c r="S63" s="1">
        <v>0.9967</v>
      </c>
      <c r="U63" s="1">
        <v>1.07902</v>
      </c>
      <c r="V63" s="1">
        <v>1.0266</v>
      </c>
      <c r="W63" s="1">
        <v>1.32376</v>
      </c>
      <c r="X63" s="1">
        <v>1.0079</v>
      </c>
      <c r="Y63" s="1">
        <v>1.001</v>
      </c>
      <c r="Z63" s="1">
        <v>1.2731</v>
      </c>
      <c r="AA63" s="1">
        <v>1.0437</v>
      </c>
      <c r="AB63" s="1">
        <v>0.967</v>
      </c>
      <c r="AC63" s="1">
        <v>1.7387</v>
      </c>
      <c r="AG63" s="1">
        <v>2242.479</v>
      </c>
      <c r="AH63" s="1">
        <v>2744.892</v>
      </c>
      <c r="AI63" s="177">
        <v>0.0181</v>
      </c>
      <c r="AJ63" s="177">
        <v>0.032</v>
      </c>
      <c r="AK63" s="177">
        <v>0.0022</v>
      </c>
      <c r="AL63" s="167">
        <v>0.0271</v>
      </c>
    </row>
    <row r="64" spans="1:38">
      <c r="A64" s="7">
        <v>45898</v>
      </c>
      <c r="B64" s="1">
        <v>1.105388</v>
      </c>
      <c r="D64" s="1">
        <v>1.7057</v>
      </c>
      <c r="F64" s="1">
        <v>1.0524</v>
      </c>
      <c r="G64" s="1">
        <v>1.156</v>
      </c>
      <c r="J64" s="1">
        <v>1.0561</v>
      </c>
      <c r="K64" s="1">
        <v>1.6972</v>
      </c>
      <c r="M64" s="1">
        <v>1.05</v>
      </c>
      <c r="N64" s="1">
        <v>1.1104</v>
      </c>
      <c r="P64" s="1">
        <v>1.1506</v>
      </c>
      <c r="Q64" s="1">
        <v>1.1676</v>
      </c>
      <c r="R64" s="1">
        <v>1.0157</v>
      </c>
      <c r="S64" s="1">
        <v>0.993</v>
      </c>
      <c r="U64" s="1">
        <v>1.08722</v>
      </c>
      <c r="V64" s="1">
        <v>1.0337</v>
      </c>
      <c r="W64" s="1">
        <v>1.31688</v>
      </c>
      <c r="X64" s="1">
        <v>1.0084</v>
      </c>
      <c r="Y64" s="1">
        <v>1.0012</v>
      </c>
      <c r="Z64" s="1">
        <v>1.2573</v>
      </c>
      <c r="AA64" s="1">
        <v>1.0005</v>
      </c>
      <c r="AB64" s="1">
        <v>0.9625</v>
      </c>
      <c r="AC64" s="1">
        <v>1.7411</v>
      </c>
      <c r="AG64" s="1">
        <v>2237.897</v>
      </c>
      <c r="AH64" s="1">
        <v>2744.09</v>
      </c>
      <c r="AI64" s="177">
        <v>0.0044</v>
      </c>
      <c r="AJ64" s="177">
        <v>-0.0344</v>
      </c>
      <c r="AK64" s="177">
        <v>0.00744</v>
      </c>
      <c r="AL64" s="167">
        <v>0.0024</v>
      </c>
    </row>
    <row r="65" spans="1:38">
      <c r="A65" s="7">
        <v>45905</v>
      </c>
      <c r="B65" s="1">
        <v>1.103748</v>
      </c>
      <c r="D65" s="1">
        <v>1.7169</v>
      </c>
      <c r="F65" s="1">
        <v>1.0513</v>
      </c>
      <c r="G65" s="1">
        <v>1.154</v>
      </c>
      <c r="J65" s="1">
        <v>1.0581</v>
      </c>
      <c r="K65" s="1">
        <v>1.6874</v>
      </c>
      <c r="M65" s="1">
        <v>1.0571</v>
      </c>
      <c r="N65" s="1">
        <v>1.1137</v>
      </c>
      <c r="P65" s="1">
        <v>1.1511</v>
      </c>
      <c r="Q65" s="1">
        <v>1.1599</v>
      </c>
      <c r="R65" s="1">
        <v>1.02</v>
      </c>
      <c r="S65" s="1">
        <v>0.9969</v>
      </c>
      <c r="U65" s="1">
        <v>1.08862</v>
      </c>
      <c r="V65" s="1">
        <v>1.041</v>
      </c>
      <c r="W65" s="1">
        <v>1.3236</v>
      </c>
      <c r="X65" s="1">
        <v>1.0041</v>
      </c>
      <c r="Y65" s="1">
        <v>0.9989</v>
      </c>
      <c r="Z65" s="1">
        <v>1.243</v>
      </c>
      <c r="AA65" s="1">
        <v>0.9948</v>
      </c>
      <c r="AB65" s="1">
        <v>0.9652</v>
      </c>
      <c r="AC65" s="1">
        <v>1.7501</v>
      </c>
      <c r="AG65" s="1">
        <v>2238.639</v>
      </c>
      <c r="AH65" s="1">
        <v>2748.82</v>
      </c>
      <c r="AI65" s="177">
        <v>-0.0041</v>
      </c>
      <c r="AJ65" s="177">
        <v>0.0051</v>
      </c>
      <c r="AK65" s="177">
        <v>0.0106</v>
      </c>
      <c r="AL65" s="167">
        <v>-0.0106</v>
      </c>
    </row>
    <row r="66" spans="1:38">
      <c r="A66" s="7">
        <v>45912</v>
      </c>
      <c r="B66" s="1">
        <v>1.108832</v>
      </c>
      <c r="D66" s="1">
        <v>1.7257</v>
      </c>
      <c r="F66" s="1">
        <v>1.0496</v>
      </c>
      <c r="G66" s="1">
        <v>1.1578</v>
      </c>
      <c r="J66" s="1">
        <v>1.06</v>
      </c>
      <c r="K66" s="1">
        <v>1.7386</v>
      </c>
      <c r="M66" s="1">
        <v>1.0608</v>
      </c>
      <c r="N66" s="1">
        <v>1.1189</v>
      </c>
      <c r="P66" s="1">
        <v>1.1536</v>
      </c>
      <c r="Q66" s="1">
        <v>1.1837</v>
      </c>
      <c r="R66" s="1">
        <v>1.02</v>
      </c>
      <c r="S66" s="1">
        <v>0.9978</v>
      </c>
      <c r="U66" s="1">
        <v>1.0953</v>
      </c>
      <c r="V66" s="1">
        <v>1.0488</v>
      </c>
      <c r="W66" s="1">
        <v>1.32744</v>
      </c>
      <c r="X66" s="1">
        <v>1.0019</v>
      </c>
      <c r="Y66" s="1">
        <v>0.9983</v>
      </c>
      <c r="Z66" s="1">
        <v>1.244</v>
      </c>
      <c r="AA66" s="1">
        <v>0.9859</v>
      </c>
      <c r="AB66" s="1">
        <v>0.9669</v>
      </c>
      <c r="AC66" s="1">
        <v>1.7619</v>
      </c>
      <c r="AG66" s="1">
        <v>2243.2</v>
      </c>
      <c r="AH66" s="1">
        <v>2762.102</v>
      </c>
      <c r="AI66" s="177">
        <v>0.0175</v>
      </c>
      <c r="AJ66" s="177">
        <v>0.0071</v>
      </c>
      <c r="AK66" s="177">
        <v>0.0098</v>
      </c>
      <c r="AL66" s="167">
        <v>0.0205</v>
      </c>
    </row>
    <row r="67" spans="1:38">
      <c r="A67" s="7">
        <v>45919</v>
      </c>
      <c r="B67" s="1">
        <v>1.099074</v>
      </c>
      <c r="D67" s="1">
        <v>1.7316</v>
      </c>
      <c r="F67" s="1">
        <v>1.0505</v>
      </c>
      <c r="G67" s="1">
        <v>1.1652</v>
      </c>
      <c r="J67" s="1">
        <v>1.066</v>
      </c>
      <c r="K67" s="1">
        <v>1.7443</v>
      </c>
      <c r="M67" s="1">
        <v>1.0501</v>
      </c>
      <c r="N67" s="1">
        <v>1.1115</v>
      </c>
      <c r="P67" s="1">
        <v>1.1536</v>
      </c>
      <c r="Q67" s="1">
        <v>1.1781</v>
      </c>
      <c r="R67" s="1">
        <v>1.0224</v>
      </c>
      <c r="S67" s="1">
        <v>0.9995</v>
      </c>
      <c r="U67" s="1">
        <v>1.0973</v>
      </c>
      <c r="V67" s="1">
        <v>1.0435</v>
      </c>
      <c r="W67" s="1">
        <v>1.32888</v>
      </c>
      <c r="X67" s="1">
        <v>1.0011</v>
      </c>
      <c r="Y67" s="1">
        <v>0.9959</v>
      </c>
      <c r="Z67" s="1">
        <v>1.2524</v>
      </c>
      <c r="AA67" s="1">
        <v>0.9695</v>
      </c>
      <c r="AB67" s="1">
        <v>0.9608</v>
      </c>
      <c r="AC67" s="1">
        <v>1.7227</v>
      </c>
      <c r="AG67" s="1">
        <v>2243.831</v>
      </c>
      <c r="AH67" s="1">
        <v>2764.947</v>
      </c>
      <c r="AI67" s="177">
        <v>0.0049</v>
      </c>
      <c r="AJ67" s="177">
        <v>-0.0129</v>
      </c>
      <c r="AK67" s="177">
        <v>-0.0017</v>
      </c>
      <c r="AL67" s="167">
        <v>0.0006</v>
      </c>
    </row>
    <row r="68" spans="1:38">
      <c r="A68" s="7">
        <v>45926</v>
      </c>
      <c r="B68" s="1">
        <v>1.116786</v>
      </c>
      <c r="D68" s="1">
        <v>1.7439</v>
      </c>
      <c r="F68" s="1">
        <v>1.0496</v>
      </c>
      <c r="G68" s="1">
        <v>1.1675</v>
      </c>
      <c r="J68" s="1">
        <v>1.0676</v>
      </c>
      <c r="K68" s="1">
        <v>1.7382</v>
      </c>
      <c r="M68" s="1">
        <v>1.0538</v>
      </c>
      <c r="N68" s="1">
        <v>1.1129</v>
      </c>
      <c r="P68" s="1">
        <v>1.1541</v>
      </c>
      <c r="Q68" s="1">
        <v>1.1732</v>
      </c>
      <c r="R68" s="1">
        <v>1.0303</v>
      </c>
      <c r="S68" s="1">
        <v>0.9929</v>
      </c>
      <c r="U68" s="1">
        <v>1.10054</v>
      </c>
      <c r="V68" s="1">
        <v>1.052</v>
      </c>
      <c r="W68" s="1">
        <v>1.3268</v>
      </c>
      <c r="X68" s="1">
        <v>1.0022</v>
      </c>
      <c r="Y68" s="1">
        <v>0.9965</v>
      </c>
      <c r="Z68" s="1">
        <v>1.2584</v>
      </c>
      <c r="AA68" s="1">
        <v>0.9788</v>
      </c>
      <c r="AB68" s="1">
        <v>0.9577</v>
      </c>
      <c r="AC68" s="1">
        <v>1.6931</v>
      </c>
      <c r="AG68" s="1">
        <v>2237.5352</v>
      </c>
      <c r="AH68" s="1">
        <v>2764.712</v>
      </c>
      <c r="AI68" s="177">
        <v>0.005</v>
      </c>
      <c r="AJ68" s="177">
        <v>0.0063</v>
      </c>
      <c r="AK68" s="177">
        <v>0.0095</v>
      </c>
      <c r="AL68" s="167">
        <v>-0.0017</v>
      </c>
    </row>
    <row r="69" spans="1:39">
      <c r="A69" s="7">
        <v>45940</v>
      </c>
      <c r="B69" s="1">
        <v>1.103748</v>
      </c>
      <c r="D69" s="1">
        <v>1.747</v>
      </c>
      <c r="F69" s="1">
        <v>1.0527</v>
      </c>
      <c r="G69" s="1">
        <v>1.1681</v>
      </c>
      <c r="J69" s="1">
        <v>1.0795</v>
      </c>
      <c r="K69" s="1">
        <v>1.7548</v>
      </c>
      <c r="M69" s="1">
        <v>1.0702</v>
      </c>
      <c r="N69" s="1">
        <v>1.1286</v>
      </c>
      <c r="P69" s="1">
        <v>1.1547</v>
      </c>
      <c r="Q69" s="1">
        <v>1.1718</v>
      </c>
      <c r="R69" s="1">
        <v>1.0286</v>
      </c>
      <c r="S69" s="1">
        <v>0.9858</v>
      </c>
      <c r="U69" s="1">
        <v>1.10254</v>
      </c>
      <c r="V69" s="1">
        <v>1.0727</v>
      </c>
      <c r="W69" s="1">
        <v>1.33176</v>
      </c>
      <c r="X69" s="1">
        <v>0.9998</v>
      </c>
      <c r="Y69" s="1">
        <v>0.9977</v>
      </c>
      <c r="Z69" s="1">
        <v>1.2543</v>
      </c>
      <c r="AB69" s="1">
        <v>0.9581</v>
      </c>
      <c r="AC69" s="1">
        <v>1.7279</v>
      </c>
      <c r="AD69" s="1">
        <v>1.2921</v>
      </c>
      <c r="AG69" s="1">
        <v>2242.039</v>
      </c>
      <c r="AH69" s="1">
        <v>2781.824</v>
      </c>
      <c r="AI69" s="177">
        <v>0.0046</v>
      </c>
      <c r="AJ69" s="177">
        <v>0.0003</v>
      </c>
      <c r="AK69" s="177">
        <v>0.0093</v>
      </c>
      <c r="AL69" s="167">
        <v>0.0021</v>
      </c>
      <c r="AM69" s="1">
        <v>4083.9392</v>
      </c>
    </row>
    <row r="70" spans="1:39">
      <c r="A70" s="7">
        <v>45947</v>
      </c>
      <c r="B70" s="1">
        <v>1.11326</v>
      </c>
      <c r="D70" s="1">
        <v>1.7406</v>
      </c>
      <c r="F70" s="1">
        <v>1.0571</v>
      </c>
      <c r="G70" s="1">
        <v>1.1585</v>
      </c>
      <c r="J70" s="1">
        <v>1.0773</v>
      </c>
      <c r="K70" s="1">
        <v>1.7626</v>
      </c>
      <c r="M70" s="1">
        <v>1.0361</v>
      </c>
      <c r="N70" s="1">
        <v>1.1219</v>
      </c>
      <c r="P70" s="1">
        <v>1.1553</v>
      </c>
      <c r="Q70" s="1">
        <v>0.989</v>
      </c>
      <c r="R70" s="1">
        <v>1.0294</v>
      </c>
      <c r="S70" s="1">
        <v>0.9874</v>
      </c>
      <c r="U70" s="1">
        <v>1.10246</v>
      </c>
      <c r="V70" s="1">
        <v>1.0864</v>
      </c>
      <c r="W70" s="1">
        <v>1.3316</v>
      </c>
      <c r="X70" s="1">
        <v>1.0018</v>
      </c>
      <c r="Y70" s="1">
        <v>0.996</v>
      </c>
      <c r="Z70" s="1">
        <v>1.2467</v>
      </c>
      <c r="AB70" s="1">
        <v>0.9563</v>
      </c>
      <c r="AC70" s="1">
        <v>1.7481</v>
      </c>
      <c r="AD70" s="1">
        <v>1.2697</v>
      </c>
      <c r="AE70" s="1">
        <v>0.9601</v>
      </c>
      <c r="AF70" s="1">
        <v>1.2472</v>
      </c>
      <c r="AG70" s="1">
        <v>2242.764</v>
      </c>
      <c r="AH70" s="1">
        <v>2766.922</v>
      </c>
      <c r="AI70" s="177">
        <v>0.0046</v>
      </c>
      <c r="AJ70" s="177">
        <v>-0.032</v>
      </c>
      <c r="AK70" s="177">
        <v>0.0276</v>
      </c>
      <c r="AL70" s="8">
        <v>-0.0297</v>
      </c>
      <c r="AM70" s="1">
        <v>3929.9417</v>
      </c>
    </row>
    <row r="71" spans="1:39">
      <c r="A71" s="7">
        <v>45954</v>
      </c>
      <c r="B71" s="1">
        <v>1.102846</v>
      </c>
      <c r="D71" s="1">
        <v>1.7553</v>
      </c>
      <c r="F71" s="1">
        <v>1.0638</v>
      </c>
      <c r="G71" s="1">
        <v>1.1599</v>
      </c>
      <c r="J71" s="1">
        <v>1.0744</v>
      </c>
      <c r="K71" s="1">
        <v>1.7521</v>
      </c>
      <c r="M71" s="1">
        <v>1.0512</v>
      </c>
      <c r="N71" s="1">
        <v>1.1264</v>
      </c>
      <c r="P71" s="1">
        <v>1.1555</v>
      </c>
      <c r="Q71" s="1">
        <v>0.989</v>
      </c>
      <c r="R71" s="1">
        <v>1.0321</v>
      </c>
      <c r="S71" s="1">
        <v>0.9815</v>
      </c>
      <c r="U71" s="1">
        <v>1.10214</v>
      </c>
      <c r="V71" s="1">
        <v>1.0776</v>
      </c>
      <c r="W71" s="1">
        <v>1.3416</v>
      </c>
      <c r="X71" s="1">
        <v>1.0083</v>
      </c>
      <c r="Y71" s="1">
        <v>1.002</v>
      </c>
      <c r="Z71" s="1">
        <v>1.2521</v>
      </c>
      <c r="AB71" s="1">
        <v>0.9605</v>
      </c>
      <c r="AC71" s="1">
        <v>1.7406</v>
      </c>
      <c r="AD71" s="1">
        <v>1.2948</v>
      </c>
      <c r="AE71" s="1">
        <v>0.959</v>
      </c>
      <c r="AF71" s="1">
        <v>1.2513</v>
      </c>
      <c r="AG71" s="1">
        <v>2258.373</v>
      </c>
      <c r="AH71" s="1">
        <v>2792.056</v>
      </c>
      <c r="AI71" s="177">
        <v>0.0034</v>
      </c>
      <c r="AJ71" s="177">
        <v>0.0225</v>
      </c>
      <c r="AK71" s="177">
        <v>-0.0139</v>
      </c>
      <c r="AL71" s="177">
        <v>0.0307</v>
      </c>
      <c r="AM71" s="1">
        <v>4073.6144</v>
      </c>
    </row>
    <row r="72" spans="1:39">
      <c r="A72" s="7">
        <v>45961</v>
      </c>
      <c r="B72" s="1">
        <v>1.109406</v>
      </c>
      <c r="C72" s="1"/>
      <c r="D72" s="1">
        <v>1.7657</v>
      </c>
      <c r="E72" s="1"/>
      <c r="F72" s="1">
        <v>1.057</v>
      </c>
      <c r="G72" s="1">
        <v>1.1578</v>
      </c>
      <c r="H72" s="1"/>
      <c r="I72" s="1"/>
      <c r="J72" s="1">
        <v>1.0716</v>
      </c>
      <c r="K72" s="1">
        <v>1.7592</v>
      </c>
      <c r="L72" s="1"/>
      <c r="M72" s="1">
        <v>1.0547</v>
      </c>
      <c r="N72" s="1">
        <v>1.1243</v>
      </c>
      <c r="O72" s="1"/>
      <c r="P72" s="1">
        <v>1.1573</v>
      </c>
      <c r="Q72" s="1">
        <v>0.995</v>
      </c>
      <c r="R72" s="1">
        <v>1.0292</v>
      </c>
      <c r="S72" s="1"/>
      <c r="T72" s="1"/>
      <c r="U72" s="1">
        <v>1.1037</v>
      </c>
      <c r="V72" s="1">
        <v>1.0784</v>
      </c>
      <c r="W72" s="1">
        <v>1.33424</v>
      </c>
      <c r="X72" s="1">
        <v>1.0014</v>
      </c>
      <c r="Y72" s="1">
        <v>0.996</v>
      </c>
      <c r="Z72" s="1">
        <v>1.2472</v>
      </c>
      <c r="AA72" s="1"/>
      <c r="AB72" s="1">
        <v>0.9566</v>
      </c>
      <c r="AC72" s="1">
        <v>1.7275</v>
      </c>
      <c r="AD72" s="1">
        <v>1.2997</v>
      </c>
      <c r="AE72" s="1">
        <v>0.9625</v>
      </c>
      <c r="AF72" s="1">
        <v>1.2488</v>
      </c>
      <c r="AG72" s="179">
        <v>2252.239</v>
      </c>
      <c r="AH72" s="179">
        <v>2800.332</v>
      </c>
      <c r="AI72" s="177">
        <v>0.0117</v>
      </c>
      <c r="AJ72" s="177">
        <v>0.0129</v>
      </c>
      <c r="AK72" s="177">
        <v>-0.0027</v>
      </c>
      <c r="AL72" s="177">
        <v>0.0076</v>
      </c>
      <c r="AM72" s="1">
        <v>4115.0063</v>
      </c>
    </row>
  </sheetData>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CDF7"/>
  </sheetPr>
  <dimension ref="A1:CB78"/>
  <sheetViews>
    <sheetView showGridLines="0" zoomScale="76" zoomScaleNormal="76" workbookViewId="0">
      <pane xSplit="9" topLeftCell="J1" activePane="topRight" state="frozen"/>
      <selection/>
      <selection pane="topRight" activeCell="D89" sqref="D89"/>
    </sheetView>
  </sheetViews>
  <sheetFormatPr defaultColWidth="6.50735294117647" defaultRowHeight="16.8"/>
  <cols>
    <col min="1" max="1" width="57.625" style="1" customWidth="1"/>
    <col min="2" max="2" width="11.25" style="1" customWidth="1"/>
    <col min="3" max="3" width="26.25" style="1" customWidth="1"/>
    <col min="4" max="4" width="12.125" style="1" customWidth="1"/>
    <col min="5" max="5" width="16.25" style="1" customWidth="1"/>
    <col min="6" max="6" width="20.5073529411765" style="1" customWidth="1"/>
    <col min="7" max="7" width="15.875" style="1" customWidth="1"/>
    <col min="8" max="8" width="12" style="1" customWidth="1"/>
    <col min="9" max="19" width="15.875" style="1" customWidth="1"/>
    <col min="20" max="20" width="11.25" style="1" customWidth="1"/>
    <col min="21" max="21" width="10" style="1" customWidth="1"/>
    <col min="22" max="24" width="15.875" style="1" customWidth="1"/>
    <col min="25" max="25" width="11.25" style="1" customWidth="1"/>
    <col min="26" max="34" width="15.875" style="1" customWidth="1"/>
    <col min="35" max="76" width="12.25" style="1" customWidth="1"/>
    <col min="77" max="77" width="10.75" style="1" customWidth="1"/>
    <col min="78" max="80" width="13.375" style="1" customWidth="1"/>
    <col min="81" max="81" width="6.50735294117647" style="1" customWidth="1"/>
    <col min="82" max="16384" width="6.50735294117647" style="1"/>
  </cols>
  <sheetData>
    <row r="1" ht="23.2" spans="1:79">
      <c r="A1" s="149" t="s">
        <v>0</v>
      </c>
      <c r="B1" s="5" t="s">
        <v>78</v>
      </c>
      <c r="C1" s="150">
        <f>周报!A3</f>
        <v>45961</v>
      </c>
      <c r="D1" s="5" t="s">
        <v>79</v>
      </c>
      <c r="E1" s="5"/>
      <c r="F1" s="159">
        <v>88841762.85</v>
      </c>
      <c r="G1" s="160" t="s">
        <v>80</v>
      </c>
      <c r="H1" s="160"/>
      <c r="BX1" s="5"/>
      <c r="BY1" s="5"/>
      <c r="BZ1" s="5"/>
      <c r="CA1" s="5"/>
    </row>
    <row r="2" ht="19.5" customHeight="1" spans="1:80">
      <c r="A2" s="149" t="s">
        <v>81</v>
      </c>
      <c r="B2" s="151" t="s">
        <v>82</v>
      </c>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1"/>
      <c r="BP2" s="151"/>
      <c r="BQ2" s="151"/>
      <c r="BR2" s="151"/>
      <c r="BS2" s="151"/>
      <c r="BT2" s="151"/>
      <c r="BU2" s="151"/>
      <c r="BV2" s="151"/>
      <c r="BW2" s="151"/>
      <c r="BX2" s="151"/>
      <c r="BY2" s="151"/>
      <c r="BZ2" s="151"/>
      <c r="CA2" s="151"/>
      <c r="CB2" s="151" t="s">
        <v>17</v>
      </c>
    </row>
    <row r="3" s="148" customFormat="1" ht="23.2" spans="1:80">
      <c r="A3" s="152"/>
      <c r="B3" s="153" t="s">
        <v>83</v>
      </c>
      <c r="C3" s="153" t="s">
        <v>84</v>
      </c>
      <c r="D3" s="153" t="s">
        <v>85</v>
      </c>
      <c r="E3" s="153" t="s">
        <v>86</v>
      </c>
      <c r="F3" s="153" t="s">
        <v>87</v>
      </c>
      <c r="G3" s="153"/>
      <c r="H3" s="153"/>
      <c r="I3" s="163"/>
      <c r="J3" s="163">
        <v>45961</v>
      </c>
      <c r="K3" s="163">
        <v>45954</v>
      </c>
      <c r="L3" s="163">
        <v>45947</v>
      </c>
      <c r="M3" s="163">
        <v>45940</v>
      </c>
      <c r="N3" s="163">
        <v>45926</v>
      </c>
      <c r="O3" s="163">
        <v>45919</v>
      </c>
      <c r="P3" s="163">
        <v>45912</v>
      </c>
      <c r="Q3" s="163">
        <v>45905</v>
      </c>
      <c r="R3" s="163">
        <v>45898</v>
      </c>
      <c r="S3" s="163">
        <v>45891</v>
      </c>
      <c r="T3" s="163">
        <v>45884</v>
      </c>
      <c r="U3" s="163">
        <v>45877</v>
      </c>
      <c r="V3" s="163">
        <v>45870</v>
      </c>
      <c r="W3" s="163">
        <v>45863</v>
      </c>
      <c r="X3" s="163">
        <v>45856</v>
      </c>
      <c r="Y3" s="163">
        <v>45849</v>
      </c>
      <c r="Z3" s="163">
        <v>45842</v>
      </c>
      <c r="AA3" s="163">
        <v>45835</v>
      </c>
      <c r="AB3" s="163">
        <v>45828</v>
      </c>
      <c r="AC3" s="163">
        <v>45821</v>
      </c>
      <c r="AD3" s="163">
        <v>45814</v>
      </c>
      <c r="AE3" s="163">
        <v>45807</v>
      </c>
      <c r="AF3" s="163">
        <v>45800</v>
      </c>
      <c r="AG3" s="163">
        <v>45793</v>
      </c>
      <c r="AH3" s="163">
        <v>45786</v>
      </c>
      <c r="AI3" s="163">
        <v>45772</v>
      </c>
      <c r="AJ3" s="163">
        <v>45765</v>
      </c>
      <c r="AK3" s="163">
        <v>45758</v>
      </c>
      <c r="AL3" s="163">
        <v>45750</v>
      </c>
      <c r="AM3" s="163">
        <v>45744</v>
      </c>
      <c r="AN3" s="163">
        <v>45737</v>
      </c>
      <c r="AO3" s="163">
        <v>45730</v>
      </c>
      <c r="AP3" s="163">
        <v>45723</v>
      </c>
      <c r="AQ3" s="163">
        <v>45716</v>
      </c>
      <c r="AR3" s="163">
        <v>45709</v>
      </c>
      <c r="AS3" s="163">
        <v>45702</v>
      </c>
      <c r="AT3" s="163">
        <v>45695</v>
      </c>
      <c r="AU3" s="163">
        <v>45684</v>
      </c>
      <c r="AV3" s="163">
        <v>45681</v>
      </c>
      <c r="AW3" s="163">
        <v>45674</v>
      </c>
      <c r="AX3" s="163">
        <v>45667</v>
      </c>
      <c r="AY3" s="163">
        <v>45660</v>
      </c>
      <c r="AZ3" s="163">
        <v>45653</v>
      </c>
      <c r="BA3" s="163">
        <v>45646</v>
      </c>
      <c r="BB3" s="163">
        <v>45639</v>
      </c>
      <c r="BC3" s="163">
        <v>45632</v>
      </c>
      <c r="BD3" s="163">
        <v>45625</v>
      </c>
      <c r="BE3" s="163">
        <v>45618</v>
      </c>
      <c r="BF3" s="163">
        <v>45611</v>
      </c>
      <c r="BG3" s="163">
        <v>45604</v>
      </c>
      <c r="BH3" s="163">
        <v>45597</v>
      </c>
      <c r="BI3" s="163">
        <v>45590</v>
      </c>
      <c r="BJ3" s="163">
        <v>45583</v>
      </c>
      <c r="BK3" s="163">
        <v>45576</v>
      </c>
      <c r="BL3" s="163">
        <v>45565</v>
      </c>
      <c r="BM3" s="163">
        <v>45562</v>
      </c>
      <c r="BN3" s="163">
        <v>45555</v>
      </c>
      <c r="BO3" s="163">
        <v>45548</v>
      </c>
      <c r="BP3" s="163">
        <v>45541</v>
      </c>
      <c r="BQ3" s="163">
        <v>45534</v>
      </c>
      <c r="BR3" s="163">
        <v>45527</v>
      </c>
      <c r="BS3" s="163">
        <v>45520</v>
      </c>
      <c r="BT3" s="163">
        <v>45513</v>
      </c>
      <c r="BU3" s="163">
        <v>45506</v>
      </c>
      <c r="BV3" s="163">
        <v>45499</v>
      </c>
      <c r="BW3" s="163">
        <v>45492</v>
      </c>
      <c r="BX3" s="163">
        <v>45485</v>
      </c>
      <c r="BY3" s="169">
        <v>45478</v>
      </c>
      <c r="BZ3" s="169">
        <v>45471</v>
      </c>
      <c r="CA3" s="163">
        <v>45464</v>
      </c>
      <c r="CB3" s="163">
        <v>45460</v>
      </c>
    </row>
    <row r="4" spans="2:78">
      <c r="B4" s="35" t="s">
        <v>88</v>
      </c>
      <c r="C4" s="5" t="s">
        <v>39</v>
      </c>
      <c r="D4" s="154">
        <f>VLOOKUP(C4,draft!$A:$I,9,FALSE)</f>
        <v>7.1654</v>
      </c>
      <c r="E4" s="161">
        <v>5500000</v>
      </c>
      <c r="F4" s="161">
        <f>D4*$F$1*0.01</f>
        <v>6365867.6752539</v>
      </c>
      <c r="I4" s="16"/>
      <c r="J4" s="164">
        <f>VLOOKUP(J$3,子基金及业绩基准周净值!$A:$F,2)</f>
        <v>1.109406</v>
      </c>
      <c r="K4" s="164">
        <f>VLOOKUP(K$3,子基金及业绩基准周净值!$A:$F,2)</f>
        <v>1.102846</v>
      </c>
      <c r="L4" s="164">
        <f>VLOOKUP(L$3,子基金及业绩基准周净值!$A:$F,2)</f>
        <v>1.11326</v>
      </c>
      <c r="M4" s="164">
        <f>VLOOKUP(M$3,子基金及业绩基准周净值!$A:$F,2)</f>
        <v>1.103748</v>
      </c>
      <c r="N4" s="164">
        <f>VLOOKUP(N$3,子基金及业绩基准周净值!$A:$F,2)</f>
        <v>1.116786</v>
      </c>
      <c r="O4" s="164">
        <f>VLOOKUP(O$3,子基金及业绩基准周净值!$A:$F,2)</f>
        <v>1.099074</v>
      </c>
      <c r="P4" s="164">
        <f>VLOOKUP(P$3,子基金及业绩基准周净值!$A:$F,2)</f>
        <v>1.108832</v>
      </c>
      <c r="Q4" s="164">
        <f>VLOOKUP(Q$3,子基金及业绩基准周净值!$A:$F,2)</f>
        <v>1.103748</v>
      </c>
      <c r="R4" s="164">
        <f>VLOOKUP(R$3,子基金及业绩基准周净值!$A:$F,2)</f>
        <v>1.105388</v>
      </c>
      <c r="S4" s="164">
        <f>VLOOKUP(S$3,子基金及业绩基准周净值!$A:$F,2)</f>
        <v>1.108996</v>
      </c>
      <c r="T4" s="164">
        <f>VLOOKUP(T$3,子基金及业绩基准周净值!$A:$F,2)</f>
        <v>1.100878</v>
      </c>
      <c r="U4" s="164">
        <f>VLOOKUP(U$3,子基金及业绩基准周净值!$A:$F,2)</f>
        <v>1.09891</v>
      </c>
      <c r="V4" s="164">
        <f>VLOOKUP(V$3,子基金及业绩基准周净值!$A:$F,2)</f>
        <v>1.09768</v>
      </c>
      <c r="W4" s="164">
        <f>VLOOKUP(W$3,子基金及业绩基准周净值!$A:$F,2)</f>
        <v>1.100468</v>
      </c>
      <c r="X4" s="164">
        <f>VLOOKUP(X$3,子基金及业绩基准周净值!$A:$F,2)</f>
        <v>1.09932</v>
      </c>
      <c r="Y4" s="164">
        <f>VLOOKUP(Y$3,子基金及业绩基准周净值!$A:$F,2)</f>
        <v>1.0988</v>
      </c>
      <c r="Z4" s="164">
        <f>VLOOKUP(Z$3,子基金及业绩基准周净值!$A:$F,2)</f>
        <v>1.100304</v>
      </c>
      <c r="AA4" s="164">
        <f>VLOOKUP(AA$3,子基金及业绩基准周净值!$A:$F,2)</f>
        <v>1.102272</v>
      </c>
      <c r="AB4" s="164">
        <f>VLOOKUP(AB$3,子基金及业绩基准周净值!$A:$F,2)</f>
        <v>1.10547</v>
      </c>
      <c r="AC4" s="164">
        <f>VLOOKUP(AC$3,子基金及业绩基准周净值!$A:$F,2)</f>
        <v>1.105224</v>
      </c>
      <c r="AD4" s="164">
        <f>VLOOKUP(AD$3,子基金及业绩基准周净值!$A:$F,2)</f>
        <v>1.10752</v>
      </c>
      <c r="AE4" s="164">
        <f>VLOOKUP(AE$3,子基金及业绩基准周净值!$A:$F,2)</f>
        <v>1.10916</v>
      </c>
      <c r="AF4" s="164">
        <f>VLOOKUP(AF$3,子基金及业绩基准周净值!$A:$F,2)</f>
        <v>1.110882</v>
      </c>
      <c r="AG4" s="164">
        <f>VLOOKUP(AG$3,子基金及业绩基准周净值!$A:$F,2)</f>
        <v>1.111046</v>
      </c>
      <c r="AH4" s="164">
        <f>VLOOKUP(AH$3,子基金及业绩基准周净值!$A:$F,2)</f>
        <v>1.112604</v>
      </c>
      <c r="AI4" s="164">
        <f>VLOOKUP(AI$3,子基金及业绩基准周净值!$A:$F,2)</f>
        <v>1.109652</v>
      </c>
      <c r="AJ4" s="164">
        <f>VLOOKUP(AJ$3,子基金及业绩基准周净值!$A:$F,2)</f>
        <v>1.110062</v>
      </c>
      <c r="AK4" s="164">
        <f>VLOOKUP(AK$3,子基金及业绩基准周净值!$A:$F,2)</f>
        <v>1.11203</v>
      </c>
      <c r="AL4" s="164">
        <f>VLOOKUP(AL$3,子基金及业绩基准周净值!$A:$F,2)</f>
        <v>1.093826</v>
      </c>
      <c r="AM4" s="164">
        <f>VLOOKUP(AM$3,子基金及业绩基准周净值!$A:$F,2)</f>
        <v>1.088824</v>
      </c>
      <c r="AN4" s="164">
        <f>VLOOKUP(AN$3,子基金及业绩基准周净值!$A:$F,2)</f>
        <v>1.08989</v>
      </c>
      <c r="AO4" s="164">
        <f>VLOOKUP(AO$3,子基金及业绩基准周净值!$A:$F,2)</f>
        <v>1.086692</v>
      </c>
      <c r="AP4" s="164">
        <f>VLOOKUP(AP$3,子基金及业绩基准周净值!$A:$F,2)</f>
        <v>1.08579</v>
      </c>
      <c r="AQ4" s="164">
        <f>VLOOKUP(AQ$3,子基金及业绩基准周净值!$A:$F,2)</f>
        <v>1.090136</v>
      </c>
      <c r="AR4" s="164">
        <f>VLOOKUP(AR$3,子基金及业绩基准周净值!$A:$F,2)</f>
        <v>1.08128</v>
      </c>
      <c r="AS4" s="164">
        <f>VLOOKUP(AS$3,子基金及业绩基准周净值!$A:$F,2)</f>
        <v>1.07513</v>
      </c>
      <c r="AT4" s="164">
        <f>VLOOKUP(AT$3,子基金及业绩基准周净值!$A:$F,2)</f>
        <v>1.0682</v>
      </c>
      <c r="AU4" s="164">
        <f>VLOOKUP(AU$3,子基金及业绩基准周净值!$A:$F,2)</f>
        <v>1.06447</v>
      </c>
      <c r="AV4" s="164">
        <f>VLOOKUP(AV$3,子基金及业绩基准周净值!$A:$F,2)</f>
        <v>1.0609</v>
      </c>
      <c r="AW4" s="164">
        <f>VLOOKUP(AW$3,子基金及业绩基准周净值!$A:$F,2)</f>
        <v>1.0606</v>
      </c>
      <c r="AX4" s="164">
        <f>VLOOKUP(AX$3,子基金及业绩基准周净值!$A:$F,2)</f>
        <v>1.0588</v>
      </c>
      <c r="AY4" s="164">
        <f>VLOOKUP(AY$3,子基金及业绩基准周净值!$A:$F,2)</f>
        <v>1.0524</v>
      </c>
      <c r="AZ4" s="164">
        <f>VLOOKUP(AZ$3,子基金及业绩基准周净值!$A:$F,2)</f>
        <v>1.122052</v>
      </c>
      <c r="BA4" s="164">
        <f>VLOOKUP(BA$3,子基金及业绩基准周净值!$A:$F,2)</f>
        <v>1.125086</v>
      </c>
      <c r="BB4" s="164">
        <f>VLOOKUP(BB$3,子基金及业绩基准周净值!$A:$F,2)</f>
        <v>1.124594</v>
      </c>
      <c r="BC4" s="164">
        <f>VLOOKUP(BC$3,子基金及业绩基准周净值!$A:$F,2)</f>
        <v>1.11213</v>
      </c>
      <c r="BD4" s="164">
        <f>VLOOKUP(BD$3,子基金及业绩基准周净值!$A:$F,2)</f>
        <v>1.117296</v>
      </c>
      <c r="BE4" s="164">
        <f>VLOOKUP(BE$3,子基金及业绩基准周净值!$A:$F,2)</f>
        <v>1.1191</v>
      </c>
      <c r="BF4" s="164">
        <f>VLOOKUP(BF$3,子基金及业绩基准周净值!$A:$F,2)</f>
        <v>1.117378</v>
      </c>
      <c r="BG4" s="164">
        <f>VLOOKUP(BG$3,子基金及业绩基准周净值!$A:$F,2)</f>
        <v>1.107374</v>
      </c>
      <c r="BH4" s="164">
        <f>VLOOKUP(BH$3,子基金及业绩基准周净值!$A:$F,2)</f>
        <v>1.081298</v>
      </c>
      <c r="BI4" s="164">
        <f>VLOOKUP(BI$3,子基金及业绩基准周净值!$A:$F,2)</f>
        <v>1.077116</v>
      </c>
      <c r="BJ4" s="164">
        <f>VLOOKUP(BJ$3,子基金及业绩基准周净值!$A:$F,2)</f>
        <v>1.079986</v>
      </c>
      <c r="BK4" s="164">
        <f>VLOOKUP(BK$3,子基金及业绩基准周净值!$A:$F,2)</f>
        <v>1.074246</v>
      </c>
      <c r="BL4" s="164">
        <f>VLOOKUP(BL$3,子基金及业绩基准周净值!$A:$F,2)</f>
        <v>1.0662</v>
      </c>
      <c r="BM4" s="164">
        <f>VLOOKUP(BM$3,子基金及业绩基准周净值!$A:$F,2)</f>
        <v>1.0705</v>
      </c>
      <c r="BN4" s="164">
        <f>VLOOKUP(BN$3,子基金及业绩基准周净值!$A:$F,2)</f>
        <v>1.0718</v>
      </c>
      <c r="BO4" s="164">
        <f>VLOOKUP(BO$3,子基金及业绩基准周净值!$A:$F,2)</f>
        <v>1.0757</v>
      </c>
      <c r="BP4" s="164">
        <f>VLOOKUP(BP$3,子基金及业绩基准周净值!$A:$F,2)</f>
        <v>1.0775</v>
      </c>
      <c r="BQ4" s="164">
        <f>VLOOKUP(BQ$3,子基金及业绩基准周净值!$A:$F,2)</f>
        <v>1.078</v>
      </c>
      <c r="BR4" s="164">
        <f>VLOOKUP(BR$3,子基金及业绩基准周净值!$A:$F,2)</f>
        <v>1.0783</v>
      </c>
      <c r="BS4" s="164">
        <f>VLOOKUP(BS$3,子基金及业绩基准周净值!$A:$F,2)</f>
        <v>1.0767</v>
      </c>
      <c r="BT4" s="164">
        <f>VLOOKUP(BT$3,子基金及业绩基准周净值!$A:$F,2)</f>
        <v>1.0762</v>
      </c>
      <c r="BU4" s="164">
        <f>VLOOKUP(BU$3,子基金及业绩基准周净值!$A:$F,2)</f>
        <v>1.0615</v>
      </c>
      <c r="BV4" s="168">
        <f>VLOOKUP(BV$3,子基金及业绩基准周净值!$A:$F,2)</f>
        <v>1.0585</v>
      </c>
      <c r="BW4" s="168">
        <f>VLOOKUP(BW$3,子基金及业绩基准周净值!$A:$F,2)</f>
        <v>1.0536</v>
      </c>
      <c r="BX4" s="168">
        <f>VLOOKUP(BX$3,子基金及业绩基准周净值!$A:$F,2)</f>
        <v>1.0527</v>
      </c>
      <c r="BY4" s="168">
        <f>VLOOKUP(BY$3,子基金及业绩基准周净值!$A:$F,2)</f>
        <v>1.0518</v>
      </c>
      <c r="BZ4" s="168">
        <f>VLOOKUP(BZ$3,子基金及业绩基准周净值!$A:$F,2)</f>
        <v>1.051</v>
      </c>
    </row>
    <row r="5" spans="2:78">
      <c r="B5" s="35" t="s">
        <v>88</v>
      </c>
      <c r="C5" s="155" t="s">
        <v>40</v>
      </c>
      <c r="D5" s="154"/>
      <c r="E5" s="161"/>
      <c r="F5" s="161">
        <f>D5*$F$1*0.01</f>
        <v>0</v>
      </c>
      <c r="I5" s="165"/>
      <c r="J5" s="166" t="s">
        <v>37</v>
      </c>
      <c r="K5" s="166" t="s">
        <v>37</v>
      </c>
      <c r="L5" s="166" t="s">
        <v>37</v>
      </c>
      <c r="M5" s="166" t="s">
        <v>37</v>
      </c>
      <c r="N5" s="166" t="s">
        <v>37</v>
      </c>
      <c r="O5" s="166" t="s">
        <v>37</v>
      </c>
      <c r="P5" s="166" t="s">
        <v>37</v>
      </c>
      <c r="Q5" s="166" t="s">
        <v>37</v>
      </c>
      <c r="R5" s="166" t="s">
        <v>37</v>
      </c>
      <c r="S5" s="166" t="s">
        <v>37</v>
      </c>
      <c r="T5" s="166" t="s">
        <v>37</v>
      </c>
      <c r="U5" s="166" t="s">
        <v>37</v>
      </c>
      <c r="V5" s="166" t="s">
        <v>37</v>
      </c>
      <c r="W5" s="166" t="s">
        <v>37</v>
      </c>
      <c r="X5" s="166" t="s">
        <v>37</v>
      </c>
      <c r="Y5" s="166" t="s">
        <v>37</v>
      </c>
      <c r="Z5" s="166" t="s">
        <v>37</v>
      </c>
      <c r="AA5" s="166" t="s">
        <v>37</v>
      </c>
      <c r="AB5" s="166" t="s">
        <v>37</v>
      </c>
      <c r="AC5" s="166" t="s">
        <v>37</v>
      </c>
      <c r="AD5" s="166" t="s">
        <v>37</v>
      </c>
      <c r="AE5" s="166" t="s">
        <v>37</v>
      </c>
      <c r="AF5" s="166" t="s">
        <v>37</v>
      </c>
      <c r="AG5" s="166" t="s">
        <v>37</v>
      </c>
      <c r="AH5" s="166" t="s">
        <v>37</v>
      </c>
      <c r="AI5" s="166" t="s">
        <v>37</v>
      </c>
      <c r="AJ5" s="166" t="s">
        <v>37</v>
      </c>
      <c r="AK5" s="166" t="s">
        <v>37</v>
      </c>
      <c r="AL5" s="166" t="s">
        <v>37</v>
      </c>
      <c r="AM5" s="166" t="s">
        <v>37</v>
      </c>
      <c r="AN5" s="166" t="s">
        <v>37</v>
      </c>
      <c r="AO5" s="166" t="s">
        <v>37</v>
      </c>
      <c r="AP5" s="166" t="s">
        <v>37</v>
      </c>
      <c r="AQ5" s="166" t="s">
        <v>37</v>
      </c>
      <c r="AR5" s="166" t="s">
        <v>37</v>
      </c>
      <c r="AS5" s="166" t="s">
        <v>37</v>
      </c>
      <c r="AT5" s="166" t="s">
        <v>37</v>
      </c>
      <c r="AU5" s="166" t="s">
        <v>37</v>
      </c>
      <c r="AV5" s="166" t="s">
        <v>37</v>
      </c>
      <c r="AW5" s="166" t="s">
        <v>37</v>
      </c>
      <c r="AX5" s="166" t="s">
        <v>37</v>
      </c>
      <c r="AY5" s="166" t="s">
        <v>37</v>
      </c>
      <c r="AZ5" s="164">
        <f>VLOOKUP(AZ$3,子基金及业绩基准周净值!$A:$F,3)</f>
        <v>1.4122</v>
      </c>
      <c r="BA5" s="164">
        <f>VLOOKUP(BA$3,子基金及业绩基准周净值!$A:$F,3)</f>
        <v>1.4106</v>
      </c>
      <c r="BB5" s="164">
        <f>VLOOKUP(BB$3,子基金及业绩基准周净值!$A:$F,3)</f>
        <v>1.4106</v>
      </c>
      <c r="BC5" s="164">
        <f>VLOOKUP(BC$3,子基金及业绩基准周净值!$A:$F,3)</f>
        <v>1.4106</v>
      </c>
      <c r="BD5" s="164">
        <f>VLOOKUP(BD$3,子基金及业绩基准周净值!$A:$F,3)</f>
        <v>1.4106</v>
      </c>
      <c r="BE5" s="164">
        <f>VLOOKUP(BE$3,子基金及业绩基准周净值!$A:$F,3)</f>
        <v>1.4098</v>
      </c>
      <c r="BF5" s="164">
        <f>VLOOKUP(BF$3,子基金及业绩基准周净值!$A:$F,3)</f>
        <v>1.4122</v>
      </c>
      <c r="BG5" s="164">
        <f>VLOOKUP(BG$3,子基金及业绩基准周净值!$A:$F,3)</f>
        <v>1.417</v>
      </c>
      <c r="BH5" s="164">
        <f>VLOOKUP(BH$3,子基金及业绩基准周净值!$A:$F,3)</f>
        <v>1.421</v>
      </c>
      <c r="BI5" s="164">
        <f>VLOOKUP(BI$3,子基金及业绩基准周净值!$A:$F,3)</f>
        <v>1.4194</v>
      </c>
      <c r="BJ5" s="164">
        <f>VLOOKUP(BJ$3,子基金及业绩基准周净值!$A:$F,3)</f>
        <v>1.4178</v>
      </c>
      <c r="BK5" s="164">
        <f>VLOOKUP(BK$3,子基金及业绩基准周净值!$A:$F,3)</f>
        <v>1.4162</v>
      </c>
      <c r="BL5" s="164">
        <f>VLOOKUP(BL$3,子基金及业绩基准周净值!$A:$F,3)</f>
        <v>1.409</v>
      </c>
      <c r="BM5" s="164">
        <f>VLOOKUP(BM$3,子基金及业绩基准周净值!$A:$F,3)</f>
        <v>1.406</v>
      </c>
      <c r="BN5" s="164">
        <f>VLOOKUP(BN$3,子基金及业绩基准周净值!$A:$F,3)</f>
        <v>1.389</v>
      </c>
      <c r="BO5" s="164">
        <f>VLOOKUP(BO$3,子基金及业绩基准周净值!$A:$F,3)</f>
        <v>1.39</v>
      </c>
      <c r="BP5" s="164">
        <f>VLOOKUP(BP$3,子基金及业绩基准周净值!$A:$F,3)</f>
        <v>1.389</v>
      </c>
      <c r="BQ5" s="164">
        <f>VLOOKUP(BQ$3,子基金及业绩基准周净值!$A:$F,3)</f>
        <v>1.391</v>
      </c>
      <c r="BR5" s="164">
        <f>VLOOKUP(BR$3,子基金及业绩基准周净值!$A:$F,3)</f>
        <v>1.388</v>
      </c>
      <c r="BS5" s="164">
        <f>VLOOKUP(BS$3,子基金及业绩基准周净值!$A:$F,3)</f>
        <v>1.388</v>
      </c>
      <c r="BT5" s="164">
        <f>VLOOKUP(BT$3,子基金及业绩基准周净值!$A:$F,3)</f>
        <v>1.388</v>
      </c>
      <c r="BU5" s="164">
        <f>VLOOKUP(BU$3,子基金及业绩基准周净值!$A:$F,3)</f>
        <v>1.385</v>
      </c>
      <c r="BV5" s="168">
        <f>VLOOKUP(BV$3,子基金及业绩基准周净值!$A:$F,3)</f>
        <v>1.388</v>
      </c>
      <c r="BW5" s="168">
        <f>VLOOKUP(BW$3,子基金及业绩基准周净值!$A:$F,3)</f>
        <v>1.386</v>
      </c>
      <c r="BX5" s="168">
        <f>VLOOKUP(BX$3,子基金及业绩基准周净值!$A:$F,3)</f>
        <v>1.385</v>
      </c>
      <c r="BY5" s="168">
        <f>VLOOKUP(BY$3,子基金及业绩基准周净值!$A:$F,3)</f>
        <v>1.387</v>
      </c>
      <c r="BZ5" s="168">
        <f>VLOOKUP(BZ$3,子基金及业绩基准周净值!$A:$F,3)</f>
        <v>1.386</v>
      </c>
    </row>
    <row r="6" spans="2:77">
      <c r="B6" s="35" t="s">
        <v>88</v>
      </c>
      <c r="C6" s="5" t="s">
        <v>41</v>
      </c>
      <c r="D6" s="154">
        <f>VLOOKUP(C6,draft!$A:$I,9,FALSE)</f>
        <v>7.0755</v>
      </c>
      <c r="E6" s="161">
        <f>VLOOKUP(C6,draft!$A:$I,5,FALSE)</f>
        <v>5000000</v>
      </c>
      <c r="F6" s="161">
        <f>D6*$F$1*0.01</f>
        <v>6285998.93045175</v>
      </c>
      <c r="I6" s="16"/>
      <c r="J6" s="164">
        <f>VLOOKUP(J$3,子基金及业绩基准周净值!$A:$F,4)</f>
        <v>1.7657</v>
      </c>
      <c r="K6" s="164">
        <f>VLOOKUP(K$3,子基金及业绩基准周净值!$A:$F,4)</f>
        <v>1.7553</v>
      </c>
      <c r="L6" s="164">
        <f>VLOOKUP(L$3,子基金及业绩基准周净值!$A:$F,4)</f>
        <v>1.7406</v>
      </c>
      <c r="M6" s="164">
        <f>VLOOKUP(M$3,子基金及业绩基准周净值!$A:$F,4)</f>
        <v>1.747</v>
      </c>
      <c r="N6" s="164">
        <f>VLOOKUP(N$3,子基金及业绩基准周净值!$A:$F,4)</f>
        <v>1.7439</v>
      </c>
      <c r="O6" s="164">
        <f>VLOOKUP(O$3,子基金及业绩基准周净值!$A:$F,4)</f>
        <v>1.7316</v>
      </c>
      <c r="P6" s="164">
        <f>VLOOKUP(P$3,子基金及业绩基准周净值!$A:$F,4)</f>
        <v>1.7257</v>
      </c>
      <c r="Q6" s="164">
        <f>VLOOKUP(Q$3,子基金及业绩基准周净值!$A:$F,4)</f>
        <v>1.7169</v>
      </c>
      <c r="R6" s="164">
        <f>VLOOKUP(R$3,子基金及业绩基准周净值!$A:$F,4)</f>
        <v>1.7057</v>
      </c>
      <c r="S6" s="164">
        <f>VLOOKUP(S$3,子基金及业绩基准周净值!$A:$F,4)</f>
        <v>1.6983</v>
      </c>
      <c r="T6" s="164">
        <f>VLOOKUP(T$3,子基金及业绩基准周净值!$A:$F,4)</f>
        <v>1.6885</v>
      </c>
      <c r="U6" s="164">
        <f>VLOOKUP(U$3,子基金及业绩基准周净值!$A:$F,4)</f>
        <v>1.6761</v>
      </c>
      <c r="V6" s="164">
        <f>VLOOKUP(V$3,子基金及业绩基准周净值!$A:$F,4)</f>
        <v>1.6764</v>
      </c>
      <c r="W6" s="164">
        <f>VLOOKUP(W$3,子基金及业绩基准周净值!$A:$F,4)</f>
        <v>1.6807</v>
      </c>
      <c r="X6" s="164">
        <f>VLOOKUP(X$3,子基金及业绩基准周净值!$A:$F,4)</f>
        <v>1.6837</v>
      </c>
      <c r="Y6" s="164">
        <f>VLOOKUP(Y$3,子基金及业绩基准周净值!$A:$F,4)</f>
        <v>1.6782</v>
      </c>
      <c r="Z6" s="164">
        <f>VLOOKUP(Z$3,子基金及业绩基准周净值!$A:$F,4)</f>
        <v>1.6766</v>
      </c>
      <c r="AA6" s="164">
        <f>VLOOKUP(AA$3,子基金及业绩基准周净值!$A:$F,4)</f>
        <v>1.675</v>
      </c>
      <c r="AB6" s="164">
        <f>VLOOKUP(AB$3,子基金及业绩基准周净值!$A:$F,4)</f>
        <v>1.6694</v>
      </c>
      <c r="AC6" s="164">
        <f>VLOOKUP(AC$3,子基金及业绩基准周净值!$A:$F,4)</f>
        <v>1.6701</v>
      </c>
      <c r="AD6" s="164">
        <f>VLOOKUP(AD$3,子基金及业绩基准周净值!$A:$F,4)</f>
        <v>1.6683</v>
      </c>
      <c r="AE6" s="164">
        <f>VLOOKUP(AE$3,子基金及业绩基准周净值!$A:$F,4)</f>
        <v>1.6715</v>
      </c>
      <c r="AF6" s="164">
        <f>VLOOKUP(AF$3,子基金及业绩基准周净值!$A:$F,4)</f>
        <v>1.6695</v>
      </c>
      <c r="AG6" s="164">
        <f>VLOOKUP(AG$3,子基金及业绩基准周净值!$A:$F,4)</f>
        <v>1.6685</v>
      </c>
      <c r="AH6" s="164">
        <f>VLOOKUP(AH$3,子基金及业绩基准周净值!$A:$F,4)</f>
        <v>1.6645</v>
      </c>
      <c r="AI6" s="164">
        <f>VLOOKUP(AI$3,子基金及业绩基准周净值!$A:$F,4)</f>
        <v>1.6587</v>
      </c>
      <c r="AJ6" s="164">
        <f>VLOOKUP(AJ$3,子基金及业绩基准周净值!$A:$F,4)</f>
        <v>1.6629</v>
      </c>
      <c r="AK6" s="164">
        <f>VLOOKUP(AK$3,子基金及业绩基准周净值!$A:$F,4)</f>
        <v>1.6575</v>
      </c>
      <c r="AL6" s="164">
        <f>VLOOKUP(AL$3,子基金及业绩基准周净值!$A:$F,4)</f>
        <v>1.5796</v>
      </c>
      <c r="AM6" s="164">
        <f>VLOOKUP(AM$3,子基金及业绩基准周净值!$A:$F,4)</f>
        <v>1.5773</v>
      </c>
      <c r="AN6" s="164">
        <f>VLOOKUP(AN$3,子基金及业绩基准周净值!$A:$F,4)</f>
        <v>1.5789</v>
      </c>
      <c r="AO6" s="164">
        <f>VLOOKUP(AO$3,子基金及业绩基准周净值!$A:$F,4)</f>
        <v>1.5794</v>
      </c>
      <c r="AP6" s="164">
        <f>VLOOKUP(AP$3,子基金及业绩基准周净值!$A:$F,4)</f>
        <v>1.5733</v>
      </c>
      <c r="AQ6" s="164">
        <f>VLOOKUP(AQ$3,子基金及业绩基准周净值!$A:$F,4)</f>
        <v>1.5709</v>
      </c>
      <c r="AR6" s="164">
        <f>VLOOKUP(AR$3,子基金及业绩基准周净值!$A:$F,4)</f>
        <v>1.5666</v>
      </c>
      <c r="AS6" s="164">
        <f>VLOOKUP(AS$3,子基金及业绩基准周净值!$A:$F,4)</f>
        <v>1.5625</v>
      </c>
      <c r="AT6" s="164">
        <f>VLOOKUP(AT$3,子基金及业绩基准周净值!$A:$F,4)</f>
        <v>1.5603</v>
      </c>
      <c r="AU6" s="164">
        <f>VLOOKUP(AU$3,子基金及业绩基准周净值!$A:$F,4)</f>
        <v>1.5537</v>
      </c>
      <c r="AV6" s="164">
        <f>VLOOKUP(AV$3,子基金及业绩基准周净值!$A:$F,4)</f>
        <v>1.5504</v>
      </c>
      <c r="AW6" s="164">
        <f>VLOOKUP(AW$3,子基金及业绩基准周净值!$A:$F,4)</f>
        <v>1.5443</v>
      </c>
      <c r="AX6" s="164">
        <f>VLOOKUP(AX$3,子基金及业绩基准周净值!$A:$F,4)</f>
        <v>1.5446</v>
      </c>
      <c r="AY6" s="164">
        <f>VLOOKUP(AY$3,子基金及业绩基准周净值!$A:$F,4)</f>
        <v>1.5327</v>
      </c>
      <c r="AZ6" s="164">
        <f>VLOOKUP(AZ$3,子基金及业绩基准周净值!$A:$F,4)</f>
        <v>1.5286</v>
      </c>
      <c r="BA6" s="164">
        <f>VLOOKUP(BA$3,子基金及业绩基准周净值!$A:$F,4)</f>
        <v>1.5253</v>
      </c>
      <c r="BB6" s="164">
        <f>VLOOKUP(BB$3,子基金及业绩基准周净值!$A:$F,4)</f>
        <v>1.4958</v>
      </c>
      <c r="BC6" s="164">
        <f>VLOOKUP(BC$3,子基金及业绩基准周净值!$A:$F,4)</f>
        <v>1.49</v>
      </c>
      <c r="BD6" s="164">
        <f>VLOOKUP(BD$3,子基金及业绩基准周净值!$A:$F,4)</f>
        <v>1.4877</v>
      </c>
      <c r="BE6" s="164">
        <f>VLOOKUP(BE$3,子基金及业绩基准周净值!$A:$F,4)</f>
        <v>1.4759</v>
      </c>
      <c r="BF6" s="164">
        <f>VLOOKUP(BF$3,子基金及业绩基准周净值!$A:$F,4)</f>
        <v>1.4727</v>
      </c>
      <c r="BG6" s="164">
        <f>VLOOKUP(BG$3,子基金及业绩基准周净值!$A:$F,4)</f>
        <v>1.4682</v>
      </c>
      <c r="BH6" s="164">
        <f>VLOOKUP(BH$3,子基金及业绩基准周净值!$A:$F,4)</f>
        <v>1.4638</v>
      </c>
      <c r="BI6" s="164">
        <f>VLOOKUP(BI$3,子基金及业绩基准周净值!$A:$F,4)</f>
        <v>1.4599</v>
      </c>
      <c r="BJ6" s="164">
        <f>VLOOKUP(BJ$3,子基金及业绩基准周净值!$A:$F,4)</f>
        <v>1.4585</v>
      </c>
      <c r="BK6" s="164">
        <f>VLOOKUP(BK$3,子基金及业绩基准周净值!$A:$F,4)</f>
        <v>1.441</v>
      </c>
      <c r="BL6" s="164">
        <f>VLOOKUP(BL$3,子基金及业绩基准周净值!$A:$F,4)</f>
        <v>1.4354</v>
      </c>
      <c r="BM6" s="164">
        <f>VLOOKUP(BM$3,子基金及业绩基准周净值!$A:$F,4)</f>
        <v>1.4032</v>
      </c>
      <c r="BN6" s="164">
        <f>VLOOKUP(BN$3,子基金及业绩基准周净值!$A:$F,4)</f>
        <v>1.3748</v>
      </c>
      <c r="BO6" s="164">
        <f>VLOOKUP(BO$3,子基金及业绩基准周净值!$A:$F,4)</f>
        <v>1.3753</v>
      </c>
      <c r="BP6" s="164">
        <f>VLOOKUP(BP$3,子基金及业绩基准周净值!$A:$F,4)</f>
        <v>1.3771</v>
      </c>
      <c r="BQ6" s="164">
        <f>VLOOKUP(BQ$3,子基金及业绩基准周净值!$A:$F,4)</f>
        <v>1.3766</v>
      </c>
      <c r="BR6" s="164">
        <f>VLOOKUP(BR$3,子基金及业绩基准周净值!$A:$F,4)</f>
        <v>1.376</v>
      </c>
      <c r="BS6" s="164">
        <f>VLOOKUP(BS$3,子基金及业绩基准周净值!$A:$F,4)</f>
        <v>1.3774</v>
      </c>
      <c r="BT6" s="164">
        <f>VLOOKUP(BT$3,子基金及业绩基准周净值!$A:$F,4)</f>
        <v>1.3778</v>
      </c>
      <c r="BU6" s="164">
        <f>VLOOKUP(BU$3,子基金及业绩基准周净值!$A:$F,4)</f>
        <v>1.3806</v>
      </c>
      <c r="BV6" s="168">
        <f>VLOOKUP(BV$3,子基金及业绩基准周净值!$A:$F,4)</f>
        <v>1.3807</v>
      </c>
      <c r="BW6" s="168">
        <f>VLOOKUP(BW$3,子基金及业绩基准周净值!$A:$F,4)</f>
        <v>1.3823</v>
      </c>
      <c r="BX6" s="168">
        <f>VLOOKUP(BX$3,子基金及业绩基准周净值!$A:$F,4)</f>
        <v>1.3786</v>
      </c>
      <c r="BY6" s="168">
        <f>VLOOKUP(BY$3,子基金及业绩基准周净值!$A:$F,4)</f>
        <v>1.3759</v>
      </c>
    </row>
    <row r="7" spans="2:76">
      <c r="B7" s="35" t="s">
        <v>89</v>
      </c>
      <c r="C7" s="156" t="s">
        <v>42</v>
      </c>
      <c r="D7" s="154">
        <v>0</v>
      </c>
      <c r="E7" s="161"/>
      <c r="F7" s="161">
        <f>D7*$F$1*0.01</f>
        <v>0</v>
      </c>
      <c r="I7" s="16"/>
      <c r="J7" s="164"/>
      <c r="K7" s="164"/>
      <c r="L7" s="164"/>
      <c r="M7" s="164"/>
      <c r="N7" s="164"/>
      <c r="O7" s="164"/>
      <c r="P7" s="164"/>
      <c r="Q7" s="164"/>
      <c r="R7" s="164"/>
      <c r="S7" s="164"/>
      <c r="T7" s="164"/>
      <c r="U7" s="164"/>
      <c r="V7" s="164"/>
      <c r="W7" s="164"/>
      <c r="X7" s="164"/>
      <c r="Y7" s="164"/>
      <c r="Z7" s="164"/>
      <c r="AA7" s="164"/>
      <c r="AB7" s="164"/>
      <c r="AC7" s="164"/>
      <c r="AD7" s="164"/>
      <c r="AE7" s="164"/>
      <c r="AF7" s="164">
        <f>VLOOKUP(AF$3,子基金及业绩基准周净值!$A:$F,5)</f>
        <v>1.0678</v>
      </c>
      <c r="AG7" s="164">
        <f>VLOOKUP(AG$3,子基金及业绩基准周净值!$A:$F,5)</f>
        <v>1.068</v>
      </c>
      <c r="AH7" s="164">
        <f>VLOOKUP(AH$3,子基金及业绩基准周净值!$A:$F,5)</f>
        <v>1.068</v>
      </c>
      <c r="AI7" s="164">
        <f>VLOOKUP(AI$3,子基金及业绩基准周净值!$A:$F,5)</f>
        <v>1.0686</v>
      </c>
      <c r="AJ7" s="164">
        <f>VLOOKUP(AJ$3,子基金及业绩基准周净值!$A:$F,5)</f>
        <v>1.0681</v>
      </c>
      <c r="AK7" s="164">
        <f>VLOOKUP(AK$3,子基金及业绩基准周净值!$A:$F,5)</f>
        <v>1.0669</v>
      </c>
      <c r="AL7" s="164">
        <f>VLOOKUP(AL$3,子基金及业绩基准周净值!$A:$F,5)</f>
        <v>1.0657</v>
      </c>
      <c r="AM7" s="164">
        <f>VLOOKUP(AM$3,子基金及业绩基准周净值!$A:$F,5)</f>
        <v>1.0645</v>
      </c>
      <c r="AN7" s="164">
        <f>VLOOKUP(AN$3,子基金及业绩基准周净值!$A:$F,5)</f>
        <v>1.0634</v>
      </c>
      <c r="AO7" s="164">
        <f>VLOOKUP(AO$3,子基金及业绩基准周净值!$A:$F,5)</f>
        <v>1.0622</v>
      </c>
      <c r="AP7" s="164">
        <f>VLOOKUP(AP$3,子基金及业绩基准周净值!$A:$F,5)</f>
        <v>1.061</v>
      </c>
      <c r="AQ7" s="164">
        <f>VLOOKUP(AQ$3,子基金及业绩基准周净值!$A:$F,5)</f>
        <v>1.0598</v>
      </c>
      <c r="AR7" s="164">
        <f>VLOOKUP(AR$3,子基金及业绩基准周净值!$A:$F,5)</f>
        <v>1.0586</v>
      </c>
      <c r="AS7" s="164">
        <f>VLOOKUP(AS$3,子基金及业绩基准周净值!$A:$F,5)</f>
        <v>1.0575</v>
      </c>
      <c r="AT7" s="164">
        <f>VLOOKUP(AT$3,子基金及业绩基准周净值!$A:$F,5)</f>
        <v>1.0563</v>
      </c>
      <c r="AU7" s="164">
        <f>VLOOKUP(AU$3,子基金及业绩基准周净值!$A:$F,5)</f>
        <v>1.0555</v>
      </c>
      <c r="AV7" s="164">
        <f>VLOOKUP(AV$3,子基金及业绩基准周净值!$A:$F,5)</f>
        <v>1.0539</v>
      </c>
      <c r="AW7" s="164">
        <f>VLOOKUP(AW$3,子基金及业绩基准周净值!$A:$F,5)</f>
        <v>1.0528</v>
      </c>
      <c r="AX7" s="164">
        <f>VLOOKUP(AX$3,子基金及业绩基准周净值!$A:$F,5)</f>
        <v>1.0516</v>
      </c>
      <c r="AY7" s="164">
        <f>VLOOKUP(AY$3,子基金及业绩基准周净值!$A:$F,5)</f>
        <v>1.0504</v>
      </c>
      <c r="AZ7" s="164">
        <f>VLOOKUP(AZ$3,子基金及业绩基准周净值!$A:$F,5)</f>
        <v>1.0492</v>
      </c>
      <c r="BA7" s="164">
        <f>VLOOKUP(BA$3,子基金及业绩基准周净值!$A:$F,5)</f>
        <v>1.0481</v>
      </c>
      <c r="BB7" s="164">
        <f>VLOOKUP(BB$3,子基金及业绩基准周净值!$A:$F,5)</f>
        <v>1.0469</v>
      </c>
      <c r="BC7" s="164">
        <f>VLOOKUP(BC$3,子基金及业绩基准周净值!$A:$F,5)</f>
        <v>1.0457</v>
      </c>
      <c r="BD7" s="164">
        <f>VLOOKUP(BD$3,子基金及业绩基准周净值!$A:$F,5)</f>
        <v>1.0445</v>
      </c>
      <c r="BE7" s="164">
        <f>VLOOKUP(BE$3,子基金及业绩基准周净值!$A:$F,5)</f>
        <v>1.0434</v>
      </c>
      <c r="BF7" s="164">
        <f>VLOOKUP(BF$3,子基金及业绩基准周净值!$A:$F,5)</f>
        <v>1.0422</v>
      </c>
      <c r="BG7" s="164">
        <f>VLOOKUP(BG$3,子基金及业绩基准周净值!$A:$F,5)</f>
        <v>1.041</v>
      </c>
      <c r="BH7" s="164">
        <f>VLOOKUP(BH$3,子基金及业绩基准周净值!$A:$F,5)</f>
        <v>1.0398</v>
      </c>
      <c r="BI7" s="164">
        <f>VLOOKUP(BI$3,子基金及业绩基准周净值!$A:$F,5)</f>
        <v>1.0387</v>
      </c>
      <c r="BJ7" s="164">
        <f>VLOOKUP(BJ$3,子基金及业绩基准周净值!$A:$F,5)</f>
        <v>1.0327</v>
      </c>
      <c r="BK7" s="164">
        <f>VLOOKUP(BK$3,子基金及业绩基准周净值!$A:$F,5)</f>
        <v>1.0363</v>
      </c>
      <c r="BL7" s="164">
        <f>VLOOKUP(BL$3,子基金及业绩基准周净值!$A:$F,5)</f>
        <v>0.9982</v>
      </c>
      <c r="BM7" s="164">
        <f>VLOOKUP(BM$3,子基金及业绩基准周净值!$A:$F,5)</f>
        <v>1.0016</v>
      </c>
      <c r="BN7" s="164">
        <f>VLOOKUP(BN$3,子基金及业绩基准周净值!$A:$F,5)</f>
        <v>1.0254</v>
      </c>
      <c r="BO7" s="164">
        <f>VLOOKUP(BO$3,子基金及业绩基准周净值!$A:$F,5)</f>
        <v>1.0213</v>
      </c>
      <c r="BP7" s="164">
        <f>VLOOKUP(BP$3,子基金及业绩基准周净值!$A:$F,5)</f>
        <v>1.0217</v>
      </c>
      <c r="BQ7" s="164">
        <f>VLOOKUP(BQ$3,子基金及业绩基准周净值!$A:$F,5)</f>
        <v>1.0173</v>
      </c>
      <c r="BR7" s="164">
        <f>VLOOKUP(BR$3,子基金及业绩基准周净值!$A:$F,5)</f>
        <v>1.0204</v>
      </c>
      <c r="BS7" s="164">
        <f>VLOOKUP(BS$3,子基金及业绩基准周净值!$A:$F,5)</f>
        <v>1.0205</v>
      </c>
      <c r="BT7" s="164">
        <f>VLOOKUP(BT$3,子基金及业绩基准周净值!$A:$F,5)</f>
        <v>1.0195</v>
      </c>
      <c r="BU7" s="164">
        <f>VLOOKUP(BU$3,子基金及业绩基准周净值!$A:$F,5)</f>
        <v>1.0188</v>
      </c>
      <c r="BV7" s="168">
        <f>VLOOKUP(BV$3,子基金及业绩基准周净值!$A:$F,5)</f>
        <v>1.0234</v>
      </c>
      <c r="BW7" s="168">
        <f>VLOOKUP(BW$3,子基金及业绩基准周净值!$A:$F,5)</f>
        <v>1.0227</v>
      </c>
      <c r="BX7" s="168">
        <v>1.0217</v>
      </c>
    </row>
    <row r="8" spans="2:63">
      <c r="B8" s="35" t="s">
        <v>90</v>
      </c>
      <c r="C8" s="5" t="s">
        <v>43</v>
      </c>
      <c r="D8" s="154">
        <f>VLOOKUP(C8,draft!$A:$I,9,FALSE)</f>
        <v>7.3547</v>
      </c>
      <c r="E8" s="161">
        <f>VLOOKUP(C8,draft!$A:$I,5,FALSE)</f>
        <v>6500000</v>
      </c>
      <c r="F8" s="161">
        <f t="shared" ref="F6:F16" si="0">D8*$F$1*0.01</f>
        <v>6534045.13232895</v>
      </c>
      <c r="I8" s="16"/>
      <c r="J8" s="164">
        <f>VLOOKUP(J$3,子基金及业绩基准周净值!$A:$F,6)</f>
        <v>1.057</v>
      </c>
      <c r="K8" s="164">
        <f>VLOOKUP(K$3,子基金及业绩基准周净值!$A:$F,6)</f>
        <v>1.0638</v>
      </c>
      <c r="L8" s="164">
        <f>VLOOKUP(L$3,子基金及业绩基准周净值!$A:$F,6)</f>
        <v>1.0571</v>
      </c>
      <c r="M8" s="164">
        <f>VLOOKUP(M$3,子基金及业绩基准周净值!$A:$F,6)</f>
        <v>1.0527</v>
      </c>
      <c r="N8" s="164">
        <f>VLOOKUP(N$3,子基金及业绩基准周净值!$A:$F,6)</f>
        <v>1.0496</v>
      </c>
      <c r="O8" s="164">
        <f>VLOOKUP(O$3,子基金及业绩基准周净值!$A:$F,6)</f>
        <v>1.0505</v>
      </c>
      <c r="P8" s="164">
        <f>VLOOKUP(P$3,子基金及业绩基准周净值!$A:$F,6)</f>
        <v>1.0496</v>
      </c>
      <c r="Q8" s="164">
        <f>VLOOKUP(Q$3,子基金及业绩基准周净值!$A:$F,6)</f>
        <v>1.0513</v>
      </c>
      <c r="R8" s="164">
        <f>VLOOKUP(R$3,子基金及业绩基准周净值!$A:$F,6)</f>
        <v>1.0524</v>
      </c>
      <c r="S8" s="164">
        <f>VLOOKUP(S$3,子基金及业绩基准周净值!$A:$F,6)</f>
        <v>1.0634</v>
      </c>
      <c r="T8" s="164">
        <f>VLOOKUP(T$3,子基金及业绩基准周净值!$A:$F,6)</f>
        <v>1.0762</v>
      </c>
      <c r="U8" s="164">
        <f>VLOOKUP(U$3,子基金及业绩基准周净值!$A:$F,6)</f>
        <v>1.0953</v>
      </c>
      <c r="V8" s="164">
        <f>VLOOKUP(V$3,子基金及业绩基准周净值!$A:$F,6)</f>
        <v>1.0927</v>
      </c>
      <c r="W8" s="164">
        <f>VLOOKUP(W$3,子基金及业绩基准周净值!$A:$F,6)</f>
        <v>1.0895</v>
      </c>
      <c r="X8" s="164">
        <f>VLOOKUP(X$3,子基金及业绩基准周净值!$A:$F,6)</f>
        <v>1.0928</v>
      </c>
      <c r="Y8" s="164">
        <f>VLOOKUP(Y$3,子基金及业绩基准周净值!$A:$F,6)</f>
        <v>1.0892</v>
      </c>
      <c r="Z8" s="164">
        <f>VLOOKUP(Z$3,子基金及业绩基准周净值!$A:$F,6)</f>
        <v>1.0949</v>
      </c>
      <c r="AA8" s="164">
        <f>VLOOKUP(AA$3,子基金及业绩基准周净值!$A:$F,6)</f>
        <v>1.09</v>
      </c>
      <c r="AB8" s="164">
        <f>VLOOKUP(AB$3,子基金及业绩基准周净值!$A:$F,6)</f>
        <v>1.0962</v>
      </c>
      <c r="AC8" s="164">
        <f>VLOOKUP(AC$3,子基金及业绩基准周净值!$A:$F,6)</f>
        <v>1.0957</v>
      </c>
      <c r="AD8" s="164">
        <f>VLOOKUP(AD$3,子基金及业绩基准周净值!$A:$F,6)</f>
        <v>1.0969</v>
      </c>
      <c r="AE8" s="164">
        <f>VLOOKUP(AE$3,子基金及业绩基准周净值!$A:$F,6)</f>
        <v>1.0967</v>
      </c>
      <c r="AF8" s="164">
        <f>VLOOKUP(AF$3,子基金及业绩基准周净值!$A:$F,6)</f>
        <v>1.0988</v>
      </c>
      <c r="AG8" s="164">
        <f>VLOOKUP(AG$3,子基金及业绩基准周净值!$A:$F,6)</f>
        <v>1.1</v>
      </c>
      <c r="AH8" s="164">
        <f>VLOOKUP(AH$3,子基金及业绩基准周净值!$A:$F,6)</f>
        <v>1.0964</v>
      </c>
      <c r="AI8" s="164">
        <f>VLOOKUP(AI$3,子基金及业绩基准周净值!$A:$F,6)</f>
        <v>1.0907</v>
      </c>
      <c r="AJ8" s="164">
        <f>VLOOKUP(AJ$3,子基金及业绩基准周净值!$A:$F,6)</f>
        <v>1.0856</v>
      </c>
      <c r="AK8" s="164">
        <f>VLOOKUP(AK$3,子基金及业绩基准周净值!$A:$F,6)</f>
        <v>1.0808</v>
      </c>
      <c r="AL8" s="164">
        <f>VLOOKUP(AL$3,子基金及业绩基准周净值!$A:$F,6)</f>
        <v>1.0691</v>
      </c>
      <c r="AM8" s="164">
        <f>VLOOKUP(AM$3,子基金及业绩基准周净值!$A:$F,6)</f>
        <v>1.0628</v>
      </c>
      <c r="AN8" s="164">
        <f>VLOOKUP(AN$3,子基金及业绩基准周净值!$A:$F,6)</f>
        <v>1.0629</v>
      </c>
      <c r="AO8" s="164">
        <f>VLOOKUP(AO$3,子基金及业绩基准周净值!$A:$F,6)</f>
        <v>1.0542</v>
      </c>
      <c r="AP8" s="164">
        <f>VLOOKUP(AP$3,子基金及业绩基准周净值!$A:$F,6)</f>
        <v>1.05</v>
      </c>
      <c r="AQ8" s="164">
        <f>VLOOKUP(AQ$3,子基金及业绩基准周净值!$A:$F,6)</f>
        <v>1.0488</v>
      </c>
      <c r="AR8" s="164">
        <f>VLOOKUP(AR$3,子基金及业绩基准周净值!$A:$F,6)</f>
        <v>1.0368</v>
      </c>
      <c r="AS8" s="164">
        <f>VLOOKUP(AS$3,子基金及业绩基准周净值!$A:$F,6)</f>
        <v>1.043</v>
      </c>
      <c r="AT8" s="164">
        <f>VLOOKUP(AT$3,子基金及业绩基准周净值!$A:$F,6)</f>
        <v>1.0471</v>
      </c>
      <c r="AU8" s="164">
        <f>VLOOKUP(AU$3,子基金及业绩基准周净值!$A:$F,6)</f>
        <v>1.0502</v>
      </c>
      <c r="AV8" s="164">
        <f>VLOOKUP(AV$3,子基金及业绩基准周净值!$A:$F,6)</f>
        <v>1.0444</v>
      </c>
      <c r="AW8" s="164">
        <f>VLOOKUP(AW$3,子基金及业绩基准周净值!$A:$F,6)</f>
        <v>1.0472</v>
      </c>
      <c r="AX8" s="164">
        <f>VLOOKUP(AX$3,子基金及业绩基准周净值!$A:$F,6)</f>
        <v>1.0454</v>
      </c>
      <c r="AY8" s="164">
        <f>VLOOKUP(AY$3,子基金及业绩基准周净值!$A:$F,6)</f>
        <v>1.0458</v>
      </c>
      <c r="AZ8" s="164">
        <f>VLOOKUP(AZ$3,子基金及业绩基准周净值!$A:$F,6)</f>
        <v>1.0375</v>
      </c>
      <c r="BA8" s="164">
        <f>VLOOKUP(BA$3,子基金及业绩基准周净值!$A:$F,6)</f>
        <v>1.0376</v>
      </c>
      <c r="BB8" s="164">
        <f>VLOOKUP(BB$3,子基金及业绩基准周净值!$A:$F,6)</f>
        <v>1.0407</v>
      </c>
      <c r="BC8" s="164">
        <f>VLOOKUP(BC$3,子基金及业绩基准周净值!$A:$F,6)</f>
        <v>1.0378</v>
      </c>
      <c r="BD8" s="164">
        <f>VLOOKUP(BD$3,子基金及业绩基准周净值!$A:$F,6)</f>
        <v>1.0351</v>
      </c>
      <c r="BE8" s="164">
        <f>VLOOKUP(BE$3,子基金及业绩基准周净值!$A:$F,6)</f>
        <v>1.0289</v>
      </c>
      <c r="BF8" s="164">
        <f>VLOOKUP(BF$3,子基金及业绩基准周净值!$A:$F,6)</f>
        <v>1.0189</v>
      </c>
      <c r="BG8" s="164">
        <f>VLOOKUP(BG$3,子基金及业绩基准周净值!$A:$F,6)</f>
        <v>1.0179</v>
      </c>
      <c r="BH8" s="164">
        <f>VLOOKUP(BH$3,子基金及业绩基准周净值!$A:$F,6)</f>
        <v>1.0225</v>
      </c>
      <c r="BI8" s="164">
        <f>VLOOKUP(BI$3,子基金及业绩基准周净值!$A:$F,6)</f>
        <v>1.0287</v>
      </c>
      <c r="BJ8" s="164">
        <f>VLOOKUP(BJ$3,子基金及业绩基准周净值!$A:$F,6)</f>
        <v>1.0153</v>
      </c>
      <c r="BK8" s="164">
        <f>VLOOKUP(BK$3,子基金及业绩基准周净值!$A:$F,6)</f>
        <v>1.0314</v>
      </c>
    </row>
    <row r="9" spans="2:61">
      <c r="B9" s="35" t="s">
        <v>90</v>
      </c>
      <c r="C9" s="5" t="s">
        <v>44</v>
      </c>
      <c r="D9" s="154">
        <f>VLOOKUP(C9,draft!$A:$I,9,FALSE)</f>
        <v>2.4526</v>
      </c>
      <c r="E9" s="161">
        <f>VLOOKUP(C9,draft!$A:$I,5,FALSE)</f>
        <v>2000000</v>
      </c>
      <c r="F9" s="161">
        <f t="shared" si="0"/>
        <v>2178933.0756591</v>
      </c>
      <c r="I9" s="16"/>
      <c r="J9" s="164">
        <f>VLOOKUP(J$3,子基金及业绩基准周净值!$A:$AU,7)</f>
        <v>1.1578</v>
      </c>
      <c r="K9" s="164">
        <f>VLOOKUP(K$3,子基金及业绩基准周净值!$A:$AU,7)</f>
        <v>1.1599</v>
      </c>
      <c r="L9" s="164">
        <f>VLOOKUP(L$3,子基金及业绩基准周净值!$A:$AU,7)</f>
        <v>1.1585</v>
      </c>
      <c r="M9" s="164">
        <f>VLOOKUP(M$3,子基金及业绩基准周净值!$A:$AU,7)</f>
        <v>1.1681</v>
      </c>
      <c r="N9" s="164">
        <f>VLOOKUP(N$3,子基金及业绩基准周净值!$A:$AU,7)</f>
        <v>1.1675</v>
      </c>
      <c r="O9" s="164">
        <f>VLOOKUP(O$3,子基金及业绩基准周净值!$A:$AU,7)</f>
        <v>1.1652</v>
      </c>
      <c r="P9" s="164">
        <f>VLOOKUP(P$3,子基金及业绩基准周净值!$A:$AU,7)</f>
        <v>1.1578</v>
      </c>
      <c r="Q9" s="164">
        <f>VLOOKUP(Q$3,子基金及业绩基准周净值!$A:$AU,7)</f>
        <v>1.154</v>
      </c>
      <c r="R9" s="164">
        <f>VLOOKUP(R$3,子基金及业绩基准周净值!$A:$AU,7)</f>
        <v>1.156</v>
      </c>
      <c r="S9" s="164">
        <f>VLOOKUP(S$3,子基金及业绩基准周净值!$A:$AU,7)</f>
        <v>1.1643</v>
      </c>
      <c r="T9" s="164">
        <f>VLOOKUP(T$3,子基金及业绩基准周净值!$A:$AU,7)</f>
        <v>1.1579</v>
      </c>
      <c r="U9" s="164">
        <f>VLOOKUP(U$3,子基金及业绩基准周净值!$A:$AU,7)</f>
        <v>1.1645</v>
      </c>
      <c r="V9" s="164">
        <f>VLOOKUP(V$3,子基金及业绩基准周净值!$A:$AU,7)</f>
        <v>1.1592</v>
      </c>
      <c r="W9" s="164">
        <f>VLOOKUP(W$3,子基金及业绩基准周净值!$A:$AU,7)</f>
        <v>1.1536</v>
      </c>
      <c r="X9" s="164">
        <f>VLOOKUP(X$3,子基金及业绩基准周净值!$A:$AU,7)</f>
        <v>1.1544</v>
      </c>
      <c r="Y9" s="164">
        <f>VLOOKUP(Y$3,子基金及业绩基准周净值!$A:$AU,7)</f>
        <v>1.1478</v>
      </c>
      <c r="Z9" s="164">
        <f>VLOOKUP(Z$3,子基金及业绩基准周净值!$A:$AU,7)</f>
        <v>1.1528</v>
      </c>
      <c r="AA9" s="164">
        <f>VLOOKUP(AA$3,子基金及业绩基准周净值!$A:$AU,7)</f>
        <v>1.1305</v>
      </c>
      <c r="AB9" s="164">
        <f>VLOOKUP(AB$3,子基金及业绩基准周净值!$A:$AU,7)</f>
        <v>1.1285</v>
      </c>
      <c r="AC9" s="164">
        <f>VLOOKUP(AC$3,子基金及业绩基准周净值!$A:$AU,7)</f>
        <v>1.1307</v>
      </c>
      <c r="AD9" s="164">
        <f>VLOOKUP(AD$3,子基金及业绩基准周净值!$A:$AU,7)</f>
        <v>1.1274</v>
      </c>
      <c r="AE9" s="164">
        <f>VLOOKUP(AE$3,子基金及业绩基准周净值!$A:$AU,7)</f>
        <v>1.1199</v>
      </c>
      <c r="AF9" s="164">
        <f>VLOOKUP(AF$3,子基金及业绩基准周净值!$A:$AU,7)</f>
        <v>1.113</v>
      </c>
      <c r="AG9" s="164">
        <f>VLOOKUP(AG$3,子基金及业绩基准周净值!$A:$AU,7)</f>
        <v>1.1087</v>
      </c>
      <c r="AH9" s="164">
        <f>VLOOKUP(AH$3,子基金及业绩基准周净值!$A:$AU,7)</f>
        <v>1.1091</v>
      </c>
      <c r="AI9" s="164">
        <f>VLOOKUP(AI$3,子基金及业绩基准周净值!$A:$AU,7)</f>
        <v>1.1072</v>
      </c>
      <c r="AJ9" s="164">
        <f>VLOOKUP(AJ$3,子基金及业绩基准周净值!$A:$AU,7)</f>
        <v>1.0954</v>
      </c>
      <c r="AK9" s="164">
        <f>VLOOKUP(AK$3,子基金及业绩基准周净值!$A:$AU,7)</f>
        <v>1.0931</v>
      </c>
      <c r="AL9" s="164">
        <f>VLOOKUP(AL$3,子基金及业绩基准周净值!$A:$AU,7)</f>
        <v>1.1032</v>
      </c>
      <c r="AM9" s="164">
        <f>VLOOKUP(AM$3,子基金及业绩基准周净值!$A:$AU,7)</f>
        <v>1.0969</v>
      </c>
      <c r="AN9" s="164">
        <f>VLOOKUP(AN$3,子基金及业绩基准周净值!$A:$AU,7)</f>
        <v>1.0924</v>
      </c>
      <c r="AO9" s="164">
        <f>VLOOKUP(AO$3,子基金及业绩基准周净值!$A:$AU,7)</f>
        <v>1.08</v>
      </c>
      <c r="AP9" s="164">
        <f>VLOOKUP(AP$3,子基金及业绩基准周净值!$A:$AU,7)</f>
        <v>1.084</v>
      </c>
      <c r="AQ9" s="164">
        <f>VLOOKUP(AQ$3,子基金及业绩基准周净值!$A:$AU,7)</f>
        <v>1.0837</v>
      </c>
      <c r="AR9" s="164">
        <f>VLOOKUP(AR$3,子基金及业绩基准周净值!$A:$AU,7)</f>
        <v>1.0772</v>
      </c>
      <c r="AS9" s="164">
        <f>VLOOKUP(AS$3,子基金及业绩基准周净值!$A:$AU,7)</f>
        <v>1.0758</v>
      </c>
      <c r="AT9" s="164">
        <f>VLOOKUP(AT$3,子基金及业绩基准周净值!$A:$AU,7)</f>
        <v>1.0749</v>
      </c>
      <c r="AU9" s="164">
        <f>VLOOKUP(AU$3,子基金及业绩基准周净值!$A:$AU,7)</f>
        <v>1.0661</v>
      </c>
      <c r="AV9" s="164">
        <f>VLOOKUP(AV$3,子基金及业绩基准周净值!$A:$AU,7)</f>
        <v>1.0652</v>
      </c>
      <c r="AW9" s="164">
        <f>VLOOKUP(AW$3,子基金及业绩基准周净值!$A:$AU,7)</f>
        <v>1.0644</v>
      </c>
      <c r="AX9" s="164">
        <f>VLOOKUP(AX$3,子基金及业绩基准周净值!$A:$AU,7)</f>
        <v>1.0617</v>
      </c>
      <c r="AY9" s="164">
        <f>VLOOKUP(AY$3,子基金及业绩基准周净值!$A:$AU,7)</f>
        <v>1.0606</v>
      </c>
      <c r="AZ9" s="164">
        <f>VLOOKUP(AZ$3,子基金及业绩基准周净值!$A:$AU,7)</f>
        <v>1.0636</v>
      </c>
      <c r="BA9" s="164">
        <f>VLOOKUP(BA$3,子基金及业绩基准周净值!$A:$AU,7)</f>
        <v>1.0658</v>
      </c>
      <c r="BB9" s="164">
        <f>VLOOKUP(BB$3,子基金及业绩基准周净值!$A:$AU,7)</f>
        <v>1.0722</v>
      </c>
      <c r="BC9" s="164">
        <f>VLOOKUP(BC$3,子基金及业绩基准周净值!$A:$AU,7)</f>
        <v>1.0644</v>
      </c>
      <c r="BD9" s="164">
        <f>VLOOKUP(BD$3,子基金及业绩基准周净值!$A:$AU,7)</f>
        <v>1.0609</v>
      </c>
      <c r="BE9" s="164">
        <f>VLOOKUP(BE$3,子基金及业绩基准周净值!$A:$AU,7)</f>
        <v>1.0473</v>
      </c>
      <c r="BF9" s="164">
        <f>VLOOKUP(BF$3,子基金及业绩基准周净值!$A:$AU,7)</f>
        <v>1.0389</v>
      </c>
      <c r="BG9" s="164">
        <f>VLOOKUP(BG$3,子基金及业绩基准周净值!$A:$AU,7)</f>
        <v>1.0439</v>
      </c>
      <c r="BH9" s="164">
        <f>VLOOKUP(BH$3,子基金及业绩基准周净值!$A:$AU,7)</f>
        <v>1.0373</v>
      </c>
      <c r="BI9" s="164">
        <f>VLOOKUP(BI$3,子基金及业绩基准周净值!$A:$AU,7)</f>
        <v>1.0458</v>
      </c>
    </row>
    <row r="10" spans="2:61">
      <c r="B10" s="35" t="s">
        <v>90</v>
      </c>
      <c r="C10" s="155" t="s">
        <v>45</v>
      </c>
      <c r="D10" s="154"/>
      <c r="E10" s="161"/>
      <c r="F10" s="161">
        <f t="shared" si="0"/>
        <v>0</v>
      </c>
      <c r="I10" s="16"/>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f>VLOOKUP(AQ$3,子基金及业绩基准周净值!$A:$AU,8)</f>
        <v>1.0919</v>
      </c>
      <c r="AR10" s="164">
        <f>VLOOKUP(AR$3,子基金及业绩基准周净值!$A:$AU,8)</f>
        <v>1.086</v>
      </c>
      <c r="AS10" s="164">
        <f>VLOOKUP(AS$3,子基金及业绩基准周净值!$A:$AU,8)</f>
        <v>1.1001</v>
      </c>
      <c r="AT10" s="164">
        <f>VLOOKUP(AT$3,子基金及业绩基准周净值!$A:$AU,8)</f>
        <v>1.1021</v>
      </c>
      <c r="AU10" s="164">
        <f>VLOOKUP(AU$3,子基金及业绩基准周净值!$A:$AU,8)</f>
        <v>1.101</v>
      </c>
      <c r="AV10" s="164">
        <f>VLOOKUP(AV$3,子基金及业绩基准周净值!$A:$AU,8)</f>
        <v>1.0969</v>
      </c>
      <c r="AW10" s="164">
        <f>VLOOKUP(AW$3,子基金及业绩基准周净值!$A:$AU,8)</f>
        <v>1.0969</v>
      </c>
      <c r="AX10" s="164">
        <f>VLOOKUP(AX$3,子基金及业绩基准周净值!$A:$AU,8)</f>
        <v>1.0973</v>
      </c>
      <c r="AY10" s="164">
        <f>VLOOKUP(AY$3,子基金及业绩基准周净值!$A:$AU,8)</f>
        <v>1.0978</v>
      </c>
      <c r="AZ10" s="164">
        <f>VLOOKUP(AZ$3,子基金及业绩基准周净值!$A:$AU,8)</f>
        <v>1.1045</v>
      </c>
      <c r="BA10" s="164">
        <f>VLOOKUP(BA$3,子基金及业绩基准周净值!$A:$AU,8)</f>
        <v>1.0984</v>
      </c>
      <c r="BB10" s="164">
        <f>VLOOKUP(BB$3,子基金及业绩基准周净值!$A:$AU,8)</f>
        <v>1.0917</v>
      </c>
      <c r="BC10" s="164">
        <f>VLOOKUP(BC$3,子基金及业绩基准周净值!$A:$AU,8)</f>
        <v>1.0901</v>
      </c>
      <c r="BD10" s="164">
        <f>VLOOKUP(BD$3,子基金及业绩基准周净值!$A:$AU,8)</f>
        <v>1.0915</v>
      </c>
      <c r="BE10" s="164">
        <f>VLOOKUP(BE$3,子基金及业绩基准周净值!$A:$AU,8)</f>
        <v>1.0901</v>
      </c>
      <c r="BF10" s="164">
        <f>VLOOKUP(BF$3,子基金及业绩基准周净值!$A:$AU,8)</f>
        <v>1.0867</v>
      </c>
      <c r="BG10" s="164">
        <f>VLOOKUP(BG$3,子基金及业绩基准周净值!$A:$AU,8)</f>
        <v>1.0753</v>
      </c>
      <c r="BH10" s="164">
        <f>VLOOKUP(BH$3,子基金及业绩基准周净值!$A:$AU,8)</f>
        <v>1.0753</v>
      </c>
      <c r="BI10" s="164">
        <f>VLOOKUP(BI$3,子基金及业绩基准周净值!$A:$AU,8)</f>
        <v>1.0766</v>
      </c>
    </row>
    <row r="11" spans="2:61">
      <c r="B11" s="35" t="s">
        <v>90</v>
      </c>
      <c r="C11" s="157" t="s">
        <v>46</v>
      </c>
      <c r="D11" s="154"/>
      <c r="E11" s="161"/>
      <c r="F11" s="161"/>
      <c r="I11" s="16"/>
      <c r="J11" s="164"/>
      <c r="K11" s="164"/>
      <c r="L11" s="164"/>
      <c r="M11" s="164"/>
      <c r="N11" s="164"/>
      <c r="O11" s="164"/>
      <c r="P11" s="164"/>
      <c r="Q11" s="164"/>
      <c r="R11" s="164"/>
      <c r="S11" s="164"/>
      <c r="T11" s="164">
        <f>VLOOKUP(T$3,子基金及业绩基准周净值!$A:$AU,9)</f>
        <v>1.1358</v>
      </c>
      <c r="U11" s="164">
        <f>VLOOKUP(U$3,子基金及业绩基准周净值!$A:$AU,9)</f>
        <v>1.14572</v>
      </c>
      <c r="V11" s="164">
        <f>VLOOKUP(V$3,子基金及业绩基准周净值!$A:$AU,9)</f>
        <v>1.14564</v>
      </c>
      <c r="W11" s="164">
        <f>VLOOKUP(W$3,子基金及业绩基准周净值!$A:$AU,9)</f>
        <v>1.14276</v>
      </c>
      <c r="X11" s="164">
        <f>VLOOKUP(X$3,子基金及业绩基准周净值!$A:$AU,9)</f>
        <v>1.14652</v>
      </c>
      <c r="Y11" s="164">
        <f>VLOOKUP(Y$3,子基金及业绩基准周净值!$A:$AU,9)</f>
        <v>1.14372</v>
      </c>
      <c r="Z11" s="164">
        <f>VLOOKUP(Z$3,子基金及业绩基准周净值!$A:$AU,9)</f>
        <v>1.14604</v>
      </c>
      <c r="AA11" s="164">
        <f>VLOOKUP(AA$3,子基金及业绩基准周净值!$A:$AU,9)</f>
        <v>1.13892</v>
      </c>
      <c r="AB11" s="164">
        <f>VLOOKUP(AB$3,子基金及业绩基准周净值!$A:$AU,9)</f>
        <v>1.14116</v>
      </c>
      <c r="AC11" s="164">
        <f>VLOOKUP(AC$3,子基金及业绩基准周净值!$A:$AU,9)</f>
        <v>1.14251999</v>
      </c>
      <c r="AD11" s="164">
        <f>VLOOKUP(AD$3,子基金及业绩基准周净值!$A:$AU,9)</f>
        <v>1.14292</v>
      </c>
      <c r="AE11" s="164">
        <f>VLOOKUP(AE$3,子基金及业绩基准周净值!$A:$AU,9)</f>
        <v>1.14228</v>
      </c>
      <c r="AF11" s="164">
        <f>VLOOKUP(AF$3,子基金及业绩基准周净值!$A:$AU,9)</f>
        <v>1.14212</v>
      </c>
      <c r="AG11" s="164">
        <f>VLOOKUP(AG$3,子基金及业绩基准周净值!$A:$AU,9)</f>
        <v>1.1414</v>
      </c>
      <c r="AH11" s="164">
        <f>VLOOKUP(AH$3,子基金及业绩基准周净值!$A:$AU,9)</f>
        <v>1.14116</v>
      </c>
      <c r="AI11" s="164">
        <f>VLOOKUP(AI$3,子基金及业绩基准周净值!$A:$AU,9)</f>
        <v>1.14116</v>
      </c>
      <c r="AJ11" s="164">
        <f>VLOOKUP(AJ$3,子基金及业绩基准周净值!$A:$AU,9)</f>
        <v>1.14124</v>
      </c>
      <c r="AK11" s="164">
        <f>VLOOKUP(AK$3,子基金及业绩基准周净值!$A:$AU,9)</f>
        <v>1.14116</v>
      </c>
      <c r="AL11" s="164">
        <f>VLOOKUP(AL$3,子基金及业绩基准周净值!$A:$AU,9)</f>
        <v>1.14092</v>
      </c>
      <c r="AM11" s="164">
        <f>VLOOKUP(AM$3,子基金及业绩基准周净值!$A:$AU,9)</f>
        <v>1.14052</v>
      </c>
      <c r="AN11" s="164">
        <f>VLOOKUP(AN$3,子基金及业绩基准周净值!$A:$AU,9)</f>
        <v>1.14108</v>
      </c>
      <c r="AO11" s="164">
        <f>VLOOKUP(AO$3,子基金及业绩基准周净值!$A:$AU,9)</f>
        <v>1.13828</v>
      </c>
      <c r="AP11" s="164">
        <f>VLOOKUP(AP$3,子基金及业绩基准周净值!$A:$AU,9)</f>
        <v>1.13716</v>
      </c>
      <c r="AQ11" s="164">
        <f>VLOOKUP(AQ$3,子基金及业绩基准周净值!$A:$AU,9)</f>
        <v>1.13036</v>
      </c>
      <c r="AR11" s="164">
        <f>VLOOKUP(AR$3,子基金及业绩基准周净值!$A:$AU,9)</f>
        <v>1.13108</v>
      </c>
      <c r="AS11" s="164">
        <f>VLOOKUP(AS$3,子基金及业绩基准周净值!$A:$AU,9)</f>
        <v>1.12668</v>
      </c>
      <c r="AT11" s="164">
        <f>VLOOKUP(AT$3,子基金及业绩基准周净值!$A:$AU,9)</f>
        <v>1.119</v>
      </c>
      <c r="AU11" s="164">
        <f>VLOOKUP(AU$3,子基金及业绩基准周净值!$A:$AU,9)</f>
        <v>1.10724</v>
      </c>
      <c r="AV11" s="164">
        <f>VLOOKUP(AV$3,子基金及业绩基准周净值!$A:$AU,9)</f>
        <v>1.10876</v>
      </c>
      <c r="AW11" s="164">
        <f>VLOOKUP(AW$3,子基金及业绩基准周净值!$A:$AU,9)</f>
        <v>1.11124</v>
      </c>
      <c r="AX11" s="164">
        <f>VLOOKUP(AX$3,子基金及业绩基准周净值!$A:$AU,9)</f>
        <v>1.11012</v>
      </c>
      <c r="AY11" s="164">
        <f>VLOOKUP(AY$3,子基金及业绩基准周净值!$A:$AU,9)</f>
        <v>1.10836</v>
      </c>
      <c r="AZ11" s="164">
        <f>VLOOKUP(AZ$3,子基金及业绩基准周净值!$A:$AU,9)</f>
        <v>1.11396</v>
      </c>
      <c r="BA11" s="164">
        <f>VLOOKUP(BA$3,子基金及业绩基准周净值!$A:$AU,9)</f>
        <v>1.11964</v>
      </c>
      <c r="BB11" s="164">
        <f>VLOOKUP(BB$3,子基金及业绩基准周净值!$A:$AU,9)</f>
        <v>1.11708</v>
      </c>
      <c r="BC11" s="164">
        <f>VLOOKUP(BC$3,子基金及业绩基准周净值!$A:$AU,9)</f>
        <v>1.11267999</v>
      </c>
      <c r="BD11" s="164">
        <f>VLOOKUP(BD$3,子基金及业绩基准周净值!$A:$AU,9)</f>
        <v>1.10908</v>
      </c>
      <c r="BE11" s="164">
        <f>VLOOKUP(BE$3,子基金及业绩基准周净值!$A:$AU,9)</f>
        <v>1.10556</v>
      </c>
      <c r="BF11" s="164">
        <f>VLOOKUP(BF$3,子基金及业绩基准周净值!$A:$AU,9)</f>
        <v>1.09868</v>
      </c>
      <c r="BG11" s="164">
        <f>VLOOKUP(BG$3,子基金及业绩基准周净值!$A:$AU,9)</f>
        <v>1.10068</v>
      </c>
      <c r="BH11" s="164">
        <f>VLOOKUP(BH$3,子基金及业绩基准周净值!$A:$AU,9)</f>
        <v>1.09428</v>
      </c>
      <c r="BI11" s="164">
        <f>VLOOKUP(BI$3,子基金及业绩基准周净值!$A:$AU,9)</f>
        <v>1.0902</v>
      </c>
    </row>
    <row r="12" spans="2:61">
      <c r="B12" s="35" t="s">
        <v>90</v>
      </c>
      <c r="C12" s="5" t="s">
        <v>47</v>
      </c>
      <c r="D12" s="154">
        <f>VLOOKUP(C12,draft!$A:$I,9,FALSE)</f>
        <v>5.97</v>
      </c>
      <c r="E12" s="161">
        <f>VLOOKUP(C12,draft!$A:$I,5,FALSE)</f>
        <v>5000000</v>
      </c>
      <c r="F12" s="161">
        <f>D12*$F$1*0.01</f>
        <v>5303853.242145</v>
      </c>
      <c r="I12" s="16"/>
      <c r="J12" s="164">
        <f>VLOOKUP(J$3,子基金及业绩基准周净值!$A:$AU,10)</f>
        <v>1.0716</v>
      </c>
      <c r="K12" s="164">
        <f>VLOOKUP(K$3,子基金及业绩基准周净值!$A:$AU,10)</f>
        <v>1.0744</v>
      </c>
      <c r="L12" s="164">
        <f>VLOOKUP(L$3,子基金及业绩基准周净值!$A:$AU,10)</f>
        <v>1.0773</v>
      </c>
      <c r="M12" s="164">
        <f>VLOOKUP(M$3,子基金及业绩基准周净值!$A:$AU,10)</f>
        <v>1.0795</v>
      </c>
      <c r="N12" s="164">
        <f>VLOOKUP(N$3,子基金及业绩基准周净值!$A:$AU,10)</f>
        <v>1.0676</v>
      </c>
      <c r="O12" s="164">
        <f>VLOOKUP(O$3,子基金及业绩基准周净值!$A:$AU,10)</f>
        <v>1.066</v>
      </c>
      <c r="P12" s="164">
        <f>VLOOKUP(P$3,子基金及业绩基准周净值!$A:$AU,10)</f>
        <v>1.06</v>
      </c>
      <c r="Q12" s="164">
        <f>VLOOKUP(Q$3,子基金及业绩基准周净值!$A:$AU,10)</f>
        <v>1.0581</v>
      </c>
      <c r="R12" s="164">
        <f>VLOOKUP(R$3,子基金及业绩基准周净值!$A:$AU,10)</f>
        <v>1.0561</v>
      </c>
      <c r="S12" s="164">
        <f>VLOOKUP(S$3,子基金及业绩基准周净值!$A:$AU,10)</f>
        <v>1.0579</v>
      </c>
      <c r="T12" s="164">
        <f>VLOOKUP(T$3,子基金及业绩基准周净值!$A:$AU,10)</f>
        <v>1.0612</v>
      </c>
      <c r="U12" s="164">
        <f>VLOOKUP(U$3,子基金及业绩基准周净值!$A:$AU,10)</f>
        <v>1.0647</v>
      </c>
      <c r="V12" s="164">
        <f>VLOOKUP(V$3,子基金及业绩基准周净值!$A:$AU,10)</f>
        <v>1.0602</v>
      </c>
      <c r="W12" s="164">
        <f>VLOOKUP(W$3,子基金及业绩基准周净值!$A:$AU,10)</f>
        <v>1.062</v>
      </c>
      <c r="X12" s="164">
        <f>VLOOKUP(X$3,子基金及业绩基准周净值!$A:$AU,10)</f>
        <v>1.064</v>
      </c>
      <c r="Y12" s="164">
        <f>VLOOKUP(Y$3,子基金及业绩基准周净值!$A:$AU,10)</f>
        <v>1.0607</v>
      </c>
      <c r="Z12" s="164">
        <f>VLOOKUP(Z$3,子基金及业绩基准周净值!$A:$AU,10)</f>
        <v>1.0616</v>
      </c>
      <c r="AA12" s="164">
        <f>VLOOKUP(AA$3,子基金及业绩基准周净值!$A:$AU,10)</f>
        <v>1.0594</v>
      </c>
      <c r="AB12" s="164">
        <f>VLOOKUP(AB$3,子基金及业绩基准周净值!$A:$AU,10)</f>
        <v>1.0608</v>
      </c>
      <c r="AC12" s="164">
        <f>VLOOKUP(AC$3,子基金及业绩基准周净值!$A:$AU,10)</f>
        <v>1.0618</v>
      </c>
      <c r="AD12" s="164">
        <f>VLOOKUP(AD$3,子基金及业绩基准周净值!$A:$AU,10)</f>
        <v>1.0589</v>
      </c>
      <c r="AE12" s="164">
        <f>VLOOKUP(AE$3,子基金及业绩基准周净值!$A:$AU,10)</f>
        <v>1.0585</v>
      </c>
      <c r="AF12" s="164">
        <f>VLOOKUP(AF$3,子基金及业绩基准周净值!$A:$AU,10)</f>
        <v>1.0573</v>
      </c>
      <c r="AG12" s="164">
        <f>VLOOKUP(AG$3,子基金及业绩基准周净值!$A:$AU,10)</f>
        <v>1.059</v>
      </c>
      <c r="AH12" s="164">
        <f>VLOOKUP(AH$3,子基金及业绩基准周净值!$A:$AU,10)</f>
        <v>1.0569</v>
      </c>
      <c r="AI12" s="164">
        <f>VLOOKUP(AI$3,子基金及业绩基准周净值!$A:$AU,10)</f>
        <v>1.0566</v>
      </c>
      <c r="AJ12" s="164">
        <f>VLOOKUP(AJ$3,子基金及业绩基准周净值!$A:$AU,10)</f>
        <v>1.0567</v>
      </c>
      <c r="AK12" s="164">
        <f>VLOOKUP(AK$3,子基金及业绩基准周净值!$A:$AU,10)</f>
        <v>1.054</v>
      </c>
      <c r="AL12" s="164">
        <f>VLOOKUP(AL$3,子基金及业绩基准周净值!$A:$AU,10)</f>
        <v>1.0499</v>
      </c>
      <c r="AM12" s="164">
        <f>VLOOKUP(AM$3,子基金及业绩基准周净值!$A:$AU,10)</f>
        <v>1.0486</v>
      </c>
      <c r="AN12" s="164">
        <f>VLOOKUP(AN$3,子基金及业绩基准周净值!$A:$AU,10)</f>
        <v>1.0527</v>
      </c>
      <c r="AO12" s="164">
        <f>VLOOKUP(AO$3,子基金及业绩基准周净值!$A:$AU,10)</f>
        <v>1.0482</v>
      </c>
      <c r="AP12" s="164">
        <f>VLOOKUP(AP$3,子基金及业绩基准周净值!$A:$AU,10)</f>
        <v>1.0494</v>
      </c>
      <c r="AQ12" s="164">
        <f>VLOOKUP(AQ$3,子基金及业绩基准周净值!$A:$AU,10)</f>
        <v>1.0386</v>
      </c>
      <c r="AR12" s="164">
        <f>VLOOKUP(AR$3,子基金及业绩基准周净值!$A:$AU,10)</f>
        <v>1.0409</v>
      </c>
      <c r="AS12" s="164">
        <f>VLOOKUP(AS$3,子基金及业绩基准周净值!$A:$AU,10)</f>
        <v>1.0338</v>
      </c>
      <c r="AT12" s="164">
        <f>VLOOKUP(AT$3,子基金及业绩基准周净值!$A:$AU,10)</f>
        <v>1.0279</v>
      </c>
      <c r="AU12" s="164">
        <f>VLOOKUP(AU$3,子基金及业绩基准周净值!$A:$AU,10)</f>
        <v>1.027</v>
      </c>
      <c r="AV12" s="164">
        <f>VLOOKUP(AV$3,子基金及业绩基准周净值!$A:$AU,10)</f>
        <v>1.0266</v>
      </c>
      <c r="AW12" s="164">
        <f>VLOOKUP(AW$3,子基金及业绩基准周净值!$A:$AU,10)</f>
        <v>1.0229</v>
      </c>
      <c r="AX12" s="164">
        <f>VLOOKUP(AX$3,子基金及业绩基准周净值!$A:$AU,10)</f>
        <v>1.0201</v>
      </c>
      <c r="AY12" s="164">
        <f>VLOOKUP(AY$3,子基金及业绩基准周净值!$A:$AU,10)</f>
        <v>1.0189</v>
      </c>
      <c r="AZ12" s="164">
        <f>VLOOKUP(AZ$3,子基金及业绩基准周净值!$A:$AU,10)</f>
        <v>1.0177</v>
      </c>
      <c r="BA12" s="164">
        <f>VLOOKUP(BA$3,子基金及业绩基准周净值!$A:$AU,10)</f>
        <v>1.0154</v>
      </c>
      <c r="BB12" s="164">
        <f>VLOOKUP(BB$3,子基金及业绩基准周净值!$A:$AU,10)</f>
        <v>1.0171</v>
      </c>
      <c r="BC12" s="164">
        <f>VLOOKUP(BC$3,子基金及业绩基准周净值!$A:$AU,10)</f>
        <v>1.0113</v>
      </c>
      <c r="BD12" s="164">
        <f>VLOOKUP(BD$3,子基金及业绩基准周净值!$A:$AU,10)</f>
        <v>1.0058</v>
      </c>
      <c r="BE12" s="164">
        <f>VLOOKUP(BE$3,子基金及业绩基准周净值!$A:$AU,10)</f>
        <v>1.0012</v>
      </c>
      <c r="BF12" s="164">
        <f>VLOOKUP(BF$3,子基金及业绩基准周净值!$A:$AU,10)</f>
        <v>0.9942</v>
      </c>
      <c r="BG12" s="164">
        <f>VLOOKUP(BG$3,子基金及业绩基准周净值!$A:$AU,10)</f>
        <v>0.9976</v>
      </c>
      <c r="BH12" s="164">
        <f>VLOOKUP(BH$3,子基金及业绩基准周净值!$A:$AU,10)</f>
        <v>0.9974</v>
      </c>
      <c r="BI12" s="164">
        <f>VLOOKUP(BI$3,子基金及业绩基准周净值!$A:$AU,10)</f>
        <v>0.9951</v>
      </c>
    </row>
    <row r="13" spans="2:55">
      <c r="B13" s="35" t="s">
        <v>91</v>
      </c>
      <c r="C13" s="5" t="s">
        <v>48</v>
      </c>
      <c r="D13" s="154">
        <f>VLOOKUP(C13,draft!$A:$I,9,FALSE)</f>
        <v>3.6254</v>
      </c>
      <c r="E13" s="161">
        <f>VLOOKUP(C13,draft!$A:$I,5,FALSE)</f>
        <v>3000000</v>
      </c>
      <c r="F13" s="161">
        <f>D13*$F$1*0.01</f>
        <v>3220869.2703639</v>
      </c>
      <c r="I13" s="16"/>
      <c r="J13" s="164">
        <f>VLOOKUP(J$3,子基金及业绩基准周净值!$A:$AU,11)</f>
        <v>1.7592</v>
      </c>
      <c r="K13" s="164">
        <f>VLOOKUP(K$3,子基金及业绩基准周净值!$A:$AU,11)</f>
        <v>1.7521</v>
      </c>
      <c r="L13" s="164">
        <f>VLOOKUP(L$3,子基金及业绩基准周净值!$A:$AU,11)</f>
        <v>1.7626</v>
      </c>
      <c r="M13" s="164">
        <f>VLOOKUP(M$3,子基金及业绩基准周净值!$A:$AU,11)</f>
        <v>1.7548</v>
      </c>
      <c r="N13" s="164">
        <f>VLOOKUP(N$3,子基金及业绩基准周净值!$A:$AU,11)</f>
        <v>1.7382</v>
      </c>
      <c r="O13" s="164">
        <f>VLOOKUP(O$3,子基金及业绩基准周净值!$A:$AU,11)</f>
        <v>1.7443</v>
      </c>
      <c r="P13" s="164">
        <f>VLOOKUP(P$3,子基金及业绩基准周净值!$A:$AU,11)</f>
        <v>1.7386</v>
      </c>
      <c r="Q13" s="164">
        <f>VLOOKUP(Q$3,子基金及业绩基准周净值!$A:$AU,11)</f>
        <v>1.6874</v>
      </c>
      <c r="R13" s="164">
        <f>VLOOKUP(R$3,子基金及业绩基准周净值!$A:$AU,11)</f>
        <v>1.6972</v>
      </c>
      <c r="S13" s="164">
        <f>VLOOKUP(S$3,子基金及业绩基准周净值!$A:$AU,11)</f>
        <v>1.7047</v>
      </c>
      <c r="T13" s="164">
        <f>VLOOKUP(T$3,子基金及业绩基准周净值!$A:$AU,11)</f>
        <v>1.7047</v>
      </c>
      <c r="U13" s="164">
        <f>VLOOKUP(U$3,子基金及业绩基准周净值!$A:$AU,11)</f>
        <v>1.6646</v>
      </c>
      <c r="V13" s="164">
        <f>VLOOKUP(V$3,子基金及业绩基准周净值!$A:$AU,11)</f>
        <v>1.668</v>
      </c>
      <c r="W13" s="164">
        <f>VLOOKUP(W$3,子基金及业绩基准周净值!$A:$AU,11)</f>
        <v>1.6618</v>
      </c>
      <c r="X13" s="164">
        <f>VLOOKUP(X$3,子基金及业绩基准周净值!$A:$AU,11)</f>
        <v>1.6707</v>
      </c>
      <c r="Y13" s="164">
        <f>VLOOKUP(Y$3,子基金及业绩基准周净值!$A:$AU,11)</f>
        <v>1.672</v>
      </c>
      <c r="Z13" s="164">
        <f>VLOOKUP(Z$3,子基金及业绩基准周净值!$A:$AU,11)</f>
        <v>1.704</v>
      </c>
      <c r="AA13" s="164">
        <f>VLOOKUP(AA$3,子基金及业绩基准周净值!$A:$AU,11)</f>
        <v>1.6952</v>
      </c>
      <c r="AB13" s="164">
        <f>VLOOKUP(AB$3,子基金及业绩基准周净值!$A:$AU,11)</f>
        <v>1.6871</v>
      </c>
      <c r="AC13" s="164">
        <f>VLOOKUP(AC$3,子基金及业绩基准周净值!$A:$AU,11)</f>
        <v>1.6963</v>
      </c>
      <c r="AD13" s="164">
        <f>VLOOKUP(AD$3,子基金及业绩基准周净值!$A:$AU,11)</f>
        <v>1.7072</v>
      </c>
      <c r="AE13" s="164">
        <f>VLOOKUP(AE$3,子基金及业绩基准周净值!$A:$AU,11)</f>
        <v>1.6981</v>
      </c>
      <c r="AF13" s="164">
        <f>VLOOKUP(AF$3,子基金及业绩基准周净值!$A:$AU,11)</f>
        <v>1.7057</v>
      </c>
      <c r="AG13" s="164">
        <f>VLOOKUP(AG$3,子基金及业绩基准周净值!$A:$AU,11)</f>
        <v>1.6868</v>
      </c>
      <c r="AH13" s="164">
        <f>VLOOKUP(AH$3,子基金及业绩基准周净值!$A:$AU,11)</f>
        <v>1.7077</v>
      </c>
      <c r="AI13" s="164">
        <f>VLOOKUP(AI$3,子基金及业绩基准周净值!$A:$AU,11)</f>
        <v>1.7336</v>
      </c>
      <c r="AJ13" s="164">
        <f>VLOOKUP(AJ$3,子基金及业绩基准周净值!$A:$AU,11)</f>
        <v>1.7191</v>
      </c>
      <c r="AK13" s="164">
        <f>VLOOKUP(AK$3,子基金及业绩基准周净值!$A:$AU,11)</f>
        <v>1.7245</v>
      </c>
      <c r="AL13" s="164">
        <f>VLOOKUP(AL$3,子基金及业绩基准周净值!$A:$AU,11)</f>
        <v>1.707</v>
      </c>
      <c r="AM13" s="164">
        <f>VLOOKUP(AM$3,子基金及业绩基准周净值!$A:$AU,11)</f>
        <v>1.6997</v>
      </c>
      <c r="AN13" s="164">
        <f>VLOOKUP(AN$3,子基金及业绩基准周净值!$A:$AU,11)</f>
        <v>1.7104</v>
      </c>
      <c r="AO13" s="164">
        <f>VLOOKUP(AO$3,子基金及业绩基准周净值!$A:$AU,11)</f>
        <v>1.7116</v>
      </c>
      <c r="AP13" s="164">
        <f>VLOOKUP(AP$3,子基金及业绩基准周净值!$A:$AU,11)</f>
        <v>1.7204</v>
      </c>
      <c r="AQ13" s="164">
        <f>VLOOKUP(AQ$3,子基金及业绩基准周净值!$A:$AU,11)</f>
        <v>1.7133</v>
      </c>
      <c r="AR13" s="164">
        <f>VLOOKUP(AR$3,子基金及业绩基准周净值!$A:$AU,11)</f>
        <v>1.6977</v>
      </c>
      <c r="AS13" s="164">
        <f>VLOOKUP(AS$3,子基金及业绩基准周净值!$A:$AU,11)</f>
        <v>1.6656</v>
      </c>
      <c r="AT13" s="164">
        <f>VLOOKUP(AT$3,子基金及业绩基准周净值!$A:$AU,11)</f>
        <v>1.6231</v>
      </c>
      <c r="AU13" s="164">
        <f>VLOOKUP(AU$3,子基金及业绩基准周净值!$A:$AU,11)</f>
        <v>1.6213</v>
      </c>
      <c r="AV13" s="164">
        <f>VLOOKUP(AV$3,子基金及业绩基准周净值!$A:$AU,11)</f>
        <v>1.6221</v>
      </c>
      <c r="AW13" s="164">
        <f>VLOOKUP(AW$3,子基金及业绩基准周净值!$A:$AU,11)</f>
        <v>1.6292</v>
      </c>
      <c r="AX13" s="164">
        <f>VLOOKUP(AX$3,子基金及业绩基准周净值!$A:$AU,11)</f>
        <v>1.6351</v>
      </c>
      <c r="AY13" s="164">
        <f>VLOOKUP(AY$3,子基金及业绩基准周净值!$A:$AU,11)</f>
        <v>1.5944</v>
      </c>
      <c r="AZ13" s="164">
        <f>VLOOKUP(AZ$3,子基金及业绩基准周净值!$A:$AU,11)</f>
        <v>1.6042</v>
      </c>
      <c r="BA13" s="164">
        <f>VLOOKUP(BA$3,子基金及业绩基准周净值!$A:$AU,11)</f>
        <v>1.6171</v>
      </c>
      <c r="BB13" s="164">
        <f>VLOOKUP(BB$3,子基金及业绩基准周净值!$A:$AU,11)</f>
        <v>1.6066</v>
      </c>
      <c r="BC13" s="1">
        <v>1.6199</v>
      </c>
    </row>
    <row r="14" spans="2:51">
      <c r="B14" s="35" t="s">
        <v>91</v>
      </c>
      <c r="C14" s="158" t="s">
        <v>49</v>
      </c>
      <c r="D14" s="154"/>
      <c r="E14" s="161"/>
      <c r="F14" s="161">
        <f t="shared" si="0"/>
        <v>0</v>
      </c>
      <c r="I14" s="16"/>
      <c r="J14" s="164"/>
      <c r="K14" s="164"/>
      <c r="L14" s="164"/>
      <c r="M14" s="164"/>
      <c r="N14" s="164"/>
      <c r="O14" s="164"/>
      <c r="P14" s="164"/>
      <c r="Q14" s="164"/>
      <c r="R14" s="164"/>
      <c r="S14" s="164"/>
      <c r="T14" s="164"/>
      <c r="U14" s="164"/>
      <c r="V14" s="164"/>
      <c r="W14" s="164">
        <f>VLOOKUP(W$3,子基金及业绩基准周净值!$A:$AU,12)</f>
        <v>1.07276503</v>
      </c>
      <c r="X14" s="164">
        <f>VLOOKUP(X$3,子基金及业绩基准周净值!$A:$AU,12)</f>
        <v>1.07276503</v>
      </c>
      <c r="Y14" s="164">
        <f>VLOOKUP(Y$3,子基金及业绩基准周净值!$A:$AU,12)</f>
        <v>1.07283455</v>
      </c>
      <c r="Z14" s="164">
        <f>VLOOKUP(Z$3,子基金及业绩基准周净值!$A:$AU,12)</f>
        <v>1.07225621</v>
      </c>
      <c r="AA14" s="164">
        <f>VLOOKUP(AA$3,子基金及业绩基准周净值!$A:$AU,12)</f>
        <v>1.07282788</v>
      </c>
      <c r="AB14" s="164">
        <f>VLOOKUP(AB$3,子基金及业绩基准周净值!$A:$AU,12)</f>
        <v>1.06949954</v>
      </c>
      <c r="AC14" s="164">
        <f>VLOOKUP(AC$3,子基金及业绩基准周净值!$A:$AU,12)</f>
        <v>1.06957121</v>
      </c>
      <c r="AD14" s="164">
        <f>VLOOKUP(AD$3,子基金及业绩基准周净值!$A:$AU,12)</f>
        <v>1.07279288</v>
      </c>
      <c r="AE14" s="164">
        <f>VLOOKUP(AE$3,子基金及业绩基准周净值!$A:$AU,12)</f>
        <v>1.07051454</v>
      </c>
      <c r="AF14" s="164">
        <f>VLOOKUP(AF$3,子基金及业绩基准周净值!$A:$AU,12)</f>
        <v>1.06658621</v>
      </c>
      <c r="AG14" s="164">
        <f>VLOOKUP(AG$3,子基金及业绩基准周净值!$A:$AU,12)</f>
        <v>1.06190787</v>
      </c>
      <c r="AH14" s="164">
        <f>VLOOKUP(AH$3,子基金及业绩基准周净值!$A:$AU,12)</f>
        <v>1.05557954</v>
      </c>
      <c r="AI14" s="164">
        <f>VLOOKUP(AI$3,子基金及业绩基准周净值!$A:$AU,12)</f>
        <v>1.04352287</v>
      </c>
      <c r="AJ14" s="164">
        <f>VLOOKUP(AJ$3,子基金及业绩基准周净值!$A:$AU,12)</f>
        <v>1.04234454</v>
      </c>
      <c r="AK14" s="164">
        <f>VLOOKUP(AK$3,子基金及业绩基准周净值!$A:$AU,12)</f>
        <v>1.0389162</v>
      </c>
      <c r="AL14" s="164">
        <f>VLOOKUP(AL$3,子基金及业绩基准周净值!$A:$AU,12)</f>
        <v>1.03585525</v>
      </c>
      <c r="AM14" s="164">
        <f>VLOOKUP(AM$3,子基金及业绩基准周净值!$A:$AU,12)</f>
        <v>1.03655953</v>
      </c>
      <c r="AN14" s="164">
        <f>VLOOKUP(AN$3,子基金及业绩基准周净值!$A:$AU,12)</f>
        <v>1.0345812</v>
      </c>
      <c r="AO14" s="164">
        <f>VLOOKUP(AO$3,子基金及业绩基准周净值!$A:$AU,12)</f>
        <v>1.03050287</v>
      </c>
      <c r="AP14" s="164">
        <f>VLOOKUP(AP$3,子基金及业绩基准周净值!$A:$AU,12)</f>
        <v>1.02822453</v>
      </c>
      <c r="AQ14" s="164">
        <f>VLOOKUP(AQ$3,子基金及业绩基准周净值!$A:$AU,12)</f>
        <v>1.0205462</v>
      </c>
      <c r="AR14" s="164">
        <f>VLOOKUP(AR$3,子基金及业绩基准周净值!$A:$AU,12)</f>
        <v>1.01976786</v>
      </c>
      <c r="AS14" s="164">
        <f>VLOOKUP(AS$3,子基金及业绩基准周净值!$A:$AU,12)</f>
        <v>1.01087</v>
      </c>
      <c r="AT14" s="164">
        <f>VLOOKUP(AT$3,子基金及业绩基准周净值!$A:$AU,12)</f>
        <v>0.9993</v>
      </c>
      <c r="AU14" s="164">
        <f>VLOOKUP(AU$3,子基金及业绩基准周净值!$A:$AU,12)</f>
        <v>0.9958</v>
      </c>
      <c r="AV14" s="164">
        <f>VLOOKUP(AV$3,子基金及业绩基准周净值!$A:$AU,12)</f>
        <v>1.0011</v>
      </c>
      <c r="AW14" s="164">
        <f>VLOOKUP(AW$3,子基金及业绩基准周净值!$A:$AU,12)</f>
        <v>1.0015</v>
      </c>
      <c r="AX14" s="164">
        <f>VLOOKUP(AX$3,子基金及业绩基准周净值!$A:$AU,12)</f>
        <v>0.9989</v>
      </c>
      <c r="AY14" s="164">
        <f>VLOOKUP(AY$3,子基金及业绩基准周净值!$A:$AU,12)</f>
        <v>1.0052</v>
      </c>
    </row>
    <row r="15" spans="2:51">
      <c r="B15" s="35" t="s">
        <v>92</v>
      </c>
      <c r="C15" s="5" t="s">
        <v>50</v>
      </c>
      <c r="D15" s="154">
        <f>VLOOKUP(C15,draft!$A:$I,9,FALSE)</f>
        <v>2.5503</v>
      </c>
      <c r="E15" s="161">
        <f>VLOOKUP(C15,draft!$A:$I,5,FALSE)</f>
        <v>2000000</v>
      </c>
      <c r="F15" s="161">
        <f t="shared" si="0"/>
        <v>2265731.47796355</v>
      </c>
      <c r="I15" s="16"/>
      <c r="J15" s="164">
        <f>VLOOKUP(J$3,子基金及业绩基准周净值!$A:$AU,13)</f>
        <v>1.0547</v>
      </c>
      <c r="K15" s="164">
        <f>VLOOKUP(K$3,子基金及业绩基准周净值!$A:$AU,13)</f>
        <v>1.0512</v>
      </c>
      <c r="L15" s="164">
        <f>VLOOKUP(L$3,子基金及业绩基准周净值!$A:$AU,13)</f>
        <v>1.0361</v>
      </c>
      <c r="M15" s="164">
        <f>VLOOKUP(M$3,子基金及业绩基准周净值!$A:$AU,13)</f>
        <v>1.0702</v>
      </c>
      <c r="N15" s="164">
        <f>VLOOKUP(N$3,子基金及业绩基准周净值!$A:$AU,13)</f>
        <v>1.0538</v>
      </c>
      <c r="O15" s="164">
        <f>VLOOKUP(O$3,子基金及业绩基准周净值!$A:$AU,13)</f>
        <v>1.0501</v>
      </c>
      <c r="P15" s="164">
        <f>VLOOKUP(P$3,子基金及业绩基准周净值!$A:$AU,13)</f>
        <v>1.0608</v>
      </c>
      <c r="Q15" s="164">
        <f>VLOOKUP(Q$3,子基金及业绩基准周净值!$A:$AU,13)</f>
        <v>1.0571</v>
      </c>
      <c r="R15" s="164">
        <f>VLOOKUP(R$3,子基金及业绩基准周净值!$A:$AU,13)</f>
        <v>1.05</v>
      </c>
      <c r="S15" s="164">
        <f>VLOOKUP(S$3,子基金及业绩基准周净值!$A:$AU,13)</f>
        <v>1.0765</v>
      </c>
      <c r="T15" s="164">
        <f>VLOOKUP(T$3,子基金及业绩基准周净值!$A:$AU,13)</f>
        <v>1.0528</v>
      </c>
      <c r="U15" s="164">
        <f>VLOOKUP(U$3,子基金及业绩基准周净值!$A:$AU,13)</f>
        <v>1.0387</v>
      </c>
      <c r="V15" s="164">
        <f>VLOOKUP(V$3,子基金及业绩基准周净值!$A:$AU,13)</f>
        <v>1.0192</v>
      </c>
      <c r="W15" s="164">
        <f>VLOOKUP(W$3,子基金及业绩基准周净值!$A:$AU,13)</f>
        <v>1.0263</v>
      </c>
      <c r="X15" s="164">
        <f>VLOOKUP(X$3,子基金及业绩基准周净值!$A:$AU,13)</f>
        <v>1.0082</v>
      </c>
      <c r="Y15" s="164">
        <f>VLOOKUP(Y$3,子基金及业绩基准周净值!$A:$AU,13)</f>
        <v>0.9998</v>
      </c>
      <c r="Z15" s="164">
        <f>VLOOKUP(Z$3,子基金及业绩基准周净值!$A:$AU,13)</f>
        <v>0.9929</v>
      </c>
      <c r="AA15" s="164">
        <f>VLOOKUP(AA$3,子基金及业绩基准周净值!$A:$AU,13)</f>
        <v>0.9862</v>
      </c>
      <c r="AB15" s="164">
        <f>VLOOKUP(AB$3,子基金及业绩基准周净值!$A:$AU,13)</f>
        <v>0.9665</v>
      </c>
      <c r="AC15" s="164">
        <f>VLOOKUP(AC$3,子基金及业绩基准周净值!$A:$AU,13)</f>
        <v>0.9696</v>
      </c>
      <c r="AD15" s="164">
        <f>VLOOKUP(AD$3,子基金及业绩基准周净值!$A:$AU,13)</f>
        <v>0.9716</v>
      </c>
      <c r="AE15" s="164">
        <f>VLOOKUP(AE$3,子基金及业绩基准周净值!$A:$AU,13)</f>
        <v>0.9622</v>
      </c>
      <c r="AF15" s="164">
        <f>VLOOKUP(AF$3,子基金及业绩基准周净值!$A:$AU,13)</f>
        <v>0.9628</v>
      </c>
      <c r="AG15" s="164">
        <f>VLOOKUP(AG$3,子基金及业绩基准周净值!$A:$AU,13)</f>
        <v>0.9657</v>
      </c>
      <c r="AH15" s="164">
        <f>VLOOKUP(AH$3,子基金及业绩基准周净值!$A:$AU,13)</f>
        <v>0.9636</v>
      </c>
      <c r="AI15" s="164">
        <f>VLOOKUP(AI$3,子基金及业绩基准周净值!$A:$AU,13)</f>
        <v>0.9515</v>
      </c>
      <c r="AJ15" s="164">
        <f>VLOOKUP(AJ$3,子基金及业绩基准周净值!$A:$AU,13)</f>
        <v>0.9384</v>
      </c>
      <c r="AK15" s="164">
        <f>VLOOKUP(AK$3,子基金及业绩基准周净值!$A:$AU,13)</f>
        <v>0.9448</v>
      </c>
      <c r="AL15" s="164">
        <f>VLOOKUP(AL$3,子基金及业绩基准周净值!$A:$AU,13)</f>
        <v>0.9541</v>
      </c>
      <c r="AM15" s="164">
        <f>VLOOKUP(AM$3,子基金及业绩基准周净值!$A:$AU,13)</f>
        <v>0.9548</v>
      </c>
      <c r="AN15" s="164">
        <f>VLOOKUP(AN$3,子基金及业绩基准周净值!$A:$AU,13)</f>
        <v>0.9515</v>
      </c>
      <c r="AO15" s="164">
        <f>VLOOKUP(AO$3,子基金及业绩基准周净值!$A:$AU,13)</f>
        <v>0.9617</v>
      </c>
      <c r="AP15" s="164">
        <f>VLOOKUP(AP$3,子基金及业绩基准周净值!$A:$AU,13)</f>
        <v>0.9593</v>
      </c>
      <c r="AQ15" s="164">
        <f>VLOOKUP(AQ$3,子基金及业绩基准周净值!$A:$AU,13)</f>
        <v>0.9444</v>
      </c>
      <c r="AR15" s="164">
        <f>VLOOKUP(AR$3,子基金及业绩基准周净值!$A:$AU,13)</f>
        <v>0.9519</v>
      </c>
      <c r="AS15" s="164">
        <f>VLOOKUP(AS$3,子基金及业绩基准周净值!$A:$AU,13)</f>
        <v>0.9384</v>
      </c>
      <c r="AT15" s="164">
        <f>VLOOKUP(AT$3,子基金及业绩基准周净值!$A:$AU,13)</f>
        <v>0.9337</v>
      </c>
      <c r="AU15" s="164">
        <f>VLOOKUP(AU$3,子基金及业绩基准周净值!$A:$AU,13)</f>
        <v>0.9202</v>
      </c>
      <c r="AV15" s="164">
        <f>VLOOKUP(AV$3,子基金及业绩基准周净值!$A:$AU,13)</f>
        <v>0.924</v>
      </c>
      <c r="AW15" s="164">
        <f>VLOOKUP(AW$3,子基金及业绩基准周净值!$A:$AU,13)</f>
        <v>0.9164</v>
      </c>
      <c r="AX15" s="164">
        <v>0.9031</v>
      </c>
      <c r="AY15" s="164"/>
    </row>
    <row r="16" spans="2:51">
      <c r="B16" s="35" t="s">
        <v>88</v>
      </c>
      <c r="C16" s="5" t="s">
        <v>51</v>
      </c>
      <c r="D16" s="154">
        <f>VLOOKUP(C16,draft!$A:$I,9,FALSE)</f>
        <v>5.9891</v>
      </c>
      <c r="E16" s="161">
        <f>VLOOKUP(C16,draft!$A:$I,5,FALSE)</f>
        <v>5100000</v>
      </c>
      <c r="F16" s="161">
        <f t="shared" si="0"/>
        <v>5320822.01884935</v>
      </c>
      <c r="I16" s="16"/>
      <c r="J16" s="164">
        <f>VLOOKUP(J$3,子基金及业绩基准周净值!$A:$AU,14)</f>
        <v>1.1243</v>
      </c>
      <c r="K16" s="164">
        <f>VLOOKUP(K$3,子基金及业绩基准周净值!$A:$AU,14)</f>
        <v>1.1264</v>
      </c>
      <c r="L16" s="164">
        <f>VLOOKUP(L$3,子基金及业绩基准周净值!$A:$AU,14)</f>
        <v>1.1219</v>
      </c>
      <c r="M16" s="164">
        <f>VLOOKUP(M$3,子基金及业绩基准周净值!$A:$AU,14)</f>
        <v>1.1286</v>
      </c>
      <c r="N16" s="164">
        <f>VLOOKUP(N$3,子基金及业绩基准周净值!$A:$AU,14)</f>
        <v>1.1129</v>
      </c>
      <c r="O16" s="164">
        <f>VLOOKUP(O$3,子基金及业绩基准周净值!$A:$AU,14)</f>
        <v>1.1115</v>
      </c>
      <c r="P16" s="164">
        <f>VLOOKUP(P$3,子基金及业绩基准周净值!$A:$AU,14)</f>
        <v>1.1189</v>
      </c>
      <c r="Q16" s="164">
        <f>VLOOKUP(Q$3,子基金及业绩基准周净值!$A:$AU,14)</f>
        <v>1.1137</v>
      </c>
      <c r="R16" s="164">
        <f>VLOOKUP(R$3,子基金及业绩基准周净值!$A:$AU,14)</f>
        <v>1.1104</v>
      </c>
      <c r="S16" s="164">
        <f>VLOOKUP(S$3,子基金及业绩基准周净值!$A:$AU,14)</f>
        <v>1.111</v>
      </c>
      <c r="T16" s="164">
        <f>VLOOKUP(T$3,子基金及业绩基准周净值!$A:$AU,14)</f>
        <v>1.1078</v>
      </c>
      <c r="U16" s="164">
        <f>VLOOKUP(U$3,子基金及业绩基准周净值!$A:$AU,14)</f>
        <v>1.0983</v>
      </c>
      <c r="V16" s="164">
        <f>VLOOKUP(V$3,子基金及业绩基准周净值!$A:$AU,14)</f>
        <v>1.089</v>
      </c>
      <c r="W16" s="164">
        <f>VLOOKUP(W$3,子基金及业绩基准周净值!$A:$AU,14)</f>
        <v>1.0731</v>
      </c>
      <c r="X16" s="164">
        <f>VLOOKUP(X$3,子基金及业绩基准周净值!$A:$AU,14)</f>
        <v>1.0914</v>
      </c>
      <c r="Y16" s="164">
        <f>VLOOKUP(Y$3,子基金及业绩基准周净值!$A:$AU,14)</f>
        <v>1.09</v>
      </c>
      <c r="Z16" s="164">
        <f>VLOOKUP(Z$3,子基金及业绩基准周净值!$A:$AU,14)</f>
        <v>1.0916</v>
      </c>
      <c r="AA16" s="164">
        <f>VLOOKUP(AA$3,子基金及业绩基准周净值!$A:$AU,14)</f>
        <v>1.0992</v>
      </c>
      <c r="AB16" s="164">
        <f>VLOOKUP(AB$3,子基金及业绩基准周净值!$A:$AU,14)</f>
        <v>1.0897</v>
      </c>
      <c r="AC16" s="164">
        <f>VLOOKUP(AC$3,子基金及业绩基准周净值!$A:$AU,14)</f>
        <v>1.0953</v>
      </c>
      <c r="AD16" s="164">
        <f>VLOOKUP(AD$3,子基金及业绩基准周净值!$A:$AU,14)</f>
        <v>1.0974</v>
      </c>
      <c r="AE16" s="164">
        <f>VLOOKUP(AE$3,子基金及业绩基准周净值!$A:$AU,14)</f>
        <v>1.097</v>
      </c>
      <c r="AF16" s="164">
        <f>VLOOKUP(AF$3,子基金及业绩基准周净值!$A:$AU,14)</f>
        <v>1.0872</v>
      </c>
      <c r="AG16" s="164">
        <f>VLOOKUP(AG$3,子基金及业绩基准周净值!$A:$AU,14)</f>
        <v>1.0885</v>
      </c>
      <c r="AH16" s="164">
        <f>VLOOKUP(AH$3,子基金及业绩基准周净值!$A:$AU,14)</f>
        <v>1.0902</v>
      </c>
      <c r="AI16" s="164">
        <f>VLOOKUP(AI$3,子基金及业绩基准周净值!$A:$AU,14)</f>
        <v>1.0852</v>
      </c>
      <c r="AJ16" s="164">
        <f>VLOOKUP(AJ$3,子基金及业绩基准周净值!$A:$AU,14)</f>
        <v>1.0806</v>
      </c>
      <c r="AK16" s="164">
        <f>VLOOKUP(AK$3,子基金及业绩基准周净值!$A:$AU,14)</f>
        <v>1.0765</v>
      </c>
      <c r="AL16" s="164">
        <f>VLOOKUP(AL$3,子基金及业绩基准周净值!$A:$AU,14)</f>
        <v>1.0746</v>
      </c>
      <c r="AM16" s="164">
        <f>VLOOKUP(AM$3,子基金及业绩基准周净值!$A:$AU,14)</f>
        <v>1.0686</v>
      </c>
      <c r="AN16" s="164">
        <f>VLOOKUP(AN$3,子基金及业绩基准周净值!$A:$AU,14)</f>
        <v>1.0713</v>
      </c>
      <c r="AO16" s="164">
        <f>VLOOKUP(AO$3,子基金及业绩基准周净值!$A:$AU,14)</f>
        <v>1.0688</v>
      </c>
      <c r="AP16" s="164">
        <f>VLOOKUP(AP$3,子基金及业绩基准周净值!$A:$AU,14)</f>
        <v>1.0712</v>
      </c>
      <c r="AQ16" s="164">
        <f>VLOOKUP(AQ$3,子基金及业绩基准周净值!$A:$AU,14)</f>
        <v>1.0701</v>
      </c>
      <c r="AR16" s="164">
        <f>VLOOKUP(AR$3,子基金及业绩基准周净值!$A:$AU,14)</f>
        <v>1.0705</v>
      </c>
      <c r="AS16" s="164">
        <f>VLOOKUP(AS$3,子基金及业绩基准周净值!$A:$AU,14)</f>
        <v>1.068</v>
      </c>
      <c r="AT16" s="164">
        <f>VLOOKUP(AT$3,子基金及业绩基准周净值!$A:$AU,14)</f>
        <v>1.0633</v>
      </c>
      <c r="AU16" s="164">
        <f>VLOOKUP(AU$3,子基金及业绩基准周净值!$A:$AU,14)</f>
        <v>1.061</v>
      </c>
      <c r="AV16" s="164">
        <f>VLOOKUP(AV$3,子基金及业绩基准周净值!$A:$AU,14)</f>
        <v>1.0621</v>
      </c>
      <c r="AW16" s="164">
        <v>1.0582</v>
      </c>
      <c r="AX16" s="164"/>
      <c r="AY16" s="164"/>
    </row>
    <row r="17" spans="2:51">
      <c r="B17" s="35" t="s">
        <v>88</v>
      </c>
      <c r="C17" s="155" t="s">
        <v>52</v>
      </c>
      <c r="D17" s="154"/>
      <c r="E17" s="161"/>
      <c r="F17" s="161">
        <f t="shared" ref="F17:F20" si="1">D17*$F$1*0.01</f>
        <v>0</v>
      </c>
      <c r="I17" s="16"/>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f>VLOOKUP(AJ$3,子基金及业绩基准周净值!$A:$AU,15)</f>
        <v>1.041</v>
      </c>
      <c r="AK17" s="164">
        <f>VLOOKUP(AK$3,子基金及业绩基准周净值!$A:$AU,15)</f>
        <v>1.046</v>
      </c>
      <c r="AL17" s="164">
        <f>VLOOKUP(AL$3,子基金及业绩基准周净值!$A:$AU,15)</f>
        <v>1.043</v>
      </c>
      <c r="AM17" s="164">
        <f>VLOOKUP(AM$3,子基金及业绩基准周净值!$A:$AU,15)</f>
        <v>1.053</v>
      </c>
      <c r="AN17" s="164">
        <f>VLOOKUP(AN$3,子基金及业绩基准周净值!$A:$AU,15)</f>
        <v>1.06</v>
      </c>
      <c r="AO17" s="164">
        <f>VLOOKUP(AO$3,子基金及业绩基准周净值!$A:$AU,15)</f>
        <v>1.06</v>
      </c>
      <c r="AP17" s="164">
        <f>VLOOKUP(AP$3,子基金及业绩基准周净值!$A:$AU,15)</f>
        <v>1.058</v>
      </c>
      <c r="AQ17" s="164">
        <f>VLOOKUP(AQ$3,子基金及业绩基准周净值!$A:$AU,15)</f>
        <v>1.063</v>
      </c>
      <c r="AR17" s="164">
        <f>VLOOKUP(AR$3,子基金及业绩基准周净值!$A:$AU,15)</f>
        <v>1.065</v>
      </c>
      <c r="AS17" s="164">
        <f>VLOOKUP(AS$3,子基金及业绩基准周净值!$A:$AU,15)</f>
        <v>1.063</v>
      </c>
      <c r="AT17" s="164">
        <f>VLOOKUP(AT$3,子基金及业绩基准周净值!$A:$AU,15)</f>
        <v>1.065</v>
      </c>
      <c r="AU17" s="164">
        <f>VLOOKUP(AU$3,子基金及业绩基准周净值!$A:$AU,15)</f>
        <v>1.059</v>
      </c>
      <c r="AV17" s="164">
        <f>VLOOKUP(AV$3,子基金及业绩基准周净值!$A:$AU,15)</f>
        <v>1.061</v>
      </c>
      <c r="AW17" s="164">
        <v>1.064</v>
      </c>
      <c r="AX17" s="164"/>
      <c r="AY17" s="164"/>
    </row>
    <row r="18" spans="2:51">
      <c r="B18" s="35" t="s">
        <v>91</v>
      </c>
      <c r="C18" s="5" t="s">
        <v>53</v>
      </c>
      <c r="D18" s="154">
        <f>VLOOKUP(C18,draft!$A:$I,9,FALSE)</f>
        <v>8.7589</v>
      </c>
      <c r="E18" s="161">
        <f>VLOOKUP(C18,draft!$A:$I,5,FALSE)</f>
        <v>7100000</v>
      </c>
      <c r="F18" s="161">
        <f t="shared" si="1"/>
        <v>7781561.16626865</v>
      </c>
      <c r="I18" s="16"/>
      <c r="J18" s="164">
        <f>VLOOKUP(J$3,子基金及业绩基准周净值!$A:$AU,16)</f>
        <v>1.1573</v>
      </c>
      <c r="K18" s="164">
        <f>VLOOKUP(K$3,子基金及业绩基准周净值!$A:$AU,16)</f>
        <v>1.1555</v>
      </c>
      <c r="L18" s="164">
        <f>VLOOKUP(L$3,子基金及业绩基准周净值!$A:$AU,16)</f>
        <v>1.1553</v>
      </c>
      <c r="M18" s="164">
        <f>VLOOKUP(M$3,子基金及业绩基准周净值!$A:$AU,16)</f>
        <v>1.1547</v>
      </c>
      <c r="N18" s="164">
        <f>VLOOKUP(N$3,子基金及业绩基准周净值!$A:$AU,16)</f>
        <v>1.1541</v>
      </c>
      <c r="O18" s="164">
        <f>VLOOKUP(O$3,子基金及业绩基准周净值!$A:$AU,16)</f>
        <v>1.1536</v>
      </c>
      <c r="P18" s="164">
        <f>VLOOKUP(P$3,子基金及业绩基准周净值!$A:$AU,16)</f>
        <v>1.1536</v>
      </c>
      <c r="Q18" s="164">
        <f>VLOOKUP(Q$3,子基金及业绩基准周净值!$A:$AU,16)</f>
        <v>1.1511</v>
      </c>
      <c r="R18" s="164">
        <f>VLOOKUP(R$3,子基金及业绩基准周净值!$A:$AU,16)</f>
        <v>1.1506</v>
      </c>
      <c r="S18" s="164">
        <f>VLOOKUP(S$3,子基金及业绩基准周净值!$A:$AU,16)</f>
        <v>1.1506</v>
      </c>
      <c r="T18" s="164">
        <f>VLOOKUP(T$3,子基金及业绩基准周净值!$A:$AU,16)</f>
        <v>1.1479</v>
      </c>
      <c r="U18" s="164">
        <f>VLOOKUP(U$3,子基金及业绩基准周净值!$A:$AU,16)</f>
        <v>1.144</v>
      </c>
      <c r="V18" s="164">
        <f>VLOOKUP(V$3,子基金及业绩基准周净值!$A:$AU,16)</f>
        <v>1.1437</v>
      </c>
      <c r="W18" s="164">
        <f>VLOOKUP(W$3,子基金及业绩基准周净值!$A:$AU,16)</f>
        <v>1.1436</v>
      </c>
      <c r="X18" s="164">
        <f>VLOOKUP(X$3,子基金及业绩基准周净值!$A:$AU,16)</f>
        <v>1.1037</v>
      </c>
      <c r="Y18" s="164">
        <f>VLOOKUP(Y$3,子基金及业绩基准周净值!$A:$AU,16)</f>
        <v>1.0885</v>
      </c>
      <c r="Z18" s="164">
        <f>VLOOKUP(Z$3,子基金及业绩基准周净值!$A:$AU,16)</f>
        <v>1.088</v>
      </c>
      <c r="AA18" s="164">
        <f>VLOOKUP(AA$3,子基金及业绩基准周净值!$A:$AU,16)</f>
        <v>1.0878</v>
      </c>
      <c r="AB18" s="164">
        <f>VLOOKUP(AB$3,子基金及业绩基准周净值!$A:$AU,16)</f>
        <v>1.0877</v>
      </c>
      <c r="AC18" s="164">
        <f>VLOOKUP(AC$3,子基金及业绩基准周净值!$A:$AU,16)</f>
        <v>1.0875</v>
      </c>
      <c r="AD18" s="164">
        <f>VLOOKUP(AD$3,子基金及业绩基准周净值!$A:$AU,16)</f>
        <v>1.0873</v>
      </c>
      <c r="AE18" s="164">
        <f>VLOOKUP(AE$3,子基金及业绩基准周净值!$A:$AU,16)</f>
        <v>1.0864</v>
      </c>
      <c r="AF18" s="164">
        <f>VLOOKUP(AF$3,子基金及业绩基准周净值!$A:$AU,16)</f>
        <v>1.0852</v>
      </c>
      <c r="AG18" s="164">
        <f>VLOOKUP(AG$3,子基金及业绩基准周净值!$A:$AU,16)</f>
        <v>1.0848</v>
      </c>
      <c r="AH18" s="164">
        <f>VLOOKUP(AH$3,子基金及业绩基准周净值!$A:$AU,16)</f>
        <v>1.0826</v>
      </c>
      <c r="AI18" s="164">
        <f>VLOOKUP(AI$3,子基金及业绩基准周净值!$A:$AU,16)</f>
        <v>1.0775</v>
      </c>
      <c r="AJ18" s="164">
        <f>VLOOKUP(AJ$3,子基金及业绩基准周净值!$A:$AU,16)</f>
        <v>1.0762</v>
      </c>
      <c r="AK18" s="164">
        <f>VLOOKUP(AK$3,子基金及业绩基准周净值!$A:$AU,16)</f>
        <v>1.0767</v>
      </c>
      <c r="AL18" s="164">
        <f>VLOOKUP(AL$3,子基金及业绩基准周净值!$A:$AU,16)</f>
        <v>1.0739</v>
      </c>
      <c r="AM18" s="164">
        <f>VLOOKUP(AM$3,子基金及业绩基准周净值!$A:$AU,16)</f>
        <v>1.0714</v>
      </c>
      <c r="AN18" s="164">
        <f>VLOOKUP(AN$3,子基金及业绩基准周净值!$A:$AU,16)</f>
        <v>1.0701</v>
      </c>
      <c r="AO18" s="164">
        <f>VLOOKUP(AO$3,子基金及业绩基准周净值!$A:$AU,16)</f>
        <v>1.0716</v>
      </c>
      <c r="AP18" s="164">
        <f>VLOOKUP(AP$3,子基金及业绩基准周净值!$A:$AU,16)</f>
        <v>1.0706</v>
      </c>
      <c r="AQ18" s="164">
        <f>VLOOKUP(AQ$3,子基金及业绩基准周净值!$A:$AU,16)</f>
        <v>1.0573</v>
      </c>
      <c r="AR18" s="164">
        <f>VLOOKUP(AR$3,子基金及业绩基准周净值!$A:$AU,16)</f>
        <v>1.0521</v>
      </c>
      <c r="AS18" s="164">
        <f>VLOOKUP(AS$3,子基金及业绩基准周净值!$A:$AU,16)</f>
        <v>1.0499</v>
      </c>
      <c r="AT18" s="164">
        <f>VLOOKUP(AT$3,子基金及业绩基准周净值!$A:$AU,16)</f>
        <v>1.0335</v>
      </c>
      <c r="AU18" s="164">
        <f>VLOOKUP(AU$3,子基金及业绩基准周净值!$A:$AU,16)</f>
        <v>1.0325</v>
      </c>
      <c r="AV18" s="164">
        <f>VLOOKUP(AV$3,子基金及业绩基准周净值!$A:$AU,16)</f>
        <v>1.0234</v>
      </c>
      <c r="AW18" s="164">
        <v>1.024</v>
      </c>
      <c r="AX18" s="164"/>
      <c r="AY18" s="164"/>
    </row>
    <row r="19" spans="2:51">
      <c r="B19" s="35" t="s">
        <v>91</v>
      </c>
      <c r="C19" s="5" t="s">
        <v>54</v>
      </c>
      <c r="D19" s="154">
        <f>VLOOKUP(C19,draft!$A:$I,9,FALSE)</f>
        <v>3.5055</v>
      </c>
      <c r="E19" s="161">
        <f>VLOOKUP(C19,draft!$A:$I,5,FALSE)</f>
        <v>3417520.68</v>
      </c>
      <c r="F19" s="161">
        <f t="shared" si="1"/>
        <v>3114347.99670675</v>
      </c>
      <c r="I19" s="16"/>
      <c r="J19" s="164">
        <f>VLOOKUP(J$3,子基金及业绩基准周净值!$A:$AU,17)</f>
        <v>0.995</v>
      </c>
      <c r="K19" s="164">
        <f>VLOOKUP(K$3,子基金及业绩基准周净值!$A:$AU,17)</f>
        <v>0.989</v>
      </c>
      <c r="L19" s="164">
        <f>VLOOKUP(L$3,子基金及业绩基准周净值!$A:$AU,17)</f>
        <v>0.989</v>
      </c>
      <c r="M19" s="164">
        <f>VLOOKUP(M$3,子基金及业绩基准周净值!$A:$AU,17)</f>
        <v>1.1718</v>
      </c>
      <c r="N19" s="164">
        <f>VLOOKUP(N$3,子基金及业绩基准周净值!$A:$AU,17)</f>
        <v>1.1732</v>
      </c>
      <c r="O19" s="164">
        <f>VLOOKUP(O$3,子基金及业绩基准周净值!$A:$AU,17)</f>
        <v>1.1781</v>
      </c>
      <c r="P19" s="164">
        <f>VLOOKUP(P$3,子基金及业绩基准周净值!$A:$AU,17)</f>
        <v>1.1837</v>
      </c>
      <c r="Q19" s="164">
        <f>VLOOKUP(Q$3,子基金及业绩基准周净值!$A:$AU,17)</f>
        <v>1.1599</v>
      </c>
      <c r="R19" s="164">
        <f>VLOOKUP(R$3,子基金及业绩基准周净值!$A:$AU,17)</f>
        <v>1.1676</v>
      </c>
      <c r="S19" s="164">
        <f>VLOOKUP(S$3,子基金及业绩基准周净值!$A:$AU,17)</f>
        <v>1.1508</v>
      </c>
      <c r="T19" s="164">
        <f>VLOOKUP(T$3,子基金及业绩基准周净值!$A:$AU,17)</f>
        <v>1.1298</v>
      </c>
      <c r="U19" s="164">
        <f>VLOOKUP(U$3,子基金及业绩基准周净值!$A:$AU,17)</f>
        <v>1.1116</v>
      </c>
      <c r="V19" s="164">
        <f>VLOOKUP(V$3,子基金及业绩基准周净值!$A:$AU,17)</f>
        <v>1.095</v>
      </c>
      <c r="W19" s="164">
        <f>VLOOKUP(W$3,子基金及业绩基准周净值!$A:$AU,17)</f>
        <v>1.099</v>
      </c>
      <c r="X19" s="164">
        <f>VLOOKUP(X$3,子基金及业绩基准周净值!$A:$AU,17)</f>
        <v>1.086</v>
      </c>
      <c r="Y19" s="164">
        <f>VLOOKUP(Y$3,子基金及业绩基准周净值!$A:$AU,17)</f>
        <v>1.091</v>
      </c>
      <c r="Z19" s="164">
        <f>VLOOKUP(Z$3,子基金及业绩基准周净值!$A:$AU,17)</f>
        <v>1.091</v>
      </c>
      <c r="AA19" s="164">
        <f>VLOOKUP(AA$3,子基金及业绩基准周净值!$A:$AU,17)</f>
        <v>1.091</v>
      </c>
      <c r="AB19" s="164">
        <f>VLOOKUP(AB$3,子基金及业绩基准周净值!$A:$AU,17)</f>
        <v>1.094</v>
      </c>
      <c r="AC19" s="164">
        <f>VLOOKUP(AC$3,子基金及业绩基准周净值!$A:$AU,17)</f>
        <v>1.094</v>
      </c>
      <c r="AD19" s="164">
        <f>VLOOKUP(AD$3,子基金及业绩基准周净值!$A:$AU,17)</f>
        <v>1.094</v>
      </c>
      <c r="AE19" s="164">
        <f>VLOOKUP(AE$3,子基金及业绩基准周净值!$A:$AU,17)</f>
        <v>1.095</v>
      </c>
      <c r="AF19" s="164">
        <f>VLOOKUP(AF$3,子基金及业绩基准周净值!$A:$AU,17)</f>
        <v>1.09</v>
      </c>
      <c r="AG19" s="164">
        <f>VLOOKUP(AG$3,子基金及业绩基准周净值!$A:$AU,17)</f>
        <v>1.095</v>
      </c>
      <c r="AH19" s="164">
        <f>VLOOKUP(AH$3,子基金及业绩基准周净值!$A:$AU,17)</f>
        <v>1.102</v>
      </c>
      <c r="AI19" s="164">
        <f>VLOOKUP(AI$3,子基金及业绩基准周净值!$A:$AU,17)</f>
        <v>1.094</v>
      </c>
      <c r="AJ19" s="164">
        <f>VLOOKUP(AJ$3,子基金及业绩基准周净值!$A:$AU,17)</f>
        <v>1.096</v>
      </c>
      <c r="AK19" s="164">
        <f>VLOOKUP(AK$3,子基金及业绩基准周净值!$A:$AU,17)</f>
        <v>1.1</v>
      </c>
      <c r="AL19" s="164">
        <f>VLOOKUP(AL$3,子基金及业绩基准周净值!$A:$AU,17)</f>
        <v>1.095</v>
      </c>
      <c r="AM19" s="164">
        <f>VLOOKUP(AM$3,子基金及业绩基准周净值!$A:$AU,17)</f>
        <v>1.096</v>
      </c>
      <c r="AN19" s="164">
        <f>VLOOKUP(AN$3,子基金及业绩基准周净值!$A:$AU,17)</f>
        <v>1.099</v>
      </c>
      <c r="AO19" s="164">
        <f>VLOOKUP(AO$3,子基金及业绩基准周净值!$A:$AU,17)</f>
        <v>1.097</v>
      </c>
      <c r="AP19" s="164">
        <v>1.106</v>
      </c>
      <c r="AQ19" s="164"/>
      <c r="AR19" s="164"/>
      <c r="AS19" s="164"/>
      <c r="AT19" s="164"/>
      <c r="AU19" s="164"/>
      <c r="AV19" s="164"/>
      <c r="AW19" s="164"/>
      <c r="AX19" s="164"/>
      <c r="AY19" s="164"/>
    </row>
    <row r="20" spans="2:51">
      <c r="B20" s="35" t="s">
        <v>88</v>
      </c>
      <c r="C20" s="5" t="s">
        <v>55</v>
      </c>
      <c r="D20" s="154">
        <f>VLOOKUP(C20,draft!$A:$I,9,FALSE)</f>
        <v>3.4615</v>
      </c>
      <c r="E20" s="161">
        <f>VLOOKUP(C20,draft!$A:$I,5,FALSE)</f>
        <v>3000000</v>
      </c>
      <c r="F20" s="161">
        <f t="shared" si="1"/>
        <v>3075257.62105275</v>
      </c>
      <c r="I20" s="16"/>
      <c r="J20" s="164">
        <f>VLOOKUP(J$3,子基金及业绩基准周净值!$A:$AU,18)</f>
        <v>1.0292</v>
      </c>
      <c r="K20" s="164">
        <f>VLOOKUP(K$3,子基金及业绩基准周净值!$A:$AU,18)</f>
        <v>1.0321</v>
      </c>
      <c r="L20" s="164">
        <f>VLOOKUP(L$3,子基金及业绩基准周净值!$A:$AU,18)</f>
        <v>1.0294</v>
      </c>
      <c r="M20" s="164">
        <f>VLOOKUP(M$3,子基金及业绩基准周净值!$A:$AU,18)</f>
        <v>1.0286</v>
      </c>
      <c r="N20" s="164">
        <f>VLOOKUP(N$3,子基金及业绩基准周净值!$A:$AU,18)</f>
        <v>1.0303</v>
      </c>
      <c r="O20" s="164">
        <f>VLOOKUP(O$3,子基金及业绩基准周净值!$A:$AU,18)</f>
        <v>1.0224</v>
      </c>
      <c r="P20" s="164">
        <f>VLOOKUP(P$3,子基金及业绩基准周净值!$A:$AU,18)</f>
        <v>1.02</v>
      </c>
      <c r="Q20" s="164">
        <f>VLOOKUP(Q$3,子基金及业绩基准周净值!$A:$AU,18)</f>
        <v>1.02</v>
      </c>
      <c r="R20" s="164">
        <f>VLOOKUP(R$3,子基金及业绩基准周净值!$A:$AU,18)</f>
        <v>1.0157</v>
      </c>
      <c r="S20" s="164">
        <f>VLOOKUP(S$3,子基金及业绩基准周净值!$A:$AU,18)</f>
        <v>1.017</v>
      </c>
      <c r="T20" s="164">
        <f>VLOOKUP(T$3,子基金及业绩基准周净值!$A:$AU,18)</f>
        <v>1.0144</v>
      </c>
      <c r="U20" s="164">
        <f>VLOOKUP(U$3,子基金及业绩基准周净值!$A:$AU,18)</f>
        <v>1.014</v>
      </c>
      <c r="V20" s="164">
        <f>VLOOKUP(V$3,子基金及业绩基准周净值!$A:$AU,18)</f>
        <v>1.0142</v>
      </c>
      <c r="W20" s="164">
        <f>VLOOKUP(W$3,子基金及业绩基准周净值!$A:$AU,18)</f>
        <v>1.0029</v>
      </c>
      <c r="X20" s="164">
        <f>VLOOKUP(X$3,子基金及业绩基准周净值!$A:$AU,18)</f>
        <v>1.0006</v>
      </c>
      <c r="Y20" s="164">
        <f>VLOOKUP(Y$3,子基金及业绩基准周净值!$A:$AU,18)</f>
        <v>1.0037</v>
      </c>
      <c r="Z20" s="164">
        <f>VLOOKUP(Z$3,子基金及业绩基准周净值!$A:$AU,18)</f>
        <v>1.0026</v>
      </c>
      <c r="AA20" s="164">
        <f>VLOOKUP(AA$3,子基金及业绩基准周净值!$A:$AU,18)</f>
        <v>1.0022</v>
      </c>
      <c r="AB20" s="164">
        <f>VLOOKUP(AB$3,子基金及业绩基准周净值!$A:$AU,18)</f>
        <v>0.9986</v>
      </c>
      <c r="AC20" s="164">
        <f>VLOOKUP(AC$3,子基金及业绩基准周净值!$A:$AU,18)</f>
        <v>1.0006</v>
      </c>
      <c r="AD20" s="164">
        <f>VLOOKUP(AD$3,子基金及业绩基准周净值!$A:$AU,18)</f>
        <v>1.0002</v>
      </c>
      <c r="AE20" s="164">
        <f>VLOOKUP(AE$3,子基金及业绩基准周净值!$A:$AU,18)</f>
        <v>1.0013</v>
      </c>
      <c r="AF20" s="164">
        <f>VLOOKUP(AF$3,子基金及业绩基准周净值!$A:$AU,18)</f>
        <v>1.0039</v>
      </c>
      <c r="AG20" s="164">
        <f>VLOOKUP(AG$3,子基金及业绩基准周净值!$A:$AU,18)</f>
        <v>1.0089</v>
      </c>
      <c r="AH20" s="164">
        <f>VLOOKUP(AH$3,子基金及业绩基准周净值!$A:$AU,18)</f>
        <v>1.0153</v>
      </c>
      <c r="AI20" s="164">
        <f>VLOOKUP(AI$3,子基金及业绩基准周净值!$A:$AU,18)</f>
        <v>1.0125</v>
      </c>
      <c r="AJ20" s="164">
        <f>VLOOKUP(AJ$3,子基金及业绩基准周净值!$A:$AU,18)</f>
        <v>1.0126</v>
      </c>
      <c r="AK20" s="164">
        <f>VLOOKUP(AK$3,子基金及业绩基准周净值!$A:$AU,18)</f>
        <v>1.0125</v>
      </c>
      <c r="AL20" s="164">
        <f>VLOOKUP(AL$3,子基金及业绩基准周净值!$A:$AU,18)</f>
        <v>1.0074</v>
      </c>
      <c r="AM20" s="164">
        <f>VLOOKUP(AM$3,子基金及业绩基准周净值!$A:$AU,18)</f>
        <v>1.0051</v>
      </c>
      <c r="AN20" s="164">
        <v>1.004</v>
      </c>
      <c r="AO20" s="164"/>
      <c r="AP20" s="164"/>
      <c r="AQ20" s="164"/>
      <c r="AR20" s="164"/>
      <c r="AS20" s="164"/>
      <c r="AT20" s="164"/>
      <c r="AU20" s="164"/>
      <c r="AV20" s="164"/>
      <c r="AW20" s="164"/>
      <c r="AX20" s="164"/>
      <c r="AY20" s="164"/>
    </row>
    <row r="21" spans="2:51">
      <c r="B21" s="35" t="s">
        <v>88</v>
      </c>
      <c r="C21" s="155" t="s">
        <v>56</v>
      </c>
      <c r="D21" s="154"/>
      <c r="E21" s="161"/>
      <c r="F21" s="161">
        <f t="shared" ref="F21:F23" si="2">D21*$F$1*0.01</f>
        <v>0</v>
      </c>
      <c r="G21" s="8"/>
      <c r="H21" s="8"/>
      <c r="I21" s="16"/>
      <c r="J21" s="164">
        <v>0.978</v>
      </c>
      <c r="K21" s="164">
        <f>VLOOKUP(K$3,子基金及业绩基准周净值!$A:$AU,19)</f>
        <v>0.9815</v>
      </c>
      <c r="L21" s="164">
        <f>VLOOKUP(L$3,子基金及业绩基准周净值!$A:$AU,19)</f>
        <v>0.9874</v>
      </c>
      <c r="M21" s="164">
        <f>VLOOKUP(M$3,子基金及业绩基准周净值!$A:$AU,19)</f>
        <v>0.9858</v>
      </c>
      <c r="N21" s="164">
        <f>VLOOKUP(N$3,子基金及业绩基准周净值!$A:$AU,19)</f>
        <v>0.9929</v>
      </c>
      <c r="O21" s="164">
        <f>VLOOKUP(O$3,子基金及业绩基准周净值!$A:$AU,19)</f>
        <v>0.9995</v>
      </c>
      <c r="P21" s="164">
        <f>VLOOKUP(P$3,子基金及业绩基准周净值!$A:$AU,19)</f>
        <v>0.9978</v>
      </c>
      <c r="Q21" s="164">
        <f>VLOOKUP(Q$3,子基金及业绩基准周净值!$A:$AU,19)</f>
        <v>0.9969</v>
      </c>
      <c r="R21" s="164">
        <f>VLOOKUP(R$3,子基金及业绩基准周净值!$A:$AU,19)</f>
        <v>0.993</v>
      </c>
      <c r="S21" s="164">
        <f>VLOOKUP(S$3,子基金及业绩基准周净值!$A:$AU,19)</f>
        <v>0.9967</v>
      </c>
      <c r="T21" s="164">
        <f>VLOOKUP(T$3,子基金及业绩基准周净值!$A:$AU,19)</f>
        <v>0.9924</v>
      </c>
      <c r="U21" s="164">
        <f>VLOOKUP(U$3,子基金及业绩基准周净值!$A:$AU,19)</f>
        <v>0.9909</v>
      </c>
      <c r="V21" s="164">
        <f>VLOOKUP(V$3,子基金及业绩基准周净值!$A:$AU,19)</f>
        <v>0.9938</v>
      </c>
      <c r="W21" s="164">
        <f>VLOOKUP(W$3,子基金及业绩基准周净值!$A:$AU,19)</f>
        <v>0.9837</v>
      </c>
      <c r="X21" s="164">
        <f>VLOOKUP(X$3,子基金及业绩基准周净值!$A:$AU,19)</f>
        <v>0.9822</v>
      </c>
      <c r="Y21" s="164">
        <f>VLOOKUP(Y$3,子基金及业绩基准周净值!$A:$AU,19)</f>
        <v>0.9841</v>
      </c>
      <c r="Z21" s="164">
        <f>VLOOKUP(Z$3,子基金及业绩基准周净值!$A:$AU,19)</f>
        <v>0.9827</v>
      </c>
      <c r="AA21" s="164">
        <f>VLOOKUP(AA$3,子基金及业绩基准周净值!$A:$AU,19)</f>
        <v>0.9823</v>
      </c>
      <c r="AB21" s="164">
        <f>VLOOKUP(AB$3,子基金及业绩基准周净值!$A:$AU,19)</f>
        <v>0.979</v>
      </c>
      <c r="AC21" s="164">
        <f>VLOOKUP(AC$3,子基金及业绩基准周净值!$A:$AU,19)</f>
        <v>0.9812</v>
      </c>
      <c r="AD21" s="164">
        <f>VLOOKUP(AD$3,子基金及业绩基准周净值!$A:$AU,19)</f>
        <v>0.982</v>
      </c>
      <c r="AE21" s="164">
        <f>VLOOKUP(AE$3,子基金及业绩基准周净值!$A:$AU,19)</f>
        <v>0.9827</v>
      </c>
      <c r="AF21" s="164">
        <f>VLOOKUP(AF$3,子基金及业绩基准周净值!$A:$AU,19)</f>
        <v>0.9833</v>
      </c>
      <c r="AG21" s="164">
        <f>VLOOKUP(AG$3,子基金及业绩基准周净值!$A:$AU,19)</f>
        <v>0.9865</v>
      </c>
      <c r="AH21" s="164">
        <f>VLOOKUP(AH$3,子基金及业绩基准周净值!$A:$AU,19)</f>
        <v>0.99</v>
      </c>
      <c r="AI21" s="164">
        <f>VLOOKUP(AI$3,子基金及业绩基准周净值!$A:$AU,19)</f>
        <v>0.9901</v>
      </c>
      <c r="AJ21" s="164">
        <f>VLOOKUP(AJ$3,子基金及业绩基准周净值!$A:$AU,19)</f>
        <v>0.9927</v>
      </c>
      <c r="AK21" s="164">
        <f>VLOOKUP(AK$3,子基金及业绩基准周净值!$A:$AU,19)</f>
        <v>0.9955</v>
      </c>
      <c r="AL21" s="164">
        <f>VLOOKUP(AL$3,子基金及业绩基准周净值!$A:$AU,19)</f>
        <v>1</v>
      </c>
      <c r="AM21" s="164">
        <f>VLOOKUP(AM$3,子基金及业绩基准周净值!$A:$AU,19)</f>
        <v>0.9999</v>
      </c>
      <c r="AN21" s="164">
        <v>0.9999</v>
      </c>
      <c r="AO21" s="164"/>
      <c r="AP21" s="164"/>
      <c r="AQ21" s="164"/>
      <c r="AR21" s="164"/>
      <c r="AS21" s="164"/>
      <c r="AT21" s="164"/>
      <c r="AU21" s="164"/>
      <c r="AV21" s="164"/>
      <c r="AW21" s="164"/>
      <c r="AX21" s="164"/>
      <c r="AY21" s="164"/>
    </row>
    <row r="22" spans="2:51">
      <c r="B22" s="35" t="s">
        <v>88</v>
      </c>
      <c r="C22" s="155" t="s">
        <v>57</v>
      </c>
      <c r="D22" s="154"/>
      <c r="E22" s="161"/>
      <c r="F22" s="161">
        <f t="shared" si="2"/>
        <v>0</v>
      </c>
      <c r="I22" s="16"/>
      <c r="J22" s="164"/>
      <c r="K22" s="164"/>
      <c r="L22" s="164"/>
      <c r="M22" s="164"/>
      <c r="N22" s="164"/>
      <c r="O22" s="164"/>
      <c r="P22" s="164"/>
      <c r="Q22" s="164"/>
      <c r="R22" s="164"/>
      <c r="S22" s="164"/>
      <c r="T22" s="164"/>
      <c r="U22" s="164"/>
      <c r="V22" s="164"/>
      <c r="W22" s="164"/>
      <c r="X22" s="164"/>
      <c r="Y22" s="164">
        <f>VLOOKUP(Y$3,子基金及业绩基准周净值!$A:$AU,20)</f>
        <v>1.0549</v>
      </c>
      <c r="Z22" s="164">
        <f>VLOOKUP(Z$3,子基金及业绩基准周净值!$A:$AU,20)</f>
        <v>1.0639</v>
      </c>
      <c r="AA22" s="164">
        <f>VLOOKUP(AA$3,子基金及业绩基准周净值!$A:$AU,20)</f>
        <v>1.069</v>
      </c>
      <c r="AB22" s="164">
        <f>VLOOKUP(AB$3,子基金及业绩基准周净值!$A:$AU,20)</f>
        <v>1.0718</v>
      </c>
      <c r="AC22" s="164">
        <f>VLOOKUP(AC$3,子基金及业绩基准周净值!$A:$AU,20)</f>
        <v>1.0716</v>
      </c>
      <c r="AD22" s="164">
        <f>VLOOKUP(AD$3,子基金及业绩基准周净值!$A:$AU,20)</f>
        <v>1.0777</v>
      </c>
      <c r="AE22" s="164">
        <f>VLOOKUP(AE$3,子基金及业绩基准周净值!$A:$AU,20)</f>
        <v>1.0811</v>
      </c>
      <c r="AF22" s="164">
        <f>VLOOKUP(AF$3,子基金及业绩基准周净值!$A:$AU,20)</f>
        <v>1.0917</v>
      </c>
      <c r="AG22" s="164">
        <f>VLOOKUP(AG$3,子基金及业绩基准周净值!$A:$AU,20)</f>
        <v>1.0889</v>
      </c>
      <c r="AH22" s="164">
        <f>VLOOKUP(AH$3,子基金及业绩基准周净值!$A:$AU,20)</f>
        <v>1.0886</v>
      </c>
      <c r="AI22" s="164">
        <f>VLOOKUP(AI$3,子基金及业绩基准周净值!$A:$AU,20)</f>
        <v>1.0892</v>
      </c>
      <c r="AJ22" s="164">
        <f>VLOOKUP(AJ$3,子基金及业绩基准周净值!$A:$AU,20)</f>
        <v>1.0882</v>
      </c>
      <c r="AK22" s="164">
        <f>VLOOKUP(AK$3,子基金及业绩基准周净值!$A:$AU,20)</f>
        <v>1.0911</v>
      </c>
      <c r="AL22" s="164">
        <v>1.0776</v>
      </c>
      <c r="AM22" s="164"/>
      <c r="AN22" s="164"/>
      <c r="AO22" s="164"/>
      <c r="AP22" s="164"/>
      <c r="AQ22" s="164"/>
      <c r="AR22" s="164"/>
      <c r="AS22" s="164"/>
      <c r="AT22" s="164"/>
      <c r="AU22" s="164"/>
      <c r="AV22" s="164"/>
      <c r="AW22" s="164"/>
      <c r="AX22" s="164"/>
      <c r="AY22" s="164"/>
    </row>
    <row r="23" spans="2:51">
      <c r="B23" s="35" t="s">
        <v>91</v>
      </c>
      <c r="C23" s="5" t="s">
        <v>58</v>
      </c>
      <c r="D23" s="154">
        <f>VLOOKUP(C23,draft!$A:$I,9,FALSE)</f>
        <v>3.5485</v>
      </c>
      <c r="E23" s="161">
        <f>VLOOKUP(C23,draft!$A:$I,5,FALSE)</f>
        <v>3000000</v>
      </c>
      <c r="F23" s="161">
        <f t="shared" si="2"/>
        <v>3152549.95473225</v>
      </c>
      <c r="I23" s="16"/>
      <c r="J23" s="164">
        <f>VLOOKUP(J$3,子基金及业绩基准周净值!$A:$AU,21)</f>
        <v>1.1037</v>
      </c>
      <c r="K23" s="164">
        <f>VLOOKUP(K$3,子基金及业绩基准周净值!$A:$AU,21)</f>
        <v>1.10214</v>
      </c>
      <c r="L23" s="164">
        <f>VLOOKUP(L$3,子基金及业绩基准周净值!$A:$AU,21)</f>
        <v>1.10246</v>
      </c>
      <c r="M23" s="164">
        <f>VLOOKUP(M$3,子基金及业绩基准周净值!$A:$AU,21)</f>
        <v>1.10254</v>
      </c>
      <c r="N23" s="164">
        <f>VLOOKUP(N$3,子基金及业绩基准周净值!$A:$AU,21)</f>
        <v>1.10054</v>
      </c>
      <c r="O23" s="164">
        <f>VLOOKUP(O$3,子基金及业绩基准周净值!$A:$AU,21)</f>
        <v>1.0973</v>
      </c>
      <c r="P23" s="164">
        <f>VLOOKUP(P$3,子基金及业绩基准周净值!$A:$AU,21)</f>
        <v>1.0953</v>
      </c>
      <c r="Q23" s="164">
        <f>VLOOKUP(Q$3,子基金及业绩基准周净值!$A:$AU,21)</f>
        <v>1.08862</v>
      </c>
      <c r="R23" s="164">
        <f>VLOOKUP(R$3,子基金及业绩基准周净值!$A:$AU,21)</f>
        <v>1.08722</v>
      </c>
      <c r="S23" s="164">
        <f>VLOOKUP(S$3,子基金及业绩基准周净值!$A:$AU,21)</f>
        <v>1.07902</v>
      </c>
      <c r="T23" s="164">
        <f>VLOOKUP(T$3,子基金及业绩基准周净值!$A:$AU,21)</f>
        <v>1.0707</v>
      </c>
      <c r="U23" s="164">
        <f>VLOOKUP(U$3,子基金及业绩基准周净值!$A:$AU,21)</f>
        <v>1.0711</v>
      </c>
      <c r="V23" s="164">
        <f>VLOOKUP(V$3,子基金及业绩基准周净值!$A:$AU,21)</f>
        <v>1.0685</v>
      </c>
      <c r="W23" s="164">
        <f>VLOOKUP(W$3,子基金及业绩基准周净值!$A:$AU,21)</f>
        <v>1.06898</v>
      </c>
      <c r="X23" s="164">
        <f>VLOOKUP(X$3,子基金及业绩基准周净值!$A:$AU,21)</f>
        <v>1.05738</v>
      </c>
      <c r="Y23" s="164">
        <f>VLOOKUP(Y$3,子基金及业绩基准周净值!$A:$AU,21)</f>
        <v>1.05486</v>
      </c>
      <c r="Z23" s="164">
        <f>VLOOKUP(Z$3,子基金及业绩基准周净值!$A:$AU,21)</f>
        <v>1.05354</v>
      </c>
      <c r="AA23" s="164">
        <f>VLOOKUP(AA$3,子基金及业绩基准周净值!$A:$AU,21)</f>
        <v>1.05446</v>
      </c>
      <c r="AB23" s="164">
        <f>VLOOKUP(AB$3,子基金及业绩基准周净值!$A:$AU,21)</f>
        <v>1.05294</v>
      </c>
      <c r="AC23" s="164">
        <f>VLOOKUP(AC$3,子基金及业绩基准周净值!$A:$AU,21)</f>
        <v>1.0472</v>
      </c>
      <c r="AD23" s="164">
        <f>VLOOKUP(AD$3,子基金及业绩基准周净值!$A:$AU,21)</f>
        <v>1.0503</v>
      </c>
      <c r="AE23" s="164"/>
      <c r="AF23" s="164"/>
      <c r="AG23" s="164"/>
      <c r="AH23" s="164"/>
      <c r="AI23" s="164"/>
      <c r="AJ23" s="164"/>
      <c r="AK23" s="164"/>
      <c r="AL23" s="164"/>
      <c r="AM23" s="164"/>
      <c r="AN23" s="164"/>
      <c r="AO23" s="164"/>
      <c r="AP23" s="164"/>
      <c r="AQ23" s="164"/>
      <c r="AR23" s="164"/>
      <c r="AS23" s="164"/>
      <c r="AT23" s="164"/>
      <c r="AU23" s="164"/>
      <c r="AV23" s="164"/>
      <c r="AW23" s="164"/>
      <c r="AX23" s="164"/>
      <c r="AY23" s="164"/>
    </row>
    <row r="24" spans="2:51">
      <c r="B24" s="35" t="s">
        <v>93</v>
      </c>
      <c r="C24" s="5" t="s">
        <v>59</v>
      </c>
      <c r="D24" s="154">
        <f>VLOOKUP(C24,draft!$A:$I,9,FALSE)</f>
        <v>2.433</v>
      </c>
      <c r="E24" s="161">
        <f>VLOOKUP(C24,draft!$A:$I,5,FALSE)</f>
        <v>2000000</v>
      </c>
      <c r="F24" s="161">
        <f t="shared" ref="F24:F34" si="3">D24*$F$1*0.01</f>
        <v>2161520.0901405</v>
      </c>
      <c r="I24" s="16"/>
      <c r="J24" s="164">
        <f>VLOOKUP(J$3,子基金及业绩基准周净值!$A:$AU,22)</f>
        <v>1.0784</v>
      </c>
      <c r="K24" s="164">
        <f>VLOOKUP(K$3,子基金及业绩基准周净值!$A:$AU,22)</f>
        <v>1.0776</v>
      </c>
      <c r="L24" s="164">
        <f>VLOOKUP(L$3,子基金及业绩基准周净值!$A:$AU,22)</f>
        <v>1.0864</v>
      </c>
      <c r="M24" s="164">
        <f>VLOOKUP(M$3,子基金及业绩基准周净值!$A:$AU,22)</f>
        <v>1.0727</v>
      </c>
      <c r="N24" s="164">
        <f>VLOOKUP(N$3,子基金及业绩基准周净值!$A:$AU,22)</f>
        <v>1.052</v>
      </c>
      <c r="O24" s="164">
        <f>VLOOKUP(O$3,子基金及业绩基准周净值!$A:$AU,22)</f>
        <v>1.0435</v>
      </c>
      <c r="P24" s="164">
        <f>VLOOKUP(P$3,子基金及业绩基准周净值!$A:$AU,22)</f>
        <v>1.0488</v>
      </c>
      <c r="Q24" s="164">
        <f>VLOOKUP(Q$3,子基金及业绩基准周净值!$A:$AU,22)</f>
        <v>1.041</v>
      </c>
      <c r="R24" s="164">
        <f>VLOOKUP(R$3,子基金及业绩基准周净值!$A:$AU,22)</f>
        <v>1.0337</v>
      </c>
      <c r="S24" s="164">
        <f>VLOOKUP(S$3,子基金及业绩基准周净值!$A:$AU,22)</f>
        <v>1.0266</v>
      </c>
      <c r="T24" s="164">
        <f>VLOOKUP(T$3,子基金及业绩基准周净值!$A:$AU,22)</f>
        <v>1.0154</v>
      </c>
      <c r="U24" s="164">
        <f>VLOOKUP(U$3,子基金及业绩基准周净值!$A:$AU,22)</f>
        <v>1.0065</v>
      </c>
      <c r="V24" s="164">
        <f>VLOOKUP(V$3,子基金及业绩基准周净值!$A:$AU,22)</f>
        <v>1.0054</v>
      </c>
      <c r="W24" s="164">
        <f>VLOOKUP(W$3,子基金及业绩基准周净值!$A:$AU,22)</f>
        <v>1.0098</v>
      </c>
      <c r="X24" s="164">
        <f>VLOOKUP(X$3,子基金及业绩基准周净值!$A:$AU,22)</f>
        <v>1.0069</v>
      </c>
      <c r="Y24" s="164">
        <f>VLOOKUP(Y$3,子基金及业绩基准周净值!$A:$AU,22)</f>
        <v>1.0059</v>
      </c>
      <c r="Z24" s="164">
        <f>VLOOKUP(Z$3,子基金及业绩基准周净值!$A:$AU,22)</f>
        <v>1.0026</v>
      </c>
      <c r="AA24" s="164">
        <f>VLOOKUP(AA$3,子基金及业绩基准周净值!$A:$AU,22)</f>
        <v>0.9994</v>
      </c>
      <c r="AB24" s="164">
        <f>VLOOKUP(AB$3,子基金及业绩基准周净值!$A:$AU,22)</f>
        <v>0.9996</v>
      </c>
      <c r="AC24" s="164">
        <f>VLOOKUP(AC$3,子基金及业绩基准周净值!$A:$AU,22)</f>
        <v>0.9979</v>
      </c>
      <c r="AD24" s="164">
        <f>VLOOKUP(AD$3,子基金及业绩基准周净值!$A:$AU,22)</f>
        <v>0.9978</v>
      </c>
      <c r="AE24" s="164"/>
      <c r="AF24" s="164"/>
      <c r="AG24" s="164"/>
      <c r="AH24" s="164"/>
      <c r="AI24" s="164"/>
      <c r="AJ24" s="164"/>
      <c r="AK24" s="164"/>
      <c r="AL24" s="164"/>
      <c r="AM24" s="164"/>
      <c r="AN24" s="164"/>
      <c r="AO24" s="164"/>
      <c r="AP24" s="164"/>
      <c r="AQ24" s="164"/>
      <c r="AR24" s="164"/>
      <c r="AS24" s="164"/>
      <c r="AT24" s="164"/>
      <c r="AU24" s="164"/>
      <c r="AV24" s="164"/>
      <c r="AW24" s="164"/>
      <c r="AX24" s="164"/>
      <c r="AY24" s="164"/>
    </row>
    <row r="25" spans="2:51">
      <c r="B25" s="35" t="s">
        <v>94</v>
      </c>
      <c r="C25" s="5" t="s">
        <v>60</v>
      </c>
      <c r="D25" s="154">
        <f>VLOOKUP(C25,draft!$A:$I,9,FALSE)</f>
        <v>3.4309</v>
      </c>
      <c r="E25" s="161">
        <f>VLOOKUP(C25,draft!$A:$I,5,FALSE)</f>
        <v>3000000</v>
      </c>
      <c r="F25" s="161">
        <f t="shared" si="3"/>
        <v>3048072.04162065</v>
      </c>
      <c r="I25" s="16"/>
      <c r="J25" s="164">
        <f>VLOOKUP(J$3,子基金及业绩基准周净值!$A:$AU,23)</f>
        <v>1.33424</v>
      </c>
      <c r="K25" s="164">
        <f>VLOOKUP(K$3,子基金及业绩基准周净值!$A:$AU,23)</f>
        <v>1.3416</v>
      </c>
      <c r="L25" s="164">
        <f>VLOOKUP(L$3,子基金及业绩基准周净值!$A:$AU,23)</f>
        <v>1.3316</v>
      </c>
      <c r="M25" s="164">
        <f>VLOOKUP(M$3,子基金及业绩基准周净值!$A:$AU,23)</f>
        <v>1.33176</v>
      </c>
      <c r="N25" s="164">
        <f>VLOOKUP(N$3,子基金及业绩基准周净值!$A:$AU,23)</f>
        <v>1.3268</v>
      </c>
      <c r="O25" s="164">
        <f>VLOOKUP(O$3,子基金及业绩基准周净值!$A:$AU,23)</f>
        <v>1.32888</v>
      </c>
      <c r="P25" s="164">
        <f>VLOOKUP(P$3,子基金及业绩基准周净值!$A:$AU,23)</f>
        <v>1.32744</v>
      </c>
      <c r="Q25" s="164">
        <f>VLOOKUP(Q$3,子基金及业绩基准周净值!$A:$AU,23)</f>
        <v>1.3236</v>
      </c>
      <c r="R25" s="164">
        <f>VLOOKUP(R$3,子基金及业绩基准周净值!$A:$AU,23)</f>
        <v>1.31688</v>
      </c>
      <c r="S25" s="164">
        <f>VLOOKUP(S$3,子基金及业绩基准周净值!$A:$AU,23)</f>
        <v>1.32376</v>
      </c>
      <c r="T25" s="164">
        <f>VLOOKUP(T$3,子基金及业绩基准周净值!$A:$AU,23)</f>
        <v>1.31528</v>
      </c>
      <c r="U25" s="164">
        <f>VLOOKUP(U$3,子基金及业绩基准周净值!$A:$AU,23)</f>
        <v>1.33</v>
      </c>
      <c r="V25" s="164">
        <f>VLOOKUP(V$3,子基金及业绩基准周净值!$A:$AU,23)</f>
        <v>1.3296</v>
      </c>
      <c r="W25" s="164">
        <f>VLOOKUP(W$3,子基金及业绩基准周净值!$A:$AU,23)</f>
        <v>1.3248</v>
      </c>
      <c r="X25" s="164">
        <f>VLOOKUP(X$3,子基金及业绩基准周净值!$A:$AU,23)</f>
        <v>1.31704</v>
      </c>
      <c r="Y25" s="164">
        <f>VLOOKUP(Y$3,子基金及业绩基准周净值!$A:$AU,23)</f>
        <v>1.3099</v>
      </c>
      <c r="Z25" s="164">
        <v>1.3132</v>
      </c>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row>
    <row r="26" spans="2:51">
      <c r="B26" s="35" t="s">
        <v>94</v>
      </c>
      <c r="C26" s="5" t="s">
        <v>61</v>
      </c>
      <c r="D26" s="154">
        <f>VLOOKUP(C26,draft!$A:$I,9,FALSE)</f>
        <v>1.683</v>
      </c>
      <c r="E26" s="161">
        <f>VLOOKUP(C26,draft!$A:$I,5,FALSE)</f>
        <v>1500000</v>
      </c>
      <c r="F26" s="161">
        <f t="shared" si="3"/>
        <v>1495206.8687655</v>
      </c>
      <c r="I26" s="16"/>
      <c r="J26" s="164">
        <f>VLOOKUP(J$3,子基金及业绩基准周净值!$A:$AU,24)</f>
        <v>1.0014</v>
      </c>
      <c r="K26" s="164">
        <f>VLOOKUP(K$3,子基金及业绩基准周净值!$A:$AU,24)</f>
        <v>1.0083</v>
      </c>
      <c r="L26" s="164">
        <f>VLOOKUP(L$3,子基金及业绩基准周净值!$A:$AU,24)</f>
        <v>1.0018</v>
      </c>
      <c r="M26" s="164">
        <f>VLOOKUP(M$3,子基金及业绩基准周净值!$A:$AU,24)</f>
        <v>0.9998</v>
      </c>
      <c r="N26" s="164">
        <f>VLOOKUP(N$3,子基金及业绩基准周净值!$A:$AU,24)</f>
        <v>1.0022</v>
      </c>
      <c r="O26" s="164">
        <f>VLOOKUP(O$3,子基金及业绩基准周净值!$A:$AU,24)</f>
        <v>1.0011</v>
      </c>
      <c r="P26" s="164">
        <f>VLOOKUP(P$3,子基金及业绩基准周净值!$A:$AU,24)</f>
        <v>1.0019</v>
      </c>
      <c r="Q26" s="164">
        <f>VLOOKUP(Q$3,子基金及业绩基准周净值!$A:$AU,24)</f>
        <v>1.0041</v>
      </c>
      <c r="R26" s="164">
        <f>VLOOKUP(R$3,子基金及业绩基准周净值!$A:$AU,24)</f>
        <v>1.0084</v>
      </c>
      <c r="S26" s="164">
        <f>VLOOKUP(S$3,子基金及业绩基准周净值!$A:$AU,24)</f>
        <v>1.0079</v>
      </c>
      <c r="T26" s="164">
        <f>VLOOKUP(T$3,子基金及业绩基准周净值!$A:$AU,24)</f>
        <v>1.0029</v>
      </c>
      <c r="U26" s="164">
        <f>VLOOKUP(U$3,子基金及业绩基准周净值!$A:$AU,24)</f>
        <v>1.0084</v>
      </c>
      <c r="V26" s="164">
        <f>VLOOKUP(V$3,子基金及业绩基准周净值!$A:$AU,24)</f>
        <v>1.0067</v>
      </c>
      <c r="W26" s="164">
        <f>VLOOKUP(W$3,子基金及业绩基准周净值!$A:$AU,24)</f>
        <v>1.0026</v>
      </c>
      <c r="X26" s="164">
        <f>VLOOKUP(X$3,子基金及业绩基准周净值!$A:$AU,24)</f>
        <v>1.0044</v>
      </c>
      <c r="Y26" s="164">
        <f>VLOOKUP(Y$3,子基金及业绩基准周净值!$A:$AU,24)</f>
        <v>1.0046</v>
      </c>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row>
    <row r="27" spans="2:51">
      <c r="B27" s="35" t="s">
        <v>94</v>
      </c>
      <c r="C27" s="5" t="s">
        <v>62</v>
      </c>
      <c r="D27" s="154">
        <f>VLOOKUP(C27,draft!$A:$I,9,FALSE)</f>
        <v>1.684</v>
      </c>
      <c r="E27" s="161">
        <f>VLOOKUP(C27,draft!$A:$I,5,FALSE)</f>
        <v>1500000</v>
      </c>
      <c r="F27" s="161">
        <f t="shared" si="3"/>
        <v>1496095.286394</v>
      </c>
      <c r="I27" s="16"/>
      <c r="J27" s="164">
        <f>VLOOKUP(J$3,子基金及业绩基准周净值!$A:$AU,25)</f>
        <v>0.996</v>
      </c>
      <c r="K27" s="164">
        <f>VLOOKUP(K$3,子基金及业绩基准周净值!$A:$AU,25)</f>
        <v>1.002</v>
      </c>
      <c r="L27" s="164">
        <f>VLOOKUP(L$3,子基金及业绩基准周净值!$A:$AU,25)</f>
        <v>0.996</v>
      </c>
      <c r="M27" s="164">
        <f>VLOOKUP(M$3,子基金及业绩基准周净值!$A:$AU,25)</f>
        <v>0.9977</v>
      </c>
      <c r="N27" s="164">
        <f>VLOOKUP(N$3,子基金及业绩基准周净值!$A:$AU,25)</f>
        <v>0.9965</v>
      </c>
      <c r="O27" s="164">
        <f>VLOOKUP(O$3,子基金及业绩基准周净值!$A:$AU,25)</f>
        <v>0.9959</v>
      </c>
      <c r="P27" s="164">
        <f>VLOOKUP(P$3,子基金及业绩基准周净值!$A:$AU,25)</f>
        <v>0.9983</v>
      </c>
      <c r="Q27" s="164">
        <f>VLOOKUP(Q$3,子基金及业绩基准周净值!$A:$AU,25)</f>
        <v>0.9989</v>
      </c>
      <c r="R27" s="164">
        <f>VLOOKUP(R$3,子基金及业绩基准周净值!$A:$AU,25)</f>
        <v>1.0012</v>
      </c>
      <c r="S27" s="164">
        <f>VLOOKUP(S$3,子基金及业绩基准周净值!$A:$AU,25)</f>
        <v>1.001</v>
      </c>
      <c r="T27" s="164">
        <f>VLOOKUP(T$3,子基金及业绩基准周净值!$A:$AU,25)</f>
        <v>0.9947</v>
      </c>
      <c r="U27" s="164">
        <f>VLOOKUP(U$3,子基金及业绩基准周净值!$A:$AU,25)</f>
        <v>1.0024</v>
      </c>
      <c r="V27" s="164">
        <f>VLOOKUP(V$3,子基金及业绩基准周净值!$A:$AU,25)</f>
        <v>1.0006</v>
      </c>
      <c r="W27" s="164">
        <f>VLOOKUP(W$3,子基金及业绩基准周净值!$A:$AU,25)</f>
        <v>0.9958</v>
      </c>
      <c r="X27" s="164">
        <f>VLOOKUP(X$3,子基金及业绩基准周净值!$A:$AU,25)</f>
        <v>0.9983</v>
      </c>
      <c r="Y27" s="164">
        <f>VLOOKUP(Y$3,子基金及业绩基准周净值!$A:$AU,25)</f>
        <v>0.9986</v>
      </c>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row>
    <row r="28" spans="2:51">
      <c r="B28" s="35" t="s">
        <v>94</v>
      </c>
      <c r="C28" s="5" t="s">
        <v>63</v>
      </c>
      <c r="D28" s="154">
        <f>VLOOKUP(C28,draft!$A:$I,9,FALSE)</f>
        <v>5.5788</v>
      </c>
      <c r="E28" s="161">
        <f>VLOOKUP(C28,draft!$A:$I,5,FALSE)</f>
        <v>5000000</v>
      </c>
      <c r="F28" s="161">
        <f t="shared" si="3"/>
        <v>4956304.2658758</v>
      </c>
      <c r="I28" s="16"/>
      <c r="J28" s="164">
        <f>VLOOKUP(J$3,子基金及业绩基准周净值!$A:$AU,26)</f>
        <v>1.2472</v>
      </c>
      <c r="K28" s="164">
        <f>VLOOKUP(K$3,子基金及业绩基准周净值!$A:$AU,26)</f>
        <v>1.2521</v>
      </c>
      <c r="L28" s="164">
        <f>VLOOKUP(L$3,子基金及业绩基准周净值!$A:$AU,26)</f>
        <v>1.2467</v>
      </c>
      <c r="M28" s="164">
        <f>VLOOKUP(M$3,子基金及业绩基准周净值!$A:$AU,26)</f>
        <v>1.2543</v>
      </c>
      <c r="N28" s="164">
        <f>VLOOKUP(N$3,子基金及业绩基准周净值!$A:$AU,26)</f>
        <v>1.2584</v>
      </c>
      <c r="O28" s="164">
        <f>VLOOKUP(O$3,子基金及业绩基准周净值!$A:$AU,26)</f>
        <v>1.2524</v>
      </c>
      <c r="P28" s="164">
        <f>VLOOKUP(P$3,子基金及业绩基准周净值!$A:$AU,26)</f>
        <v>1.244</v>
      </c>
      <c r="Q28" s="164">
        <f>VLOOKUP(Q$3,子基金及业绩基准周净值!$A:$AU,26)</f>
        <v>1.243</v>
      </c>
      <c r="R28" s="164">
        <f>VLOOKUP(R$3,子基金及业绩基准周净值!$A:$AU,26)</f>
        <v>1.2573</v>
      </c>
      <c r="S28" s="164">
        <f>VLOOKUP(S$3,子基金及业绩基准周净值!$A:$AU,26)</f>
        <v>1.2731</v>
      </c>
      <c r="T28" s="164">
        <f>VLOOKUP(T$3,子基金及业绩基准周净值!$A:$AU,26)</f>
        <v>1.267</v>
      </c>
      <c r="U28" s="164">
        <f>VLOOKUP(U$3,子基金及业绩基准周净值!$A:$AU,26)</f>
        <v>1.266</v>
      </c>
      <c r="V28" s="164">
        <f>VLOOKUP(V$3,子基金及业绩基准周净值!$A:$AU,26)</f>
        <v>1.2633</v>
      </c>
      <c r="W28" s="164">
        <f>VLOOKUP(W$3,子基金及业绩基准周净值!$A:$AU,26)</f>
        <v>1.2574</v>
      </c>
      <c r="X28" s="164">
        <f>VLOOKUP(X$3,子基金及业绩基准周净值!$A:$AU,26)</f>
        <v>1.2588</v>
      </c>
      <c r="Y28" s="164">
        <f>VLOOKUP(Y$3,子基金及业绩基准周净值!$A:$AU,26)</f>
        <v>1.2582</v>
      </c>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row>
    <row r="29" spans="2:51">
      <c r="B29" s="35" t="s">
        <v>90</v>
      </c>
      <c r="C29" s="158" t="s">
        <v>64</v>
      </c>
      <c r="D29" s="154"/>
      <c r="E29" s="161"/>
      <c r="F29" s="161">
        <f t="shared" si="3"/>
        <v>0</v>
      </c>
      <c r="I29" s="16"/>
      <c r="J29" s="164"/>
      <c r="K29" s="164"/>
      <c r="L29" s="164"/>
      <c r="M29" s="164"/>
      <c r="N29" s="164">
        <f>VLOOKUP(N$3,子基金及业绩基准周净值!$A:$AU,27)</f>
        <v>0.9788</v>
      </c>
      <c r="O29" s="164">
        <f>VLOOKUP(O$3,子基金及业绩基准周净值!$A:$AU,27)</f>
        <v>0.9695</v>
      </c>
      <c r="P29" s="164">
        <f>VLOOKUP(P$3,子基金及业绩基准周净值!$A:$AU,27)</f>
        <v>0.9859</v>
      </c>
      <c r="Q29" s="164">
        <f>VLOOKUP(Q$3,子基金及业绩基准周净值!$A:$AU,27)</f>
        <v>0.9948</v>
      </c>
      <c r="R29" s="164">
        <f>VLOOKUP(R$3,子基金及业绩基准周净值!$A:$AU,27)</f>
        <v>1.0005</v>
      </c>
      <c r="S29" s="164">
        <f>VLOOKUP(S$3,子基金及业绩基准周净值!$A:$AU,27)</f>
        <v>1.0437</v>
      </c>
      <c r="T29" s="164">
        <f>VLOOKUP(T$3,子基金及业绩基准周净值!$A:$AU,27)</f>
        <v>1.0506</v>
      </c>
      <c r="U29" s="164">
        <f>VLOOKUP(U$3,子基金及业绩基准周净值!$A:$AU,27)</f>
        <v>1.092</v>
      </c>
      <c r="V29" s="164">
        <f>VLOOKUP(V$3,子基金及业绩基准周净值!$A:$AU,27)</f>
        <v>1.0793</v>
      </c>
      <c r="W29" s="164">
        <f>VLOOKUP(W$3,子基金及业绩基准周净值!$A:$AU,27)</f>
        <v>1.0707</v>
      </c>
      <c r="X29" s="164">
        <f>VLOOKUP(X$3,子基金及业绩基准周净值!$A:$AU,27)</f>
        <v>1.0604</v>
      </c>
      <c r="Y29" s="164">
        <f>VLOOKUP(Y$3,子基金及业绩基准周净值!$A:$AU,27)</f>
        <v>1.0666</v>
      </c>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row>
    <row r="30" spans="2:51">
      <c r="B30" s="35" t="s">
        <v>90</v>
      </c>
      <c r="C30" s="5" t="s">
        <v>65</v>
      </c>
      <c r="D30" s="154">
        <f>VLOOKUP(C30,draft!$A:$I,9,FALSE)</f>
        <v>4.8569</v>
      </c>
      <c r="E30" s="161">
        <f>VLOOKUP(C30,draft!$A:$I,5,FALSE)</f>
        <v>4500000</v>
      </c>
      <c r="F30" s="161">
        <f t="shared" si="3"/>
        <v>4314955.57986165</v>
      </c>
      <c r="I30" s="16"/>
      <c r="J30" s="164">
        <f>VLOOKUP(J$3,子基金及业绩基准周净值!$A:$AU,28)</f>
        <v>0.9566</v>
      </c>
      <c r="K30" s="164">
        <f>VLOOKUP(K$3,子基金及业绩基准周净值!$A:$AU,28)</f>
        <v>0.9605</v>
      </c>
      <c r="L30" s="164">
        <f>VLOOKUP(L$3,子基金及业绩基准周净值!$A:$AU,28)</f>
        <v>0.9563</v>
      </c>
      <c r="M30" s="164">
        <f>VLOOKUP(M$3,子基金及业绩基准周净值!$A:$AU,28)</f>
        <v>0.9581</v>
      </c>
      <c r="N30" s="164">
        <f>VLOOKUP(N$3,子基金及业绩基准周净值!$A:$AU,28)</f>
        <v>0.9577</v>
      </c>
      <c r="O30" s="164">
        <f>VLOOKUP(O$3,子基金及业绩基准周净值!$A:$AU,28)</f>
        <v>0.9608</v>
      </c>
      <c r="P30" s="164">
        <f>VLOOKUP(P$3,子基金及业绩基准周净值!$A:$AU,28)</f>
        <v>0.9669</v>
      </c>
      <c r="Q30" s="164">
        <f>VLOOKUP(Q$3,子基金及业绩基准周净值!$A:$AU,28)</f>
        <v>0.9652</v>
      </c>
      <c r="R30" s="164">
        <f>VLOOKUP(R$3,子基金及业绩基准周净值!$A:$AU,28)</f>
        <v>0.9625</v>
      </c>
      <c r="S30" s="164">
        <f>VLOOKUP(S$3,子基金及业绩基准周净值!$A:$AU,28)</f>
        <v>0.967</v>
      </c>
      <c r="T30" s="164">
        <f>VLOOKUP(T$3,子基金及业绩基准周净值!$A:$AU,28)</f>
        <v>0.9695</v>
      </c>
      <c r="U30" s="164">
        <f>VLOOKUP(U$3,子基金及业绩基准周净值!$A:$AU,28)</f>
        <v>0.99755162</v>
      </c>
      <c r="V30" s="164">
        <f>VLOOKUP(V$3,子基金及业绩基准周净值!$A:$AU,28)</f>
        <v>1.00000422</v>
      </c>
      <c r="W30" s="164">
        <f>VLOOKUP(W$3,子基金及业绩基准周净值!$A:$AU,28)</f>
        <v>0.99862</v>
      </c>
      <c r="X30" s="164">
        <f>VLOOKUP(X$3,子基金及业绩基准周净值!$A:$AU,28)</f>
        <v>0.9944</v>
      </c>
      <c r="Y30" s="164">
        <f>VLOOKUP(Y$3,子基金及业绩基准周净值!$A:$AU,28)</f>
        <v>0.9927</v>
      </c>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row>
    <row r="31" spans="2:51">
      <c r="B31" s="35" t="s">
        <v>95</v>
      </c>
      <c r="C31" s="5" t="s">
        <v>66</v>
      </c>
      <c r="D31" s="154">
        <f>VLOOKUP(C31,draft!$A:$I,9,FALSE)</f>
        <v>5.3681</v>
      </c>
      <c r="E31" s="161">
        <f>VLOOKUP(C31,draft!$A:$I,5,FALSE)</f>
        <v>4800000</v>
      </c>
      <c r="F31" s="161">
        <f t="shared" si="3"/>
        <v>4769114.67155085</v>
      </c>
      <c r="I31" s="16"/>
      <c r="J31" s="164">
        <f>VLOOKUP(J$3,子基金及业绩基准周净值!$A:$AU,29)</f>
        <v>1.7275</v>
      </c>
      <c r="K31" s="164">
        <f>VLOOKUP(K$3,子基金及业绩基准周净值!$A:$AU,29)</f>
        <v>1.7406</v>
      </c>
      <c r="L31" s="164">
        <f>VLOOKUP(L$3,子基金及业绩基准周净值!$A:$AU,29)</f>
        <v>1.7481</v>
      </c>
      <c r="M31" s="164">
        <f>VLOOKUP(M$3,子基金及业绩基准周净值!$A:$AU,29)</f>
        <v>1.7279</v>
      </c>
      <c r="N31" s="164">
        <f>VLOOKUP(N$3,子基金及业绩基准周净值!$A:$AU,29)</f>
        <v>1.6931</v>
      </c>
      <c r="O31" s="164">
        <f>VLOOKUP(O$3,子基金及业绩基准周净值!$A:$AU,29)</f>
        <v>1.7227</v>
      </c>
      <c r="P31" s="164">
        <f>VLOOKUP(P$3,子基金及业绩基准周净值!$A:$AU,29)</f>
        <v>1.7619</v>
      </c>
      <c r="Q31" s="164">
        <f>VLOOKUP(Q$3,子基金及业绩基准周净值!$A:$AU,29)</f>
        <v>1.7501</v>
      </c>
      <c r="R31" s="164">
        <f>VLOOKUP(R$3,子基金及业绩基准周净值!$A:$AU,29)</f>
        <v>1.7411</v>
      </c>
      <c r="S31" s="164">
        <v>1.7387</v>
      </c>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row>
    <row r="32" spans="2:51">
      <c r="B32" s="35" t="s">
        <v>96</v>
      </c>
      <c r="C32" s="5" t="s">
        <v>67</v>
      </c>
      <c r="D32" s="154">
        <f>VLOOKUP(C32,draft!$A:$I,9,FALSE)</f>
        <v>3.3999</v>
      </c>
      <c r="E32" s="161">
        <f>VLOOKUP(C32,draft!$A:$I,5,FALSE)</f>
        <v>3000000</v>
      </c>
      <c r="F32" s="161">
        <f t="shared" si="3"/>
        <v>3020531.09513715</v>
      </c>
      <c r="I32" s="16"/>
      <c r="J32" s="164">
        <f>VLOOKUP(J$3,子基金及业绩基准周净值!$A:$AU,30)</f>
        <v>1.2997</v>
      </c>
      <c r="K32" s="164">
        <f>VLOOKUP(K$3,子基金及业绩基准周净值!$A:$AU,30)</f>
        <v>1.2948</v>
      </c>
      <c r="L32" s="164">
        <f>VLOOKUP(L$3,子基金及业绩基准周净值!$A:$AU,30)</f>
        <v>1.2697</v>
      </c>
      <c r="M32" s="164">
        <v>1.2921</v>
      </c>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row>
    <row r="33" spans="2:51">
      <c r="B33" s="35" t="s">
        <v>96</v>
      </c>
      <c r="C33" s="5" t="s">
        <v>68</v>
      </c>
      <c r="D33" s="154">
        <f>VLOOKUP(C33,draft!$A:$I,9,FALSE)</f>
        <v>3.3852</v>
      </c>
      <c r="E33" s="161">
        <f>VLOOKUP(C33,draft!$A:$I,5,FALSE)</f>
        <v>3000000</v>
      </c>
      <c r="F33" s="161">
        <f t="shared" si="3"/>
        <v>3007471.3559982</v>
      </c>
      <c r="I33" s="16"/>
      <c r="J33" s="164">
        <f>VLOOKUP(J$3,子基金及业绩基准周净值!$A:$AU,31)</f>
        <v>0.9625</v>
      </c>
      <c r="K33" s="164">
        <f>VLOOKUP(K$3,子基金及业绩基准周净值!$A:$AU,31)</f>
        <v>0.959</v>
      </c>
      <c r="L33" s="164">
        <v>0.9601</v>
      </c>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row>
    <row r="34" spans="2:51">
      <c r="B34" s="35" t="s">
        <v>96</v>
      </c>
      <c r="C34" s="5" t="s">
        <v>69</v>
      </c>
      <c r="D34" s="154">
        <f>VLOOKUP(C34,draft!$A:$I,9,FALSE)</f>
        <v>3.3811</v>
      </c>
      <c r="E34" s="161">
        <f>VLOOKUP(C34,draft!$A:$I,5,FALSE)</f>
        <v>3000000</v>
      </c>
      <c r="F34" s="161">
        <f t="shared" si="3"/>
        <v>3003828.84372135</v>
      </c>
      <c r="I34" s="16"/>
      <c r="J34" s="164">
        <f>VLOOKUP(J$3,子基金及业绩基准周净值!$A:$AU,32)</f>
        <v>1.2488</v>
      </c>
      <c r="K34" s="164">
        <f>VLOOKUP(K$3,子基金及业绩基准周净值!$A:$AU,32)</f>
        <v>1.2513</v>
      </c>
      <c r="L34" s="164">
        <v>1.2472</v>
      </c>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row>
    <row r="35" ht="18.95" customHeight="1" spans="2:80">
      <c r="B35" s="151" t="s">
        <v>97</v>
      </c>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1"/>
      <c r="BD35" s="151"/>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1"/>
      <c r="CA35" s="151"/>
      <c r="CB35" s="151" t="s">
        <v>17</v>
      </c>
    </row>
    <row r="36" s="148" customFormat="1" spans="2:80">
      <c r="B36" s="153" t="s">
        <v>83</v>
      </c>
      <c r="C36" s="153" t="s">
        <v>84</v>
      </c>
      <c r="D36" s="153" t="s">
        <v>98</v>
      </c>
      <c r="E36" s="153" t="s">
        <v>86</v>
      </c>
      <c r="F36" s="153" t="s">
        <v>87</v>
      </c>
      <c r="G36" s="153" t="s">
        <v>99</v>
      </c>
      <c r="H36" s="153" t="s">
        <v>100</v>
      </c>
      <c r="I36" s="163" t="s">
        <v>101</v>
      </c>
      <c r="J36" s="163">
        <v>45961</v>
      </c>
      <c r="K36" s="163">
        <v>45954</v>
      </c>
      <c r="L36" s="163">
        <v>45947</v>
      </c>
      <c r="M36" s="163">
        <v>45940</v>
      </c>
      <c r="N36" s="163">
        <v>45926</v>
      </c>
      <c r="O36" s="163">
        <v>45919</v>
      </c>
      <c r="P36" s="163">
        <v>45912</v>
      </c>
      <c r="Q36" s="163">
        <v>45905</v>
      </c>
      <c r="R36" s="163">
        <v>45898</v>
      </c>
      <c r="S36" s="163">
        <v>45891</v>
      </c>
      <c r="T36" s="163">
        <v>45884</v>
      </c>
      <c r="U36" s="163">
        <v>45877</v>
      </c>
      <c r="V36" s="163">
        <v>45870</v>
      </c>
      <c r="W36" s="163">
        <v>45863</v>
      </c>
      <c r="X36" s="163">
        <v>45856</v>
      </c>
      <c r="Y36" s="163">
        <v>45849</v>
      </c>
      <c r="Z36" s="163">
        <v>45842</v>
      </c>
      <c r="AA36" s="163">
        <v>45835</v>
      </c>
      <c r="AB36" s="163">
        <v>45828</v>
      </c>
      <c r="AC36" s="163">
        <v>45821</v>
      </c>
      <c r="AD36" s="163">
        <v>45814</v>
      </c>
      <c r="AE36" s="163">
        <v>45807</v>
      </c>
      <c r="AF36" s="163">
        <v>45800</v>
      </c>
      <c r="AG36" s="163">
        <v>45793</v>
      </c>
      <c r="AH36" s="163">
        <v>45786</v>
      </c>
      <c r="AI36" s="163">
        <v>45772</v>
      </c>
      <c r="AJ36" s="163">
        <v>45765</v>
      </c>
      <c r="AK36" s="163">
        <v>45758</v>
      </c>
      <c r="AL36" s="163">
        <v>45750</v>
      </c>
      <c r="AM36" s="163">
        <v>45744</v>
      </c>
      <c r="AN36" s="163">
        <v>45737</v>
      </c>
      <c r="AO36" s="163">
        <v>45730</v>
      </c>
      <c r="AP36" s="163">
        <v>45723</v>
      </c>
      <c r="AQ36" s="163">
        <v>45716</v>
      </c>
      <c r="AR36" s="163">
        <v>45709</v>
      </c>
      <c r="AS36" s="163">
        <v>45702</v>
      </c>
      <c r="AT36" s="163">
        <v>45695</v>
      </c>
      <c r="AU36" s="163">
        <v>45684</v>
      </c>
      <c r="AV36" s="163">
        <v>45681</v>
      </c>
      <c r="AW36" s="163">
        <v>45674</v>
      </c>
      <c r="AX36" s="163">
        <v>45667</v>
      </c>
      <c r="AY36" s="163">
        <v>45660</v>
      </c>
      <c r="AZ36" s="163">
        <v>45653</v>
      </c>
      <c r="BA36" s="163">
        <v>45646</v>
      </c>
      <c r="BB36" s="163">
        <v>45639</v>
      </c>
      <c r="BC36" s="163">
        <v>45632</v>
      </c>
      <c r="BD36" s="163">
        <v>45625</v>
      </c>
      <c r="BE36" s="163">
        <v>45618</v>
      </c>
      <c r="BF36" s="163">
        <v>45611</v>
      </c>
      <c r="BG36" s="163">
        <v>45604</v>
      </c>
      <c r="BH36" s="163">
        <v>45597</v>
      </c>
      <c r="BI36" s="163">
        <v>45590</v>
      </c>
      <c r="BJ36" s="163">
        <v>45583</v>
      </c>
      <c r="BK36" s="163">
        <v>45576</v>
      </c>
      <c r="BL36" s="163">
        <f>BL3</f>
        <v>45565</v>
      </c>
      <c r="BM36" s="163">
        <f>BM3</f>
        <v>45562</v>
      </c>
      <c r="BN36" s="163">
        <f t="shared" ref="BN36:BS36" si="4">BN3</f>
        <v>45555</v>
      </c>
      <c r="BO36" s="163">
        <f t="shared" si="4"/>
        <v>45548</v>
      </c>
      <c r="BP36" s="163">
        <f t="shared" si="4"/>
        <v>45541</v>
      </c>
      <c r="BQ36" s="163">
        <f t="shared" si="4"/>
        <v>45534</v>
      </c>
      <c r="BR36" s="163">
        <f t="shared" si="4"/>
        <v>45527</v>
      </c>
      <c r="BS36" s="163">
        <f t="shared" si="4"/>
        <v>45520</v>
      </c>
      <c r="BT36" s="163">
        <f t="shared" ref="BT36:CB36" si="5">BT3</f>
        <v>45513</v>
      </c>
      <c r="BU36" s="163">
        <f t="shared" si="5"/>
        <v>45506</v>
      </c>
      <c r="BV36" s="163">
        <f t="shared" si="5"/>
        <v>45499</v>
      </c>
      <c r="BW36" s="163">
        <f t="shared" si="5"/>
        <v>45492</v>
      </c>
      <c r="BX36" s="163">
        <f t="shared" si="5"/>
        <v>45485</v>
      </c>
      <c r="BY36" s="163">
        <f t="shared" si="5"/>
        <v>45478</v>
      </c>
      <c r="BZ36" s="163">
        <f t="shared" si="5"/>
        <v>45471</v>
      </c>
      <c r="CA36" s="163">
        <f t="shared" si="5"/>
        <v>45464</v>
      </c>
      <c r="CB36" s="163">
        <f t="shared" si="5"/>
        <v>45460</v>
      </c>
    </row>
    <row r="37" spans="2:80">
      <c r="B37" s="35" t="s">
        <v>88</v>
      </c>
      <c r="C37" s="5" t="s">
        <v>39</v>
      </c>
      <c r="D37" s="154">
        <f>D4</f>
        <v>7.1654</v>
      </c>
      <c r="E37" s="161">
        <f>E4</f>
        <v>5500000</v>
      </c>
      <c r="F37" s="161">
        <f>D37*$F$1*0.01</f>
        <v>6365867.6752539</v>
      </c>
      <c r="G37" s="162">
        <f>F37-E37</f>
        <v>865867.675253899</v>
      </c>
      <c r="H37" s="22">
        <f>G37/E37</f>
        <v>0.1574304864098</v>
      </c>
      <c r="I37" s="8">
        <f>(J4/1.0588)*(1.1474/1.051)-1</f>
        <v>0.143901704782572</v>
      </c>
      <c r="J37" s="8">
        <f t="shared" ref="J37:O37" si="6">J4/K4-1</f>
        <v>0.00594824662736215</v>
      </c>
      <c r="K37" s="8">
        <f t="shared" si="6"/>
        <v>-0.00935450838079144</v>
      </c>
      <c r="L37" s="8">
        <f t="shared" si="6"/>
        <v>0.00861790916042438</v>
      </c>
      <c r="M37" s="8">
        <f t="shared" si="6"/>
        <v>-0.0116745732844074</v>
      </c>
      <c r="N37" s="8">
        <f t="shared" si="6"/>
        <v>0.0161153844054176</v>
      </c>
      <c r="O37" s="8">
        <f t="shared" si="6"/>
        <v>-0.00880025107500504</v>
      </c>
      <c r="P37" s="8">
        <f t="shared" ref="P37:T37" si="7">P4/Q4-1</f>
        <v>0.00460612386160619</v>
      </c>
      <c r="Q37" s="8">
        <f t="shared" si="7"/>
        <v>-0.00148364194291972</v>
      </c>
      <c r="R37" s="8">
        <f t="shared" si="7"/>
        <v>-0.00325339315921791</v>
      </c>
      <c r="S37" s="8">
        <f t="shared" si="7"/>
        <v>0.00737411411618738</v>
      </c>
      <c r="T37" s="8">
        <f t="shared" si="7"/>
        <v>0.00179086549398955</v>
      </c>
      <c r="U37" s="8">
        <f t="shared" ref="U37:Z37" si="8">U4/V4-1</f>
        <v>0.00112054514977045</v>
      </c>
      <c r="V37" s="8">
        <f t="shared" si="8"/>
        <v>-0.00253346757924811</v>
      </c>
      <c r="W37" s="8">
        <f t="shared" si="8"/>
        <v>0.00104428191973205</v>
      </c>
      <c r="X37" s="8">
        <f t="shared" si="8"/>
        <v>0.00047324353840561</v>
      </c>
      <c r="Y37" s="8">
        <f t="shared" si="8"/>
        <v>-0.00136689496720899</v>
      </c>
      <c r="Z37" s="8">
        <f t="shared" si="8"/>
        <v>-0.00178540323985366</v>
      </c>
      <c r="AA37" s="8">
        <f t="shared" ref="AA37:AF37" si="9">AA4/AB4-1</f>
        <v>-0.00289288718825476</v>
      </c>
      <c r="AB37" s="8">
        <f t="shared" si="9"/>
        <v>0.000222579314238525</v>
      </c>
      <c r="AC37" s="8">
        <f t="shared" si="9"/>
        <v>-0.00207310026004048</v>
      </c>
      <c r="AD37" s="8">
        <f t="shared" si="9"/>
        <v>-0.00147859641530512</v>
      </c>
      <c r="AE37" s="8">
        <f t="shared" si="9"/>
        <v>-0.00155011963466867</v>
      </c>
      <c r="AF37" s="8">
        <f t="shared" si="9"/>
        <v>-0.000147608649866959</v>
      </c>
      <c r="AG37" s="8">
        <f t="shared" ref="AG37:AL37" si="10">AG4/AH4-1</f>
        <v>-0.00140031853202038</v>
      </c>
      <c r="AH37" s="8">
        <f t="shared" si="10"/>
        <v>0.0026602934974207</v>
      </c>
      <c r="AI37" s="8">
        <f t="shared" si="10"/>
        <v>-0.000369348739079456</v>
      </c>
      <c r="AJ37" s="8">
        <f t="shared" si="10"/>
        <v>-0.00176973642797407</v>
      </c>
      <c r="AK37" s="8">
        <f t="shared" si="10"/>
        <v>0.0166425007268067</v>
      </c>
      <c r="AL37" s="8">
        <f t="shared" si="10"/>
        <v>0.00459394723114115</v>
      </c>
      <c r="AM37" s="8">
        <f t="shared" ref="AM37:AR37" si="11">AM4/AN4-1</f>
        <v>-0.000978080356733302</v>
      </c>
      <c r="AN37" s="8">
        <f t="shared" si="11"/>
        <v>0.00294287617834676</v>
      </c>
      <c r="AO37" s="8">
        <f t="shared" si="11"/>
        <v>0.000830731541089813</v>
      </c>
      <c r="AP37" s="8">
        <f t="shared" si="11"/>
        <v>-0.00398665854535574</v>
      </c>
      <c r="AQ37" s="8">
        <f t="shared" si="11"/>
        <v>0.00819029298609064</v>
      </c>
      <c r="AR37" s="8">
        <f t="shared" si="11"/>
        <v>0.00572023848278813</v>
      </c>
      <c r="AS37" s="8">
        <f t="shared" ref="AS37:AX37" si="12">AS4/AT4-1</f>
        <v>0.00648754914809957</v>
      </c>
      <c r="AT37" s="8">
        <f t="shared" si="12"/>
        <v>0.00350409123789297</v>
      </c>
      <c r="AU37" s="8">
        <f t="shared" si="12"/>
        <v>0.0033650673956076</v>
      </c>
      <c r="AV37" s="8">
        <f t="shared" si="12"/>
        <v>0.000282858759192983</v>
      </c>
      <c r="AW37" s="8">
        <f t="shared" si="12"/>
        <v>0.00170003777861738</v>
      </c>
      <c r="AX37" s="8">
        <f t="shared" si="12"/>
        <v>0.00608133789433674</v>
      </c>
      <c r="AY37" s="8">
        <v>0.0092</v>
      </c>
      <c r="AZ37" s="8">
        <f t="shared" ref="AZ37:BD39" si="13">AZ4/BA4-1</f>
        <v>-0.00269668274247481</v>
      </c>
      <c r="BA37" s="8">
        <f t="shared" si="13"/>
        <v>0.000437491219053232</v>
      </c>
      <c r="BB37" s="8">
        <f t="shared" si="13"/>
        <v>0.0112073228849146</v>
      </c>
      <c r="BC37" s="8">
        <f t="shared" si="13"/>
        <v>-0.00462366284314986</v>
      </c>
      <c r="BD37" s="8">
        <f t="shared" si="13"/>
        <v>-0.00161200965061203</v>
      </c>
      <c r="BE37" s="8">
        <f t="shared" ref="BE37:BJ37" si="14">BE4/BF4-1</f>
        <v>0.00154110784354078</v>
      </c>
      <c r="BF37" s="8">
        <f t="shared" si="14"/>
        <v>0.00903398490482887</v>
      </c>
      <c r="BG37" s="8">
        <f t="shared" si="14"/>
        <v>0.0241154612327037</v>
      </c>
      <c r="BH37" s="8">
        <f t="shared" si="14"/>
        <v>0.00388259017598869</v>
      </c>
      <c r="BI37" s="8">
        <f t="shared" si="14"/>
        <v>-0.00265744185572769</v>
      </c>
      <c r="BJ37" s="8">
        <f t="shared" si="14"/>
        <v>0.0053432826373101</v>
      </c>
      <c r="BK37" s="8">
        <f t="shared" ref="BK37:BO38" si="15">BK4/BL4-1</f>
        <v>0.00754642656162074</v>
      </c>
      <c r="BL37" s="8">
        <f t="shared" si="15"/>
        <v>-0.00401681457262959</v>
      </c>
      <c r="BM37" s="8">
        <f t="shared" si="15"/>
        <v>-0.0012129128568763</v>
      </c>
      <c r="BN37" s="8">
        <f t="shared" si="15"/>
        <v>-0.00362554615599142</v>
      </c>
      <c r="BO37" s="8">
        <f t="shared" si="15"/>
        <v>-0.00167053364269121</v>
      </c>
      <c r="BP37" s="8">
        <f t="shared" ref="BP37:BQ37" si="16">BP4/BQ4-1</f>
        <v>-0.000463821892393468</v>
      </c>
      <c r="BQ37" s="8">
        <f t="shared" si="16"/>
        <v>-0.000278215709913709</v>
      </c>
      <c r="BR37" s="8">
        <f t="shared" ref="BR37:BY37" si="17">BR4/BS4-1</f>
        <v>0.00148602210457893</v>
      </c>
      <c r="BS37" s="8">
        <f t="shared" si="17"/>
        <v>0.000464597658427657</v>
      </c>
      <c r="BT37" s="8">
        <f t="shared" si="17"/>
        <v>0.0138483278379651</v>
      </c>
      <c r="BU37" s="8">
        <f t="shared" si="17"/>
        <v>0.00283419933868689</v>
      </c>
      <c r="BV37" s="8">
        <f t="shared" si="17"/>
        <v>0.00465072133637046</v>
      </c>
      <c r="BW37" s="8">
        <f t="shared" si="17"/>
        <v>0.000854944428612336</v>
      </c>
      <c r="BX37" s="8">
        <f t="shared" si="17"/>
        <v>0.000855675984027249</v>
      </c>
      <c r="BY37" s="8">
        <f t="shared" si="17"/>
        <v>0.000761179828734582</v>
      </c>
      <c r="BZ37" s="8"/>
      <c r="CA37" s="8"/>
      <c r="CB37" s="8"/>
    </row>
    <row r="38" spans="2:80">
      <c r="B38" s="35" t="s">
        <v>88</v>
      </c>
      <c r="C38" s="155" t="s">
        <v>40</v>
      </c>
      <c r="D38" s="154"/>
      <c r="E38" s="161">
        <v>0</v>
      </c>
      <c r="F38" s="161">
        <f t="shared" ref="F38:F48" si="18">D38*$F$1*0.01</f>
        <v>0</v>
      </c>
      <c r="G38" s="162">
        <f>F38-E38</f>
        <v>0</v>
      </c>
      <c r="H38" s="22"/>
      <c r="I38" s="8">
        <f>AZ5/BZ5-1</f>
        <v>0.018903318903319</v>
      </c>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167"/>
      <c r="AH38" s="167"/>
      <c r="AI38" s="167"/>
      <c r="AJ38" s="167" t="s">
        <v>37</v>
      </c>
      <c r="AK38" s="167" t="s">
        <v>37</v>
      </c>
      <c r="AL38" s="167" t="s">
        <v>37</v>
      </c>
      <c r="AM38" s="167" t="s">
        <v>37</v>
      </c>
      <c r="AN38" s="167" t="s">
        <v>37</v>
      </c>
      <c r="AO38" s="167" t="s">
        <v>37</v>
      </c>
      <c r="AP38" s="167" t="s">
        <v>37</v>
      </c>
      <c r="AQ38" s="167" t="s">
        <v>37</v>
      </c>
      <c r="AR38" s="167" t="s">
        <v>37</v>
      </c>
      <c r="AS38" s="167" t="s">
        <v>37</v>
      </c>
      <c r="AT38" s="167" t="s">
        <v>37</v>
      </c>
      <c r="AU38" s="167" t="s">
        <v>37</v>
      </c>
      <c r="AV38" s="167" t="s">
        <v>37</v>
      </c>
      <c r="AW38" s="167" t="s">
        <v>37</v>
      </c>
      <c r="AX38" s="167" t="s">
        <v>37</v>
      </c>
      <c r="AY38" s="167" t="s">
        <v>37</v>
      </c>
      <c r="AZ38" s="8">
        <f t="shared" si="13"/>
        <v>0.00113426910534509</v>
      </c>
      <c r="BA38" s="8">
        <f t="shared" si="13"/>
        <v>0</v>
      </c>
      <c r="BB38" s="8">
        <f t="shared" si="13"/>
        <v>0</v>
      </c>
      <c r="BC38" s="8">
        <f t="shared" si="13"/>
        <v>0</v>
      </c>
      <c r="BD38" s="8">
        <f t="shared" si="13"/>
        <v>0.000567456376791231</v>
      </c>
      <c r="BE38" s="8">
        <f t="shared" ref="BE38:BJ39" si="19">BE5/BF5-1</f>
        <v>-0.0016994759949015</v>
      </c>
      <c r="BF38" s="8">
        <f t="shared" si="19"/>
        <v>-0.00338743824982368</v>
      </c>
      <c r="BG38" s="8">
        <f t="shared" si="19"/>
        <v>-0.00281491907107667</v>
      </c>
      <c r="BH38" s="8">
        <f t="shared" si="19"/>
        <v>0.00112723686064542</v>
      </c>
      <c r="BI38" s="8">
        <f t="shared" si="19"/>
        <v>0.00112850895753991</v>
      </c>
      <c r="BJ38" s="8">
        <f t="shared" si="19"/>
        <v>0.00112978392882357</v>
      </c>
      <c r="BK38" s="8">
        <f t="shared" si="15"/>
        <v>0.00511000709723208</v>
      </c>
      <c r="BL38" s="8">
        <f t="shared" si="15"/>
        <v>0.00213371266002849</v>
      </c>
      <c r="BM38" s="8">
        <f t="shared" si="15"/>
        <v>0.0122390208783296</v>
      </c>
      <c r="BN38" s="8">
        <f t="shared" si="15"/>
        <v>-0.000719424460431606</v>
      </c>
      <c r="BO38" s="8">
        <f t="shared" si="15"/>
        <v>0.000719942404607599</v>
      </c>
      <c r="BP38" s="8">
        <f t="shared" ref="BP38:BY38" si="20">BP5/BQ5-1</f>
        <v>-0.00143781452192671</v>
      </c>
      <c r="BQ38" s="8">
        <f t="shared" si="20"/>
        <v>0.00216138328530269</v>
      </c>
      <c r="BR38" s="8">
        <f t="shared" si="20"/>
        <v>0</v>
      </c>
      <c r="BS38" s="8">
        <f t="shared" si="20"/>
        <v>0</v>
      </c>
      <c r="BT38" s="8">
        <f t="shared" si="20"/>
        <v>0.00216606498194949</v>
      </c>
      <c r="BU38" s="8">
        <f t="shared" si="20"/>
        <v>-0.00216138328530247</v>
      </c>
      <c r="BV38" s="8">
        <f t="shared" si="20"/>
        <v>0.00144300144300136</v>
      </c>
      <c r="BW38" s="8">
        <f t="shared" si="20"/>
        <v>0.00072202166064983</v>
      </c>
      <c r="BX38" s="8">
        <f t="shared" si="20"/>
        <v>-0.00144196106705119</v>
      </c>
      <c r="BY38" s="8">
        <f t="shared" si="20"/>
        <v>0.000721500721500901</v>
      </c>
      <c r="BZ38" s="8"/>
      <c r="CA38" s="8"/>
      <c r="CB38" s="8"/>
    </row>
    <row r="39" spans="2:80">
      <c r="B39" s="35" t="s">
        <v>88</v>
      </c>
      <c r="C39" s="5" t="s">
        <v>41</v>
      </c>
      <c r="D39" s="154">
        <f>D6</f>
        <v>7.0755</v>
      </c>
      <c r="E39" s="161">
        <f t="shared" ref="E39:E58" si="21">E6</f>
        <v>5000000</v>
      </c>
      <c r="F39" s="161">
        <f t="shared" si="18"/>
        <v>6285998.93045175</v>
      </c>
      <c r="G39" s="162">
        <f>F39-E39</f>
        <v>1285998.93045175</v>
      </c>
      <c r="H39" s="22">
        <f>G39/E39</f>
        <v>0.25719978609035</v>
      </c>
      <c r="I39" s="8">
        <f>J6/BY6-1</f>
        <v>0.283305472781452</v>
      </c>
      <c r="J39" s="8">
        <f>J6/K6-1</f>
        <v>0.00592491312026433</v>
      </c>
      <c r="K39" s="8">
        <f>K6/L6-1</f>
        <v>0.00844536366770088</v>
      </c>
      <c r="L39" s="8">
        <f t="shared" ref="K39:P39" si="22">L6/M6-1</f>
        <v>-0.00366342301087585</v>
      </c>
      <c r="M39" s="8">
        <f t="shared" si="22"/>
        <v>0.00177762486381106</v>
      </c>
      <c r="N39" s="8">
        <f t="shared" si="22"/>
        <v>0.00710325710325699</v>
      </c>
      <c r="O39" s="8">
        <f t="shared" si="22"/>
        <v>0.00341890247435828</v>
      </c>
      <c r="P39" s="8">
        <f t="shared" si="22"/>
        <v>0.00512551692003016</v>
      </c>
      <c r="Q39" s="8">
        <f t="shared" ref="Q39:V39" si="23">Q6/R6-1</f>
        <v>0.00656621914756417</v>
      </c>
      <c r="R39" s="8">
        <f t="shared" si="23"/>
        <v>0.00435729847494559</v>
      </c>
      <c r="S39" s="8">
        <f t="shared" si="23"/>
        <v>0.00580396801895167</v>
      </c>
      <c r="T39" s="8">
        <f t="shared" si="23"/>
        <v>0.00739812660342465</v>
      </c>
      <c r="U39" s="8">
        <f t="shared" si="23"/>
        <v>-0.000178954903364281</v>
      </c>
      <c r="V39" s="8">
        <f t="shared" si="23"/>
        <v>-0.00255845778544661</v>
      </c>
      <c r="W39" s="8">
        <f t="shared" ref="W39:AB39" si="24">W6/X6-1</f>
        <v>-0.00178179010512558</v>
      </c>
      <c r="X39" s="8">
        <f t="shared" si="24"/>
        <v>0.00327732093910149</v>
      </c>
      <c r="Y39" s="8">
        <f t="shared" si="24"/>
        <v>0.000954312298699689</v>
      </c>
      <c r="Z39" s="8">
        <f t="shared" si="24"/>
        <v>0.000955223880596989</v>
      </c>
      <c r="AA39" s="8">
        <f t="shared" si="24"/>
        <v>0.00335449862225956</v>
      </c>
      <c r="AB39" s="8">
        <f t="shared" si="24"/>
        <v>-0.000419136578647894</v>
      </c>
      <c r="AC39" s="8">
        <f t="shared" ref="AC39:AH39" si="25">AC6/AD6-1</f>
        <v>0.00107894263621655</v>
      </c>
      <c r="AD39" s="8">
        <f t="shared" si="25"/>
        <v>-0.00191444810050856</v>
      </c>
      <c r="AE39" s="8">
        <f t="shared" si="25"/>
        <v>0.00119796346211443</v>
      </c>
      <c r="AF39" s="8">
        <f t="shared" si="25"/>
        <v>0.000599340725202291</v>
      </c>
      <c r="AG39" s="8">
        <f t="shared" si="25"/>
        <v>0.00240312406127963</v>
      </c>
      <c r="AH39" s="8">
        <f t="shared" si="25"/>
        <v>0.00349671429432696</v>
      </c>
      <c r="AI39" s="8">
        <f t="shared" ref="AI39:AJ42" si="26">AI6/AJ6-1</f>
        <v>-0.00252570810030672</v>
      </c>
      <c r="AJ39" s="8">
        <f t="shared" si="26"/>
        <v>0.00325791855203628</v>
      </c>
      <c r="AK39" s="8">
        <f t="shared" ref="AK39:AN39" si="27">AK6/AL6-1</f>
        <v>0.0493162826031908</v>
      </c>
      <c r="AL39" s="8">
        <f t="shared" si="27"/>
        <v>0.00145818804285813</v>
      </c>
      <c r="AM39" s="8">
        <f t="shared" si="27"/>
        <v>-0.00101336373424543</v>
      </c>
      <c r="AN39" s="8">
        <f t="shared" si="27"/>
        <v>-0.000316575914904305</v>
      </c>
      <c r="AO39" s="8">
        <f t="shared" ref="AO39:AY39" si="28">AO6/AP6-1</f>
        <v>0.00387720078815224</v>
      </c>
      <c r="AP39" s="8">
        <f t="shared" si="28"/>
        <v>0.00152778661913544</v>
      </c>
      <c r="AQ39" s="8">
        <f t="shared" si="28"/>
        <v>0.0027447976509638</v>
      </c>
      <c r="AR39" s="8">
        <f t="shared" si="28"/>
        <v>0.00262399999999996</v>
      </c>
      <c r="AS39" s="8">
        <f t="shared" si="28"/>
        <v>0.00140998525924507</v>
      </c>
      <c r="AT39" s="8">
        <f t="shared" si="28"/>
        <v>0.00424792430971221</v>
      </c>
      <c r="AU39" s="8">
        <f t="shared" si="28"/>
        <v>0.00212848297213619</v>
      </c>
      <c r="AV39" s="8">
        <f t="shared" si="28"/>
        <v>0.00395000971313864</v>
      </c>
      <c r="AW39" s="8">
        <f t="shared" si="28"/>
        <v>-0.000194225042082108</v>
      </c>
      <c r="AX39" s="8">
        <f t="shared" si="28"/>
        <v>0.00776407646636645</v>
      </c>
      <c r="AY39" s="8">
        <f t="shared" si="28"/>
        <v>0.00268219285620819</v>
      </c>
      <c r="AZ39" s="8">
        <f t="shared" si="13"/>
        <v>0.00216350881793725</v>
      </c>
      <c r="BA39" s="8">
        <f t="shared" si="13"/>
        <v>0.0197218879529348</v>
      </c>
      <c r="BB39" s="8">
        <f t="shared" si="13"/>
        <v>0.00389261744966451</v>
      </c>
      <c r="BC39" s="8">
        <f t="shared" si="13"/>
        <v>0.00154601062042081</v>
      </c>
      <c r="BD39" s="8">
        <f t="shared" si="13"/>
        <v>0.00799512162070593</v>
      </c>
      <c r="BE39" s="8">
        <f t="shared" si="19"/>
        <v>0.00217287974468672</v>
      </c>
      <c r="BF39" s="8">
        <f t="shared" si="19"/>
        <v>0.0030649775234981</v>
      </c>
      <c r="BG39" s="8">
        <f t="shared" si="19"/>
        <v>0.00300587511955186</v>
      </c>
      <c r="BH39" s="8">
        <f t="shared" si="19"/>
        <v>0.00267141585040065</v>
      </c>
      <c r="BI39" s="8">
        <f t="shared" si="19"/>
        <v>0.00095989029825172</v>
      </c>
      <c r="BJ39" s="8">
        <f t="shared" si="19"/>
        <v>0.0121443442054128</v>
      </c>
      <c r="BK39" s="8">
        <f>BK6/BL6-1</f>
        <v>0.00390135153964066</v>
      </c>
      <c r="BL39" s="8">
        <f t="shared" ref="BL39:BO39" si="29">BL6/BM6-1</f>
        <v>0.0229475484606614</v>
      </c>
      <c r="BM39" s="8">
        <f t="shared" si="29"/>
        <v>0.0206575501891184</v>
      </c>
      <c r="BN39" s="8">
        <f t="shared" si="29"/>
        <v>-0.000363557042099893</v>
      </c>
      <c r="BO39" s="8">
        <f t="shared" si="29"/>
        <v>-0.00130709461912715</v>
      </c>
      <c r="BP39" s="8">
        <f t="shared" ref="BP39:BX39" si="30">BP6/BQ6-1</f>
        <v>0.00036321371494985</v>
      </c>
      <c r="BQ39" s="8">
        <f t="shared" si="30"/>
        <v>0.000436046511627985</v>
      </c>
      <c r="BR39" s="8">
        <f t="shared" si="30"/>
        <v>-0.0010164077246988</v>
      </c>
      <c r="BS39" s="8">
        <f t="shared" si="30"/>
        <v>-0.000290317898098413</v>
      </c>
      <c r="BT39" s="8">
        <f t="shared" si="30"/>
        <v>-0.00202810372301909</v>
      </c>
      <c r="BU39" s="8">
        <f t="shared" si="30"/>
        <v>-7.24270297675078e-5</v>
      </c>
      <c r="BV39" s="8">
        <f t="shared" si="30"/>
        <v>-0.00115749113795849</v>
      </c>
      <c r="BW39" s="8">
        <f t="shared" si="30"/>
        <v>0.00268388219933269</v>
      </c>
      <c r="BX39" s="8">
        <f t="shared" si="30"/>
        <v>0.00196235191511018</v>
      </c>
      <c r="BY39" s="8"/>
      <c r="BZ39" s="8"/>
      <c r="CA39" s="8"/>
      <c r="CB39" s="8"/>
    </row>
    <row r="40" spans="2:80">
      <c r="B40" s="35" t="s">
        <v>89</v>
      </c>
      <c r="C40" s="5" t="s">
        <v>42</v>
      </c>
      <c r="D40" s="154">
        <f>D7</f>
        <v>0</v>
      </c>
      <c r="E40" s="161"/>
      <c r="F40" s="161"/>
      <c r="G40" s="162"/>
      <c r="H40" s="22"/>
      <c r="I40" s="8">
        <f>AF7/BX7-1</f>
        <v>0.0451208769697564</v>
      </c>
      <c r="J40" s="8"/>
      <c r="K40" s="8"/>
      <c r="L40" s="8"/>
      <c r="M40" s="8"/>
      <c r="N40" s="8"/>
      <c r="O40" s="8"/>
      <c r="P40" s="8"/>
      <c r="Q40" s="8"/>
      <c r="R40" s="8"/>
      <c r="S40" s="8"/>
      <c r="T40" s="8"/>
      <c r="U40" s="8"/>
      <c r="V40" s="8"/>
      <c r="W40" s="8"/>
      <c r="X40" s="8"/>
      <c r="Y40" s="8"/>
      <c r="Z40" s="8"/>
      <c r="AA40" s="8"/>
      <c r="AB40" s="8"/>
      <c r="AC40" s="8"/>
      <c r="AD40" s="8"/>
      <c r="AE40" s="8"/>
      <c r="AF40" s="8">
        <f>AF7/AG7-1</f>
        <v>-0.000187265917602986</v>
      </c>
      <c r="AG40" s="8">
        <f>AG7/AH7-1</f>
        <v>0</v>
      </c>
      <c r="AH40" s="8">
        <f>AH7/AI7-1</f>
        <v>-0.000561482313307105</v>
      </c>
      <c r="AI40" s="8">
        <f t="shared" si="26"/>
        <v>0.000468120962456631</v>
      </c>
      <c r="AJ40" s="8">
        <f t="shared" si="26"/>
        <v>0.00112475396007139</v>
      </c>
      <c r="AK40" s="8">
        <f t="shared" ref="AK40:AN40" si="31">AK7/AL7-1</f>
        <v>0.00112602045603816</v>
      </c>
      <c r="AL40" s="8">
        <f t="shared" si="31"/>
        <v>0.00112728980742149</v>
      </c>
      <c r="AM40" s="8">
        <f t="shared" si="31"/>
        <v>0.00103441790483361</v>
      </c>
      <c r="AN40" s="8">
        <f t="shared" si="31"/>
        <v>0.00112973074750511</v>
      </c>
      <c r="AO40" s="8">
        <f t="shared" ref="AO40:AY40" si="32">AO7/AP7-1</f>
        <v>0.00113100848256376</v>
      </c>
      <c r="AP40" s="8">
        <f t="shared" si="32"/>
        <v>0.00113228911115293</v>
      </c>
      <c r="AQ40" s="8">
        <f t="shared" si="32"/>
        <v>0.00113357264311365</v>
      </c>
      <c r="AR40" s="8">
        <f t="shared" si="32"/>
        <v>0.00104018912529535</v>
      </c>
      <c r="AS40" s="8">
        <f t="shared" si="32"/>
        <v>0.00113604089747232</v>
      </c>
      <c r="AT40" s="8">
        <f t="shared" si="32"/>
        <v>0.000757934628138335</v>
      </c>
      <c r="AU40" s="8">
        <f t="shared" si="32"/>
        <v>0.00151817060442161</v>
      </c>
      <c r="AV40" s="8">
        <f t="shared" si="32"/>
        <v>0.00104483282674783</v>
      </c>
      <c r="AW40" s="8">
        <f t="shared" si="32"/>
        <v>0.00114111829592978</v>
      </c>
      <c r="AX40" s="8">
        <f t="shared" si="32"/>
        <v>0.00114242193450131</v>
      </c>
      <c r="AY40" s="8">
        <f t="shared" si="32"/>
        <v>0.00114372855508971</v>
      </c>
      <c r="AZ40" s="8">
        <f t="shared" ref="AZ40:BK40" si="33">AZ7/BA7-1</f>
        <v>0.00104951817574639</v>
      </c>
      <c r="BA40" s="8">
        <f t="shared" si="33"/>
        <v>0.00114624128379037</v>
      </c>
      <c r="BB40" s="8">
        <f t="shared" si="33"/>
        <v>0.00114755666061006</v>
      </c>
      <c r="BC40" s="8">
        <f t="shared" si="33"/>
        <v>0.00114887505983741</v>
      </c>
      <c r="BD40" s="8">
        <f t="shared" si="33"/>
        <v>0.0010542457350966</v>
      </c>
      <c r="BE40" s="8">
        <f t="shared" si="33"/>
        <v>0.0011514104778354</v>
      </c>
      <c r="BF40" s="8">
        <f t="shared" si="33"/>
        <v>0.0011527377521614</v>
      </c>
      <c r="BG40" s="8">
        <f t="shared" si="33"/>
        <v>0.00115406809001728</v>
      </c>
      <c r="BH40" s="8">
        <f t="shared" si="33"/>
        <v>0.00105901607778969</v>
      </c>
      <c r="BI40" s="8">
        <f t="shared" si="33"/>
        <v>0.00581001258836067</v>
      </c>
      <c r="BJ40" s="8">
        <f t="shared" si="33"/>
        <v>-0.00347389752002325</v>
      </c>
      <c r="BK40" s="8">
        <f t="shared" si="33"/>
        <v>0.0381687036665999</v>
      </c>
      <c r="BL40" s="8">
        <f t="shared" ref="BL40:BO40" si="34">BL7/BM7-1</f>
        <v>-0.00339456869009591</v>
      </c>
      <c r="BM40" s="8">
        <f t="shared" si="34"/>
        <v>-0.0232104544567974</v>
      </c>
      <c r="BN40" s="8">
        <f t="shared" si="34"/>
        <v>0.00401449133457366</v>
      </c>
      <c r="BO40" s="8">
        <f t="shared" si="34"/>
        <v>-0.000391504355485961</v>
      </c>
      <c r="BP40" s="8">
        <f t="shared" ref="BP40:BW40" si="35">BP7/BQ7-1</f>
        <v>0.00432517448147052</v>
      </c>
      <c r="BQ40" s="8">
        <f t="shared" si="35"/>
        <v>-0.00303802430419431</v>
      </c>
      <c r="BR40" s="8">
        <f t="shared" si="35"/>
        <v>-9.79911807936773e-5</v>
      </c>
      <c r="BS40" s="8">
        <f t="shared" si="35"/>
        <v>0.000980872976949376</v>
      </c>
      <c r="BT40" s="8">
        <f t="shared" si="35"/>
        <v>0.000687082842560027</v>
      </c>
      <c r="BU40" s="8">
        <f t="shared" si="35"/>
        <v>-0.00449482118428779</v>
      </c>
      <c r="BV40" s="8">
        <f t="shared" si="35"/>
        <v>0.000684462696783239</v>
      </c>
      <c r="BW40" s="8">
        <f t="shared" si="35"/>
        <v>0.000978760888714847</v>
      </c>
      <c r="BX40" s="8"/>
      <c r="BY40" s="8"/>
      <c r="BZ40" s="8"/>
      <c r="CA40" s="8"/>
      <c r="CB40" s="8"/>
    </row>
    <row r="41" spans="2:80">
      <c r="B41" s="35" t="s">
        <v>90</v>
      </c>
      <c r="C41" s="5" t="s">
        <v>43</v>
      </c>
      <c r="D41" s="154">
        <f>D8</f>
        <v>7.3547</v>
      </c>
      <c r="E41" s="161">
        <f t="shared" si="21"/>
        <v>6500000</v>
      </c>
      <c r="F41" s="161">
        <f t="shared" si="18"/>
        <v>6534045.13232895</v>
      </c>
      <c r="G41" s="162">
        <f t="shared" ref="G41:G67" si="36">F41-E41</f>
        <v>34045.1323289499</v>
      </c>
      <c r="H41" s="22">
        <f>G41/E41</f>
        <v>0.00523771266599229</v>
      </c>
      <c r="I41" s="8">
        <f>J8/BK8-1</f>
        <v>0.0248206321504749</v>
      </c>
      <c r="J41" s="8">
        <f>J8/K8-1</f>
        <v>-0.00639217898101163</v>
      </c>
      <c r="K41" s="8">
        <f>K8/L8-1</f>
        <v>0.00633809478762659</v>
      </c>
      <c r="L41" s="8">
        <f>L8/M8-1</f>
        <v>0.00417972831765923</v>
      </c>
      <c r="M41" s="8">
        <f>M8/N8-1</f>
        <v>0.00295350609756095</v>
      </c>
      <c r="N41" s="8">
        <f t="shared" ref="N41:P42" si="37">N8/O8-1</f>
        <v>-0.000856734888148414</v>
      </c>
      <c r="O41" s="8">
        <f t="shared" si="37"/>
        <v>0.000857469512195008</v>
      </c>
      <c r="P41" s="8">
        <f t="shared" si="37"/>
        <v>-0.00161704556263653</v>
      </c>
      <c r="Q41" s="8">
        <f t="shared" ref="Q41:V41" si="38">Q8/R8-1</f>
        <v>-0.0010452299505892</v>
      </c>
      <c r="R41" s="8">
        <f t="shared" si="38"/>
        <v>-0.0103441790483354</v>
      </c>
      <c r="S41" s="8">
        <f t="shared" si="38"/>
        <v>-0.0118937000557519</v>
      </c>
      <c r="T41" s="8">
        <f t="shared" si="38"/>
        <v>-0.0174381448005112</v>
      </c>
      <c r="U41" s="8">
        <f t="shared" si="38"/>
        <v>0.00237942710716577</v>
      </c>
      <c r="V41" s="8">
        <f t="shared" si="38"/>
        <v>0.00293712712253336</v>
      </c>
      <c r="W41" s="8">
        <f t="shared" ref="W41:AB41" si="39">W8/X8-1</f>
        <v>-0.00301976573938512</v>
      </c>
      <c r="X41" s="8">
        <f t="shared" si="39"/>
        <v>0.00330517811237607</v>
      </c>
      <c r="Y41" s="8">
        <f t="shared" si="39"/>
        <v>-0.00520595488172437</v>
      </c>
      <c r="Z41" s="8">
        <f t="shared" si="39"/>
        <v>0.00449541284403665</v>
      </c>
      <c r="AA41" s="8">
        <f t="shared" si="39"/>
        <v>-0.00565590220762635</v>
      </c>
      <c r="AB41" s="8">
        <f t="shared" si="39"/>
        <v>0.00045632928721373</v>
      </c>
      <c r="AC41" s="8">
        <f t="shared" ref="AC41:AH41" si="40">AC8/AD8-1</f>
        <v>-0.00109399215972295</v>
      </c>
      <c r="AD41" s="8">
        <f t="shared" si="40"/>
        <v>0.000182365277651142</v>
      </c>
      <c r="AE41" s="8">
        <f t="shared" si="40"/>
        <v>-0.00191117582817624</v>
      </c>
      <c r="AF41" s="8">
        <f t="shared" si="40"/>
        <v>-0.00109090909090914</v>
      </c>
      <c r="AG41" s="8">
        <f t="shared" si="40"/>
        <v>0.00328347318496913</v>
      </c>
      <c r="AH41" s="8">
        <f t="shared" si="40"/>
        <v>0.00522600165031628</v>
      </c>
      <c r="AI41" s="8">
        <f t="shared" si="26"/>
        <v>0.00469786293294039</v>
      </c>
      <c r="AJ41" s="8">
        <f t="shared" si="26"/>
        <v>0.00444115470022188</v>
      </c>
      <c r="AK41" s="8">
        <f t="shared" ref="AK41:AN41" si="41">AK8/AL8-1</f>
        <v>0.0109437844916285</v>
      </c>
      <c r="AL41" s="8">
        <f t="shared" si="41"/>
        <v>0.00592773805043278</v>
      </c>
      <c r="AM41" s="8">
        <f t="shared" si="41"/>
        <v>-9.40822278671094e-5</v>
      </c>
      <c r="AN41" s="8">
        <f t="shared" si="41"/>
        <v>0.00825270347182694</v>
      </c>
      <c r="AO41" s="8">
        <f t="shared" ref="AO41:AX41" si="42">AO8/AP8-1</f>
        <v>0.004</v>
      </c>
      <c r="AP41" s="8">
        <f t="shared" si="42"/>
        <v>0.00114416475972545</v>
      </c>
      <c r="AQ41" s="8">
        <f t="shared" si="42"/>
        <v>0.0115740740740742</v>
      </c>
      <c r="AR41" s="8">
        <f t="shared" si="42"/>
        <v>-0.00594439117929046</v>
      </c>
      <c r="AS41" s="8">
        <f t="shared" si="42"/>
        <v>-0.00391557635373885</v>
      </c>
      <c r="AT41" s="8">
        <f t="shared" si="42"/>
        <v>-0.00295181870119987</v>
      </c>
      <c r="AU41" s="8">
        <f t="shared" si="42"/>
        <v>0.00555342780543855</v>
      </c>
      <c r="AV41" s="8">
        <f t="shared" si="42"/>
        <v>-0.00267379679144375</v>
      </c>
      <c r="AW41" s="8">
        <f t="shared" si="42"/>
        <v>0.00172182896498918</v>
      </c>
      <c r="AX41" s="8">
        <f t="shared" si="42"/>
        <v>-0.000382482310193111</v>
      </c>
      <c r="AY41" s="8">
        <f t="shared" ref="AY41:BJ41" si="43">AY8/AZ8-1</f>
        <v>0.00800000000000001</v>
      </c>
      <c r="AZ41" s="8">
        <f t="shared" si="43"/>
        <v>-9.63762528912726e-5</v>
      </c>
      <c r="BA41" s="8">
        <f t="shared" si="43"/>
        <v>-0.00297876429326405</v>
      </c>
      <c r="BB41" s="8">
        <f t="shared" si="43"/>
        <v>0.00279437271150496</v>
      </c>
      <c r="BC41" s="8">
        <f t="shared" si="43"/>
        <v>0.0026084436286351</v>
      </c>
      <c r="BD41" s="8">
        <f t="shared" si="43"/>
        <v>0.00602585285256096</v>
      </c>
      <c r="BE41" s="8">
        <f t="shared" si="43"/>
        <v>0.00981450583963106</v>
      </c>
      <c r="BF41" s="8">
        <f t="shared" si="43"/>
        <v>0.000982414775518192</v>
      </c>
      <c r="BG41" s="8">
        <f t="shared" si="43"/>
        <v>-0.00449877750611238</v>
      </c>
      <c r="BH41" s="8">
        <f t="shared" si="43"/>
        <v>-0.0060270243997278</v>
      </c>
      <c r="BI41" s="8">
        <f t="shared" si="43"/>
        <v>0.0131980695360976</v>
      </c>
      <c r="BJ41" s="8">
        <f t="shared" si="43"/>
        <v>-0.0156098506883847</v>
      </c>
      <c r="BK41" s="8"/>
      <c r="BL41" s="8"/>
      <c r="BM41" s="8"/>
      <c r="BN41" s="8"/>
      <c r="BO41" s="8"/>
      <c r="BP41" s="8"/>
      <c r="BQ41" s="8"/>
      <c r="BR41" s="8"/>
      <c r="BS41" s="8"/>
      <c r="BT41" s="8"/>
      <c r="BU41" s="8"/>
      <c r="BV41" s="8"/>
      <c r="BW41" s="8"/>
      <c r="BX41" s="8"/>
      <c r="BY41" s="8"/>
      <c r="BZ41" s="8"/>
      <c r="CA41" s="8"/>
      <c r="CB41" s="8"/>
    </row>
    <row r="42" spans="2:80">
      <c r="B42" s="35" t="s">
        <v>90</v>
      </c>
      <c r="C42" s="5" t="s">
        <v>44</v>
      </c>
      <c r="D42" s="154">
        <f>D9</f>
        <v>2.4526</v>
      </c>
      <c r="E42" s="161">
        <f t="shared" si="21"/>
        <v>2000000</v>
      </c>
      <c r="F42" s="161">
        <f t="shared" si="18"/>
        <v>2178933.0756591</v>
      </c>
      <c r="G42" s="162">
        <f t="shared" si="36"/>
        <v>178933.0756591</v>
      </c>
      <c r="H42" s="22">
        <f>G42/E42</f>
        <v>0.08946653782955</v>
      </c>
      <c r="I42" s="8">
        <f>J9/BI9-1</f>
        <v>0.107095046854083</v>
      </c>
      <c r="J42" s="8">
        <f>J9/K9-1</f>
        <v>-0.00181050090525048</v>
      </c>
      <c r="K42" s="8">
        <f>K9/L9-1</f>
        <v>0.00120845921450141</v>
      </c>
      <c r="L42" s="8">
        <f>L9/M9-1</f>
        <v>-0.00821847444568091</v>
      </c>
      <c r="M42" s="8">
        <f>M9/N9-1</f>
        <v>0.000513918629550192</v>
      </c>
      <c r="N42" s="8">
        <f t="shared" si="37"/>
        <v>0.00197391005835912</v>
      </c>
      <c r="O42" s="8">
        <f t="shared" si="37"/>
        <v>0.0063914320262568</v>
      </c>
      <c r="P42" s="8">
        <f t="shared" si="37"/>
        <v>0.00329289428076263</v>
      </c>
      <c r="Q42" s="8">
        <f t="shared" ref="Q42:V42" si="44">Q9/R9-1</f>
        <v>-0.0017301038062284</v>
      </c>
      <c r="R42" s="8">
        <f t="shared" si="44"/>
        <v>-0.00712874688654119</v>
      </c>
      <c r="S42" s="8">
        <f t="shared" si="44"/>
        <v>0.00552724760342005</v>
      </c>
      <c r="T42" s="8">
        <f t="shared" si="44"/>
        <v>-0.00566766852726508</v>
      </c>
      <c r="U42" s="8">
        <f t="shared" si="44"/>
        <v>0.00457211870255358</v>
      </c>
      <c r="V42" s="8">
        <f t="shared" si="44"/>
        <v>0.00485436893203883</v>
      </c>
      <c r="W42" s="8">
        <f t="shared" ref="W42:AB42" si="45">W9/X9-1</f>
        <v>-0.000693000693000823</v>
      </c>
      <c r="X42" s="8">
        <f t="shared" si="45"/>
        <v>0.00575013068478847</v>
      </c>
      <c r="Y42" s="8">
        <f t="shared" si="45"/>
        <v>-0.00433726578764759</v>
      </c>
      <c r="Z42" s="8">
        <f t="shared" si="45"/>
        <v>0.0197257850508625</v>
      </c>
      <c r="AA42" s="8">
        <f t="shared" si="45"/>
        <v>0.0017722640673461</v>
      </c>
      <c r="AB42" s="8">
        <f t="shared" si="45"/>
        <v>-0.00194569735562045</v>
      </c>
      <c r="AC42" s="8">
        <f t="shared" ref="AC42:AH42" si="46">AC9/AD9-1</f>
        <v>0.00292708887706228</v>
      </c>
      <c r="AD42" s="8">
        <f t="shared" si="46"/>
        <v>0.00669702652022508</v>
      </c>
      <c r="AE42" s="8">
        <f t="shared" si="46"/>
        <v>0.00619946091644197</v>
      </c>
      <c r="AF42" s="8">
        <f t="shared" si="46"/>
        <v>0.00387841616307383</v>
      </c>
      <c r="AG42" s="8">
        <f t="shared" si="46"/>
        <v>-0.000360652781534521</v>
      </c>
      <c r="AH42" s="8">
        <f t="shared" si="46"/>
        <v>0.00171604046242768</v>
      </c>
      <c r="AI42" s="8">
        <f t="shared" si="26"/>
        <v>0.0107723206134747</v>
      </c>
      <c r="AJ42" s="8">
        <f t="shared" si="26"/>
        <v>0.00210410758393564</v>
      </c>
      <c r="AK42" s="8">
        <f t="shared" ref="AK42:AN42" si="47">AK9/AL9-1</f>
        <v>-0.00915518491660627</v>
      </c>
      <c r="AL42" s="8">
        <f t="shared" si="47"/>
        <v>0.00574345883854499</v>
      </c>
      <c r="AM42" s="8">
        <f t="shared" si="47"/>
        <v>0.00411937019406805</v>
      </c>
      <c r="AN42" s="8">
        <f t="shared" si="47"/>
        <v>0.0114814814814814</v>
      </c>
      <c r="AO42" s="8">
        <f t="shared" ref="AO42:AU42" si="48">AO9/AP9-1</f>
        <v>-0.00369003690036895</v>
      </c>
      <c r="AP42" s="8">
        <f t="shared" si="48"/>
        <v>0.00027682938082485</v>
      </c>
      <c r="AQ42" s="8">
        <f t="shared" si="48"/>
        <v>0.00603416264389178</v>
      </c>
      <c r="AR42" s="8">
        <f t="shared" si="48"/>
        <v>0.00130135712957791</v>
      </c>
      <c r="AS42" s="8">
        <f t="shared" si="48"/>
        <v>0.000837287189506153</v>
      </c>
      <c r="AT42" s="8">
        <f t="shared" si="48"/>
        <v>0.00825438514210663</v>
      </c>
      <c r="AU42" s="8">
        <f t="shared" si="48"/>
        <v>0.000844911753661304</v>
      </c>
      <c r="AV42" s="8">
        <f t="shared" ref="AV42:BF42" si="49">AV9/AW9-1</f>
        <v>0.000751597143930693</v>
      </c>
      <c r="AW42" s="8">
        <f t="shared" si="49"/>
        <v>0.00254309126871988</v>
      </c>
      <c r="AX42" s="8">
        <f t="shared" si="49"/>
        <v>0.00103714878370753</v>
      </c>
      <c r="AY42" s="8">
        <f t="shared" si="49"/>
        <v>-0.00282060925159844</v>
      </c>
      <c r="AZ42" s="8">
        <f t="shared" si="49"/>
        <v>-0.00206417714392937</v>
      </c>
      <c r="BA42" s="8">
        <f t="shared" si="49"/>
        <v>-0.00596903562768136</v>
      </c>
      <c r="BB42" s="8">
        <f t="shared" si="49"/>
        <v>0.00732807215332576</v>
      </c>
      <c r="BC42" s="8">
        <f t="shared" si="49"/>
        <v>0.00329908568196813</v>
      </c>
      <c r="BD42" s="8">
        <f t="shared" si="49"/>
        <v>0.012985772939941</v>
      </c>
      <c r="BE42" s="8">
        <f t="shared" si="49"/>
        <v>0.00808547502165746</v>
      </c>
      <c r="BF42" s="8">
        <f t="shared" si="49"/>
        <v>-0.00478973081712819</v>
      </c>
      <c r="BG42" s="8">
        <f t="shared" ref="BG42:BH45" si="50">BG9/BH9-1</f>
        <v>0.00636267232237531</v>
      </c>
      <c r="BH42" s="8">
        <f t="shared" si="50"/>
        <v>-0.00812774909160452</v>
      </c>
      <c r="BI42" s="8"/>
      <c r="BJ42" s="8"/>
      <c r="BK42" s="8"/>
      <c r="BL42" s="8"/>
      <c r="BM42" s="8"/>
      <c r="BN42" s="8"/>
      <c r="BO42" s="8"/>
      <c r="BP42" s="8"/>
      <c r="BQ42" s="8"/>
      <c r="BR42" s="8"/>
      <c r="BS42" s="8"/>
      <c r="BT42" s="8"/>
      <c r="BU42" s="8"/>
      <c r="BV42" s="8"/>
      <c r="BW42" s="8"/>
      <c r="BX42" s="8"/>
      <c r="BY42" s="8"/>
      <c r="BZ42" s="8"/>
      <c r="CA42" s="8"/>
      <c r="CB42" s="8"/>
    </row>
    <row r="43" spans="2:60">
      <c r="B43" s="35" t="s">
        <v>90</v>
      </c>
      <c r="C43" s="155" t="s">
        <v>45</v>
      </c>
      <c r="D43" s="154"/>
      <c r="E43" s="161">
        <v>0</v>
      </c>
      <c r="F43" s="161">
        <f t="shared" si="18"/>
        <v>0</v>
      </c>
      <c r="G43" s="162">
        <f t="shared" si="36"/>
        <v>0</v>
      </c>
      <c r="H43" s="22"/>
      <c r="I43" s="8">
        <f>AQ10/BI10-1</f>
        <v>0.0142114062790266</v>
      </c>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c r="AG43" s="167"/>
      <c r="AH43" s="167"/>
      <c r="AI43" s="167"/>
      <c r="AJ43" s="167" t="s">
        <v>37</v>
      </c>
      <c r="AK43" s="167" t="s">
        <v>37</v>
      </c>
      <c r="AL43" s="167" t="s">
        <v>37</v>
      </c>
      <c r="AM43" s="167" t="s">
        <v>37</v>
      </c>
      <c r="AN43" s="167" t="s">
        <v>37</v>
      </c>
      <c r="AO43" s="167" t="s">
        <v>37</v>
      </c>
      <c r="AP43" s="167" t="s">
        <v>37</v>
      </c>
      <c r="AQ43" s="8">
        <f t="shared" ref="AQ43:AU51" si="51">AQ10/AR10-1</f>
        <v>0.00543278084714549</v>
      </c>
      <c r="AR43" s="8">
        <f t="shared" si="51"/>
        <v>-0.0128170166348514</v>
      </c>
      <c r="AS43" s="8">
        <f t="shared" si="51"/>
        <v>-0.0018147173577715</v>
      </c>
      <c r="AT43" s="8">
        <f t="shared" si="51"/>
        <v>0.000999091734786628</v>
      </c>
      <c r="AU43" s="8">
        <f t="shared" si="51"/>
        <v>0.00373780654571965</v>
      </c>
      <c r="AV43" s="8">
        <f t="shared" ref="AV43:BF43" si="52">AV10/AW10-1</f>
        <v>0</v>
      </c>
      <c r="AW43" s="8">
        <f t="shared" si="52"/>
        <v>-0.000364531121844536</v>
      </c>
      <c r="AX43" s="8">
        <f t="shared" si="52"/>
        <v>-0.000455456367280171</v>
      </c>
      <c r="AY43" s="8">
        <f t="shared" si="52"/>
        <v>-0.0060660932548664</v>
      </c>
      <c r="AZ43" s="8">
        <f t="shared" si="52"/>
        <v>0.00555353241077938</v>
      </c>
      <c r="BA43" s="8">
        <f t="shared" si="52"/>
        <v>0.00613721718420823</v>
      </c>
      <c r="BB43" s="8">
        <f t="shared" si="52"/>
        <v>0.00146775525181164</v>
      </c>
      <c r="BC43" s="8">
        <f t="shared" si="52"/>
        <v>-0.00128263857077404</v>
      </c>
      <c r="BD43" s="8">
        <f t="shared" si="52"/>
        <v>0.00128428584533524</v>
      </c>
      <c r="BE43" s="8">
        <f t="shared" si="52"/>
        <v>0.00312873838225824</v>
      </c>
      <c r="BF43" s="8">
        <f t="shared" si="52"/>
        <v>0.010601692550916</v>
      </c>
      <c r="BG43" s="8">
        <f t="shared" si="50"/>
        <v>0</v>
      </c>
      <c r="BH43" s="8">
        <f t="shared" si="50"/>
        <v>-0.00120750510867551</v>
      </c>
    </row>
    <row r="44" spans="2:60">
      <c r="B44" s="35" t="s">
        <v>90</v>
      </c>
      <c r="C44" s="157" t="s">
        <v>46</v>
      </c>
      <c r="D44" s="154">
        <f t="shared" ref="D44:D67" si="53">D11</f>
        <v>0</v>
      </c>
      <c r="E44" s="161">
        <f t="shared" si="21"/>
        <v>0</v>
      </c>
      <c r="F44" s="161">
        <f t="shared" si="18"/>
        <v>0</v>
      </c>
      <c r="G44" s="162">
        <f t="shared" si="36"/>
        <v>0</v>
      </c>
      <c r="H44" s="22"/>
      <c r="I44" s="8">
        <f>T11/BI11-1</f>
        <v>0.0418271876719867</v>
      </c>
      <c r="J44" s="8"/>
      <c r="K44" s="8"/>
      <c r="L44" s="8"/>
      <c r="M44" s="8"/>
      <c r="N44" s="8"/>
      <c r="O44" s="8"/>
      <c r="P44" s="8"/>
      <c r="Q44" s="8"/>
      <c r="R44" s="8"/>
      <c r="S44" s="8"/>
      <c r="T44" s="8">
        <f>T11/U11-1</f>
        <v>-0.00865831093111769</v>
      </c>
      <c r="U44" s="8">
        <f>U11/V11-1</f>
        <v>6.98299640375932e-5</v>
      </c>
      <c r="V44" s="8">
        <f>V11/W11-1</f>
        <v>0.00252021421820858</v>
      </c>
      <c r="W44" s="8">
        <f t="shared" ref="W44:W49" si="54">W11/X11-1</f>
        <v>-0.00327948923699539</v>
      </c>
      <c r="X44" s="8">
        <f t="shared" ref="X44:X49" si="55">X11/Y11-1</f>
        <v>0.00244815164550749</v>
      </c>
      <c r="Y44" s="8">
        <f t="shared" ref="Y44:Y49" si="56">Y11/Z11-1</f>
        <v>-0.00202436215140822</v>
      </c>
      <c r="Z44" s="8">
        <f t="shared" ref="Z44:Z49" si="57">Z11/AA11-1</f>
        <v>0.00625153654339194</v>
      </c>
      <c r="AA44" s="8">
        <f t="shared" ref="AA44:AA49" si="58">AA11/AB11-1</f>
        <v>-0.00196291492866907</v>
      </c>
      <c r="AB44" s="8">
        <f t="shared" ref="AB44:AB49" si="59">AB11/AC11-1</f>
        <v>-0.0011903424114269</v>
      </c>
      <c r="AC44" s="8">
        <f t="shared" ref="AC44:AC49" si="60">AC11/AD11-1</f>
        <v>-0.000349989500577408</v>
      </c>
      <c r="AD44" s="8">
        <f t="shared" ref="AD44:AD49" si="61">AD11/AE11-1</f>
        <v>0.000560282942886126</v>
      </c>
      <c r="AE44" s="8">
        <f t="shared" ref="AE44:AE49" si="62">AE11/AF11-1</f>
        <v>0.000140090358281109</v>
      </c>
      <c r="AF44" s="8">
        <f t="shared" ref="AF44:AF49" si="63">AF11/AG11-1</f>
        <v>0.000630804275451258</v>
      </c>
      <c r="AG44" s="8">
        <f t="shared" ref="AG44:AG49" si="64">AG11/AH11-1</f>
        <v>0.000210312313785987</v>
      </c>
      <c r="AH44" s="8">
        <f t="shared" ref="AH44:AH49" si="65">AH11/AI11-1</f>
        <v>0</v>
      </c>
      <c r="AI44" s="8">
        <f t="shared" ref="AI44:AI49" si="66">AI11/AJ11-1</f>
        <v>-7.00991903543891e-5</v>
      </c>
      <c r="AJ44" s="8">
        <f t="shared" ref="AJ44:AJ55" si="67">AJ11/AK11-1</f>
        <v>7.01041045954032e-5</v>
      </c>
      <c r="AK44" s="8">
        <f t="shared" ref="AK44:AN44" si="68">AK11/AL11-1</f>
        <v>0.000210356554359636</v>
      </c>
      <c r="AL44" s="8">
        <f t="shared" si="68"/>
        <v>0.000350717216708096</v>
      </c>
      <c r="AM44" s="8">
        <f t="shared" si="68"/>
        <v>-0.000490763136677619</v>
      </c>
      <c r="AN44" s="8">
        <f t="shared" si="68"/>
        <v>0.00245985170608298</v>
      </c>
      <c r="AO44" s="8">
        <f t="shared" ref="AO44:AP51" si="69">AO11/AP11-1</f>
        <v>0.00098490977522947</v>
      </c>
      <c r="AP44" s="8">
        <f t="shared" si="69"/>
        <v>0.00601578258253999</v>
      </c>
      <c r="AQ44" s="8">
        <f t="shared" si="51"/>
        <v>-0.000636559748205312</v>
      </c>
      <c r="AR44" s="8">
        <f t="shared" si="51"/>
        <v>0.00390527922746498</v>
      </c>
      <c r="AS44" s="8">
        <f t="shared" si="51"/>
        <v>0.00686327077747984</v>
      </c>
      <c r="AT44" s="8">
        <f t="shared" si="51"/>
        <v>0.0106210035764605</v>
      </c>
      <c r="AU44" s="8">
        <f t="shared" si="51"/>
        <v>-0.0013709008261481</v>
      </c>
      <c r="AV44" s="8">
        <f t="shared" ref="AV44:BF44" si="70">AV11/AW11-1</f>
        <v>-0.00223174111803037</v>
      </c>
      <c r="AW44" s="8">
        <f t="shared" si="70"/>
        <v>0.00100889993874542</v>
      </c>
      <c r="AX44" s="8">
        <f t="shared" si="70"/>
        <v>0.00158793171893601</v>
      </c>
      <c r="AY44" s="8">
        <f t="shared" si="70"/>
        <v>-0.00502711048870697</v>
      </c>
      <c r="AZ44" s="8">
        <f t="shared" si="70"/>
        <v>-0.00507305919759915</v>
      </c>
      <c r="BA44" s="8">
        <f t="shared" si="70"/>
        <v>0.00229168904644239</v>
      </c>
      <c r="BB44" s="8">
        <f t="shared" si="70"/>
        <v>0.00395442538694368</v>
      </c>
      <c r="BC44" s="8">
        <f t="shared" si="70"/>
        <v>0.00324592455007733</v>
      </c>
      <c r="BD44" s="8">
        <f t="shared" si="70"/>
        <v>0.00318390679836456</v>
      </c>
      <c r="BE44" s="8">
        <f t="shared" si="70"/>
        <v>0.00626205992645712</v>
      </c>
      <c r="BF44" s="8">
        <f t="shared" si="70"/>
        <v>-0.0018170585456263</v>
      </c>
      <c r="BG44" s="8">
        <f t="shared" si="50"/>
        <v>0.00584859450963204</v>
      </c>
      <c r="BH44" s="8">
        <f t="shared" si="50"/>
        <v>0.00374243258117768</v>
      </c>
    </row>
    <row r="45" spans="2:60">
      <c r="B45" s="35" t="s">
        <v>90</v>
      </c>
      <c r="C45" s="5" t="s">
        <v>47</v>
      </c>
      <c r="D45" s="154">
        <f t="shared" si="53"/>
        <v>5.97</v>
      </c>
      <c r="E45" s="161">
        <f t="shared" si="21"/>
        <v>5000000</v>
      </c>
      <c r="F45" s="161">
        <f t="shared" si="18"/>
        <v>5303853.242145</v>
      </c>
      <c r="G45" s="162">
        <f t="shared" si="36"/>
        <v>303853.242145</v>
      </c>
      <c r="H45" s="22">
        <f>G45/E45</f>
        <v>0.060770648429</v>
      </c>
      <c r="I45" s="8">
        <f>J12/BI12-1</f>
        <v>0.0768766958094664</v>
      </c>
      <c r="J45" s="8">
        <f>J12/K12-1</f>
        <v>-0.00260610573343256</v>
      </c>
      <c r="K45" s="8">
        <f>K12/L12-1</f>
        <v>-0.00269191497261667</v>
      </c>
      <c r="L45" s="8">
        <f>L12/M12-1</f>
        <v>-0.00203798054654936</v>
      </c>
      <c r="M45" s="8">
        <f>M12/N12-1</f>
        <v>0.0111464968152863</v>
      </c>
      <c r="N45" s="8">
        <f t="shared" ref="N45:P46" si="71">N12/O12-1</f>
        <v>0.00150093808630403</v>
      </c>
      <c r="O45" s="8">
        <f t="shared" si="71"/>
        <v>0.00566037735849068</v>
      </c>
      <c r="P45" s="8">
        <f t="shared" si="71"/>
        <v>0.00179567148662696</v>
      </c>
      <c r="Q45" s="8">
        <f t="shared" ref="Q45:V45" si="72">Q12/R12-1</f>
        <v>0.00189376006060038</v>
      </c>
      <c r="R45" s="8">
        <f t="shared" si="72"/>
        <v>-0.0017014840722186</v>
      </c>
      <c r="S45" s="8">
        <f t="shared" si="72"/>
        <v>-0.00310968714662629</v>
      </c>
      <c r="T45" s="8">
        <f t="shared" si="72"/>
        <v>-0.00328731097961876</v>
      </c>
      <c r="U45" s="8">
        <f t="shared" si="72"/>
        <v>0.00424448217317486</v>
      </c>
      <c r="V45" s="8">
        <f t="shared" si="72"/>
        <v>-0.00169491525423726</v>
      </c>
      <c r="W45" s="8">
        <f t="shared" si="54"/>
        <v>-0.00187969924812026</v>
      </c>
      <c r="X45" s="8">
        <f t="shared" si="55"/>
        <v>0.00311115301216192</v>
      </c>
      <c r="Y45" s="8">
        <f t="shared" si="56"/>
        <v>-0.000847776940467337</v>
      </c>
      <c r="Z45" s="8">
        <f t="shared" si="57"/>
        <v>0.00207664715876921</v>
      </c>
      <c r="AA45" s="8">
        <f t="shared" si="58"/>
        <v>-0.00131975867269996</v>
      </c>
      <c r="AB45" s="8">
        <f t="shared" si="59"/>
        <v>-0.000941796948577989</v>
      </c>
      <c r="AC45" s="8">
        <f t="shared" si="60"/>
        <v>0.00273869109453218</v>
      </c>
      <c r="AD45" s="8">
        <f t="shared" si="61"/>
        <v>0.000377893245158134</v>
      </c>
      <c r="AE45" s="8">
        <f t="shared" si="62"/>
        <v>0.00113496642390998</v>
      </c>
      <c r="AF45" s="8">
        <f t="shared" si="63"/>
        <v>-0.00160528800755433</v>
      </c>
      <c r="AG45" s="8">
        <f t="shared" si="64"/>
        <v>0.0019869429463526</v>
      </c>
      <c r="AH45" s="8">
        <f t="shared" si="65"/>
        <v>0.000283929585462861</v>
      </c>
      <c r="AI45" s="8">
        <f t="shared" si="66"/>
        <v>-9.46342386675125e-5</v>
      </c>
      <c r="AJ45" s="8">
        <f t="shared" si="67"/>
        <v>0.0025616698292219</v>
      </c>
      <c r="AK45" s="8">
        <f t="shared" ref="AK45:AN45" si="73">AK12/AL12-1</f>
        <v>0.00390513382226887</v>
      </c>
      <c r="AL45" s="8">
        <f t="shared" si="73"/>
        <v>0.00123974823574291</v>
      </c>
      <c r="AM45" s="8">
        <f t="shared" si="73"/>
        <v>-0.0038947468414553</v>
      </c>
      <c r="AN45" s="8">
        <f t="shared" si="73"/>
        <v>0.00429307384086997</v>
      </c>
      <c r="AO45" s="8">
        <f t="shared" si="69"/>
        <v>-0.00114351057747297</v>
      </c>
      <c r="AP45" s="8">
        <f t="shared" si="69"/>
        <v>0.0103986135181977</v>
      </c>
      <c r="AQ45" s="8">
        <f t="shared" si="51"/>
        <v>-0.0022096262849457</v>
      </c>
      <c r="AR45" s="8">
        <f t="shared" si="51"/>
        <v>0.0068678661249757</v>
      </c>
      <c r="AS45" s="8">
        <f t="shared" si="51"/>
        <v>0.00573985796283694</v>
      </c>
      <c r="AT45" s="8">
        <f t="shared" si="51"/>
        <v>0.000876338851022451</v>
      </c>
      <c r="AU45" s="8">
        <f t="shared" si="51"/>
        <v>0.00038963569062922</v>
      </c>
      <c r="AV45" s="8">
        <f t="shared" ref="AV45:AX47" si="74">AV12/AW12-1</f>
        <v>0.00361716687848279</v>
      </c>
      <c r="AW45" s="8">
        <f t="shared" si="74"/>
        <v>0.00274482893833938</v>
      </c>
      <c r="AX45" s="8">
        <f t="shared" si="74"/>
        <v>0.00117774070075582</v>
      </c>
      <c r="AY45" s="8">
        <f t="shared" ref="AY45" si="75">AY12/AZ12-1</f>
        <v>0.00117912940945253</v>
      </c>
      <c r="AZ45" s="8">
        <f t="shared" ref="AZ45:BB46" si="76">AZ12/BA12-1</f>
        <v>0.00226511719519396</v>
      </c>
      <c r="BA45" s="8">
        <f t="shared" si="76"/>
        <v>-0.00167141873955345</v>
      </c>
      <c r="BB45" s="8">
        <f t="shared" si="76"/>
        <v>0.00573519232670794</v>
      </c>
      <c r="BC45" s="8">
        <f t="shared" ref="BC45:BF45" si="77">BC12/BD12-1</f>
        <v>0.00546828395307219</v>
      </c>
      <c r="BD45" s="8">
        <f t="shared" si="77"/>
        <v>0.00459448661606077</v>
      </c>
      <c r="BE45" s="8">
        <f t="shared" si="77"/>
        <v>0.00704083685375179</v>
      </c>
      <c r="BF45" s="8">
        <f t="shared" si="77"/>
        <v>-0.00340817963111473</v>
      </c>
      <c r="BG45" s="8">
        <f t="shared" si="50"/>
        <v>0.000200521355524508</v>
      </c>
      <c r="BH45" s="8">
        <f t="shared" si="50"/>
        <v>0.00231132549492519</v>
      </c>
    </row>
    <row r="46" spans="2:54">
      <c r="B46" s="35" t="s">
        <v>91</v>
      </c>
      <c r="C46" s="5" t="s">
        <v>48</v>
      </c>
      <c r="D46" s="154">
        <f t="shared" si="53"/>
        <v>3.6254</v>
      </c>
      <c r="E46" s="161">
        <f t="shared" si="21"/>
        <v>3000000</v>
      </c>
      <c r="F46" s="161">
        <f t="shared" si="18"/>
        <v>3220869.2703639</v>
      </c>
      <c r="G46" s="162">
        <f t="shared" si="36"/>
        <v>220869.270363899</v>
      </c>
      <c r="H46" s="22">
        <f>G46/E46</f>
        <v>0.0736230901212998</v>
      </c>
      <c r="I46" s="8">
        <f>J13/BC13-1</f>
        <v>0.0859929625285514</v>
      </c>
      <c r="J46" s="8">
        <f>J13/K13-1</f>
        <v>0.00405228012099768</v>
      </c>
      <c r="K46" s="8">
        <f>K13/L13-1</f>
        <v>-0.00595710881652101</v>
      </c>
      <c r="L46" s="8">
        <f>L13/M13-1</f>
        <v>0.00444495099156605</v>
      </c>
      <c r="M46" s="8">
        <f>M13/N13-1</f>
        <v>0.00955010930847999</v>
      </c>
      <c r="N46" s="8">
        <f t="shared" si="71"/>
        <v>-0.00349710485581611</v>
      </c>
      <c r="O46" s="8">
        <f t="shared" si="71"/>
        <v>0.00327849994248242</v>
      </c>
      <c r="P46" s="8">
        <f t="shared" si="71"/>
        <v>0.030342538817115</v>
      </c>
      <c r="Q46" s="8">
        <f t="shared" ref="Q46:V46" si="78">Q13/R13-1</f>
        <v>-0.00577421635635167</v>
      </c>
      <c r="R46" s="8">
        <f t="shared" si="78"/>
        <v>-0.00439960110283333</v>
      </c>
      <c r="S46" s="8">
        <f t="shared" si="78"/>
        <v>0</v>
      </c>
      <c r="T46" s="8">
        <f t="shared" si="78"/>
        <v>0.0240898714405864</v>
      </c>
      <c r="U46" s="8">
        <f t="shared" si="78"/>
        <v>-0.00203836930455625</v>
      </c>
      <c r="V46" s="8">
        <f t="shared" si="78"/>
        <v>0.00373089421109629</v>
      </c>
      <c r="W46" s="8">
        <f t="shared" si="54"/>
        <v>-0.00532710839767769</v>
      </c>
      <c r="X46" s="8">
        <f t="shared" si="55"/>
        <v>-0.000777511961722377</v>
      </c>
      <c r="Y46" s="8">
        <f t="shared" si="56"/>
        <v>-0.0187793427230047</v>
      </c>
      <c r="Z46" s="8">
        <f t="shared" si="57"/>
        <v>0.00519112789051435</v>
      </c>
      <c r="AA46" s="8">
        <f t="shared" si="58"/>
        <v>0.00480113804753723</v>
      </c>
      <c r="AB46" s="8">
        <f t="shared" si="59"/>
        <v>-0.00542356894417251</v>
      </c>
      <c r="AC46" s="8">
        <f t="shared" si="60"/>
        <v>-0.00638472352389885</v>
      </c>
      <c r="AD46" s="8">
        <f t="shared" si="61"/>
        <v>0.00535893056946013</v>
      </c>
      <c r="AE46" s="8">
        <f t="shared" si="62"/>
        <v>-0.00445564870727566</v>
      </c>
      <c r="AF46" s="8">
        <f t="shared" si="63"/>
        <v>0.0112046478539245</v>
      </c>
      <c r="AG46" s="8">
        <f t="shared" si="64"/>
        <v>-0.0122386836095333</v>
      </c>
      <c r="AH46" s="8">
        <f t="shared" si="65"/>
        <v>-0.0149400092293493</v>
      </c>
      <c r="AI46" s="8">
        <f t="shared" si="66"/>
        <v>0.00843464603571631</v>
      </c>
      <c r="AJ46" s="8">
        <f t="shared" si="67"/>
        <v>-0.0031313424180921</v>
      </c>
      <c r="AK46" s="8">
        <f t="shared" ref="AK46:AN46" si="79">AK13/AL13-1</f>
        <v>0.0102519039250146</v>
      </c>
      <c r="AL46" s="8">
        <f t="shared" si="79"/>
        <v>0.00429487556627639</v>
      </c>
      <c r="AM46" s="8">
        <f t="shared" si="79"/>
        <v>-0.00625584658559397</v>
      </c>
      <c r="AN46" s="8">
        <f t="shared" si="79"/>
        <v>-0.000701098387473786</v>
      </c>
      <c r="AO46" s="8">
        <f t="shared" si="69"/>
        <v>-0.00511508951406647</v>
      </c>
      <c r="AP46" s="8">
        <f t="shared" si="69"/>
        <v>0.00414404949512637</v>
      </c>
      <c r="AQ46" s="8">
        <f t="shared" si="51"/>
        <v>0.00918890263297412</v>
      </c>
      <c r="AR46" s="8">
        <f t="shared" si="51"/>
        <v>0.019272334293948</v>
      </c>
      <c r="AS46" s="8">
        <f t="shared" si="51"/>
        <v>0.0261844618322962</v>
      </c>
      <c r="AT46" s="8">
        <f t="shared" si="51"/>
        <v>0.00111022019367168</v>
      </c>
      <c r="AU46" s="8">
        <f t="shared" si="51"/>
        <v>-0.00049318784291974</v>
      </c>
      <c r="AV46" s="8">
        <f t="shared" si="74"/>
        <v>-0.00435796710041736</v>
      </c>
      <c r="AW46" s="8">
        <f t="shared" si="74"/>
        <v>-0.00360834199743132</v>
      </c>
      <c r="AX46" s="8">
        <f t="shared" si="74"/>
        <v>0.0255268439538383</v>
      </c>
      <c r="AY46" s="8">
        <f t="shared" ref="AY46" si="80">AY13/AZ13-1</f>
        <v>-0.00610896396957983</v>
      </c>
      <c r="AZ46" s="8">
        <f t="shared" si="76"/>
        <v>-0.00797724321315929</v>
      </c>
      <c r="BA46" s="8">
        <f t="shared" si="76"/>
        <v>0.00653554089381303</v>
      </c>
      <c r="BB46" s="8">
        <f t="shared" si="76"/>
        <v>-0.00821038335699731</v>
      </c>
    </row>
    <row r="47" spans="2:50">
      <c r="B47" s="35" t="s">
        <v>91</v>
      </c>
      <c r="C47" s="158" t="s">
        <v>49</v>
      </c>
      <c r="D47" s="154">
        <v>0</v>
      </c>
      <c r="E47" s="161"/>
      <c r="F47" s="161">
        <f t="shared" si="18"/>
        <v>0</v>
      </c>
      <c r="G47" s="162"/>
      <c r="H47" s="22"/>
      <c r="I47" s="8">
        <f>W14/AY14-1</f>
        <v>0.0672155093513727</v>
      </c>
      <c r="J47" s="8"/>
      <c r="K47" s="8"/>
      <c r="L47" s="8"/>
      <c r="M47" s="8"/>
      <c r="N47" s="8"/>
      <c r="O47" s="8"/>
      <c r="P47" s="8"/>
      <c r="Q47" s="8"/>
      <c r="R47" s="8"/>
      <c r="S47" s="8"/>
      <c r="T47" s="8"/>
      <c r="U47" s="8"/>
      <c r="V47" s="8"/>
      <c r="W47" s="8">
        <f t="shared" si="54"/>
        <v>0</v>
      </c>
      <c r="X47" s="8">
        <f t="shared" si="55"/>
        <v>-6.48002993565155e-5</v>
      </c>
      <c r="Y47" s="8">
        <f t="shared" si="56"/>
        <v>0.00053936735885185</v>
      </c>
      <c r="Z47" s="8">
        <f t="shared" si="57"/>
        <v>-0.000532862736564943</v>
      </c>
      <c r="AA47" s="8">
        <f t="shared" si="58"/>
        <v>0.00311205369943401</v>
      </c>
      <c r="AB47" s="8">
        <f t="shared" si="59"/>
        <v>-6.70081611490181e-5</v>
      </c>
      <c r="AC47" s="8">
        <f t="shared" si="60"/>
        <v>-0.00300306802931039</v>
      </c>
      <c r="AD47" s="8">
        <f t="shared" si="61"/>
        <v>0.00212826628211871</v>
      </c>
      <c r="AE47" s="8">
        <f t="shared" si="62"/>
        <v>0.00368308718336041</v>
      </c>
      <c r="AF47" s="8">
        <f t="shared" si="63"/>
        <v>0.00440559876442026</v>
      </c>
      <c r="AG47" s="8">
        <f t="shared" si="64"/>
        <v>0.00599512377816636</v>
      </c>
      <c r="AH47" s="8">
        <f t="shared" si="65"/>
        <v>0.0115538148196024</v>
      </c>
      <c r="AI47" s="8">
        <f t="shared" si="66"/>
        <v>0.00113046114291548</v>
      </c>
      <c r="AJ47" s="8">
        <f t="shared" si="67"/>
        <v>0.00329991966628285</v>
      </c>
      <c r="AK47" s="8">
        <f t="shared" ref="AK47:AN47" si="81">AK14/AL14-1</f>
        <v>0.00295499781460795</v>
      </c>
      <c r="AL47" s="8">
        <f t="shared" si="81"/>
        <v>-0.00067943999318576</v>
      </c>
      <c r="AM47" s="8">
        <f t="shared" si="81"/>
        <v>0.00191220370136236</v>
      </c>
      <c r="AN47" s="8">
        <f t="shared" si="81"/>
        <v>0.00395761149117413</v>
      </c>
      <c r="AO47" s="8">
        <f t="shared" si="69"/>
        <v>0.00221580008405375</v>
      </c>
      <c r="AP47" s="8">
        <f t="shared" si="69"/>
        <v>0.00752374561778768</v>
      </c>
      <c r="AQ47" s="8">
        <f t="shared" si="51"/>
        <v>0.000763252138579862</v>
      </c>
      <c r="AR47" s="8">
        <f t="shared" si="51"/>
        <v>0.00880218030013746</v>
      </c>
      <c r="AS47" s="8">
        <f t="shared" si="51"/>
        <v>0.0115781046732713</v>
      </c>
      <c r="AT47" s="8">
        <f t="shared" si="51"/>
        <v>0.00351476200040168</v>
      </c>
      <c r="AU47" s="8">
        <f t="shared" si="51"/>
        <v>-0.00529417640595353</v>
      </c>
      <c r="AV47" s="8">
        <f t="shared" si="74"/>
        <v>-0.00039940089865198</v>
      </c>
      <c r="AW47" s="8">
        <f t="shared" si="74"/>
        <v>0.00260286314946456</v>
      </c>
      <c r="AX47" s="8">
        <f t="shared" si="74"/>
        <v>-0.00626740947075222</v>
      </c>
    </row>
    <row r="48" spans="2:50">
      <c r="B48" s="35" t="s">
        <v>92</v>
      </c>
      <c r="C48" s="5" t="s">
        <v>50</v>
      </c>
      <c r="D48" s="154">
        <f t="shared" si="53"/>
        <v>2.5503</v>
      </c>
      <c r="E48" s="161">
        <f t="shared" si="21"/>
        <v>2000000</v>
      </c>
      <c r="F48" s="161">
        <f t="shared" si="18"/>
        <v>2265731.47796355</v>
      </c>
      <c r="G48" s="162">
        <f t="shared" si="36"/>
        <v>265731.47796355</v>
      </c>
      <c r="H48" s="22">
        <f>G48/E48</f>
        <v>0.132865738981775</v>
      </c>
      <c r="I48" s="8">
        <f>J15/AX15-1</f>
        <v>0.167866238511793</v>
      </c>
      <c r="J48" s="8">
        <f>J15/K15-1</f>
        <v>0.00332952815829524</v>
      </c>
      <c r="K48" s="8">
        <f>K15/L15-1</f>
        <v>0.0145738828298425</v>
      </c>
      <c r="L48" s="8">
        <f>L15/M15-1</f>
        <v>-0.0318632031396001</v>
      </c>
      <c r="M48" s="8">
        <f>M15/N15-1</f>
        <v>0.0155627253748338</v>
      </c>
      <c r="N48" s="8">
        <f t="shared" ref="N48:P49" si="82">N15/O15-1</f>
        <v>0.00352347395486152</v>
      </c>
      <c r="O48" s="8">
        <f t="shared" si="82"/>
        <v>-0.0100867269984917</v>
      </c>
      <c r="P48" s="8">
        <f t="shared" si="82"/>
        <v>0.00350014189764458</v>
      </c>
      <c r="Q48" s="8">
        <f t="shared" ref="Q48:V48" si="83">Q15/R15-1</f>
        <v>0.00676190476190475</v>
      </c>
      <c r="R48" s="8">
        <f t="shared" si="83"/>
        <v>-0.0246168137482582</v>
      </c>
      <c r="S48" s="8">
        <f t="shared" si="83"/>
        <v>0.0225113981762919</v>
      </c>
      <c r="T48" s="8">
        <f t="shared" si="83"/>
        <v>0.0135746606334841</v>
      </c>
      <c r="U48" s="8">
        <f t="shared" si="83"/>
        <v>0.0191326530612244</v>
      </c>
      <c r="V48" s="8">
        <f t="shared" si="83"/>
        <v>-0.00691805514956634</v>
      </c>
      <c r="W48" s="8">
        <f t="shared" si="54"/>
        <v>0.0179527871454077</v>
      </c>
      <c r="X48" s="8">
        <f t="shared" si="55"/>
        <v>0.00840168033606714</v>
      </c>
      <c r="Y48" s="8">
        <f t="shared" si="56"/>
        <v>0.00694934031624528</v>
      </c>
      <c r="Z48" s="8">
        <f t="shared" si="57"/>
        <v>0.00679375380247427</v>
      </c>
      <c r="AA48" s="8">
        <f t="shared" si="58"/>
        <v>0.0203828246249353</v>
      </c>
      <c r="AB48" s="8">
        <f t="shared" si="59"/>
        <v>-0.00319719471947189</v>
      </c>
      <c r="AC48" s="8">
        <f t="shared" si="60"/>
        <v>-0.00205846027171674</v>
      </c>
      <c r="AD48" s="8">
        <f t="shared" si="61"/>
        <v>0.00976927873622935</v>
      </c>
      <c r="AE48" s="8">
        <f t="shared" si="62"/>
        <v>-0.000623182384711152</v>
      </c>
      <c r="AF48" s="8">
        <f t="shared" si="63"/>
        <v>-0.00300300300300305</v>
      </c>
      <c r="AG48" s="8">
        <f t="shared" si="64"/>
        <v>0.00217932752179317</v>
      </c>
      <c r="AH48" s="8">
        <f t="shared" si="65"/>
        <v>0.0127167630057803</v>
      </c>
      <c r="AI48" s="8">
        <f t="shared" si="66"/>
        <v>0.0139599317988064</v>
      </c>
      <c r="AJ48" s="8">
        <f t="shared" si="67"/>
        <v>-0.00677392040643521</v>
      </c>
      <c r="AK48" s="8">
        <f>AK15/AL15-1</f>
        <v>-0.00974740593229217</v>
      </c>
      <c r="AL48" s="8">
        <f>AL15/AM15-1</f>
        <v>-0.000733137829912023</v>
      </c>
      <c r="AM48" s="8">
        <f>AM15/AN15-1</f>
        <v>0.00346820809248549</v>
      </c>
      <c r="AN48" s="8">
        <f>AN15/AO15-1</f>
        <v>-0.0106062181553499</v>
      </c>
      <c r="AO48" s="8">
        <f t="shared" si="69"/>
        <v>0.00250182424684664</v>
      </c>
      <c r="AP48" s="8">
        <f t="shared" si="69"/>
        <v>0.0157772130453198</v>
      </c>
      <c r="AQ48" s="8">
        <f t="shared" si="51"/>
        <v>-0.00787897888433653</v>
      </c>
      <c r="AR48" s="8">
        <f t="shared" si="51"/>
        <v>0.0143861892583119</v>
      </c>
      <c r="AS48" s="8">
        <f t="shared" si="51"/>
        <v>0.00503373674627827</v>
      </c>
      <c r="AT48" s="8">
        <f t="shared" si="51"/>
        <v>0.0146707237557053</v>
      </c>
      <c r="AU48" s="8">
        <f t="shared" si="51"/>
        <v>-0.00411255411255418</v>
      </c>
      <c r="AV48" s="8">
        <f>AV15/AW15-1</f>
        <v>0.00829332169358366</v>
      </c>
      <c r="AW48" s="8">
        <f>AW15/AX15-1</f>
        <v>0.0147270512678552</v>
      </c>
      <c r="AX48" s="8"/>
    </row>
    <row r="49" ht="13.9" customHeight="1" spans="2:50">
      <c r="B49" s="35" t="s">
        <v>88</v>
      </c>
      <c r="C49" s="5" t="s">
        <v>51</v>
      </c>
      <c r="D49" s="154">
        <f t="shared" si="53"/>
        <v>5.9891</v>
      </c>
      <c r="E49" s="161">
        <f t="shared" si="21"/>
        <v>5100000</v>
      </c>
      <c r="F49" s="161">
        <f t="shared" ref="F49:F52" si="84">D49*$F$1*0.01</f>
        <v>5320822.01884935</v>
      </c>
      <c r="G49" s="162">
        <f t="shared" si="36"/>
        <v>220822.01884935</v>
      </c>
      <c r="H49" s="22">
        <f>G49/E49</f>
        <v>0.0432984350684999</v>
      </c>
      <c r="I49" s="8">
        <f>J16/AW16-1</f>
        <v>0.0624645624645626</v>
      </c>
      <c r="J49" s="8">
        <f>J16/K16-1</f>
        <v>-0.00186434659090906</v>
      </c>
      <c r="K49" s="8">
        <f>K16/L16-1</f>
        <v>0.004011052678492</v>
      </c>
      <c r="L49" s="8">
        <f>L16/M16-1</f>
        <v>-0.00593655856813768</v>
      </c>
      <c r="M49" s="8">
        <f>M16/N16-1</f>
        <v>0.0141072872674994</v>
      </c>
      <c r="N49" s="8">
        <f t="shared" si="82"/>
        <v>0.0012595591542961</v>
      </c>
      <c r="O49" s="8">
        <f t="shared" si="82"/>
        <v>-0.00661363839485218</v>
      </c>
      <c r="P49" s="8">
        <f t="shared" si="82"/>
        <v>0.00466912094819083</v>
      </c>
      <c r="Q49" s="8">
        <f t="shared" ref="Q49:V49" si="85">Q16/R16-1</f>
        <v>0.00297190201729092</v>
      </c>
      <c r="R49" s="8">
        <f t="shared" si="85"/>
        <v>-0.00054005400540047</v>
      </c>
      <c r="S49" s="8">
        <f t="shared" si="85"/>
        <v>0.00288860805199498</v>
      </c>
      <c r="T49" s="8">
        <f t="shared" si="85"/>
        <v>0.00864973140307734</v>
      </c>
      <c r="U49" s="8">
        <f t="shared" si="85"/>
        <v>0.00853994490358145</v>
      </c>
      <c r="V49" s="8">
        <f t="shared" si="85"/>
        <v>0.014816885658373</v>
      </c>
      <c r="W49" s="8">
        <f t="shared" si="54"/>
        <v>-0.0167674546454095</v>
      </c>
      <c r="X49" s="8">
        <f t="shared" si="55"/>
        <v>0.0012844036697246</v>
      </c>
      <c r="Y49" s="8">
        <f t="shared" si="56"/>
        <v>-0.00146573836570152</v>
      </c>
      <c r="Z49" s="8">
        <f t="shared" si="57"/>
        <v>-0.00691411935953423</v>
      </c>
      <c r="AA49" s="8">
        <f t="shared" si="58"/>
        <v>0.00871799577865473</v>
      </c>
      <c r="AB49" s="8">
        <f t="shared" si="59"/>
        <v>-0.00511275449648507</v>
      </c>
      <c r="AC49" s="8">
        <f t="shared" si="60"/>
        <v>-0.00191361399671952</v>
      </c>
      <c r="AD49" s="8">
        <f t="shared" si="61"/>
        <v>0.000364630811303446</v>
      </c>
      <c r="AE49" s="8">
        <f t="shared" si="62"/>
        <v>0.00901398086828564</v>
      </c>
      <c r="AF49" s="8">
        <f t="shared" si="63"/>
        <v>-0.00119430408819488</v>
      </c>
      <c r="AG49" s="8">
        <f t="shared" si="64"/>
        <v>-0.00155934690882409</v>
      </c>
      <c r="AH49" s="8">
        <f t="shared" si="65"/>
        <v>0.00460744563214166</v>
      </c>
      <c r="AI49" s="8">
        <f t="shared" si="66"/>
        <v>0.00425689431797149</v>
      </c>
      <c r="AJ49" s="8">
        <f t="shared" si="67"/>
        <v>0.00380863910822105</v>
      </c>
      <c r="AK49" s="8">
        <f t="shared" ref="AK49:AN49" si="86">AK16/AL16-1</f>
        <v>0.00176809975804959</v>
      </c>
      <c r="AL49" s="8">
        <f t="shared" si="86"/>
        <v>0.00561482313307127</v>
      </c>
      <c r="AM49" s="8">
        <f t="shared" si="86"/>
        <v>-0.00252030243629231</v>
      </c>
      <c r="AN49" s="8">
        <f t="shared" si="86"/>
        <v>0.00233907185628746</v>
      </c>
      <c r="AO49" s="8">
        <f t="shared" si="69"/>
        <v>-0.00224047796863325</v>
      </c>
      <c r="AP49" s="8">
        <f t="shared" si="69"/>
        <v>0.00102794131389583</v>
      </c>
      <c r="AQ49" s="8">
        <f t="shared" si="51"/>
        <v>-0.000373657169546848</v>
      </c>
      <c r="AR49" s="8">
        <f t="shared" si="51"/>
        <v>0.00234082397003732</v>
      </c>
      <c r="AS49" s="8">
        <f t="shared" si="51"/>
        <v>0.00442020126022769</v>
      </c>
      <c r="AT49" s="8">
        <f t="shared" si="51"/>
        <v>0.00216776625824688</v>
      </c>
      <c r="AU49" s="8">
        <f t="shared" si="51"/>
        <v>-0.00103568402222021</v>
      </c>
      <c r="AV49" s="8">
        <f>AV16/AW16-1</f>
        <v>0.00368550368550369</v>
      </c>
      <c r="AW49" s="8"/>
      <c r="AX49" s="8"/>
    </row>
    <row r="50" spans="2:50">
      <c r="B50" s="35" t="s">
        <v>88</v>
      </c>
      <c r="C50" s="155" t="s">
        <v>52</v>
      </c>
      <c r="D50" s="154"/>
      <c r="E50" s="161">
        <v>0</v>
      </c>
      <c r="F50" s="161">
        <f t="shared" si="84"/>
        <v>0</v>
      </c>
      <c r="G50" s="162">
        <f t="shared" si="36"/>
        <v>0</v>
      </c>
      <c r="H50" s="22"/>
      <c r="I50" s="8">
        <f>AJ17/AW17-1</f>
        <v>-0.0216165413533835</v>
      </c>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f t="shared" si="67"/>
        <v>-0.00478011472275341</v>
      </c>
      <c r="AK50" s="8">
        <f t="shared" ref="AK50:AN50" si="87">AK17/AL17-1</f>
        <v>0.00287631831255997</v>
      </c>
      <c r="AL50" s="8">
        <f t="shared" si="87"/>
        <v>-0.00949667616334282</v>
      </c>
      <c r="AM50" s="8">
        <f t="shared" si="87"/>
        <v>-0.00660377358490583</v>
      </c>
      <c r="AN50" s="8">
        <f t="shared" si="87"/>
        <v>0</v>
      </c>
      <c r="AO50" s="8">
        <f t="shared" si="69"/>
        <v>0.00189035916824198</v>
      </c>
      <c r="AP50" s="8">
        <f t="shared" si="69"/>
        <v>-0.00470366886171203</v>
      </c>
      <c r="AQ50" s="8">
        <f t="shared" si="51"/>
        <v>-0.00187793427230043</v>
      </c>
      <c r="AR50" s="8">
        <f t="shared" si="51"/>
        <v>0.00188146754468477</v>
      </c>
      <c r="AS50" s="8">
        <f t="shared" si="51"/>
        <v>-0.00187793427230043</v>
      </c>
      <c r="AT50" s="8">
        <f t="shared" si="51"/>
        <v>0.0056657223796035</v>
      </c>
      <c r="AU50" s="8">
        <f t="shared" si="51"/>
        <v>-0.001885014137606</v>
      </c>
      <c r="AV50" s="8">
        <f>AV17/AW17-1</f>
        <v>-0.00281954887218061</v>
      </c>
      <c r="AW50" s="8"/>
      <c r="AX50" s="8"/>
    </row>
    <row r="51" spans="2:50">
      <c r="B51" s="35" t="s">
        <v>91</v>
      </c>
      <c r="C51" s="5" t="s">
        <v>53</v>
      </c>
      <c r="D51" s="154">
        <f t="shared" si="53"/>
        <v>8.7589</v>
      </c>
      <c r="E51" s="161">
        <f t="shared" si="21"/>
        <v>7100000</v>
      </c>
      <c r="F51" s="161">
        <f t="shared" si="84"/>
        <v>7781561.16626865</v>
      </c>
      <c r="G51" s="162">
        <f t="shared" si="36"/>
        <v>681561.16626865</v>
      </c>
      <c r="H51" s="22">
        <f>G51/E51</f>
        <v>0.0959945304603733</v>
      </c>
      <c r="I51" s="8">
        <f>J18/AW18-1</f>
        <v>0.13017578125</v>
      </c>
      <c r="J51" s="8">
        <f>J18/K18-1</f>
        <v>0.00155776720034617</v>
      </c>
      <c r="K51" s="8">
        <f>K18/L18-1</f>
        <v>0.000173115208170982</v>
      </c>
      <c r="L51" s="8">
        <f>L18/M18-1</f>
        <v>0.000519615484541491</v>
      </c>
      <c r="M51" s="8">
        <f>M18/N18-1</f>
        <v>0.000519885625162697</v>
      </c>
      <c r="N51" s="8">
        <f t="shared" ref="N51:R54" si="88">N18/O18-1</f>
        <v>0.000433425797503384</v>
      </c>
      <c r="O51" s="8">
        <f t="shared" si="88"/>
        <v>0</v>
      </c>
      <c r="P51" s="8">
        <f t="shared" si="88"/>
        <v>0.00217183563547896</v>
      </c>
      <c r="Q51" s="8">
        <f t="shared" si="88"/>
        <v>0.000434555883886523</v>
      </c>
      <c r="R51" s="8">
        <f t="shared" si="88"/>
        <v>0</v>
      </c>
      <c r="S51" s="8">
        <f t="shared" ref="S51:X51" si="89">S18/T18-1</f>
        <v>0.00235212126491868</v>
      </c>
      <c r="T51" s="8">
        <f t="shared" si="89"/>
        <v>0.00340909090909092</v>
      </c>
      <c r="U51" s="8">
        <f t="shared" si="89"/>
        <v>0.000262306548920233</v>
      </c>
      <c r="V51" s="8">
        <f t="shared" si="89"/>
        <v>8.74431619446447e-5</v>
      </c>
      <c r="W51" s="8">
        <f t="shared" si="89"/>
        <v>0.0361511280239195</v>
      </c>
      <c r="X51" s="8">
        <f t="shared" si="89"/>
        <v>0.0139641708773541</v>
      </c>
      <c r="Y51" s="8">
        <f t="shared" ref="Y51:Y58" si="90">Y18/Z18-1</f>
        <v>0.000459558823529438</v>
      </c>
      <c r="Z51" s="8">
        <f t="shared" ref="Z51:Z57" si="91">Z18/AA18-1</f>
        <v>0.000183857326714554</v>
      </c>
      <c r="AA51" s="8">
        <f t="shared" ref="AA51:AA57" si="92">AA18/AB18-1</f>
        <v>9.19371150134296e-5</v>
      </c>
      <c r="AB51" s="8">
        <f t="shared" ref="AB51:AB57" si="93">AB18/AC18-1</f>
        <v>0.000183908045976899</v>
      </c>
      <c r="AC51" s="8">
        <f t="shared" ref="AC51:AC57" si="94">AC18/AD18-1</f>
        <v>0.000183941874367655</v>
      </c>
      <c r="AD51" s="8">
        <f t="shared" ref="AD51:AG55" si="95">AD18/AE18-1</f>
        <v>0.000828424153166418</v>
      </c>
      <c r="AE51" s="8">
        <f t="shared" si="95"/>
        <v>0.00110578695171415</v>
      </c>
      <c r="AF51" s="8">
        <f t="shared" si="95"/>
        <v>0.000368731563421765</v>
      </c>
      <c r="AG51" s="8">
        <f t="shared" si="95"/>
        <v>0.0020321448365046</v>
      </c>
      <c r="AH51" s="8">
        <f t="shared" ref="AH51:AI55" si="96">AH18/AI18-1</f>
        <v>0.00473317865429235</v>
      </c>
      <c r="AI51" s="8">
        <f t="shared" si="96"/>
        <v>0.00120795391191209</v>
      </c>
      <c r="AJ51" s="8">
        <f t="shared" si="67"/>
        <v>-0.000464381907680833</v>
      </c>
      <c r="AK51" s="8">
        <f t="shared" ref="AK51:AN51" si="97">AK18/AL18-1</f>
        <v>0.00260731911723622</v>
      </c>
      <c r="AL51" s="8">
        <f t="shared" si="97"/>
        <v>0.00233339555721512</v>
      </c>
      <c r="AM51" s="8">
        <f t="shared" si="97"/>
        <v>0.00121483973460412</v>
      </c>
      <c r="AN51" s="8">
        <f t="shared" si="97"/>
        <v>-0.0013997760358343</v>
      </c>
      <c r="AO51" s="8">
        <f t="shared" si="69"/>
        <v>0.000934055669717937</v>
      </c>
      <c r="AP51" s="8">
        <f t="shared" si="69"/>
        <v>0.0125792111983354</v>
      </c>
      <c r="AQ51" s="8">
        <f t="shared" si="51"/>
        <v>0.00494249596045981</v>
      </c>
      <c r="AR51" s="8">
        <f t="shared" si="51"/>
        <v>0.00209543766072962</v>
      </c>
      <c r="AS51" s="8">
        <f t="shared" si="51"/>
        <v>0.0158684083212384</v>
      </c>
      <c r="AT51" s="8">
        <f t="shared" si="51"/>
        <v>0.000968523002421451</v>
      </c>
      <c r="AU51" s="8">
        <f t="shared" si="51"/>
        <v>0.00889192886456902</v>
      </c>
      <c r="AV51" s="8">
        <f>AV18/AW18-1</f>
        <v>-0.000585937499999911</v>
      </c>
      <c r="AW51" s="8"/>
      <c r="AX51" s="8"/>
    </row>
    <row r="52" spans="2:50">
      <c r="B52" s="35" t="s">
        <v>91</v>
      </c>
      <c r="C52" s="5" t="s">
        <v>54</v>
      </c>
      <c r="D52" s="154">
        <f t="shared" si="53"/>
        <v>3.5055</v>
      </c>
      <c r="E52" s="161">
        <f t="shared" si="21"/>
        <v>3417520.68</v>
      </c>
      <c r="F52" s="161">
        <f t="shared" si="84"/>
        <v>3114347.99670675</v>
      </c>
      <c r="G52" s="162">
        <f t="shared" si="36"/>
        <v>-303172.68329325</v>
      </c>
      <c r="H52" s="22">
        <f>G52/E52</f>
        <v>-0.0887112944385315</v>
      </c>
      <c r="I52" s="8">
        <f>(J19/1)*(1.175/1.106)-1</f>
        <v>0.0570750452079565</v>
      </c>
      <c r="J52" s="8">
        <f>J19/K19-1</f>
        <v>0.00606673407482305</v>
      </c>
      <c r="K52" s="8">
        <f>K19/L19-1</f>
        <v>0</v>
      </c>
      <c r="L52" s="8">
        <f>-3.1%</f>
        <v>-0.031</v>
      </c>
      <c r="M52" s="8">
        <f>M19/N19-1</f>
        <v>-0.00119331742243445</v>
      </c>
      <c r="N52" s="8">
        <f t="shared" si="88"/>
        <v>-0.00415923945335706</v>
      </c>
      <c r="O52" s="8">
        <f t="shared" si="88"/>
        <v>-0.00473092844470735</v>
      </c>
      <c r="P52" s="8">
        <f t="shared" si="88"/>
        <v>0.0205190102595052</v>
      </c>
      <c r="Q52" s="8">
        <f t="shared" si="88"/>
        <v>-0.00659472422062357</v>
      </c>
      <c r="R52" s="8">
        <f t="shared" si="88"/>
        <v>0.0145985401459854</v>
      </c>
      <c r="S52" s="8">
        <f t="shared" ref="S52:X52" si="98">S19/T19-1</f>
        <v>0.0185873605947957</v>
      </c>
      <c r="T52" s="8">
        <f t="shared" si="98"/>
        <v>0.0163727959697733</v>
      </c>
      <c r="U52" s="8">
        <f t="shared" si="98"/>
        <v>0.0151598173515981</v>
      </c>
      <c r="V52" s="8">
        <f t="shared" si="98"/>
        <v>-0.00363967242948138</v>
      </c>
      <c r="W52" s="8">
        <f t="shared" si="98"/>
        <v>0.0119705340699814</v>
      </c>
      <c r="X52" s="8">
        <f t="shared" si="98"/>
        <v>-0.00458295142071485</v>
      </c>
      <c r="Y52" s="8">
        <f t="shared" si="90"/>
        <v>0</v>
      </c>
      <c r="Z52" s="8">
        <f t="shared" si="91"/>
        <v>0</v>
      </c>
      <c r="AA52" s="8">
        <f t="shared" si="92"/>
        <v>-0.00274223034734933</v>
      </c>
      <c r="AB52" s="8">
        <f t="shared" si="93"/>
        <v>0</v>
      </c>
      <c r="AC52" s="8">
        <f t="shared" si="94"/>
        <v>0</v>
      </c>
      <c r="AD52" s="8">
        <f t="shared" si="95"/>
        <v>-0.000913242009132342</v>
      </c>
      <c r="AE52" s="8">
        <f t="shared" si="95"/>
        <v>0.00458715596330261</v>
      </c>
      <c r="AF52" s="8">
        <f t="shared" si="95"/>
        <v>-0.00456621004566204</v>
      </c>
      <c r="AG52" s="8">
        <f t="shared" si="95"/>
        <v>-0.00635208711433766</v>
      </c>
      <c r="AH52" s="8">
        <f t="shared" si="96"/>
        <v>0.00731261425959784</v>
      </c>
      <c r="AI52" s="8">
        <f t="shared" si="96"/>
        <v>-0.00182481751824815</v>
      </c>
      <c r="AJ52" s="8">
        <f t="shared" si="67"/>
        <v>-0.00363636363636366</v>
      </c>
      <c r="AK52" s="8">
        <f>AK19/AL19-1</f>
        <v>0.00456621004566227</v>
      </c>
      <c r="AL52" s="8">
        <f>AL19/AM19-1</f>
        <v>-0.000912408759124239</v>
      </c>
      <c r="AM52" s="8">
        <f>AM19/AN19-1</f>
        <v>-0.00272975432211087</v>
      </c>
      <c r="AN52" s="8">
        <f>AN19/AO19-1</f>
        <v>0.00182315405651767</v>
      </c>
      <c r="AO52" s="8">
        <f>AO19/AP19-1</f>
        <v>-0.00813743218806517</v>
      </c>
      <c r="AP52" s="8"/>
      <c r="AQ52" s="8"/>
      <c r="AR52" s="8"/>
      <c r="AS52" s="8"/>
      <c r="AT52" s="8"/>
      <c r="AU52" s="8"/>
      <c r="AV52" s="8"/>
      <c r="AW52" s="8"/>
      <c r="AX52" s="8"/>
    </row>
    <row r="53" spans="2:50">
      <c r="B53" s="35" t="s">
        <v>88</v>
      </c>
      <c r="C53" s="5" t="s">
        <v>55</v>
      </c>
      <c r="D53" s="154">
        <f t="shared" si="53"/>
        <v>3.4615</v>
      </c>
      <c r="E53" s="161">
        <f t="shared" si="21"/>
        <v>3000000</v>
      </c>
      <c r="F53" s="161">
        <f t="shared" ref="F53:F57" si="99">D53*$F$1*0.01</f>
        <v>3075257.62105275</v>
      </c>
      <c r="G53" s="162">
        <f t="shared" si="36"/>
        <v>75257.6210527499</v>
      </c>
      <c r="H53" s="22">
        <f>G53/E53</f>
        <v>0.02508587368425</v>
      </c>
      <c r="I53" s="8">
        <f>J20/AN20-1</f>
        <v>0.0250996015936253</v>
      </c>
      <c r="J53" s="8">
        <f>J20/K20-1</f>
        <v>-0.00280980525142926</v>
      </c>
      <c r="K53" s="8">
        <f>K20/L20-1</f>
        <v>0.00262288711870995</v>
      </c>
      <c r="L53" s="8">
        <f>L20/M20-1</f>
        <v>0.00077775617343967</v>
      </c>
      <c r="M53" s="8">
        <f>M20/N20-1</f>
        <v>-0.00165000485295552</v>
      </c>
      <c r="N53" s="8">
        <f t="shared" si="88"/>
        <v>0.00772691705790307</v>
      </c>
      <c r="O53" s="8">
        <f t="shared" si="88"/>
        <v>0.00235294117647045</v>
      </c>
      <c r="P53" s="8">
        <f t="shared" si="88"/>
        <v>0</v>
      </c>
      <c r="Q53" s="8">
        <f t="shared" si="88"/>
        <v>0.00423353352367828</v>
      </c>
      <c r="R53" s="8">
        <f t="shared" si="88"/>
        <v>-0.0012782694198622</v>
      </c>
      <c r="S53" s="8">
        <f t="shared" ref="S53:X53" si="100">S20/T20-1</f>
        <v>0.00256309148264977</v>
      </c>
      <c r="T53" s="8">
        <f t="shared" si="100"/>
        <v>0.000394477317554154</v>
      </c>
      <c r="U53" s="8">
        <f t="shared" si="100"/>
        <v>-0.000197199763360301</v>
      </c>
      <c r="V53" s="8">
        <f t="shared" si="100"/>
        <v>0.0112673247582014</v>
      </c>
      <c r="W53" s="8">
        <f t="shared" si="100"/>
        <v>0.00229862082750354</v>
      </c>
      <c r="X53" s="8">
        <f t="shared" si="100"/>
        <v>-0.00308857228255466</v>
      </c>
      <c r="Y53" s="8">
        <f t="shared" si="90"/>
        <v>0.00109714741671674</v>
      </c>
      <c r="Z53" s="8">
        <f t="shared" si="91"/>
        <v>0.000399121931750068</v>
      </c>
      <c r="AA53" s="8">
        <f t="shared" si="92"/>
        <v>0.00360504706589215</v>
      </c>
      <c r="AB53" s="8">
        <f t="shared" si="93"/>
        <v>-0.00199880071956815</v>
      </c>
      <c r="AC53" s="8">
        <f t="shared" si="94"/>
        <v>0.000399920015996758</v>
      </c>
      <c r="AD53" s="8">
        <f t="shared" si="95"/>
        <v>-0.00109857185658657</v>
      </c>
      <c r="AE53" s="8">
        <f t="shared" si="95"/>
        <v>-0.00258989939236964</v>
      </c>
      <c r="AF53" s="8">
        <f t="shared" si="95"/>
        <v>-0.00495589255624929</v>
      </c>
      <c r="AG53" s="8">
        <f t="shared" si="95"/>
        <v>-0.00630355559933038</v>
      </c>
      <c r="AH53" s="8">
        <f t="shared" si="96"/>
        <v>0.00276543209876556</v>
      </c>
      <c r="AI53" s="8">
        <f t="shared" si="96"/>
        <v>-9.87556784515231e-5</v>
      </c>
      <c r="AJ53" s="8">
        <f t="shared" si="67"/>
        <v>9.87654320987463e-5</v>
      </c>
      <c r="AK53" s="8">
        <f t="shared" ref="AK53:AM54" si="101">AK20/AL20-1</f>
        <v>0.00506253722453831</v>
      </c>
      <c r="AL53" s="8">
        <f t="shared" si="101"/>
        <v>0.00228832951945068</v>
      </c>
      <c r="AM53" s="8">
        <f t="shared" si="101"/>
        <v>0.00109561752988063</v>
      </c>
      <c r="AN53" s="8"/>
      <c r="AO53" s="8"/>
      <c r="AP53" s="8"/>
      <c r="AQ53" s="8"/>
      <c r="AR53" s="8"/>
      <c r="AS53" s="8"/>
      <c r="AT53" s="8"/>
      <c r="AU53" s="8"/>
      <c r="AV53" s="8"/>
      <c r="AW53" s="8"/>
      <c r="AX53" s="8"/>
    </row>
    <row r="54" spans="2:50">
      <c r="B54" s="35" t="s">
        <v>88</v>
      </c>
      <c r="C54" s="5" t="s">
        <v>56</v>
      </c>
      <c r="D54" s="154">
        <f t="shared" si="53"/>
        <v>0</v>
      </c>
      <c r="E54" s="161">
        <f t="shared" si="21"/>
        <v>0</v>
      </c>
      <c r="F54" s="161">
        <f t="shared" si="99"/>
        <v>0</v>
      </c>
      <c r="G54" s="162">
        <f t="shared" si="36"/>
        <v>0</v>
      </c>
      <c r="H54" s="22"/>
      <c r="I54" s="8">
        <f>J21/AN21-1</f>
        <v>-0.021902190219022</v>
      </c>
      <c r="J54" s="8">
        <f>J21/K21-1</f>
        <v>-0.00356597045338769</v>
      </c>
      <c r="K54" s="8">
        <f>K21/L21-1</f>
        <v>-0.00597528863682395</v>
      </c>
      <c r="L54" s="8">
        <f>L21/M21-1</f>
        <v>0.00162304727125173</v>
      </c>
      <c r="M54" s="8">
        <f>M21/N21-1</f>
        <v>-0.00715077047033941</v>
      </c>
      <c r="N54" s="8">
        <f t="shared" si="88"/>
        <v>-0.00660330165082545</v>
      </c>
      <c r="O54" s="8">
        <f t="shared" si="88"/>
        <v>0.0017037482461415</v>
      </c>
      <c r="P54" s="8">
        <f t="shared" si="88"/>
        <v>0.000902798675895378</v>
      </c>
      <c r="Q54" s="8">
        <f t="shared" si="88"/>
        <v>0.00392749244712998</v>
      </c>
      <c r="R54" s="8">
        <f t="shared" si="88"/>
        <v>-0.00371225042640722</v>
      </c>
      <c r="S54" s="8">
        <f t="shared" ref="S54:X54" si="102">S21/T21-1</f>
        <v>0.00433293027005255</v>
      </c>
      <c r="T54" s="8">
        <f t="shared" si="102"/>
        <v>0.00151377535573705</v>
      </c>
      <c r="U54" s="8">
        <f t="shared" si="102"/>
        <v>-0.0029180921714631</v>
      </c>
      <c r="V54" s="8">
        <f t="shared" si="102"/>
        <v>0.0102673579343295</v>
      </c>
      <c r="W54" s="8">
        <f t="shared" si="102"/>
        <v>0.00152718387293826</v>
      </c>
      <c r="X54" s="8">
        <f t="shared" si="102"/>
        <v>-0.00193069809978663</v>
      </c>
      <c r="Y54" s="8">
        <f t="shared" si="90"/>
        <v>0.00142464638241568</v>
      </c>
      <c r="Z54" s="8">
        <f t="shared" si="91"/>
        <v>0.000407207574060875</v>
      </c>
      <c r="AA54" s="8">
        <f t="shared" si="92"/>
        <v>0.00337078651685396</v>
      </c>
      <c r="AB54" s="8">
        <f t="shared" si="93"/>
        <v>-0.00224215246636772</v>
      </c>
      <c r="AC54" s="8">
        <f t="shared" si="94"/>
        <v>-0.000814663951120176</v>
      </c>
      <c r="AD54" s="8">
        <f t="shared" si="95"/>
        <v>-0.000712323191207953</v>
      </c>
      <c r="AE54" s="8">
        <f t="shared" si="95"/>
        <v>-0.000610190175938108</v>
      </c>
      <c r="AF54" s="8">
        <f t="shared" si="95"/>
        <v>-0.00324379118094287</v>
      </c>
      <c r="AG54" s="8">
        <f t="shared" si="95"/>
        <v>-0.0035353535353535</v>
      </c>
      <c r="AH54" s="8">
        <f t="shared" si="96"/>
        <v>-0.000100999899000143</v>
      </c>
      <c r="AI54" s="8">
        <f t="shared" si="96"/>
        <v>-0.00261911957288208</v>
      </c>
      <c r="AJ54" s="8">
        <f t="shared" si="67"/>
        <v>-0.00281265695630339</v>
      </c>
      <c r="AK54" s="8">
        <f t="shared" si="101"/>
        <v>-0.00449999999999995</v>
      </c>
      <c r="AL54" s="8">
        <f t="shared" si="101"/>
        <v>0.000100010001000017</v>
      </c>
      <c r="AM54" s="8">
        <f t="shared" si="101"/>
        <v>0</v>
      </c>
      <c r="AN54" s="8"/>
      <c r="AO54" s="8"/>
      <c r="AP54" s="8"/>
      <c r="AQ54" s="8"/>
      <c r="AR54" s="8"/>
      <c r="AS54" s="8"/>
      <c r="AT54" s="8"/>
      <c r="AU54" s="8"/>
      <c r="AV54" s="8"/>
      <c r="AW54" s="8"/>
      <c r="AX54" s="8"/>
    </row>
    <row r="55" spans="2:50">
      <c r="B55" s="35" t="s">
        <v>88</v>
      </c>
      <c r="C55" s="155" t="s">
        <v>57</v>
      </c>
      <c r="D55" s="154"/>
      <c r="E55" s="161">
        <f t="shared" ref="E55:E67" si="103">E22</f>
        <v>0</v>
      </c>
      <c r="F55" s="161">
        <f t="shared" si="99"/>
        <v>0</v>
      </c>
      <c r="G55" s="162">
        <f t="shared" si="36"/>
        <v>0</v>
      </c>
      <c r="H55" s="22"/>
      <c r="I55" s="8">
        <f>Y22/AL22-1</f>
        <v>-0.0210653303637713</v>
      </c>
      <c r="J55" s="8"/>
      <c r="K55" s="8"/>
      <c r="L55" s="8"/>
      <c r="M55" s="8"/>
      <c r="N55" s="8"/>
      <c r="O55" s="8"/>
      <c r="P55" s="8"/>
      <c r="Q55" s="8"/>
      <c r="R55" s="8"/>
      <c r="S55" s="8"/>
      <c r="T55" s="8"/>
      <c r="U55" s="8"/>
      <c r="V55" s="8"/>
      <c r="W55" s="8"/>
      <c r="X55" s="8"/>
      <c r="Y55" s="8">
        <f t="shared" si="90"/>
        <v>-0.00845944167684942</v>
      </c>
      <c r="Z55" s="8">
        <f t="shared" si="91"/>
        <v>-0.00477081384471456</v>
      </c>
      <c r="AA55" s="8">
        <f t="shared" si="92"/>
        <v>-0.00261242769173364</v>
      </c>
      <c r="AB55" s="8">
        <f t="shared" si="93"/>
        <v>0.000186636804777818</v>
      </c>
      <c r="AC55" s="8">
        <f t="shared" si="94"/>
        <v>-0.00566020228263897</v>
      </c>
      <c r="AD55" s="8">
        <f t="shared" si="95"/>
        <v>-0.00314494496346296</v>
      </c>
      <c r="AE55" s="8">
        <f t="shared" si="95"/>
        <v>-0.00970962718695612</v>
      </c>
      <c r="AF55" s="8">
        <f t="shared" si="95"/>
        <v>0.00257140233262909</v>
      </c>
      <c r="AG55" s="8">
        <f t="shared" si="95"/>
        <v>0.00027558331802302</v>
      </c>
      <c r="AH55" s="8">
        <f t="shared" si="96"/>
        <v>-0.000550863018729308</v>
      </c>
      <c r="AI55" s="8">
        <f t="shared" si="96"/>
        <v>0.000918948722661073</v>
      </c>
      <c r="AJ55" s="8">
        <f t="shared" si="67"/>
        <v>-0.00265786820639713</v>
      </c>
      <c r="AK55" s="8">
        <f>AK22/AL22-1</f>
        <v>0.0125278396436526</v>
      </c>
      <c r="AL55" s="8"/>
      <c r="AM55" s="8"/>
      <c r="AN55" s="8"/>
      <c r="AO55" s="8"/>
      <c r="AP55" s="8"/>
      <c r="AQ55" s="8"/>
      <c r="AR55" s="8"/>
      <c r="AS55" s="8"/>
      <c r="AT55" s="8"/>
      <c r="AU55" s="8"/>
      <c r="AV55" s="8"/>
      <c r="AW55" s="8"/>
      <c r="AX55" s="8"/>
    </row>
    <row r="56" spans="2:50">
      <c r="B56" s="35" t="s">
        <v>91</v>
      </c>
      <c r="C56" s="5" t="s">
        <v>58</v>
      </c>
      <c r="D56" s="154">
        <f t="shared" si="53"/>
        <v>3.5485</v>
      </c>
      <c r="E56" s="161">
        <f t="shared" si="103"/>
        <v>3000000</v>
      </c>
      <c r="F56" s="161">
        <f t="shared" si="99"/>
        <v>3152549.95473225</v>
      </c>
      <c r="G56" s="162">
        <f t="shared" si="36"/>
        <v>152549.95473225</v>
      </c>
      <c r="H56" s="22">
        <f t="shared" ref="H56:H65" si="104">G56/E56</f>
        <v>0.05084998491075</v>
      </c>
      <c r="I56" s="8">
        <f>J23/AD23-1</f>
        <v>0.0508426163953155</v>
      </c>
      <c r="J56" s="8">
        <f t="shared" ref="J56:J61" si="105">J23/K23-1</f>
        <v>0.00141542816702045</v>
      </c>
      <c r="K56" s="8">
        <f t="shared" ref="K56:K61" si="106">K23/L23-1</f>
        <v>-0.000290259964080386</v>
      </c>
      <c r="L56" s="8">
        <f t="shared" ref="L56:L61" si="107">L23/M23-1</f>
        <v>-7.2559725724286e-5</v>
      </c>
      <c r="M56" s="8">
        <f t="shared" ref="M56:M61" si="108">M23/N23-1</f>
        <v>0.00181728969415018</v>
      </c>
      <c r="N56" s="8">
        <f t="shared" ref="N56:N64" si="109">N23/O23-1</f>
        <v>0.00295270208694087</v>
      </c>
      <c r="O56" s="8">
        <f t="shared" ref="O56:O64" si="110">O23/P23-1</f>
        <v>0.00182598374874465</v>
      </c>
      <c r="P56" s="8">
        <f t="shared" ref="P56:P64" si="111">P23/Q23-1</f>
        <v>0.00613620914552371</v>
      </c>
      <c r="Q56" s="8">
        <f t="shared" ref="Q56:Q64" si="112">Q23/R23-1</f>
        <v>0.00128768786446143</v>
      </c>
      <c r="R56" s="8">
        <f t="shared" ref="R56:R64" si="113">R23/S23-1</f>
        <v>0.00759948842468172</v>
      </c>
      <c r="S56" s="8">
        <f t="shared" ref="S56:S63" si="114">S23/T23-1</f>
        <v>0.00777061735313356</v>
      </c>
      <c r="T56" s="8">
        <f t="shared" ref="T56:T63" si="115">T23/U23-1</f>
        <v>-0.000373447857342835</v>
      </c>
      <c r="U56" s="8">
        <f t="shared" ref="U56:U63" si="116">U23/V23-1</f>
        <v>0.00243331773514277</v>
      </c>
      <c r="V56" s="8">
        <f t="shared" ref="V56:V63" si="117">V23/W23-1</f>
        <v>-0.000449026174484168</v>
      </c>
      <c r="W56" s="8">
        <f t="shared" ref="W56:W63" si="118">W23/X23-1</f>
        <v>0.0109705120202765</v>
      </c>
      <c r="X56" s="8">
        <f t="shared" ref="X56:X63" si="119">X23/Y23-1</f>
        <v>0.00238894260849798</v>
      </c>
      <c r="Y56" s="8">
        <f t="shared" si="90"/>
        <v>0.00125291873113498</v>
      </c>
      <c r="Z56" s="8">
        <f t="shared" si="91"/>
        <v>-0.000872484494433223</v>
      </c>
      <c r="AA56" s="8">
        <f t="shared" si="92"/>
        <v>0.00144357703192965</v>
      </c>
      <c r="AB56" s="8">
        <f t="shared" si="93"/>
        <v>0.00548128342246001</v>
      </c>
      <c r="AC56" s="8">
        <f t="shared" si="94"/>
        <v>-0.00295153765590794</v>
      </c>
      <c r="AD56" s="8"/>
      <c r="AE56" s="8"/>
      <c r="AF56" s="8"/>
      <c r="AG56" s="8"/>
      <c r="AH56" s="8"/>
      <c r="AI56" s="8"/>
      <c r="AJ56" s="8"/>
      <c r="AK56" s="8"/>
      <c r="AL56" s="8"/>
      <c r="AM56" s="8"/>
      <c r="AN56" s="8"/>
      <c r="AO56" s="8"/>
      <c r="AP56" s="8"/>
      <c r="AQ56" s="8"/>
      <c r="AR56" s="8"/>
      <c r="AS56" s="8"/>
      <c r="AT56" s="8"/>
      <c r="AU56" s="8"/>
      <c r="AV56" s="8"/>
      <c r="AW56" s="8"/>
      <c r="AX56" s="8"/>
    </row>
    <row r="57" spans="2:50">
      <c r="B57" s="35" t="s">
        <v>93</v>
      </c>
      <c r="C57" s="5" t="s">
        <v>59</v>
      </c>
      <c r="D57" s="154">
        <f t="shared" si="53"/>
        <v>2.433</v>
      </c>
      <c r="E57" s="161">
        <f t="shared" si="103"/>
        <v>2000000</v>
      </c>
      <c r="F57" s="161">
        <f t="shared" si="99"/>
        <v>2161520.0901405</v>
      </c>
      <c r="G57" s="162">
        <f t="shared" si="36"/>
        <v>161520.0901405</v>
      </c>
      <c r="H57" s="22">
        <f t="shared" si="104"/>
        <v>0.0807600450702498</v>
      </c>
      <c r="I57" s="8">
        <f>J24/AD24-1</f>
        <v>0.080777710964121</v>
      </c>
      <c r="J57" s="8">
        <f t="shared" si="105"/>
        <v>0.000742390497401768</v>
      </c>
      <c r="K57" s="8">
        <f t="shared" si="106"/>
        <v>-0.00810014727540509</v>
      </c>
      <c r="L57" s="8">
        <f t="shared" si="107"/>
        <v>0.0127715111401139</v>
      </c>
      <c r="M57" s="8">
        <f t="shared" si="108"/>
        <v>0.0196768060836501</v>
      </c>
      <c r="N57" s="8">
        <f t="shared" si="109"/>
        <v>0.00814566363200764</v>
      </c>
      <c r="O57" s="8">
        <f t="shared" si="110"/>
        <v>-0.00505339435545371</v>
      </c>
      <c r="P57" s="8">
        <f t="shared" si="111"/>
        <v>0.00749279538904912</v>
      </c>
      <c r="Q57" s="8">
        <f t="shared" si="112"/>
        <v>0.00706201025442565</v>
      </c>
      <c r="R57" s="8">
        <f t="shared" si="113"/>
        <v>0.00691603350866954</v>
      </c>
      <c r="S57" s="8">
        <f t="shared" si="114"/>
        <v>0.0110301359070315</v>
      </c>
      <c r="T57" s="8">
        <f t="shared" si="115"/>
        <v>0.00884252359662208</v>
      </c>
      <c r="U57" s="8">
        <f t="shared" si="116"/>
        <v>0.0010940919037199</v>
      </c>
      <c r="V57" s="8">
        <f t="shared" si="117"/>
        <v>-0.00435729847494548</v>
      </c>
      <c r="W57" s="8">
        <f t="shared" si="118"/>
        <v>0.00288012712285246</v>
      </c>
      <c r="X57" s="8">
        <f t="shared" si="119"/>
        <v>0.000994134605825536</v>
      </c>
      <c r="Y57" s="8">
        <f t="shared" si="90"/>
        <v>0.00329144225014977</v>
      </c>
      <c r="Z57" s="8">
        <f t="shared" si="91"/>
        <v>0.00320192115269169</v>
      </c>
      <c r="AA57" s="8">
        <f t="shared" si="92"/>
        <v>-0.000200080032012884</v>
      </c>
      <c r="AB57" s="8">
        <f t="shared" si="93"/>
        <v>0.00170357751277694</v>
      </c>
      <c r="AC57" s="8">
        <f t="shared" si="94"/>
        <v>0.000100220485067082</v>
      </c>
      <c r="AD57" s="8"/>
      <c r="AE57" s="8"/>
      <c r="AF57" s="8"/>
      <c r="AG57" s="8"/>
      <c r="AH57" s="8"/>
      <c r="AI57" s="8"/>
      <c r="AJ57" s="8"/>
      <c r="AK57" s="8"/>
      <c r="AL57" s="8"/>
      <c r="AM57" s="8"/>
      <c r="AN57" s="8"/>
      <c r="AO57" s="8"/>
      <c r="AP57" s="8"/>
      <c r="AQ57" s="8"/>
      <c r="AR57" s="8"/>
      <c r="AS57" s="8"/>
      <c r="AT57" s="8"/>
      <c r="AU57" s="8"/>
      <c r="AV57" s="8"/>
      <c r="AW57" s="8"/>
      <c r="AX57" s="8"/>
    </row>
    <row r="58" spans="2:50">
      <c r="B58" s="35" t="s">
        <v>94</v>
      </c>
      <c r="C58" s="5" t="s">
        <v>60</v>
      </c>
      <c r="D58" s="154">
        <f t="shared" si="53"/>
        <v>3.4309</v>
      </c>
      <c r="E58" s="161">
        <f t="shared" si="103"/>
        <v>3000000</v>
      </c>
      <c r="F58" s="161">
        <f t="shared" ref="F58:F67" si="120">D58*$F$1*0.01</f>
        <v>3048072.04162065</v>
      </c>
      <c r="G58" s="162">
        <f t="shared" si="36"/>
        <v>48072.0416206499</v>
      </c>
      <c r="H58" s="22">
        <f t="shared" si="104"/>
        <v>0.01602401387355</v>
      </c>
      <c r="I58" s="8">
        <f>J25/Z25-1</f>
        <v>0.0160219311605241</v>
      </c>
      <c r="J58" s="8">
        <f t="shared" si="105"/>
        <v>-0.00548598688133561</v>
      </c>
      <c r="K58" s="8">
        <f t="shared" si="106"/>
        <v>0.00750976269149906</v>
      </c>
      <c r="L58" s="8">
        <f t="shared" si="107"/>
        <v>-0.000120141767285475</v>
      </c>
      <c r="M58" s="8">
        <f t="shared" si="108"/>
        <v>0.00373831775700939</v>
      </c>
      <c r="N58" s="8">
        <f t="shared" si="109"/>
        <v>-0.00156522786105595</v>
      </c>
      <c r="O58" s="8">
        <f t="shared" si="110"/>
        <v>0.00108479479298507</v>
      </c>
      <c r="P58" s="8">
        <f t="shared" si="111"/>
        <v>0.00290117860380779</v>
      </c>
      <c r="Q58" s="8">
        <f t="shared" si="112"/>
        <v>0.00510297065791887</v>
      </c>
      <c r="R58" s="8">
        <f t="shared" si="113"/>
        <v>-0.00519731673415125</v>
      </c>
      <c r="S58" s="8">
        <f t="shared" si="114"/>
        <v>0.00644729639316344</v>
      </c>
      <c r="T58" s="8">
        <f t="shared" si="115"/>
        <v>-0.0110676691729323</v>
      </c>
      <c r="U58" s="8">
        <f t="shared" si="116"/>
        <v>0.00030084235860417</v>
      </c>
      <c r="V58" s="8">
        <f t="shared" si="117"/>
        <v>0.00362318840579712</v>
      </c>
      <c r="W58" s="8">
        <f t="shared" si="118"/>
        <v>0.00589200024296899</v>
      </c>
      <c r="X58" s="8">
        <f t="shared" si="119"/>
        <v>0.00545079777082225</v>
      </c>
      <c r="Y58" s="8">
        <f t="shared" si="90"/>
        <v>-0.002512945476698</v>
      </c>
      <c r="Z58" s="8"/>
      <c r="AA58" s="8"/>
      <c r="AB58" s="8"/>
      <c r="AC58" s="8"/>
      <c r="AD58" s="8"/>
      <c r="AE58" s="8"/>
      <c r="AF58" s="8"/>
      <c r="AG58" s="8"/>
      <c r="AH58" s="8"/>
      <c r="AI58" s="8"/>
      <c r="AJ58" s="8"/>
      <c r="AK58" s="8"/>
      <c r="AL58" s="8"/>
      <c r="AM58" s="8"/>
      <c r="AN58" s="8"/>
      <c r="AO58" s="8"/>
      <c r="AP58" s="8"/>
      <c r="AQ58" s="8"/>
      <c r="AR58" s="8"/>
      <c r="AS58" s="8"/>
      <c r="AT58" s="8"/>
      <c r="AU58" s="8"/>
      <c r="AV58" s="8"/>
      <c r="AW58" s="8"/>
      <c r="AX58" s="8"/>
    </row>
    <row r="59" spans="2:50">
      <c r="B59" s="35" t="s">
        <v>94</v>
      </c>
      <c r="C59" s="5" t="s">
        <v>61</v>
      </c>
      <c r="D59" s="154">
        <f t="shared" si="53"/>
        <v>1.683</v>
      </c>
      <c r="E59" s="161">
        <f t="shared" si="103"/>
        <v>1500000</v>
      </c>
      <c r="F59" s="161">
        <f t="shared" si="120"/>
        <v>1495206.8687655</v>
      </c>
      <c r="G59" s="162">
        <f t="shared" si="36"/>
        <v>-4793.13123450009</v>
      </c>
      <c r="H59" s="22">
        <f t="shared" si="104"/>
        <v>-0.00319542082300006</v>
      </c>
      <c r="I59" s="8">
        <f>J26/Y26-1</f>
        <v>-0.00318534740195087</v>
      </c>
      <c r="J59" s="8">
        <f t="shared" si="105"/>
        <v>-0.00684320142814632</v>
      </c>
      <c r="K59" s="8">
        <f t="shared" si="106"/>
        <v>0.00648832102216002</v>
      </c>
      <c r="L59" s="8">
        <f t="shared" si="107"/>
        <v>0.00200040008001601</v>
      </c>
      <c r="M59" s="8">
        <f t="shared" si="108"/>
        <v>-0.00239473159050085</v>
      </c>
      <c r="N59" s="8">
        <f t="shared" si="109"/>
        <v>0.0010987913295375</v>
      </c>
      <c r="O59" s="8">
        <f t="shared" si="110"/>
        <v>-0.000798482882523155</v>
      </c>
      <c r="P59" s="8">
        <f t="shared" si="111"/>
        <v>-0.00219101683099288</v>
      </c>
      <c r="Q59" s="8">
        <f t="shared" si="112"/>
        <v>-0.00426418088060287</v>
      </c>
      <c r="R59" s="8">
        <f t="shared" si="113"/>
        <v>0.000496080960412648</v>
      </c>
      <c r="S59" s="8">
        <f t="shared" si="114"/>
        <v>0.00498554192840772</v>
      </c>
      <c r="T59" s="8">
        <f t="shared" si="115"/>
        <v>-0.00545418484728288</v>
      </c>
      <c r="U59" s="8">
        <f t="shared" si="116"/>
        <v>0.00168868580510573</v>
      </c>
      <c r="V59" s="8">
        <f t="shared" si="117"/>
        <v>0.00408936764412537</v>
      </c>
      <c r="W59" s="8">
        <f t="shared" si="118"/>
        <v>-0.00179211469534057</v>
      </c>
      <c r="X59" s="8">
        <f t="shared" si="119"/>
        <v>-0.000199084212621936</v>
      </c>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row>
    <row r="60" spans="2:50">
      <c r="B60" s="35" t="s">
        <v>94</v>
      </c>
      <c r="C60" s="5" t="s">
        <v>62</v>
      </c>
      <c r="D60" s="154">
        <f t="shared" si="53"/>
        <v>1.684</v>
      </c>
      <c r="E60" s="161">
        <f t="shared" si="103"/>
        <v>1500000</v>
      </c>
      <c r="F60" s="161">
        <f t="shared" si="120"/>
        <v>1496095.286394</v>
      </c>
      <c r="G60" s="162">
        <f t="shared" si="36"/>
        <v>-3904.71360600018</v>
      </c>
      <c r="H60" s="22">
        <f t="shared" si="104"/>
        <v>-0.00260314240400012</v>
      </c>
      <c r="I60" s="8">
        <f>J27/Y27-1</f>
        <v>-0.00260364510314448</v>
      </c>
      <c r="J60" s="8">
        <f t="shared" si="105"/>
        <v>-0.00598802395209586</v>
      </c>
      <c r="K60" s="8">
        <f t="shared" si="106"/>
        <v>0.00602409638554224</v>
      </c>
      <c r="L60" s="8">
        <f t="shared" si="107"/>
        <v>-0.00170391901373157</v>
      </c>
      <c r="M60" s="8">
        <f t="shared" si="108"/>
        <v>0.00120421475163068</v>
      </c>
      <c r="N60" s="8">
        <f t="shared" si="109"/>
        <v>0.000602470127522903</v>
      </c>
      <c r="O60" s="8">
        <f t="shared" si="110"/>
        <v>-0.00240408694781125</v>
      </c>
      <c r="P60" s="8">
        <f t="shared" si="111"/>
        <v>-0.00060066072679954</v>
      </c>
      <c r="Q60" s="8">
        <f t="shared" si="112"/>
        <v>-0.00229724330803049</v>
      </c>
      <c r="R60" s="8">
        <f t="shared" si="113"/>
        <v>0.000199800199800482</v>
      </c>
      <c r="S60" s="8">
        <f t="shared" si="114"/>
        <v>0.00633356790992234</v>
      </c>
      <c r="T60" s="8">
        <f t="shared" si="115"/>
        <v>-0.00768156424581001</v>
      </c>
      <c r="U60" s="8">
        <f t="shared" si="116"/>
        <v>0.00179892064761145</v>
      </c>
      <c r="V60" s="8">
        <f t="shared" si="117"/>
        <v>0.00482024502912215</v>
      </c>
      <c r="W60" s="8">
        <f t="shared" si="118"/>
        <v>-0.00250425723730341</v>
      </c>
      <c r="X60" s="8">
        <f t="shared" si="119"/>
        <v>-0.000300420588824402</v>
      </c>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row>
    <row r="61" spans="2:50">
      <c r="B61" s="35" t="s">
        <v>94</v>
      </c>
      <c r="C61" s="5" t="s">
        <v>63</v>
      </c>
      <c r="D61" s="154">
        <f t="shared" si="53"/>
        <v>5.5788</v>
      </c>
      <c r="E61" s="161">
        <f t="shared" si="103"/>
        <v>5000000</v>
      </c>
      <c r="F61" s="161">
        <f t="shared" si="120"/>
        <v>4956304.2658758</v>
      </c>
      <c r="G61" s="162">
        <f t="shared" si="36"/>
        <v>-43695.7341242004</v>
      </c>
      <c r="H61" s="22">
        <f t="shared" si="104"/>
        <v>-0.00873914682484008</v>
      </c>
      <c r="I61" s="8">
        <f>J28/Y28-1</f>
        <v>-0.00874264822762671</v>
      </c>
      <c r="J61" s="8">
        <f t="shared" si="105"/>
        <v>-0.00391342544525186</v>
      </c>
      <c r="K61" s="8">
        <f t="shared" si="106"/>
        <v>0.00433143498836941</v>
      </c>
      <c r="L61" s="8">
        <f t="shared" si="107"/>
        <v>-0.00605915650163447</v>
      </c>
      <c r="M61" s="8">
        <f t="shared" si="108"/>
        <v>-0.00325810553083283</v>
      </c>
      <c r="N61" s="8">
        <f t="shared" si="109"/>
        <v>0.00479080166081114</v>
      </c>
      <c r="O61" s="8">
        <f t="shared" si="110"/>
        <v>0.00675241157556261</v>
      </c>
      <c r="P61" s="8">
        <f t="shared" si="111"/>
        <v>0.000804505229283992</v>
      </c>
      <c r="Q61" s="8">
        <f t="shared" si="112"/>
        <v>-0.0113735783027121</v>
      </c>
      <c r="R61" s="8">
        <f t="shared" si="113"/>
        <v>-0.012410651166444</v>
      </c>
      <c r="S61" s="8">
        <f t="shared" si="114"/>
        <v>0.00481452249408054</v>
      </c>
      <c r="T61" s="8">
        <f t="shared" si="115"/>
        <v>0.000789889415481637</v>
      </c>
      <c r="U61" s="8">
        <f t="shared" si="116"/>
        <v>0.00213725955829958</v>
      </c>
      <c r="V61" s="8">
        <f t="shared" si="117"/>
        <v>0.0046922220454908</v>
      </c>
      <c r="W61" s="8">
        <f t="shared" si="118"/>
        <v>-0.00111217032094046</v>
      </c>
      <c r="X61" s="8">
        <f t="shared" si="119"/>
        <v>0.0004768717215069</v>
      </c>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row>
    <row r="62" spans="2:50">
      <c r="B62" s="35" t="s">
        <v>90</v>
      </c>
      <c r="C62" s="158" t="s">
        <v>64</v>
      </c>
      <c r="D62" s="154"/>
      <c r="E62" s="161">
        <f t="shared" si="103"/>
        <v>0</v>
      </c>
      <c r="F62" s="161">
        <f t="shared" si="120"/>
        <v>0</v>
      </c>
      <c r="G62" s="162">
        <f t="shared" si="36"/>
        <v>0</v>
      </c>
      <c r="H62" s="22"/>
      <c r="I62" s="8">
        <f>N29/Y29-1</f>
        <v>-0.0823176448528032</v>
      </c>
      <c r="J62" s="8"/>
      <c r="K62" s="8"/>
      <c r="L62" s="8"/>
      <c r="M62" s="8"/>
      <c r="N62" s="8">
        <f t="shared" si="109"/>
        <v>0.00959257349149034</v>
      </c>
      <c r="O62" s="8">
        <f t="shared" si="110"/>
        <v>-0.0166345471143118</v>
      </c>
      <c r="P62" s="8">
        <f t="shared" si="111"/>
        <v>-0.00894652191395262</v>
      </c>
      <c r="Q62" s="8">
        <f t="shared" si="112"/>
        <v>-0.00569715142428784</v>
      </c>
      <c r="R62" s="8">
        <f t="shared" si="113"/>
        <v>-0.0413912043690717</v>
      </c>
      <c r="S62" s="8">
        <f t="shared" si="114"/>
        <v>-0.00656767561393479</v>
      </c>
      <c r="T62" s="8">
        <f t="shared" si="115"/>
        <v>-0.037912087912088</v>
      </c>
      <c r="U62" s="8">
        <f t="shared" si="116"/>
        <v>0.0117668859445939</v>
      </c>
      <c r="V62" s="8">
        <f t="shared" si="117"/>
        <v>0.0080321285140561</v>
      </c>
      <c r="W62" s="8">
        <f t="shared" si="118"/>
        <v>0.00971331572991319</v>
      </c>
      <c r="X62" s="8">
        <f t="shared" si="119"/>
        <v>-0.00581286330395647</v>
      </c>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row>
    <row r="63" spans="2:50">
      <c r="B63" s="35" t="s">
        <v>90</v>
      </c>
      <c r="C63" s="5" t="s">
        <v>65</v>
      </c>
      <c r="D63" s="154">
        <f t="shared" si="53"/>
        <v>4.8569</v>
      </c>
      <c r="E63" s="161">
        <f t="shared" si="103"/>
        <v>4500000</v>
      </c>
      <c r="F63" s="161">
        <f t="shared" si="120"/>
        <v>4314955.57986165</v>
      </c>
      <c r="G63" s="162">
        <f t="shared" si="36"/>
        <v>-185044.42013835</v>
      </c>
      <c r="H63" s="22">
        <f>G63/E63</f>
        <v>-0.0411209822529666</v>
      </c>
      <c r="I63" s="8">
        <f>J30/Y30-1</f>
        <v>-0.0363654679157852</v>
      </c>
      <c r="J63" s="8">
        <f>J30/K30-1</f>
        <v>-0.00406038521603336</v>
      </c>
      <c r="K63" s="8">
        <f>K30/L30-1</f>
        <v>0.00439192721949166</v>
      </c>
      <c r="L63" s="8">
        <f>L30/M30-1</f>
        <v>-0.00187871829662867</v>
      </c>
      <c r="M63" s="8">
        <f>M30/N30-1</f>
        <v>0.000417667327973215</v>
      </c>
      <c r="N63" s="8">
        <f t="shared" si="109"/>
        <v>-0.00322647793505415</v>
      </c>
      <c r="O63" s="8">
        <f t="shared" si="110"/>
        <v>-0.00630882200848071</v>
      </c>
      <c r="P63" s="8">
        <f t="shared" si="111"/>
        <v>0.00176129299627026</v>
      </c>
      <c r="Q63" s="8">
        <f t="shared" si="112"/>
        <v>0.00280519480519481</v>
      </c>
      <c r="R63" s="8">
        <f t="shared" si="113"/>
        <v>-0.0046535677352636</v>
      </c>
      <c r="S63" s="8">
        <f t="shared" si="114"/>
        <v>-0.00257864878803515</v>
      </c>
      <c r="T63" s="8">
        <f t="shared" si="115"/>
        <v>-0.0281204695953478</v>
      </c>
      <c r="U63" s="8">
        <f t="shared" si="116"/>
        <v>-0.00245258965007178</v>
      </c>
      <c r="V63" s="8">
        <f t="shared" si="117"/>
        <v>0.00138613286335154</v>
      </c>
      <c r="W63" s="8">
        <f t="shared" si="118"/>
        <v>0.00424376508447311</v>
      </c>
      <c r="X63" s="8">
        <f t="shared" si="119"/>
        <v>0.00171250125919209</v>
      </c>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row>
    <row r="64" spans="2:50">
      <c r="B64" s="35" t="s">
        <v>95</v>
      </c>
      <c r="C64" s="5" t="s">
        <v>66</v>
      </c>
      <c r="D64" s="154">
        <f t="shared" si="53"/>
        <v>5.3681</v>
      </c>
      <c r="E64" s="161">
        <f t="shared" si="103"/>
        <v>4800000</v>
      </c>
      <c r="F64" s="161">
        <f t="shared" si="120"/>
        <v>4769114.67155085</v>
      </c>
      <c r="G64" s="162">
        <f t="shared" si="36"/>
        <v>-30885.3284491505</v>
      </c>
      <c r="H64" s="22">
        <f>G64/E64</f>
        <v>-0.00643444342690636</v>
      </c>
      <c r="I64" s="8">
        <f>J31/S31-1</f>
        <v>-0.00644159429458779</v>
      </c>
      <c r="J64" s="8">
        <f>J31/K31-1</f>
        <v>-0.00752614041135236</v>
      </c>
      <c r="K64" s="8">
        <f>K31/L31-1</f>
        <v>-0.00429037240432473</v>
      </c>
      <c r="L64" s="8">
        <f>L31/M31-1</f>
        <v>0.011690491347879</v>
      </c>
      <c r="M64" s="8">
        <f>M31/N31-1</f>
        <v>0.020554013348296</v>
      </c>
      <c r="N64" s="8">
        <f t="shared" si="109"/>
        <v>-0.0171823300632726</v>
      </c>
      <c r="O64" s="8">
        <f t="shared" si="110"/>
        <v>-0.0222487087802941</v>
      </c>
      <c r="P64" s="8">
        <f t="shared" si="111"/>
        <v>0.00674247185875099</v>
      </c>
      <c r="Q64" s="8">
        <f t="shared" si="112"/>
        <v>0.00516914594222029</v>
      </c>
      <c r="R64" s="8">
        <f t="shared" si="113"/>
        <v>0.00138034163455458</v>
      </c>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row>
    <row r="65" spans="2:50">
      <c r="B65" s="35" t="s">
        <v>96</v>
      </c>
      <c r="C65" s="5" t="s">
        <v>67</v>
      </c>
      <c r="D65" s="154">
        <f t="shared" si="53"/>
        <v>3.3999</v>
      </c>
      <c r="E65" s="161">
        <f t="shared" si="103"/>
        <v>3000000</v>
      </c>
      <c r="F65" s="161">
        <f t="shared" si="120"/>
        <v>3020531.09513715</v>
      </c>
      <c r="G65" s="162">
        <f t="shared" si="36"/>
        <v>20531.0951371496</v>
      </c>
      <c r="H65" s="22">
        <f>G65/E65</f>
        <v>0.00684369837904985</v>
      </c>
      <c r="I65" s="8">
        <f>J32/M32-1</f>
        <v>0.00588189768593761</v>
      </c>
      <c r="J65" s="8">
        <f>J32/K32-1</f>
        <v>0.00378436824219963</v>
      </c>
      <c r="K65" s="8">
        <f>K32/L32-1</f>
        <v>0.0197684492399779</v>
      </c>
      <c r="L65" s="8">
        <f>L32/M32-1</f>
        <v>-0.017336119495395</v>
      </c>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row>
    <row r="66" spans="2:50">
      <c r="B66" s="35" t="s">
        <v>96</v>
      </c>
      <c r="C66" s="5" t="s">
        <v>68</v>
      </c>
      <c r="D66" s="154">
        <f t="shared" si="53"/>
        <v>3.3852</v>
      </c>
      <c r="E66" s="161">
        <f t="shared" si="103"/>
        <v>3000000</v>
      </c>
      <c r="F66" s="161">
        <f t="shared" si="120"/>
        <v>3007471.3559982</v>
      </c>
      <c r="G66" s="162">
        <f t="shared" si="36"/>
        <v>7471.35599820036</v>
      </c>
      <c r="H66" s="22">
        <f>G66/E66</f>
        <v>0.00249045199940012</v>
      </c>
      <c r="I66" s="8">
        <f>J33/L33-1</f>
        <v>0.00249973961045735</v>
      </c>
      <c r="J66" s="8">
        <f>J33/K33-1</f>
        <v>0.00364963503649651</v>
      </c>
      <c r="K66" s="8">
        <f>K33/L33-1</f>
        <v>-0.00114571398812624</v>
      </c>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row>
    <row r="67" spans="2:50">
      <c r="B67" s="35" t="s">
        <v>96</v>
      </c>
      <c r="C67" s="5" t="s">
        <v>69</v>
      </c>
      <c r="D67" s="154">
        <f t="shared" si="53"/>
        <v>3.3811</v>
      </c>
      <c r="E67" s="161">
        <f t="shared" si="103"/>
        <v>3000000</v>
      </c>
      <c r="F67" s="161">
        <f t="shared" si="120"/>
        <v>3003828.84372135</v>
      </c>
      <c r="G67" s="162">
        <f t="shared" si="36"/>
        <v>3828.84372134972</v>
      </c>
      <c r="H67" s="22">
        <f>G67/E67</f>
        <v>0.00127628124044991</v>
      </c>
      <c r="I67" s="8">
        <f>J34/L34-1</f>
        <v>0.00128287363694657</v>
      </c>
      <c r="J67" s="8">
        <f>J34/K34-1</f>
        <v>-0.00199792216095274</v>
      </c>
      <c r="K67" s="8">
        <f>K34/L34-1</f>
        <v>0.00328736369467597</v>
      </c>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row>
    <row r="68" ht="21" customHeight="1" spans="2:80">
      <c r="B68" s="151" t="s">
        <v>102</v>
      </c>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c r="AE68" s="151"/>
      <c r="AF68" s="151"/>
      <c r="AG68" s="151"/>
      <c r="AH68" s="151"/>
      <c r="AI68" s="151"/>
      <c r="AJ68" s="151"/>
      <c r="AK68" s="151"/>
      <c r="AL68" s="151"/>
      <c r="AM68" s="151"/>
      <c r="AN68" s="151"/>
      <c r="AO68" s="151"/>
      <c r="AP68" s="151"/>
      <c r="AQ68" s="151"/>
      <c r="AR68" s="151"/>
      <c r="AS68" s="151"/>
      <c r="AT68" s="151"/>
      <c r="AU68" s="151"/>
      <c r="AV68" s="151"/>
      <c r="AW68" s="151"/>
      <c r="AX68" s="151"/>
      <c r="AY68" s="151"/>
      <c r="AZ68" s="151"/>
      <c r="BA68" s="151"/>
      <c r="BB68" s="151"/>
      <c r="BC68" s="151"/>
      <c r="BD68" s="151"/>
      <c r="BE68" s="151"/>
      <c r="BF68" s="151"/>
      <c r="BG68" s="151"/>
      <c r="BH68" s="151"/>
      <c r="BI68" s="151"/>
      <c r="BJ68" s="151"/>
      <c r="BK68" s="151"/>
      <c r="BL68" s="151"/>
      <c r="BM68" s="151"/>
      <c r="BN68" s="151"/>
      <c r="BO68" s="151"/>
      <c r="BP68" s="151"/>
      <c r="BQ68" s="151"/>
      <c r="BR68" s="151"/>
      <c r="BS68" s="151"/>
      <c r="BT68" s="151"/>
      <c r="BU68" s="151"/>
      <c r="BV68" s="151"/>
      <c r="BW68" s="151"/>
      <c r="BX68" s="151"/>
      <c r="BY68" s="151"/>
      <c r="BZ68" s="151"/>
      <c r="CA68" s="151"/>
      <c r="CB68" s="151" t="s">
        <v>17</v>
      </c>
    </row>
    <row r="69" s="148" customFormat="1" spans="3:80">
      <c r="C69" s="153" t="s">
        <v>83</v>
      </c>
      <c r="D69" s="153" t="s">
        <v>98</v>
      </c>
      <c r="E69" s="153" t="s">
        <v>86</v>
      </c>
      <c r="F69" s="153" t="s">
        <v>87</v>
      </c>
      <c r="G69" s="153" t="s">
        <v>99</v>
      </c>
      <c r="H69" s="153" t="s">
        <v>100</v>
      </c>
      <c r="I69" s="163" t="s">
        <v>101</v>
      </c>
      <c r="J69" s="163">
        <v>45961</v>
      </c>
      <c r="K69" s="163">
        <v>45954</v>
      </c>
      <c r="L69" s="163">
        <v>45947</v>
      </c>
      <c r="M69" s="163">
        <v>45940</v>
      </c>
      <c r="N69" s="163">
        <v>45926</v>
      </c>
      <c r="O69" s="163">
        <v>45919</v>
      </c>
      <c r="P69" s="163">
        <v>45912</v>
      </c>
      <c r="Q69" s="163">
        <v>45905</v>
      </c>
      <c r="R69" s="163">
        <v>45898</v>
      </c>
      <c r="S69" s="163">
        <v>45891</v>
      </c>
      <c r="T69" s="163">
        <v>45884</v>
      </c>
      <c r="U69" s="163">
        <v>45877</v>
      </c>
      <c r="V69" s="163">
        <v>45870</v>
      </c>
      <c r="W69" s="163">
        <v>45863</v>
      </c>
      <c r="X69" s="163">
        <v>45856</v>
      </c>
      <c r="Y69" s="163">
        <v>45849</v>
      </c>
      <c r="Z69" s="163">
        <v>45842</v>
      </c>
      <c r="AA69" s="163">
        <v>45835</v>
      </c>
      <c r="AB69" s="163">
        <v>45828</v>
      </c>
      <c r="AC69" s="163">
        <v>45821</v>
      </c>
      <c r="AD69" s="163">
        <v>45814</v>
      </c>
      <c r="AE69" s="163">
        <v>45807</v>
      </c>
      <c r="AF69" s="163">
        <v>45800</v>
      </c>
      <c r="AG69" s="163">
        <v>45793</v>
      </c>
      <c r="AH69" s="163">
        <v>45786</v>
      </c>
      <c r="AI69" s="163">
        <v>45772</v>
      </c>
      <c r="AJ69" s="163">
        <v>45765</v>
      </c>
      <c r="AK69" s="163">
        <v>45758</v>
      </c>
      <c r="AL69" s="163">
        <v>45750</v>
      </c>
      <c r="AM69" s="163">
        <v>45744</v>
      </c>
      <c r="AN69" s="163">
        <v>45737</v>
      </c>
      <c r="AO69" s="163">
        <v>45730</v>
      </c>
      <c r="AP69" s="163">
        <v>45723</v>
      </c>
      <c r="AQ69" s="163">
        <v>45716</v>
      </c>
      <c r="AR69" s="163">
        <v>45709</v>
      </c>
      <c r="AS69" s="163">
        <v>45702</v>
      </c>
      <c r="AT69" s="163">
        <v>45695</v>
      </c>
      <c r="AU69" s="163">
        <v>45684</v>
      </c>
      <c r="AV69" s="163">
        <v>45681</v>
      </c>
      <c r="AW69" s="163">
        <v>45674</v>
      </c>
      <c r="AX69" s="163">
        <v>45667</v>
      </c>
      <c r="AY69" s="163">
        <v>45660</v>
      </c>
      <c r="AZ69" s="163">
        <v>45653</v>
      </c>
      <c r="BA69" s="163">
        <v>45646</v>
      </c>
      <c r="BB69" s="163">
        <v>45639</v>
      </c>
      <c r="BC69" s="163">
        <v>45632</v>
      </c>
      <c r="BD69" s="163">
        <v>45625</v>
      </c>
      <c r="BE69" s="163">
        <v>45618</v>
      </c>
      <c r="BF69" s="163">
        <v>45611</v>
      </c>
      <c r="BG69" s="163">
        <v>45604</v>
      </c>
      <c r="BH69" s="163">
        <v>45597</v>
      </c>
      <c r="BI69" s="163">
        <v>45590</v>
      </c>
      <c r="BJ69" s="163">
        <v>45583</v>
      </c>
      <c r="BK69" s="163">
        <v>45576</v>
      </c>
      <c r="BL69" s="170">
        <f t="shared" ref="BL69:BM69" si="121">BL3</f>
        <v>45565</v>
      </c>
      <c r="BM69" s="170">
        <f t="shared" si="121"/>
        <v>45562</v>
      </c>
      <c r="BN69" s="170">
        <f t="shared" ref="BN69:BS69" si="122">BN3</f>
        <v>45555</v>
      </c>
      <c r="BO69" s="170">
        <f t="shared" si="122"/>
        <v>45548</v>
      </c>
      <c r="BP69" s="170">
        <f t="shared" si="122"/>
        <v>45541</v>
      </c>
      <c r="BQ69" s="170">
        <f t="shared" si="122"/>
        <v>45534</v>
      </c>
      <c r="BR69" s="170">
        <f t="shared" si="122"/>
        <v>45527</v>
      </c>
      <c r="BS69" s="170">
        <f t="shared" si="122"/>
        <v>45520</v>
      </c>
      <c r="BT69" s="170">
        <f t="shared" ref="BT69:CB69" si="123">BT3</f>
        <v>45513</v>
      </c>
      <c r="BU69" s="170">
        <f t="shared" si="123"/>
        <v>45506</v>
      </c>
      <c r="BV69" s="170">
        <f t="shared" si="123"/>
        <v>45499</v>
      </c>
      <c r="BW69" s="170">
        <f t="shared" si="123"/>
        <v>45492</v>
      </c>
      <c r="BX69" s="170">
        <f t="shared" si="123"/>
        <v>45485</v>
      </c>
      <c r="BY69" s="170">
        <f t="shared" si="123"/>
        <v>45478</v>
      </c>
      <c r="BZ69" s="163">
        <f t="shared" si="123"/>
        <v>45471</v>
      </c>
      <c r="CA69" s="163">
        <f t="shared" si="123"/>
        <v>45464</v>
      </c>
      <c r="CB69" s="163">
        <f t="shared" si="123"/>
        <v>45460</v>
      </c>
    </row>
    <row r="70" spans="3:80">
      <c r="C70" s="35" t="s">
        <v>88</v>
      </c>
      <c r="D70" s="164">
        <f>SUMIF($B$37:$B$67,C70,$D$37:$D$67)</f>
        <v>23.6915</v>
      </c>
      <c r="E70" s="161">
        <f t="shared" ref="E70:E73" si="124">SUMIF($B$37:$B$67,C70,$E$37:$E$67)</f>
        <v>18600000</v>
      </c>
      <c r="F70" s="161">
        <f t="shared" ref="F70:F78" si="125">D70*$F$1*0.01</f>
        <v>21047946.2456078</v>
      </c>
      <c r="G70" s="162">
        <f t="shared" ref="G70:G78" si="126">F70-E70</f>
        <v>2447946.24560775</v>
      </c>
      <c r="H70" s="22">
        <f>G70/E70</f>
        <v>0.131610013204718</v>
      </c>
      <c r="I70" s="8">
        <f>SUMPRODUCT(($B$37:$B$67=C70)*$D$37:$D$67*$I$37:$I$67)*0.01</f>
        <v>0.0349662993008705</v>
      </c>
      <c r="J70" s="8">
        <f>SUMPRODUCT(($B$37:$B$67=$C$70)*$D$37:$D$67*J37:J67)*0.01</f>
        <v>0.000636513901206952</v>
      </c>
      <c r="K70" s="8">
        <v>0.000258280956372655</v>
      </c>
      <c r="L70" s="8">
        <f t="array" ref="L70">SUMPRODUCT(($B$37:$B$65=$C$70)*$D$37:$D$65*L37:L65)*0.01</f>
        <v>2.96777685858073e-5</v>
      </c>
      <c r="M70" s="8">
        <v>-0.000182924424068425</v>
      </c>
      <c r="N70" s="8">
        <v>0.00192443420866028</v>
      </c>
      <c r="O70" s="8">
        <v>-0.000699903327016069</v>
      </c>
      <c r="P70" s="8">
        <v>0.0010810926555454</v>
      </c>
      <c r="Q70" s="8">
        <v>0.000878822987959039</v>
      </c>
      <c r="R70" s="8">
        <v>-0.000141852545513122</v>
      </c>
      <c r="S70" s="8">
        <v>0.00145480164061973</v>
      </c>
      <c r="T70" s="8">
        <v>0.00131932741604451</v>
      </c>
      <c r="U70" s="8">
        <v>0.000535745674384208</v>
      </c>
      <c r="V70" s="8">
        <v>0.00142402783054291</v>
      </c>
      <c r="W70" s="8">
        <v>-0.00102078862927792</v>
      </c>
      <c r="X70" s="8">
        <v>0.000183572725896129</v>
      </c>
      <c r="Y70" s="8">
        <f>SUMPRODUCT(($B$37:$B$57=$C$70)*$D$37:$D$57*Y37:Y57)*0.01</f>
        <v>-8.02279039164761e-5</v>
      </c>
      <c r="Z70" s="8">
        <v>-0.0007467375345702</v>
      </c>
      <c r="AA70" s="8">
        <v>0.000935176775826876</v>
      </c>
      <c r="AB70" s="8">
        <v>-0.000630803210182363</v>
      </c>
      <c r="AC70" s="8">
        <v>-0.000596197678650438</v>
      </c>
      <c r="AD70" s="8">
        <v>-0.000559587161249435</v>
      </c>
      <c r="AE70" s="8">
        <v>1.25492678629522e-5</v>
      </c>
      <c r="AF70" s="8">
        <v>-0.000284937559202814</v>
      </c>
      <c r="AG70" s="8">
        <v>-0.000480520906221</v>
      </c>
      <c r="AH70" s="8">
        <v>0.0010033315598408</v>
      </c>
      <c r="AI70" s="8">
        <v>-0.000155677004516252</v>
      </c>
      <c r="AJ70" s="8">
        <f>SUMIF($B$37:$B$55,C70,AJ$37:AJ$55)</f>
        <v>-0.00485505322107194</v>
      </c>
      <c r="AK70" s="8">
        <f>SUMIF($B$37:$B$55,$C$70,AK$37:AK$55)</f>
        <v>0.083693578268798</v>
      </c>
      <c r="AL70" s="8">
        <f>SUMIF($B$37:$B$54,$C$70,AL$37:AL$54)</f>
        <v>0.00455862176417843</v>
      </c>
      <c r="AM70" s="8">
        <f>SUMIF($B$37:$B$54,$C$70,AM$37:AM$54)</f>
        <v>-0.0100199025822962</v>
      </c>
      <c r="AN70" s="8">
        <f>SUMIF($B$37:$B$52,$C$70,AN$37:AN$52)</f>
        <v>0.00496537211972992</v>
      </c>
      <c r="AO70" s="8">
        <f>SUMIF($B$37:$B$52,$C$70,AO$37:AO$52)</f>
        <v>0.00435781352885078</v>
      </c>
      <c r="AP70" s="8">
        <f t="shared" ref="AP70:AT70" si="127">SUMIF($B$37:$B$51,$C$70,AP$37:AP$51)</f>
        <v>-0.0061345994740365</v>
      </c>
      <c r="AQ70" s="8">
        <f t="shared" si="127"/>
        <v>0.00868349919520717</v>
      </c>
      <c r="AR70" s="8">
        <f t="shared" si="127"/>
        <v>0.0125665299975102</v>
      </c>
      <c r="AS70" s="8">
        <f t="shared" si="127"/>
        <v>0.0104398013952719</v>
      </c>
      <c r="AT70" s="8">
        <f t="shared" si="127"/>
        <v>0.0155855041854556</v>
      </c>
      <c r="AU70" s="8">
        <f t="shared" ref="AU70:AW70" si="128">SUMIF($B$37:$B$51,$C$70,AU$37:AU$51)</f>
        <v>0.00257285220791759</v>
      </c>
      <c r="AV70" s="8">
        <f t="shared" si="128"/>
        <v>0.0050988232856547</v>
      </c>
      <c r="AW70" s="8">
        <f t="shared" si="128"/>
        <v>0.00150581273653527</v>
      </c>
      <c r="AX70" s="8">
        <f t="shared" ref="AX70:BC70" si="129">SUMIF($B$37:$B$47,$C$70,AX$37:AX$47)</f>
        <v>0.0138454143607032</v>
      </c>
      <c r="AY70" s="8">
        <f t="shared" si="129"/>
        <v>0.0118821928562082</v>
      </c>
      <c r="AZ70" s="8">
        <f t="shared" si="129"/>
        <v>0.000601095180807532</v>
      </c>
      <c r="BA70" s="8">
        <f t="shared" si="129"/>
        <v>0.0201593791719881</v>
      </c>
      <c r="BB70" s="8">
        <f t="shared" si="129"/>
        <v>0.0150999403345791</v>
      </c>
      <c r="BC70" s="8">
        <f t="shared" si="129"/>
        <v>-0.00307765222272904</v>
      </c>
      <c r="BD70" s="8">
        <f t="shared" ref="BD70:BI70" si="130">SUMIF($B$37:$B$47,$C$70,BD$37:BD$47)</f>
        <v>0.00695056834688512</v>
      </c>
      <c r="BE70" s="8">
        <f t="shared" si="130"/>
        <v>0.002014511593326</v>
      </c>
      <c r="BF70" s="8">
        <f t="shared" si="130"/>
        <v>0.00871152417850329</v>
      </c>
      <c r="BG70" s="8">
        <f t="shared" si="130"/>
        <v>0.0243064172811789</v>
      </c>
      <c r="BH70" s="8">
        <f t="shared" si="130"/>
        <v>0.00768124288703476</v>
      </c>
      <c r="BI70" s="8">
        <f t="shared" si="130"/>
        <v>-0.000569042599936065</v>
      </c>
      <c r="BJ70" s="8">
        <f>SUMIF($B$37:$B$44,$C$70,BJ$37:BJ$44)</f>
        <v>0.0186174107715464</v>
      </c>
      <c r="BK70" s="8">
        <f t="shared" ref="BK70:BS70" si="131">SUMIF($B$37:$B$44,$C$70,BK$37:BK$44)</f>
        <v>0.0165577851984935</v>
      </c>
      <c r="BL70" s="8">
        <f t="shared" si="131"/>
        <v>0.0210644465480603</v>
      </c>
      <c r="BM70" s="8">
        <f t="shared" si="131"/>
        <v>0.0316836582105717</v>
      </c>
      <c r="BN70" s="8">
        <f t="shared" si="131"/>
        <v>-0.00470852765852292</v>
      </c>
      <c r="BO70" s="8">
        <f t="shared" si="131"/>
        <v>-0.00225768585721076</v>
      </c>
      <c r="BP70" s="8">
        <f t="shared" si="131"/>
        <v>-0.00153842269937032</v>
      </c>
      <c r="BQ70" s="8">
        <f t="shared" si="131"/>
        <v>0.00231921408701696</v>
      </c>
      <c r="BR70" s="8">
        <f t="shared" si="131"/>
        <v>0.000469614379880134</v>
      </c>
      <c r="BS70" s="8">
        <f t="shared" si="131"/>
        <v>0.000174279760329243</v>
      </c>
      <c r="BT70" s="8">
        <f t="shared" ref="BT70:BY70" si="132">SUMIF($B$37:$B$44,$C$70,BT$37:BT$44)</f>
        <v>0.0139862890968955</v>
      </c>
      <c r="BU70" s="8">
        <f t="shared" si="132"/>
        <v>0.000600389023616921</v>
      </c>
      <c r="BV70" s="8">
        <f t="shared" si="132"/>
        <v>0.00493623164141332</v>
      </c>
      <c r="BW70" s="8">
        <f t="shared" si="132"/>
        <v>0.00426084828859485</v>
      </c>
      <c r="BX70" s="8">
        <f t="shared" si="132"/>
        <v>0.00137606683208624</v>
      </c>
      <c r="BY70" s="8">
        <f t="shared" si="132"/>
        <v>0.00148268055023548</v>
      </c>
      <c r="BZ70" s="8">
        <f>SUMIF($B$37:$B$44,C70,$BZ$37:$BZ$44)</f>
        <v>0</v>
      </c>
      <c r="CA70" s="1">
        <f>SUMIF($BZ$37:$BZ$44,C70,$B$37:$B$44)/100</f>
        <v>0</v>
      </c>
      <c r="CB70" s="1">
        <f>SUMIF($BZ$37:$BZ$44,C70,$B$37:$B$44)/100</f>
        <v>0</v>
      </c>
    </row>
    <row r="71" spans="3:80">
      <c r="C71" s="35" t="s">
        <v>91</v>
      </c>
      <c r="D71" s="164">
        <f t="shared" ref="D70:D78" si="133">SUMIF($B$37:$B$67,C71,$D$37:$D$67)</f>
        <v>19.4383</v>
      </c>
      <c r="E71" s="161">
        <f t="shared" si="124"/>
        <v>16517520.68</v>
      </c>
      <c r="F71" s="161">
        <f t="shared" si="125"/>
        <v>17269328.3880715</v>
      </c>
      <c r="G71" s="162">
        <f t="shared" si="126"/>
        <v>751807.708071548</v>
      </c>
      <c r="H71" s="22">
        <f>G71/E71</f>
        <v>0.0455157721692375</v>
      </c>
      <c r="I71" s="8">
        <f t="array" ref="I71">SUMPRODUCT(($B$37:$B$67=C71)*$D$37:$D$67*$I$37:$I$67)*0.01</f>
        <v>0.018324471319969</v>
      </c>
      <c r="J71" s="8">
        <f t="array" ref="J71">SUMPRODUCT(($B$37:$B$67=$C$71)*$D$37:$D$67*J37:J67)*0.01</f>
        <v>0.000546250466317413</v>
      </c>
      <c r="K71" s="8">
        <v>-0.000211105909891057</v>
      </c>
      <c r="L71" s="8">
        <f t="array" ref="L71">SUMPRODUCT(($B$37:$B$65=$C$71)*$D$37:$D$65*L37:L65)*0.01</f>
        <v>-0.000882619927943586</v>
      </c>
      <c r="M71" s="8">
        <v>0.000452268423809196</v>
      </c>
      <c r="N71" s="8">
        <v>-0.000144367481768715</v>
      </c>
      <c r="O71" s="8">
        <v>1.32208462773699e-5</v>
      </c>
      <c r="P71" s="8">
        <v>0.0024416161817796</v>
      </c>
      <c r="Q71" s="8">
        <v>-0.000394836436100034</v>
      </c>
      <c r="R71" s="8">
        <v>0.000693804779958825</v>
      </c>
      <c r="S71" s="8">
        <v>0.00125428750078978</v>
      </c>
      <c r="T71" s="8">
        <v>0.00190917133431836</v>
      </c>
      <c r="U71" s="8">
        <v>0.000640006944780752</v>
      </c>
      <c r="V71" s="8">
        <v>-3.93472847333279e-6</v>
      </c>
      <c r="W71" s="8">
        <v>0.0042766823357555</v>
      </c>
      <c r="X71" s="8">
        <v>0.00127822567778156</v>
      </c>
      <c r="Y71" s="8">
        <f>SUMPRODUCT(($B$37:$B$57=$C$71)*$D$37:$D$57*Y37:Y57)*0.01</f>
        <v>-0.000596114172111369</v>
      </c>
      <c r="Z71" s="8">
        <v>0.000174914459168054</v>
      </c>
      <c r="AA71" s="8">
        <v>0.000346473782522927</v>
      </c>
      <c r="AB71" s="8">
        <v>1.28353903686128e-5</v>
      </c>
      <c r="AC71" s="8">
        <v>-0.000587094474770486</v>
      </c>
      <c r="AD71" s="8">
        <v>0.000426514356770032</v>
      </c>
      <c r="AE71" s="8">
        <v>0.00033804873427834</v>
      </c>
      <c r="AF71" s="8">
        <v>0.000664035283049988</v>
      </c>
      <c r="AG71" s="8">
        <v>-0.000406472068589</v>
      </c>
      <c r="AH71" s="8">
        <v>0.000785140886070431</v>
      </c>
      <c r="AI71" s="8">
        <v>0.000579842659918948</v>
      </c>
      <c r="AJ71" s="8">
        <f>SUMIF($B$37:$B$55,C71,AJ$37:AJ$55)</f>
        <v>-0.00393216829585374</v>
      </c>
      <c r="AK71" s="8">
        <f>SUMIF($B$37:$B$54,$C$71,AK$37:AK$54)</f>
        <v>0.0203804309025211</v>
      </c>
      <c r="AL71" s="8">
        <f>SUMIF($B$37:$B$54,$C$71,AL$37:AL$54)</f>
        <v>0.00503642237118151</v>
      </c>
      <c r="AM71" s="8">
        <f>SUMIF($B$37:$B$54,$C$71,AM$37:AM$54)</f>
        <v>-0.00585855747173836</v>
      </c>
      <c r="AN71" s="8">
        <f>SUMIF($B$37:$B$52,$C$71,AN$37:AN$52)</f>
        <v>0.00367989112438372</v>
      </c>
      <c r="AO71" s="8">
        <f>SUMIF($B$37:$B$52,$C$71,AO$37:AO$52)</f>
        <v>-0.01010266594836</v>
      </c>
      <c r="AP71" s="8">
        <f>SUMIF($B$37:$B$51,$C$71,AP$37:AP$51)</f>
        <v>0.0242470063112494</v>
      </c>
      <c r="AQ71" s="8">
        <f>SUMIF($B$37:$B$51,$C$71,AQ$37:AQ$51)</f>
        <v>0.0148946507320138</v>
      </c>
      <c r="AR71" s="8">
        <f>SUMIF($B$37:$B$51,$C$71,AR$37:AR$51)</f>
        <v>0.0301699522548151</v>
      </c>
      <c r="AS71" s="8">
        <f t="shared" ref="AS71:AW71" si="134">SUMIF($B$37:$B$51,$C$71,AS$37:AS$51)</f>
        <v>0.0536309748268058</v>
      </c>
      <c r="AT71" s="8">
        <f t="shared" si="134"/>
        <v>0.00559350519649482</v>
      </c>
      <c r="AU71" s="8">
        <f t="shared" si="134"/>
        <v>0.00310456461569575</v>
      </c>
      <c r="AV71" s="8">
        <f t="shared" si="134"/>
        <v>-0.00534330549906925</v>
      </c>
      <c r="AW71" s="8">
        <f t="shared" si="134"/>
        <v>-0.00100547884796676</v>
      </c>
      <c r="AX71" s="8">
        <f>SUMIF($B$37:$B$47,$C$71,AX$37:AX$47)</f>
        <v>0.0192594344830861</v>
      </c>
      <c r="AY71" s="8">
        <f>SUMIF($B$37:$B$47,$C$71,AY$37:AY$47)</f>
        <v>-0.00610896396957983</v>
      </c>
      <c r="AZ71" s="8">
        <f t="shared" ref="AZ71:BI71" si="135">SUMIF($B$37:$B$47,$C$71,AZ$37:AZ$47)</f>
        <v>-0.00797724321315929</v>
      </c>
      <c r="BA71" s="8">
        <f t="shared" si="135"/>
        <v>0.00653554089381303</v>
      </c>
      <c r="BB71" s="8">
        <f t="shared" si="135"/>
        <v>-0.00821038335699731</v>
      </c>
      <c r="BC71" s="8">
        <f t="shared" si="135"/>
        <v>0</v>
      </c>
      <c r="BD71" s="8">
        <f t="shared" si="135"/>
        <v>0</v>
      </c>
      <c r="BE71" s="8">
        <f t="shared" si="135"/>
        <v>0</v>
      </c>
      <c r="BF71" s="8">
        <f t="shared" si="135"/>
        <v>0</v>
      </c>
      <c r="BG71" s="8">
        <f t="shared" si="135"/>
        <v>0</v>
      </c>
      <c r="BH71" s="8">
        <f t="shared" si="135"/>
        <v>0</v>
      </c>
      <c r="BI71" s="8">
        <f t="shared" si="135"/>
        <v>0</v>
      </c>
      <c r="BJ71" s="8">
        <f t="shared" ref="BJ71:BY71" si="136">SUMIF($B$37:$B$44,$C$71,BJ$37:BJ$44)</f>
        <v>0</v>
      </c>
      <c r="BK71" s="8">
        <f t="shared" si="136"/>
        <v>0</v>
      </c>
      <c r="BL71" s="8">
        <f t="shared" si="136"/>
        <v>0</v>
      </c>
      <c r="BM71" s="8">
        <f t="shared" si="136"/>
        <v>0</v>
      </c>
      <c r="BN71" s="8">
        <f t="shared" si="136"/>
        <v>0</v>
      </c>
      <c r="BO71" s="8">
        <f t="shared" si="136"/>
        <v>0</v>
      </c>
      <c r="BP71" s="8">
        <f t="shared" si="136"/>
        <v>0</v>
      </c>
      <c r="BQ71" s="8">
        <f t="shared" si="136"/>
        <v>0</v>
      </c>
      <c r="BR71" s="8">
        <f t="shared" si="136"/>
        <v>0</v>
      </c>
      <c r="BS71" s="8">
        <f t="shared" si="136"/>
        <v>0</v>
      </c>
      <c r="BT71" s="8">
        <f t="shared" si="136"/>
        <v>0</v>
      </c>
      <c r="BU71" s="8">
        <f t="shared" si="136"/>
        <v>0</v>
      </c>
      <c r="BV71" s="8">
        <f t="shared" si="136"/>
        <v>0</v>
      </c>
      <c r="BW71" s="8">
        <f t="shared" si="136"/>
        <v>0</v>
      </c>
      <c r="BX71" s="8">
        <f t="shared" si="136"/>
        <v>0</v>
      </c>
      <c r="BY71" s="8">
        <f t="shared" si="136"/>
        <v>0</v>
      </c>
      <c r="BZ71" s="1">
        <f>SUMIF($BZ$37:$BZ$44,C71,$B$37:$B$44)/100</f>
        <v>0</v>
      </c>
      <c r="CA71" s="1">
        <f>SUMIF($BZ$37:$BZ$44,C71,$B$37:$B$44)/100</f>
        <v>0</v>
      </c>
      <c r="CB71" s="1">
        <f>SUMIF($BZ$37:$BZ$44,C71,$B$37:$B$44)/100</f>
        <v>0</v>
      </c>
    </row>
    <row r="72" spans="3:80">
      <c r="C72" s="35" t="s">
        <v>89</v>
      </c>
      <c r="D72" s="164">
        <f t="shared" si="133"/>
        <v>0</v>
      </c>
      <c r="E72" s="161">
        <f>SUMIF($B$37:$B$65,C72,$E$37:$E$65)</f>
        <v>0</v>
      </c>
      <c r="F72" s="161">
        <f t="shared" si="125"/>
        <v>0</v>
      </c>
      <c r="G72" s="162">
        <f t="shared" si="126"/>
        <v>0</v>
      </c>
      <c r="H72" s="22"/>
      <c r="I72" s="8">
        <f t="array" ref="I72">SUMPRODUCT(($B$37:$B$67=C72)*$D$37:$D$67*$I$37:$I$67)*0.01</f>
        <v>0</v>
      </c>
      <c r="J72" s="8">
        <f t="array" ref="J72">SUMPRODUCT(($B$37:$B$67=$C$72)*$D$37:$D$67*J37:J67)*0.01</f>
        <v>0</v>
      </c>
      <c r="K72" s="8">
        <v>0</v>
      </c>
      <c r="L72" s="8">
        <f t="array" ref="L72">SUMPRODUCT(($B$37:$B$65=$C$72)*$D$37:$D$65*L37:L65)*0.01</f>
        <v>0</v>
      </c>
      <c r="M72" s="8">
        <v>0</v>
      </c>
      <c r="N72" s="8">
        <v>0</v>
      </c>
      <c r="O72" s="8">
        <v>0</v>
      </c>
      <c r="P72" s="8">
        <v>0</v>
      </c>
      <c r="Q72" s="8">
        <v>0</v>
      </c>
      <c r="R72" s="8">
        <v>0</v>
      </c>
      <c r="S72" s="8">
        <v>0</v>
      </c>
      <c r="T72" s="8">
        <v>0</v>
      </c>
      <c r="U72" s="8">
        <v>0</v>
      </c>
      <c r="V72" s="8">
        <v>0</v>
      </c>
      <c r="W72" s="8">
        <v>0</v>
      </c>
      <c r="X72" s="8">
        <v>0</v>
      </c>
      <c r="Y72" s="8">
        <f>SUMPRODUCT(($B$37:$B$57=$C$72)*$D$37:$D$57*Y37:Y57)*0.01</f>
        <v>0</v>
      </c>
      <c r="Z72" s="8">
        <v>0</v>
      </c>
      <c r="AA72" s="8">
        <v>0</v>
      </c>
      <c r="AB72" s="8">
        <v>0</v>
      </c>
      <c r="AC72" s="8">
        <v>0</v>
      </c>
      <c r="AD72" s="8">
        <v>0</v>
      </c>
      <c r="AE72" s="8">
        <v>0</v>
      </c>
      <c r="AF72" s="8">
        <v>0</v>
      </c>
      <c r="AG72" s="8">
        <v>0</v>
      </c>
      <c r="AH72" s="8">
        <v>-2.0272318921953e-5</v>
      </c>
      <c r="AI72" s="8">
        <v>1.69015073494967e-5</v>
      </c>
      <c r="AJ72" s="8">
        <f>SUMIF($B$37:$B$55,C72,AJ$37:AJ$55)</f>
        <v>0.00112475396007139</v>
      </c>
      <c r="AK72" s="8">
        <f>SUMIF($B$37:$B$54,$C$72,AK$37:AK$54)</f>
        <v>0.00112602045603816</v>
      </c>
      <c r="AL72" s="8">
        <f>SUMIF($B$37:$B$54,$C$72,AL$37:AL$54)</f>
        <v>0.00112728980742149</v>
      </c>
      <c r="AM72" s="8">
        <f>SUMIF($B$37:$B$54,$C$72,AM$37:AM$54)</f>
        <v>0.00103441790483361</v>
      </c>
      <c r="AN72" s="8">
        <f>SUMIF($B$37:$B$52,$C$72,AN$37:AN$52)</f>
        <v>0.00112973074750511</v>
      </c>
      <c r="AO72" s="8">
        <f>SUMIF($B$37:$B$52,$C$72,AO$37:AO$52)</f>
        <v>0.00113100848256376</v>
      </c>
      <c r="AP72" s="8">
        <f>SUMIF($B$37:$B$51,$C$72,AP$37:AP$51)</f>
        <v>0.00113228911115293</v>
      </c>
      <c r="AQ72" s="8">
        <f>SUMIF($B$37:$B$51,$C$72,AQ$37:AQ$51)</f>
        <v>0.00113357264311365</v>
      </c>
      <c r="AR72" s="8">
        <f>SUMIF($B$37:$B$51,$C$72,AR$37:AR$51)</f>
        <v>0.00104018912529535</v>
      </c>
      <c r="AS72" s="8">
        <f t="shared" ref="AS72:AW72" si="137">SUMIF($B$37:$B$51,$C$72,AS$37:AS$51)</f>
        <v>0.00113604089747232</v>
      </c>
      <c r="AT72" s="8">
        <f t="shared" si="137"/>
        <v>0.000757934628138335</v>
      </c>
      <c r="AU72" s="8">
        <f t="shared" si="137"/>
        <v>0.00151817060442161</v>
      </c>
      <c r="AV72" s="8">
        <f t="shared" si="137"/>
        <v>0.00104483282674783</v>
      </c>
      <c r="AW72" s="8">
        <f t="shared" si="137"/>
        <v>0.00114111829592978</v>
      </c>
      <c r="AX72" s="8">
        <f>SUMIF($B$37:$B$47,$C$72,AX$37:AX$47)</f>
        <v>0.00114242193450131</v>
      </c>
      <c r="AY72" s="8">
        <f t="shared" ref="AY72:BI72" si="138">SUMIF($B$37:$B$47,$C$72,AY$37:AY$47)</f>
        <v>0.00114372855508971</v>
      </c>
      <c r="AZ72" s="8">
        <f t="shared" si="138"/>
        <v>0.00104951817574639</v>
      </c>
      <c r="BA72" s="8">
        <f t="shared" si="138"/>
        <v>0.00114624128379037</v>
      </c>
      <c r="BB72" s="8">
        <f t="shared" si="138"/>
        <v>0.00114755666061006</v>
      </c>
      <c r="BC72" s="8">
        <f t="shared" si="138"/>
        <v>0.00114887505983741</v>
      </c>
      <c r="BD72" s="8">
        <f t="shared" si="138"/>
        <v>0.0010542457350966</v>
      </c>
      <c r="BE72" s="8">
        <f t="shared" si="138"/>
        <v>0.0011514104778354</v>
      </c>
      <c r="BF72" s="8">
        <f t="shared" si="138"/>
        <v>0.0011527377521614</v>
      </c>
      <c r="BG72" s="8">
        <f t="shared" si="138"/>
        <v>0.00115406809001728</v>
      </c>
      <c r="BH72" s="8">
        <f t="shared" si="138"/>
        <v>0.00105901607778969</v>
      </c>
      <c r="BI72" s="8">
        <f t="shared" si="138"/>
        <v>0.00581001258836067</v>
      </c>
      <c r="BJ72" s="8">
        <f t="shared" ref="BJ72:BY72" si="139">SUMIF($B$37:$B$44,$C$72,BJ$37:BJ$44)</f>
        <v>-0.00347389752002325</v>
      </c>
      <c r="BK72" s="8">
        <f t="shared" si="139"/>
        <v>0.0381687036665999</v>
      </c>
      <c r="BL72" s="8">
        <f t="shared" si="139"/>
        <v>-0.00339456869009591</v>
      </c>
      <c r="BM72" s="8">
        <f t="shared" si="139"/>
        <v>-0.0232104544567974</v>
      </c>
      <c r="BN72" s="8">
        <f t="shared" si="139"/>
        <v>0.00401449133457366</v>
      </c>
      <c r="BO72" s="8">
        <f t="shared" si="139"/>
        <v>-0.000391504355485961</v>
      </c>
      <c r="BP72" s="8">
        <f t="shared" si="139"/>
        <v>0.00432517448147052</v>
      </c>
      <c r="BQ72" s="8">
        <f t="shared" si="139"/>
        <v>-0.00303802430419431</v>
      </c>
      <c r="BR72" s="8">
        <f t="shared" si="139"/>
        <v>-9.79911807936773e-5</v>
      </c>
      <c r="BS72" s="8">
        <f t="shared" si="139"/>
        <v>0.000980872976949376</v>
      </c>
      <c r="BT72" s="8">
        <f t="shared" si="139"/>
        <v>0.000687082842560027</v>
      </c>
      <c r="BU72" s="8">
        <f t="shared" si="139"/>
        <v>-0.00449482118428779</v>
      </c>
      <c r="BV72" s="8">
        <f t="shared" si="139"/>
        <v>0.000684462696783239</v>
      </c>
      <c r="BW72" s="8">
        <f t="shared" si="139"/>
        <v>0.000978760888714847</v>
      </c>
      <c r="BX72" s="8">
        <f t="shared" si="139"/>
        <v>0</v>
      </c>
      <c r="BY72" s="8">
        <f t="shared" si="139"/>
        <v>0</v>
      </c>
      <c r="BZ72" s="1">
        <f>SUMIF($BZ$37:$BZ$44,C72,$B$37:$B$44)/100</f>
        <v>0</v>
      </c>
      <c r="CA72" s="1">
        <f>SUMIF($BZ$37:$BZ$44,C72,$B$37:$B$44)/100</f>
        <v>0</v>
      </c>
      <c r="CB72" s="1">
        <f>SUMIF($BZ$37:$BZ$44,C72,$B$37:$B$44)/100</f>
        <v>0</v>
      </c>
    </row>
    <row r="73" spans="3:80">
      <c r="C73" s="35" t="s">
        <v>90</v>
      </c>
      <c r="D73" s="164">
        <f t="shared" si="133"/>
        <v>20.6342</v>
      </c>
      <c r="E73" s="161">
        <f t="shared" ref="E73:E78" si="140">SUMIF($B$37:$B$67,C73,$E$37:$E$67)</f>
        <v>18000000</v>
      </c>
      <c r="F73" s="161">
        <f t="shared" si="125"/>
        <v>18331787.0299947</v>
      </c>
      <c r="G73" s="162">
        <f t="shared" si="126"/>
        <v>331787.029994696</v>
      </c>
      <c r="H73" s="22">
        <f t="shared" ref="H73:H78" si="141">G73/E73</f>
        <v>0.0184326127774831</v>
      </c>
      <c r="I73" s="8">
        <f>SUMPRODUCT(($B$37:$B$67=C73)*$D$37:$D$67*$I$37:$I$67)*0.01</f>
        <v>0.00727540048053759</v>
      </c>
      <c r="J73" s="8">
        <f t="array" ref="J73">SUMPRODUCT(($B$37:$B$67=$C$73)*$D$37:$D$67*J37:J67)*0.01</f>
        <v>-0.000867323294562084</v>
      </c>
      <c r="K73" s="8">
        <v>0.00054839071729871</v>
      </c>
      <c r="L73" s="8">
        <f t="array" ref="L73">SUMPRODUCT(($B$37:$B$65=$C$73)*$D$37:$D$65*L37:L65)*0.01</f>
        <v>-0.000107074733253841</v>
      </c>
      <c r="M73" s="8">
        <v>0.00100119341795606</v>
      </c>
      <c r="N73" s="8">
        <v>-8.7664311642475e-5</v>
      </c>
      <c r="O73" s="8">
        <v>-0.000100011067053429</v>
      </c>
      <c r="P73" s="8">
        <v>-2.99608500752776e-5</v>
      </c>
      <c r="Q73" s="8">
        <v>1.48910699018199e-5</v>
      </c>
      <c r="R73" s="8">
        <v>-0.00230199685050055</v>
      </c>
      <c r="S73" s="8">
        <v>-0.0012867596434336</v>
      </c>
      <c r="T73" s="8">
        <v>-0.00419310978849473</v>
      </c>
      <c r="U73" s="8">
        <v>0.000782717070432416</v>
      </c>
      <c r="V73" s="8">
        <v>0.0006050131033624</v>
      </c>
      <c r="W73" s="8">
        <v>4.64008270263003e-5</v>
      </c>
      <c r="X73" s="8">
        <v>0.000695305250194814</v>
      </c>
      <c r="Y73" s="8">
        <f>SUMPRODUCT(($B$37:$B$57=$C$73)*$D$37:$D$57*Y37:Y57)*0.01</f>
        <v>-0.000539870427739927</v>
      </c>
      <c r="Z73" s="8">
        <v>0.00107689346064167</v>
      </c>
      <c r="AA73" s="8">
        <v>-0.000490598257061025</v>
      </c>
      <c r="AB73" s="8">
        <v>-0.000115575530771025</v>
      </c>
      <c r="AC73" s="8">
        <v>0.000196906037361415</v>
      </c>
      <c r="AD73" s="8">
        <v>0.000278409051888753</v>
      </c>
      <c r="AE73" s="8">
        <v>0.000157389487606294</v>
      </c>
      <c r="AF73" s="8">
        <v>-5.42633973985594e-5</v>
      </c>
      <c r="AG73" s="8">
        <v>0.000409201002707624</v>
      </c>
      <c r="AH73" s="8">
        <v>0.000516315321635216</v>
      </c>
      <c r="AI73" s="8">
        <v>0.000773616809714729</v>
      </c>
      <c r="AJ73" s="8">
        <f>SUMIF($B$37:$B$55,C73,AJ$37:AJ$55)</f>
        <v>0.00917703621797483</v>
      </c>
      <c r="AK73" s="8">
        <f>SUMIF($B$37:$B$54,$C$73,AK$37:AK$54)</f>
        <v>0.0059040899516507</v>
      </c>
      <c r="AL73" s="8">
        <f>SUMIF($B$37:$B$54,$C$73,AL$37:AL$54)</f>
        <v>0.0132616623414288</v>
      </c>
      <c r="AM73" s="8">
        <f>SUMIF($B$37:$B$54,$C$73,AM$37:AM$54)</f>
        <v>-0.000360222011931977</v>
      </c>
      <c r="AN73" s="8">
        <f>SUMIF($B$37:$B$52,$C$73,AN$37:AN$52)</f>
        <v>0.0264871105002613</v>
      </c>
      <c r="AO73" s="8">
        <f>SUMIF($B$37:$B$52,$C$73,AO$37:AO$52)</f>
        <v>0.000151362297387547</v>
      </c>
      <c r="AP73" s="8">
        <f>SUMIF($B$37:$B$51,$C$73,AP$37:AP$51)</f>
        <v>0.017835390241288</v>
      </c>
      <c r="AQ73" s="8">
        <f>SUMIF($B$37:$B$51,$C$73,AQ$37:AQ$51)</f>
        <v>0.0201948315319604</v>
      </c>
      <c r="AR73" s="8">
        <f>SUMIF($B$37:$B$51,$C$73,AR$37:AR$51)</f>
        <v>-0.00668690533212324</v>
      </c>
      <c r="AS73" s="8">
        <f t="shared" ref="AS73:AW73" si="142">SUMIF($B$37:$B$51,$C$73,AS$37:AS$51)</f>
        <v>0.00771012221831258</v>
      </c>
      <c r="AT73" s="8">
        <f t="shared" si="142"/>
        <v>0.0177990006031763</v>
      </c>
      <c r="AU73" s="8">
        <f t="shared" si="142"/>
        <v>0.00915488096930062</v>
      </c>
      <c r="AV73" s="8">
        <f t="shared" si="142"/>
        <v>-0.000536773887060638</v>
      </c>
      <c r="AW73" s="8">
        <f t="shared" si="142"/>
        <v>0.00765411798894933</v>
      </c>
      <c r="AX73" s="8">
        <f>SUMIF($B$37:$B$47,$C$73,AX$37:AX$47)</f>
        <v>0.00296488252592608</v>
      </c>
      <c r="AY73" s="8">
        <f t="shared" ref="AY73:BI73" si="143">SUMIF($B$37:$B$47,$C$73,AY$37:AY$47)</f>
        <v>-0.00473468358571927</v>
      </c>
      <c r="AZ73" s="8">
        <f t="shared" si="143"/>
        <v>0.000585037011553546</v>
      </c>
      <c r="BA73" s="8">
        <f t="shared" si="143"/>
        <v>-0.00219031242984824</v>
      </c>
      <c r="BB73" s="8">
        <f t="shared" si="143"/>
        <v>0.021279817830294</v>
      </c>
      <c r="BC73" s="8">
        <f t="shared" si="143"/>
        <v>0.0133390992429787</v>
      </c>
      <c r="BD73" s="8">
        <f t="shared" si="143"/>
        <v>0.0280743050522625</v>
      </c>
      <c r="BE73" s="8">
        <f t="shared" si="143"/>
        <v>0.0343316160237557</v>
      </c>
      <c r="BF73" s="8">
        <f t="shared" si="143"/>
        <v>0.001569138332565</v>
      </c>
      <c r="BG73" s="8">
        <f t="shared" si="143"/>
        <v>0.00791301068141947</v>
      </c>
      <c r="BH73" s="8">
        <f t="shared" si="143"/>
        <v>-0.00930852052390496</v>
      </c>
      <c r="BI73" s="8">
        <f t="shared" si="143"/>
        <v>0.0131980695360976</v>
      </c>
      <c r="BJ73" s="8">
        <f t="shared" ref="BJ73:BY73" si="144">SUMIF($B$37:$B$44,$C$73,BJ$37:BJ$44)</f>
        <v>-0.0156098506883847</v>
      </c>
      <c r="BK73" s="8">
        <f t="shared" si="144"/>
        <v>0</v>
      </c>
      <c r="BL73" s="8">
        <f t="shared" si="144"/>
        <v>0</v>
      </c>
      <c r="BM73" s="8">
        <f t="shared" si="144"/>
        <v>0</v>
      </c>
      <c r="BN73" s="8">
        <f t="shared" si="144"/>
        <v>0</v>
      </c>
      <c r="BO73" s="8">
        <f t="shared" si="144"/>
        <v>0</v>
      </c>
      <c r="BP73" s="8">
        <f t="shared" si="144"/>
        <v>0</v>
      </c>
      <c r="BQ73" s="8">
        <f t="shared" si="144"/>
        <v>0</v>
      </c>
      <c r="BR73" s="8">
        <f t="shared" si="144"/>
        <v>0</v>
      </c>
      <c r="BS73" s="8">
        <f t="shared" si="144"/>
        <v>0</v>
      </c>
      <c r="BT73" s="8">
        <f t="shared" si="144"/>
        <v>0</v>
      </c>
      <c r="BU73" s="8">
        <f t="shared" si="144"/>
        <v>0</v>
      </c>
      <c r="BV73" s="8">
        <f t="shared" si="144"/>
        <v>0</v>
      </c>
      <c r="BW73" s="8">
        <f t="shared" si="144"/>
        <v>0</v>
      </c>
      <c r="BX73" s="8">
        <f t="shared" si="144"/>
        <v>0</v>
      </c>
      <c r="BY73" s="8">
        <f t="shared" si="144"/>
        <v>0</v>
      </c>
      <c r="BZ73" s="1">
        <f>SUMIF($BZ$37:$BZ$44,C73,$B$37:$B$44)/100</f>
        <v>0</v>
      </c>
      <c r="CA73" s="1">
        <f>SUMIF($BZ$37:$BZ$44,C73,$B$37:$B$44)/100</f>
        <v>0</v>
      </c>
      <c r="CB73" s="1">
        <f>SUMIF($BZ$37:$BZ$44,C73,$B$37:$B$44)/100</f>
        <v>0</v>
      </c>
    </row>
    <row r="74" spans="3:80">
      <c r="C74" s="35" t="s">
        <v>92</v>
      </c>
      <c r="D74" s="164">
        <f t="shared" si="133"/>
        <v>2.5503</v>
      </c>
      <c r="E74" s="161">
        <f t="shared" si="140"/>
        <v>2000000</v>
      </c>
      <c r="F74" s="161">
        <f t="shared" si="125"/>
        <v>2265731.47796355</v>
      </c>
      <c r="G74" s="162">
        <f t="shared" si="126"/>
        <v>265731.47796355</v>
      </c>
      <c r="H74" s="22">
        <f t="shared" si="141"/>
        <v>0.132865738981775</v>
      </c>
      <c r="I74" s="8">
        <f t="array" ref="I74">SUMPRODUCT(($B$37:$B$67=C74)*$D$37:$D$67*$I$37:$I$67)*0.01</f>
        <v>0.00428109268076625</v>
      </c>
      <c r="J74" s="8">
        <f t="array" ref="J74">SUMPRODUCT(($B$37:$B$67=$C$74)*$D$37:$D$67*J37:J67)*0.01</f>
        <v>8.49129566210034e-5</v>
      </c>
      <c r="K74" s="8">
        <v>0.000371677733809474</v>
      </c>
      <c r="L74" s="8">
        <f t="array" ref="L74">SUMPRODUCT(($B$37:$B$65=$C$74)*$D$37:$D$65*L37:L65)*0.01</f>
        <v>-0.000812607269669222</v>
      </c>
      <c r="M74" s="8">
        <v>0.000424706775479215</v>
      </c>
      <c r="N74" s="8">
        <v>9.91716979335324e-5</v>
      </c>
      <c r="O74" s="8">
        <v>-0.000279805806938159</v>
      </c>
      <c r="P74" s="8">
        <v>9.70939362406607e-5</v>
      </c>
      <c r="Q74" s="8">
        <v>0.000187575238095238</v>
      </c>
      <c r="R74" s="8">
        <v>-0.000682870413376682</v>
      </c>
      <c r="S74" s="8">
        <v>0.000624466185410337</v>
      </c>
      <c r="T74" s="8">
        <v>0.000385873303167419</v>
      </c>
      <c r="U74" s="8">
        <v>0.000558749999999996</v>
      </c>
      <c r="V74" s="8">
        <v>-0.000199046282763323</v>
      </c>
      <c r="W74" s="8">
        <v>0.000508207498512201</v>
      </c>
      <c r="X74" s="8">
        <v>0.000240027605521102</v>
      </c>
      <c r="Y74" s="8">
        <f>SUMPRODUCT(($B$37:$B$57=$C$74)*$D$37:$D$57*Y37:Y57)*0.01</f>
        <v>0.000177229026085203</v>
      </c>
      <c r="Z74" s="8">
        <v>0.000197820523220446</v>
      </c>
      <c r="AA74" s="8">
        <v>0.00068722731505432</v>
      </c>
      <c r="AB74" s="8">
        <v>-0.000107796617161714</v>
      </c>
      <c r="AC74" s="8">
        <v>-6.81123919308354e-5</v>
      </c>
      <c r="AD74" s="8">
        <v>0.000324027437123255</v>
      </c>
      <c r="AE74" s="8">
        <v>-2.24775654341465e-5</v>
      </c>
      <c r="AF74" s="8">
        <v>-0.000107216216216218</v>
      </c>
      <c r="AG74" s="8">
        <v>7.78673723536701e-5</v>
      </c>
      <c r="AH74" s="8">
        <v>0.000454611560693639</v>
      </c>
      <c r="AI74" s="8">
        <v>0.00049905360187553</v>
      </c>
      <c r="AJ74" s="8">
        <f>SUMIF($B$37:$B$55,C74,AJ$37:AJ$55)</f>
        <v>-0.00677392040643521</v>
      </c>
      <c r="AK74" s="8">
        <f>SUMIF($B$37:$B$54,$C$74,AK$37:AK$54)</f>
        <v>-0.00974740593229217</v>
      </c>
      <c r="AL74" s="8">
        <f>SUMIF($B$37:$B$54,$C$74,AL$37:AL$54)</f>
        <v>-0.000733137829912023</v>
      </c>
      <c r="AM74" s="8">
        <f>SUMIF($B$37:$B$54,$C$74,AM$37:AM$54)</f>
        <v>0.00346820809248549</v>
      </c>
      <c r="AN74" s="8">
        <f>SUMIF($B$37:$B$52,$C$74,AN$37:AN$52)</f>
        <v>-0.0106062181553499</v>
      </c>
      <c r="AO74" s="8">
        <f>SUMIF($B$37:$B$52,$C$74,AO$37:AO$52)</f>
        <v>0.00250182424684664</v>
      </c>
      <c r="AP74" s="8">
        <f>SUMIF($B$37:$B$51,$C$74,AP$37:AP$51)</f>
        <v>0.0157772130453198</v>
      </c>
      <c r="AQ74" s="8">
        <f>SUMIF($B$37:$B$51,$C$74,AQ$37:AQ$51)</f>
        <v>-0.00787897888433653</v>
      </c>
      <c r="AR74" s="8">
        <f>SUMIF($B$37:$B$51,$C$74,AR$37:AR$51)</f>
        <v>0.0143861892583119</v>
      </c>
      <c r="AS74" s="8">
        <f t="shared" ref="AS74:AW74" si="145">SUMIF($B$37:$B$51,$C$74,AS$37:AS$51)</f>
        <v>0.00503373674627827</v>
      </c>
      <c r="AT74" s="8">
        <f t="shared" si="145"/>
        <v>0.0146707237557053</v>
      </c>
      <c r="AU74" s="8">
        <f t="shared" si="145"/>
        <v>-0.00411255411255418</v>
      </c>
      <c r="AV74" s="8">
        <f t="shared" si="145"/>
        <v>0.00829332169358366</v>
      </c>
      <c r="AW74" s="8">
        <f t="shared" si="145"/>
        <v>0.0147270512678552</v>
      </c>
      <c r="CA74" s="1">
        <f>SUMIF($BZ$37:$BZ$44,C74,$B$37:$B$44)/100</f>
        <v>0</v>
      </c>
      <c r="CB74" s="1">
        <f>SUMIF($BZ$37:$BZ$44,C74,$B$37:$B$44)/100</f>
        <v>0</v>
      </c>
    </row>
    <row r="75" spans="3:37">
      <c r="C75" s="35" t="s">
        <v>93</v>
      </c>
      <c r="D75" s="164">
        <f t="shared" si="133"/>
        <v>2.433</v>
      </c>
      <c r="E75" s="161">
        <f t="shared" si="140"/>
        <v>2000000</v>
      </c>
      <c r="F75" s="161">
        <f t="shared" si="125"/>
        <v>2161520.0901405</v>
      </c>
      <c r="G75" s="162">
        <f t="shared" si="126"/>
        <v>161520.0901405</v>
      </c>
      <c r="H75" s="22">
        <f t="shared" si="141"/>
        <v>0.0807600450702498</v>
      </c>
      <c r="I75" s="8">
        <f t="array" ref="I75">SUMPRODUCT(($B$37:$B$67=C75)*$D$37:$D$67*$I$37:$I$67)*0.01</f>
        <v>0.00196532170775706</v>
      </c>
      <c r="J75" s="8">
        <f t="array" ref="J75">SUMPRODUCT(($B$37:$B$67=$C$75)*$D$37:$D$67*J37:J67)*0.01</f>
        <v>1.8062360801785e-5</v>
      </c>
      <c r="K75" s="8">
        <v>-0.000197076583210606</v>
      </c>
      <c r="L75" s="8">
        <f t="array" ref="L75">SUMPRODUCT(($B$37:$B$65=$C$75)*$D$37:$D$65*L37:L65)*0.01</f>
        <v>0.000310730866038971</v>
      </c>
      <c r="M75" s="8">
        <v>0.000525370722433457</v>
      </c>
      <c r="N75" s="8">
        <v>0.000214426449448969</v>
      </c>
      <c r="O75" s="8">
        <v>-0.000129978356216625</v>
      </c>
      <c r="P75" s="8">
        <v>0.000192722190201732</v>
      </c>
      <c r="Q75" s="8">
        <v>0.000181641965754082</v>
      </c>
      <c r="R75" s="8">
        <v>0.000177887297876489</v>
      </c>
      <c r="S75" s="8">
        <v>0.000283706125664757</v>
      </c>
      <c r="T75" s="8">
        <v>0.000223662791852959</v>
      </c>
      <c r="U75" s="8">
        <v>2.87549234135663e-5</v>
      </c>
      <c r="V75" s="8">
        <v>-0.000113350762527232</v>
      </c>
      <c r="W75" s="8">
        <v>7.50445923130437e-5</v>
      </c>
      <c r="X75" s="8">
        <v>2.60741624415922e-5</v>
      </c>
      <c r="Y75" s="8">
        <f>SUMPRODUCT(($B$37:$B$58=$C$75)*$D$37:$D$58*Y37:Y58)*0.01</f>
        <v>8.00807899461438e-5</v>
      </c>
      <c r="Z75" s="8">
        <v>8.75245147088273e-5</v>
      </c>
      <c r="AA75" s="8">
        <v>-6.37855142057073e-6</v>
      </c>
      <c r="AB75" s="8">
        <v>5.4310051107329e-5</v>
      </c>
      <c r="AC75" s="8">
        <v>3.20024052916206e-6</v>
      </c>
      <c r="AD75" s="8"/>
      <c r="AE75" s="8"/>
      <c r="AF75" s="8"/>
      <c r="AG75" s="8"/>
      <c r="AH75" s="8"/>
      <c r="AI75" s="8"/>
      <c r="AJ75" s="8" t="s">
        <v>103</v>
      </c>
      <c r="AK75" s="8"/>
    </row>
    <row r="76" spans="3:25">
      <c r="C76" s="35" t="s">
        <v>94</v>
      </c>
      <c r="D76" s="164">
        <f t="shared" si="133"/>
        <v>12.3767</v>
      </c>
      <c r="E76" s="161">
        <f t="shared" si="140"/>
        <v>11000000</v>
      </c>
      <c r="F76" s="161">
        <f t="shared" si="125"/>
        <v>10995678.462656</v>
      </c>
      <c r="G76" s="162">
        <f t="shared" si="126"/>
        <v>-4321.53734404966</v>
      </c>
      <c r="H76" s="22">
        <f t="shared" si="141"/>
        <v>-0.000392867031277242</v>
      </c>
      <c r="I76" s="8">
        <f t="array" ref="I76">SUMPRODUCT(($B$37:$B$67=C76)*$D$37:$D$67*$I$37:$I$67)*0.01</f>
        <v>-3.54932034482045e-5</v>
      </c>
      <c r="J76" s="8">
        <f t="array" ref="J76">SUMPRODUCT(($B$37:$B$67=$C$76)*$D$37:$D$67*J37:J67)*0.01</f>
        <v>-0.000622550306040451</v>
      </c>
      <c r="K76" s="8">
        <v>0.000709938769249278</v>
      </c>
      <c r="L76" s="8">
        <f t="array" ref="L76">SUMPRODUCT(($B$37:$B$65=$C$76)*$D$37:$D$65*L37:L65)*0.01</f>
        <v>-0.000337177429651551</v>
      </c>
      <c r="M76" s="8">
        <v>-8.03073684176196e-5</v>
      </c>
      <c r="N76" s="8">
        <v>0.000265187905419144</v>
      </c>
      <c r="O76" s="8">
        <v>0.000394862109032401</v>
      </c>
      <c r="P76" s="8">
        <v>0.000106219907067705</v>
      </c>
      <c r="Q76" s="8">
        <v>-0.000626237273101234</v>
      </c>
      <c r="R76" s="8">
        <v>-0.000940800826969373</v>
      </c>
      <c r="S76" s="8">
        <v>0.000743510236153711</v>
      </c>
      <c r="T76" s="8">
        <v>-0.000605171350751219</v>
      </c>
      <c r="U76" s="8">
        <v>0.00021799338060415</v>
      </c>
      <c r="V76" s="8">
        <v>0.000619326857136905</v>
      </c>
      <c r="W76" s="8">
        <v>7.57057901834923e-5</v>
      </c>
      <c r="X76" s="8">
        <v>0.000213769386976107</v>
      </c>
      <c r="Y76" s="8">
        <f>SUMPRODUCT(($B$37:$B$58=$C$76)*$D$37:$D$58*Y37:Y58)*0.01</f>
        <v>-8.62166463600318e-5</v>
      </c>
    </row>
    <row r="77" spans="3:19">
      <c r="C77" s="35" t="s">
        <v>95</v>
      </c>
      <c r="D77" s="164">
        <f t="shared" si="133"/>
        <v>5.3681</v>
      </c>
      <c r="E77" s="161">
        <f t="shared" si="140"/>
        <v>4800000</v>
      </c>
      <c r="F77" s="161">
        <f t="shared" si="125"/>
        <v>4769114.67155085</v>
      </c>
      <c r="G77" s="162">
        <f t="shared" si="126"/>
        <v>-30885.3284491505</v>
      </c>
      <c r="H77" s="22">
        <f t="shared" si="141"/>
        <v>-0.00643444342690636</v>
      </c>
      <c r="I77" s="8">
        <f t="array" ref="I77">SUMPRODUCT(($B$37:$B$67=C77)*$D$37:$D$67*$I$37:$I$67)*0.01</f>
        <v>-0.000345791223327767</v>
      </c>
      <c r="J77" s="8">
        <f>SUMPRODUCT(($B$37:$B$67=$C$77)*$D$37:$D$67*J37:J67)*0.01</f>
        <v>-0.000404010743421806</v>
      </c>
      <c r="K77" s="8">
        <v>-0.000230311481036556</v>
      </c>
      <c r="L77" s="8">
        <f t="array" ref="L77">SUMPRODUCT(($B$37:$B$65=$C$77)*$D$37:$D$65*L37:L65)*0.01</f>
        <v>0.000627557266045494</v>
      </c>
      <c r="M77" s="8">
        <v>0.00121620152383202</v>
      </c>
      <c r="N77" s="8">
        <v>9.91716979335324e-5</v>
      </c>
      <c r="O77" s="8">
        <v>-0.000279805806938159</v>
      </c>
      <c r="P77" s="8">
        <v>9.70939362406607e-5</v>
      </c>
      <c r="Q77" s="8">
        <v>0.000187575238095238</v>
      </c>
      <c r="R77" s="8">
        <v>-0.000682870413376682</v>
      </c>
      <c r="S77" s="8">
        <v>0.000624466185410337</v>
      </c>
    </row>
    <row r="78" spans="3:13">
      <c r="C78" s="35" t="s">
        <v>96</v>
      </c>
      <c r="D78" s="164">
        <f t="shared" si="133"/>
        <v>10.1662</v>
      </c>
      <c r="E78" s="161">
        <f t="shared" si="140"/>
        <v>9000000</v>
      </c>
      <c r="F78" s="161">
        <f t="shared" si="125"/>
        <v>9031831.2948567</v>
      </c>
      <c r="G78" s="162">
        <f t="shared" si="126"/>
        <v>31831.2948566992</v>
      </c>
      <c r="H78" s="22">
        <f t="shared" si="141"/>
        <v>0.00353681053963324</v>
      </c>
      <c r="I78" s="8">
        <f t="array" ref="I78">SUMPRODUCT(($B$37:$B$67=C78)*$D$37:$D$67*$I$37:$I$67)*0.01</f>
        <v>0.000327975065256196</v>
      </c>
      <c r="J78" s="8">
        <f>SUMPRODUCT(($B$37:$B$67=$C$78)*$D$37:$D$67*J37:J67)*0.01</f>
        <v>0.000184660434938052</v>
      </c>
      <c r="K78" s="8">
        <v>0.000744471849664648</v>
      </c>
      <c r="L78" s="8"/>
      <c r="M78" s="8">
        <v>0</v>
      </c>
    </row>
  </sheetData>
  <mergeCells count="3">
    <mergeCell ref="B2:G2"/>
    <mergeCell ref="B35:G35"/>
    <mergeCell ref="B68:G68"/>
  </mergeCells>
  <conditionalFormatting sqref="AD56:AX56">
    <cfRule type="dataBar" priority="61">
      <dataBar>
        <cfvo type="min"/>
        <cfvo type="max"/>
        <color rgb="FFFF0000"/>
      </dataBar>
      <extLst>
        <ext xmlns:x14="http://schemas.microsoft.com/office/spreadsheetml/2009/9/main" uri="{B025F937-C7B1-47D3-B67F-A62EFF666E3E}">
          <x14:id>{5cc3b0f8-4441-4ba2-a8ee-36c97f911dc2}</x14:id>
        </ext>
      </extLst>
    </cfRule>
    <cfRule type="dataBar" priority="62">
      <dataBar>
        <cfvo type="min"/>
        <cfvo type="max"/>
        <color rgb="FF63C384"/>
      </dataBar>
      <extLst>
        <ext xmlns:x14="http://schemas.microsoft.com/office/spreadsheetml/2009/9/main" uri="{B025F937-C7B1-47D3-B67F-A62EFF666E3E}">
          <x14:id>{af8a61fd-6c6e-4a4a-a184-04bf3d87b3e9}</x14:id>
        </ext>
      </extLst>
    </cfRule>
    <cfRule type="dataBar" priority="63">
      <dataBar>
        <cfvo type="min"/>
        <cfvo type="max"/>
        <color rgb="FF63C384"/>
      </dataBar>
      <extLst>
        <ext xmlns:x14="http://schemas.microsoft.com/office/spreadsheetml/2009/9/main" uri="{B025F937-C7B1-47D3-B67F-A62EFF666E3E}">
          <x14:id>{2e2ff8d0-3676-445d-b884-0102c86705e2}</x14:id>
        </ext>
      </extLst>
    </cfRule>
  </conditionalFormatting>
  <conditionalFormatting sqref="I70">
    <cfRule type="dataBar" priority="64">
      <dataBar>
        <cfvo type="min"/>
        <cfvo type="max"/>
        <color rgb="FFFF0000"/>
      </dataBar>
      <extLst>
        <ext xmlns:x14="http://schemas.microsoft.com/office/spreadsheetml/2009/9/main" uri="{B025F937-C7B1-47D3-B67F-A62EFF666E3E}">
          <x14:id>{8afcda1f-1a4c-41a8-93f0-5f2c2580e7c5}</x14:id>
        </ext>
      </extLst>
    </cfRule>
    <cfRule type="dataBar" priority="65">
      <dataBar>
        <cfvo type="min"/>
        <cfvo type="max"/>
        <color rgb="FF63C384"/>
      </dataBar>
      <extLst>
        <ext xmlns:x14="http://schemas.microsoft.com/office/spreadsheetml/2009/9/main" uri="{B025F937-C7B1-47D3-B67F-A62EFF666E3E}">
          <x14:id>{f1a7adb9-5b43-45cd-b6ae-c18b07793257}</x14:id>
        </ext>
      </extLst>
    </cfRule>
  </conditionalFormatting>
  <conditionalFormatting sqref="I39:I67">
    <cfRule type="dataBar" priority="23">
      <dataBar>
        <cfvo type="min"/>
        <cfvo type="max"/>
        <color rgb="FFFF0000"/>
      </dataBar>
      <extLst>
        <ext xmlns:x14="http://schemas.microsoft.com/office/spreadsheetml/2009/9/main" uri="{B025F937-C7B1-47D3-B67F-A62EFF666E3E}">
          <x14:id>{084fad92-6c7b-424d-9b3f-1bff33fd6d9d}</x14:id>
        </ext>
      </extLst>
    </cfRule>
    <cfRule type="dataBar" priority="24">
      <dataBar>
        <cfvo type="min"/>
        <cfvo type="max"/>
        <color rgb="FF63C384"/>
      </dataBar>
      <extLst>
        <ext xmlns:x14="http://schemas.microsoft.com/office/spreadsheetml/2009/9/main" uri="{B025F937-C7B1-47D3-B67F-A62EFF666E3E}">
          <x14:id>{fa1abceb-1707-4f2d-8fed-3920536430a0}</x14:id>
        </ext>
      </extLst>
    </cfRule>
  </conditionalFormatting>
  <conditionalFormatting sqref="I71:I78">
    <cfRule type="dataBar" priority="1">
      <dataBar>
        <cfvo type="min"/>
        <cfvo type="max"/>
        <color rgb="FFFF0000"/>
      </dataBar>
      <extLst>
        <ext xmlns:x14="http://schemas.microsoft.com/office/spreadsheetml/2009/9/main" uri="{B025F937-C7B1-47D3-B67F-A62EFF666E3E}">
          <x14:id>{3472981b-026b-4e93-85f7-5b4f8811d956}</x14:id>
        </ext>
      </extLst>
    </cfRule>
    <cfRule type="dataBar" priority="2">
      <dataBar>
        <cfvo type="min"/>
        <cfvo type="max"/>
        <color rgb="FF63C384"/>
      </dataBar>
      <extLst>
        <ext xmlns:x14="http://schemas.microsoft.com/office/spreadsheetml/2009/9/main" uri="{B025F937-C7B1-47D3-B67F-A62EFF666E3E}">
          <x14:id>{cadf531a-c93c-4975-8db8-fddf385091b7}</x14:id>
        </ext>
      </extLst>
    </cfRule>
  </conditionalFormatting>
  <conditionalFormatting sqref="I37:I38 J37:R67 BI42 BH42:BH45 BH37:BI41 BB46 BB37:BG45 AX47:AX55 AX37:BA46 BJ41:BJ42 S56:AC63 BJ37:BS40 S37:AW55">
    <cfRule type="dataBar" priority="74">
      <dataBar>
        <cfvo type="min"/>
        <cfvo type="max"/>
        <color rgb="FF63C384"/>
      </dataBar>
      <extLst>
        <ext xmlns:x14="http://schemas.microsoft.com/office/spreadsheetml/2009/9/main" uri="{B025F937-C7B1-47D3-B67F-A62EFF666E3E}">
          <x14:id>{c3b28611-b56c-4539-8db7-4bf0f2577a36}</x14:id>
        </ext>
      </extLst>
    </cfRule>
  </conditionalFormatting>
  <conditionalFormatting sqref="I37:I38 J37:R67 BI42 BH42:BH45 BH37:BI41 BB46 BB37:BG45 AX47:AX55 AX37:BA46 BJ41:BJ42 S56:AC63 BJ37:BY40 S37:AW55">
    <cfRule type="dataBar" priority="71">
      <dataBar>
        <cfvo type="min"/>
        <cfvo type="max"/>
        <color rgb="FFFF0000"/>
      </dataBar>
      <extLst>
        <ext xmlns:x14="http://schemas.microsoft.com/office/spreadsheetml/2009/9/main" uri="{B025F937-C7B1-47D3-B67F-A62EFF666E3E}">
          <x14:id>{dece89a1-f988-4292-8d40-d6fcf2fecacb}</x14:id>
        </ext>
      </extLst>
    </cfRule>
  </conditionalFormatting>
  <conditionalFormatting sqref="J56:AC63 BJ41:BJ42 BI37:BI42 BB37:BH45 BB46 AX37:BA46 AX47:AX55 BJ37:BY40 J37:AW55 J64:R67">
    <cfRule type="dataBar" priority="76">
      <dataBar>
        <cfvo type="min"/>
        <cfvo type="max"/>
        <color rgb="FF63C384"/>
      </dataBar>
      <extLst>
        <ext xmlns:x14="http://schemas.microsoft.com/office/spreadsheetml/2009/9/main" uri="{B025F937-C7B1-47D3-B67F-A62EFF666E3E}">
          <x14:id>{13aeead8-7bc1-44f9-83aa-d2ec477031f8}</x14:id>
        </ext>
      </extLst>
    </cfRule>
  </conditionalFormatting>
  <conditionalFormatting sqref="AD57:AX63">
    <cfRule type="dataBar" priority="58">
      <dataBar>
        <cfvo type="min"/>
        <cfvo type="max"/>
        <color rgb="FFFF0000"/>
      </dataBar>
      <extLst>
        <ext xmlns:x14="http://schemas.microsoft.com/office/spreadsheetml/2009/9/main" uri="{B025F937-C7B1-47D3-B67F-A62EFF666E3E}">
          <x14:id>{47204209-605c-4c25-ae8c-53cf35bcd348}</x14:id>
        </ext>
      </extLst>
    </cfRule>
    <cfRule type="dataBar" priority="59">
      <dataBar>
        <cfvo type="min"/>
        <cfvo type="max"/>
        <color rgb="FF63C384"/>
      </dataBar>
      <extLst>
        <ext xmlns:x14="http://schemas.microsoft.com/office/spreadsheetml/2009/9/main" uri="{B025F937-C7B1-47D3-B67F-A62EFF666E3E}">
          <x14:id>{a991623e-9a46-444e-97da-a2950c5111c2}</x14:id>
        </ext>
      </extLst>
    </cfRule>
    <cfRule type="dataBar" priority="60">
      <dataBar>
        <cfvo type="min"/>
        <cfvo type="max"/>
        <color rgb="FF63C384"/>
      </dataBar>
      <extLst>
        <ext xmlns:x14="http://schemas.microsoft.com/office/spreadsheetml/2009/9/main" uri="{B025F937-C7B1-47D3-B67F-A62EFF666E3E}">
          <x14:id>{b64dd7c4-3bec-45e9-85df-c6dd2bacb076}</x14:id>
        </ext>
      </extLst>
    </cfRule>
  </conditionalFormatting>
  <conditionalFormatting sqref="S64:AC67">
    <cfRule type="dataBar" priority="40">
      <dataBar>
        <cfvo type="min"/>
        <cfvo type="max"/>
        <color rgb="FFFF0000"/>
      </dataBar>
      <extLst>
        <ext xmlns:x14="http://schemas.microsoft.com/office/spreadsheetml/2009/9/main" uri="{B025F937-C7B1-47D3-B67F-A62EFF666E3E}">
          <x14:id>{94bbcd7f-0b20-4627-a35c-59ef60696312}</x14:id>
        </ext>
      </extLst>
    </cfRule>
    <cfRule type="dataBar" priority="41">
      <dataBar>
        <cfvo type="min"/>
        <cfvo type="max"/>
        <color rgb="FF63C384"/>
      </dataBar>
      <extLst>
        <ext xmlns:x14="http://schemas.microsoft.com/office/spreadsheetml/2009/9/main" uri="{B025F937-C7B1-47D3-B67F-A62EFF666E3E}">
          <x14:id>{202716b2-615f-4dfc-b91f-068a4f38dced}</x14:id>
        </ext>
      </extLst>
    </cfRule>
    <cfRule type="dataBar" priority="42">
      <dataBar>
        <cfvo type="min"/>
        <cfvo type="max"/>
        <color rgb="FF63C384"/>
      </dataBar>
      <extLst>
        <ext xmlns:x14="http://schemas.microsoft.com/office/spreadsheetml/2009/9/main" uri="{B025F937-C7B1-47D3-B67F-A62EFF666E3E}">
          <x14:id>{75863ca3-8065-4233-885c-c4105dcb1755}</x14:id>
        </ext>
      </extLst>
    </cfRule>
  </conditionalFormatting>
  <conditionalFormatting sqref="AD64:AX67">
    <cfRule type="dataBar" priority="37">
      <dataBar>
        <cfvo type="min"/>
        <cfvo type="max"/>
        <color rgb="FFFF0000"/>
      </dataBar>
      <extLst>
        <ext xmlns:x14="http://schemas.microsoft.com/office/spreadsheetml/2009/9/main" uri="{B025F937-C7B1-47D3-B67F-A62EFF666E3E}">
          <x14:id>{fefec1d7-5e45-49c3-bcf4-f21d45273df5}</x14:id>
        </ext>
      </extLst>
    </cfRule>
    <cfRule type="dataBar" priority="38">
      <dataBar>
        <cfvo type="min"/>
        <cfvo type="max"/>
        <color rgb="FF63C384"/>
      </dataBar>
      <extLst>
        <ext xmlns:x14="http://schemas.microsoft.com/office/spreadsheetml/2009/9/main" uri="{B025F937-C7B1-47D3-B67F-A62EFF666E3E}">
          <x14:id>{2d7793cd-b557-4955-b71a-e2c2baa4f8fd}</x14:id>
        </ext>
      </extLst>
    </cfRule>
    <cfRule type="dataBar" priority="39">
      <dataBar>
        <cfvo type="min"/>
        <cfvo type="max"/>
        <color rgb="FF63C384"/>
      </dataBar>
      <extLst>
        <ext xmlns:x14="http://schemas.microsoft.com/office/spreadsheetml/2009/9/main" uri="{B025F937-C7B1-47D3-B67F-A62EFF666E3E}">
          <x14:id>{1fc2e418-548f-4b03-aa87-0f2d28f2ed78}</x14:id>
        </ext>
      </extLst>
    </cfRule>
  </conditionalFormatting>
  <conditionalFormatting sqref="J77:S77 J78:M78 J70:T76">
    <cfRule type="dataBar" priority="43">
      <dataBar>
        <cfvo type="min"/>
        <cfvo type="max"/>
        <color rgb="FFFF0000"/>
      </dataBar>
      <extLst>
        <ext xmlns:x14="http://schemas.microsoft.com/office/spreadsheetml/2009/9/main" uri="{B025F937-C7B1-47D3-B67F-A62EFF666E3E}">
          <x14:id>{da883942-7c5d-4048-b19e-1874cfb7f8c9}</x14:id>
        </ext>
      </extLst>
    </cfRule>
    <cfRule type="dataBar" priority="44">
      <dataBar>
        <cfvo type="min"/>
        <cfvo type="max"/>
        <color rgb="FF63C384"/>
      </dataBar>
      <extLst>
        <ext xmlns:x14="http://schemas.microsoft.com/office/spreadsheetml/2009/9/main" uri="{B025F937-C7B1-47D3-B67F-A62EFF666E3E}">
          <x14:id>{d7d966ec-e547-4ca8-a5b2-d7ecd5279336}</x14:id>
        </ext>
      </extLst>
    </cfRule>
    <cfRule type="dataBar" priority="45">
      <dataBar>
        <cfvo type="min"/>
        <cfvo type="max"/>
        <color rgb="FF63C384"/>
      </dataBar>
      <extLst>
        <ext xmlns:x14="http://schemas.microsoft.com/office/spreadsheetml/2009/9/main" uri="{B025F937-C7B1-47D3-B67F-A62EFF666E3E}">
          <x14:id>{7117e640-b0f7-4d8f-a226-8230460c8a03}</x14:id>
        </ext>
      </extLst>
    </cfRule>
  </conditionalFormatting>
  <conditionalFormatting sqref="U70:AI75 U76:Y76">
    <cfRule type="dataBar" priority="46">
      <dataBar>
        <cfvo type="min"/>
        <cfvo type="max"/>
        <color rgb="FFFF0000"/>
      </dataBar>
      <extLst>
        <ext xmlns:x14="http://schemas.microsoft.com/office/spreadsheetml/2009/9/main" uri="{B025F937-C7B1-47D3-B67F-A62EFF666E3E}">
          <x14:id>{50e02d17-775b-456b-be0a-04117108d193}</x14:id>
        </ext>
      </extLst>
    </cfRule>
    <cfRule type="dataBar" priority="47">
      <dataBar>
        <cfvo type="min"/>
        <cfvo type="max"/>
        <color rgb="FF63C384"/>
      </dataBar>
      <extLst>
        <ext xmlns:x14="http://schemas.microsoft.com/office/spreadsheetml/2009/9/main" uri="{B025F937-C7B1-47D3-B67F-A62EFF666E3E}">
          <x14:id>{924e0093-2d4e-4edf-83ac-f1a90c56f393}</x14:id>
        </ext>
      </extLst>
    </cfRule>
    <cfRule type="dataBar" priority="48">
      <dataBar>
        <cfvo type="min"/>
        <cfvo type="max"/>
        <color rgb="FF63C384"/>
      </dataBar>
      <extLst>
        <ext xmlns:x14="http://schemas.microsoft.com/office/spreadsheetml/2009/9/main" uri="{B025F937-C7B1-47D3-B67F-A62EFF666E3E}">
          <x14:id>{8d012315-b2b3-4b47-8b2d-c53f4fe0c2fd}</x14:id>
        </ext>
      </extLst>
    </cfRule>
  </conditionalFormatting>
  <conditionalFormatting sqref="AJ70:AK75">
    <cfRule type="dataBar" priority="49">
      <dataBar>
        <cfvo type="min"/>
        <cfvo type="max"/>
        <color rgb="FFFF0000"/>
      </dataBar>
      <extLst>
        <ext xmlns:x14="http://schemas.microsoft.com/office/spreadsheetml/2009/9/main" uri="{B025F937-C7B1-47D3-B67F-A62EFF666E3E}">
          <x14:id>{09f09a64-56b4-43d2-9e30-0689971bc44e}</x14:id>
        </ext>
      </extLst>
    </cfRule>
    <cfRule type="dataBar" priority="50">
      <dataBar>
        <cfvo type="min"/>
        <cfvo type="max"/>
        <color rgb="FF63C384"/>
      </dataBar>
      <extLst>
        <ext xmlns:x14="http://schemas.microsoft.com/office/spreadsheetml/2009/9/main" uri="{B025F937-C7B1-47D3-B67F-A62EFF666E3E}">
          <x14:id>{4dc564cb-1318-47ff-b0e5-05bca854549a}</x14:id>
        </ext>
      </extLst>
    </cfRule>
    <cfRule type="dataBar" priority="51">
      <dataBar>
        <cfvo type="min"/>
        <cfvo type="max"/>
        <color rgb="FF63C384"/>
      </dataBar>
      <extLst>
        <ext xmlns:x14="http://schemas.microsoft.com/office/spreadsheetml/2009/9/main" uri="{B025F937-C7B1-47D3-B67F-A62EFF666E3E}">
          <x14:id>{cadc4f9b-db6a-4334-a2d7-1fbcfda92ace}</x14:id>
        </ext>
      </extLst>
    </cfRule>
  </conditionalFormatting>
  <conditionalFormatting sqref="AW70:BS73 AL70:AV74 AW74">
    <cfRule type="dataBar" priority="73">
      <dataBar>
        <cfvo type="min"/>
        <cfvo type="max"/>
        <color rgb="FF63C384"/>
      </dataBar>
      <extLst>
        <ext xmlns:x14="http://schemas.microsoft.com/office/spreadsheetml/2009/9/main" uri="{B025F937-C7B1-47D3-B67F-A62EFF666E3E}">
          <x14:id>{df17a509-8d99-4d71-8aee-cbd7822ed410}</x14:id>
        </ext>
      </extLst>
    </cfRule>
  </conditionalFormatting>
  <conditionalFormatting sqref="AW70:BZ73 AL70:AV74 AW74">
    <cfRule type="dataBar" priority="75">
      <dataBar>
        <cfvo type="min"/>
        <cfvo type="max"/>
        <color rgb="FF63C384"/>
      </dataBar>
      <extLst>
        <ext xmlns:x14="http://schemas.microsoft.com/office/spreadsheetml/2009/9/main" uri="{B025F937-C7B1-47D3-B67F-A62EFF666E3E}">
          <x14:id>{f6b1bc34-1f93-402a-a475-6f11340f09c2}</x14:id>
        </ext>
      </extLst>
    </cfRule>
  </conditionalFormatting>
  <conditionalFormatting sqref="AW70:CB73 AL70:AV74 AW74">
    <cfRule type="dataBar" priority="72">
      <dataBar>
        <cfvo type="min"/>
        <cfvo type="max"/>
        <color rgb="FFFF0000"/>
      </dataBar>
      <extLst>
        <ext xmlns:x14="http://schemas.microsoft.com/office/spreadsheetml/2009/9/main" uri="{B025F937-C7B1-47D3-B67F-A62EFF666E3E}">
          <x14:id>{f71ff7b2-d9a1-4edc-921f-2229f8680a72}</x14:id>
        </ext>
      </extLst>
    </cfRule>
  </conditionalFormatting>
  <pageMargins left="0.7" right="0.7" top="0.75" bottom="0.75" header="0.3" footer="0.3"/>
  <pageSetup paperSize="9" orientation="portrait"/>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5cc3b0f8-4441-4ba2-a8ee-36c97f911dc2}">
            <x14:dataBar minLength="0" maxLength="100">
              <x14:cfvo type="autoMin"/>
              <x14:cfvo type="autoMax"/>
              <x14:negativeFillColor rgb="FF00B050"/>
              <x14:axisColor rgb="FF000000"/>
            </x14:dataBar>
          </x14:cfRule>
          <x14:cfRule type="dataBar" id="{af8a61fd-6c6e-4a4a-a184-04bf3d87b3e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e2ff8d0-3676-445d-b884-0102c86705e2}">
            <x14:dataBar minLength="0" maxLength="100" border="1" negativeBarBorderColorSameAsPositive="0">
              <x14:cfvo type="autoMin"/>
              <x14:cfvo type="autoMax"/>
              <x14:borderColor rgb="FF63C384"/>
              <x14:negativeFillColor rgb="FFFF0000"/>
              <x14:negativeBorderColor rgb="FFFF0000"/>
              <x14:axisColor rgb="FF000000"/>
            </x14:dataBar>
          </x14:cfRule>
          <xm:sqref>AD56:AX56</xm:sqref>
        </x14:conditionalFormatting>
        <x14:conditionalFormatting xmlns:xm="http://schemas.microsoft.com/office/excel/2006/main">
          <x14:cfRule type="dataBar" id="{8afcda1f-1a4c-41a8-93f0-5f2c2580e7c5}">
            <x14:dataBar minLength="0" maxLength="100">
              <x14:cfvo type="autoMin"/>
              <x14:cfvo type="autoMax"/>
              <x14:negativeFillColor rgb="FF00B050"/>
              <x14:axisColor rgb="FF000000"/>
            </x14:dataBar>
          </x14:cfRule>
          <x14:cfRule type="dataBar" id="{f1a7adb9-5b43-45cd-b6ae-c18b07793257}">
            <x14:dataBar minLength="0" maxLength="100" border="1" negativeBarBorderColorSameAsPositive="0">
              <x14:cfvo type="autoMin"/>
              <x14:cfvo type="autoMax"/>
              <x14:borderColor rgb="FF63C384"/>
              <x14:negativeFillColor rgb="FFFF0000"/>
              <x14:negativeBorderColor rgb="FFFF0000"/>
              <x14:axisColor rgb="FF000000"/>
            </x14:dataBar>
          </x14:cfRule>
          <xm:sqref>I70</xm:sqref>
        </x14:conditionalFormatting>
        <x14:conditionalFormatting xmlns:xm="http://schemas.microsoft.com/office/excel/2006/main">
          <x14:cfRule type="dataBar" id="{084fad92-6c7b-424d-9b3f-1bff33fd6d9d}">
            <x14:dataBar minLength="0" maxLength="100">
              <x14:cfvo type="autoMin"/>
              <x14:cfvo type="autoMax"/>
              <x14:negativeFillColor rgb="FF00B050"/>
              <x14:axisColor rgb="FF000000"/>
            </x14:dataBar>
          </x14:cfRule>
          <x14:cfRule type="dataBar" id="{fa1abceb-1707-4f2d-8fed-3920536430a0}">
            <x14:dataBar minLength="0" maxLength="100" border="1" negativeBarBorderColorSameAsPositive="0">
              <x14:cfvo type="autoMin"/>
              <x14:cfvo type="autoMax"/>
              <x14:borderColor rgb="FF63C384"/>
              <x14:negativeFillColor rgb="FFFF0000"/>
              <x14:negativeBorderColor rgb="FFFF0000"/>
              <x14:axisColor rgb="FF000000"/>
            </x14:dataBar>
          </x14:cfRule>
          <xm:sqref>I39:I67</xm:sqref>
        </x14:conditionalFormatting>
        <x14:conditionalFormatting xmlns:xm="http://schemas.microsoft.com/office/excel/2006/main">
          <x14:cfRule type="dataBar" id="{3472981b-026b-4e93-85f7-5b4f8811d956}">
            <x14:dataBar minLength="0" maxLength="100">
              <x14:cfvo type="autoMin"/>
              <x14:cfvo type="autoMax"/>
              <x14:negativeFillColor rgb="FF00B050"/>
              <x14:axisColor rgb="FF000000"/>
            </x14:dataBar>
          </x14:cfRule>
          <x14:cfRule type="dataBar" id="{cadf531a-c93c-4975-8db8-fddf385091b7}">
            <x14:dataBar minLength="0" maxLength="100" border="1" negativeBarBorderColorSameAsPositive="0">
              <x14:cfvo type="autoMin"/>
              <x14:cfvo type="autoMax"/>
              <x14:borderColor rgb="FF63C384"/>
              <x14:negativeFillColor rgb="FFFF0000"/>
              <x14:negativeBorderColor rgb="FFFF0000"/>
              <x14:axisColor rgb="FF000000"/>
            </x14:dataBar>
          </x14:cfRule>
          <xm:sqref>I71:I78</xm:sqref>
        </x14:conditionalFormatting>
        <x14:conditionalFormatting xmlns:xm="http://schemas.microsoft.com/office/excel/2006/main">
          <x14:cfRule type="dataBar" id="{c3b28611-b56c-4539-8db7-4bf0f2577a36}">
            <x14:dataBar minLength="0" maxLength="100" border="1" negativeBarBorderColorSameAsPositive="0">
              <x14:cfvo type="autoMin"/>
              <x14:cfvo type="autoMax"/>
              <x14:borderColor rgb="FF63C384"/>
              <x14:negativeFillColor rgb="FFFF0000"/>
              <x14:negativeBorderColor rgb="FFFF0000"/>
              <x14:axisColor rgb="FF000000"/>
            </x14:dataBar>
          </x14:cfRule>
          <xm:sqref>I37:I38 J37:R67 BI42 BH42:BH45 BH37:BI41 BB46 BB37:BG45 AX47:AX55 AX37:BA46 BJ41:BJ42 S56:AC63 BJ37:BS40 S37:AW55</xm:sqref>
        </x14:conditionalFormatting>
        <x14:conditionalFormatting xmlns:xm="http://schemas.microsoft.com/office/excel/2006/main">
          <x14:cfRule type="dataBar" id="{dece89a1-f988-4292-8d40-d6fcf2fecacb}">
            <x14:dataBar minLength="0" maxLength="100">
              <x14:cfvo type="autoMin"/>
              <x14:cfvo type="autoMax"/>
              <x14:negativeFillColor rgb="FF00B050"/>
              <x14:axisColor rgb="FF000000"/>
            </x14:dataBar>
          </x14:cfRule>
          <xm:sqref>I37:I38 J37:R67 BI42 BH42:BH45 BH37:BI41 BB46 BB37:BG45 AX47:AX55 AX37:BA46 BJ41:BJ42 S56:AC63 BJ37:BY40 S37:AW55</xm:sqref>
        </x14:conditionalFormatting>
        <x14:conditionalFormatting xmlns:xm="http://schemas.microsoft.com/office/excel/2006/main">
          <x14:cfRule type="dataBar" id="{13aeead8-7bc1-44f9-83aa-d2ec477031f8}">
            <x14:dataBar minLength="0" maxLength="100" border="1" negativeBarBorderColorSameAsPositive="0">
              <x14:cfvo type="autoMin"/>
              <x14:cfvo type="autoMax"/>
              <x14:borderColor rgb="FF63C384"/>
              <x14:negativeFillColor rgb="FFFF0000"/>
              <x14:negativeBorderColor rgb="FFFF0000"/>
              <x14:axisColor rgb="FF000000"/>
            </x14:dataBar>
          </x14:cfRule>
          <xm:sqref>J56:AC63 BJ41:BJ42 BI37:BI42 BB37:BH45 BB46 AX37:BA46 AX47:AX55 BJ37:BY40 J37:AW55 J64:R67</xm:sqref>
        </x14:conditionalFormatting>
        <x14:conditionalFormatting xmlns:xm="http://schemas.microsoft.com/office/excel/2006/main">
          <x14:cfRule type="dataBar" id="{47204209-605c-4c25-ae8c-53cf35bcd348}">
            <x14:dataBar minLength="0" maxLength="100">
              <x14:cfvo type="autoMin"/>
              <x14:cfvo type="autoMax"/>
              <x14:negativeFillColor rgb="FF00B050"/>
              <x14:axisColor rgb="FF000000"/>
            </x14:dataBar>
          </x14:cfRule>
          <x14:cfRule type="dataBar" id="{a991623e-9a46-444e-97da-a2950c5111c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64dd7c4-3bec-45e9-85df-c6dd2bacb076}">
            <x14:dataBar minLength="0" maxLength="100" border="1" negativeBarBorderColorSameAsPositive="0">
              <x14:cfvo type="autoMin"/>
              <x14:cfvo type="autoMax"/>
              <x14:borderColor rgb="FF63C384"/>
              <x14:negativeFillColor rgb="FFFF0000"/>
              <x14:negativeBorderColor rgb="FFFF0000"/>
              <x14:axisColor rgb="FF000000"/>
            </x14:dataBar>
          </x14:cfRule>
          <xm:sqref>AD57:AX63</xm:sqref>
        </x14:conditionalFormatting>
        <x14:conditionalFormatting xmlns:xm="http://schemas.microsoft.com/office/excel/2006/main">
          <x14:cfRule type="dataBar" id="{94bbcd7f-0b20-4627-a35c-59ef60696312}">
            <x14:dataBar minLength="0" maxLength="100">
              <x14:cfvo type="autoMin"/>
              <x14:cfvo type="autoMax"/>
              <x14:negativeFillColor rgb="FF00B050"/>
              <x14:axisColor rgb="FF000000"/>
            </x14:dataBar>
          </x14:cfRule>
          <x14:cfRule type="dataBar" id="{202716b2-615f-4dfc-b91f-068a4f38dce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5863ca3-8065-4233-885c-c4105dcb1755}">
            <x14:dataBar minLength="0" maxLength="100" border="1" negativeBarBorderColorSameAsPositive="0">
              <x14:cfvo type="autoMin"/>
              <x14:cfvo type="autoMax"/>
              <x14:borderColor rgb="FF63C384"/>
              <x14:negativeFillColor rgb="FFFF0000"/>
              <x14:negativeBorderColor rgb="FFFF0000"/>
              <x14:axisColor rgb="FF000000"/>
            </x14:dataBar>
          </x14:cfRule>
          <xm:sqref>S64:AC67</xm:sqref>
        </x14:conditionalFormatting>
        <x14:conditionalFormatting xmlns:xm="http://schemas.microsoft.com/office/excel/2006/main">
          <x14:cfRule type="dataBar" id="{fefec1d7-5e45-49c3-bcf4-f21d45273df5}">
            <x14:dataBar minLength="0" maxLength="100">
              <x14:cfvo type="autoMin"/>
              <x14:cfvo type="autoMax"/>
              <x14:negativeFillColor rgb="FF00B050"/>
              <x14:axisColor rgb="FF000000"/>
            </x14:dataBar>
          </x14:cfRule>
          <x14:cfRule type="dataBar" id="{2d7793cd-b557-4955-b71a-e2c2baa4f8f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fc2e418-548f-4b03-aa87-0f2d28f2ed78}">
            <x14:dataBar minLength="0" maxLength="100" border="1" negativeBarBorderColorSameAsPositive="0">
              <x14:cfvo type="autoMin"/>
              <x14:cfvo type="autoMax"/>
              <x14:borderColor rgb="FF63C384"/>
              <x14:negativeFillColor rgb="FFFF0000"/>
              <x14:negativeBorderColor rgb="FFFF0000"/>
              <x14:axisColor rgb="FF000000"/>
            </x14:dataBar>
          </x14:cfRule>
          <xm:sqref>AD64:AX67</xm:sqref>
        </x14:conditionalFormatting>
        <x14:conditionalFormatting xmlns:xm="http://schemas.microsoft.com/office/excel/2006/main">
          <x14:cfRule type="dataBar" id="{da883942-7c5d-4048-b19e-1874cfb7f8c9}">
            <x14:dataBar minLength="0" maxLength="100">
              <x14:cfvo type="autoMin"/>
              <x14:cfvo type="autoMax"/>
              <x14:negativeFillColor rgb="FF00B050"/>
              <x14:axisColor rgb="FF000000"/>
            </x14:dataBar>
          </x14:cfRule>
          <x14:cfRule type="dataBar" id="{d7d966ec-e547-4ca8-a5b2-d7ecd52793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117e640-b0f7-4d8f-a226-8230460c8a03}">
            <x14:dataBar minLength="0" maxLength="100" border="1" negativeBarBorderColorSameAsPositive="0">
              <x14:cfvo type="autoMin"/>
              <x14:cfvo type="autoMax"/>
              <x14:borderColor rgb="FF63C384"/>
              <x14:negativeFillColor rgb="FFFF0000"/>
              <x14:negativeBorderColor rgb="FFFF0000"/>
              <x14:axisColor rgb="FF000000"/>
            </x14:dataBar>
          </x14:cfRule>
          <xm:sqref>J77:S77 J78:M78 J70:T76</xm:sqref>
        </x14:conditionalFormatting>
        <x14:conditionalFormatting xmlns:xm="http://schemas.microsoft.com/office/excel/2006/main">
          <x14:cfRule type="dataBar" id="{50e02d17-775b-456b-be0a-04117108d193}">
            <x14:dataBar minLength="0" maxLength="100">
              <x14:cfvo type="autoMin"/>
              <x14:cfvo type="autoMax"/>
              <x14:negativeFillColor rgb="FF00B050"/>
              <x14:axisColor rgb="FF000000"/>
            </x14:dataBar>
          </x14:cfRule>
          <x14:cfRule type="dataBar" id="{924e0093-2d4e-4edf-83ac-f1a90c56f39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d012315-b2b3-4b47-8b2d-c53f4fe0c2fd}">
            <x14:dataBar minLength="0" maxLength="100" border="1" negativeBarBorderColorSameAsPositive="0">
              <x14:cfvo type="autoMin"/>
              <x14:cfvo type="autoMax"/>
              <x14:borderColor rgb="FF63C384"/>
              <x14:negativeFillColor rgb="FFFF0000"/>
              <x14:negativeBorderColor rgb="FFFF0000"/>
              <x14:axisColor rgb="FF000000"/>
            </x14:dataBar>
          </x14:cfRule>
          <xm:sqref>U70:AI75 U76:Y76</xm:sqref>
        </x14:conditionalFormatting>
        <x14:conditionalFormatting xmlns:xm="http://schemas.microsoft.com/office/excel/2006/main">
          <x14:cfRule type="dataBar" id="{09f09a64-56b4-43d2-9e30-0689971bc44e}">
            <x14:dataBar minLength="0" maxLength="100">
              <x14:cfvo type="autoMin"/>
              <x14:cfvo type="autoMax"/>
              <x14:negativeFillColor rgb="FF00B050"/>
              <x14:axisColor rgb="FF000000"/>
            </x14:dataBar>
          </x14:cfRule>
          <x14:cfRule type="dataBar" id="{4dc564cb-1318-47ff-b0e5-05bca854549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dc4f9b-db6a-4334-a2d7-1fbcfda92ace}">
            <x14:dataBar minLength="0" maxLength="100" border="1" negativeBarBorderColorSameAsPositive="0">
              <x14:cfvo type="autoMin"/>
              <x14:cfvo type="autoMax"/>
              <x14:borderColor rgb="FF63C384"/>
              <x14:negativeFillColor rgb="FFFF0000"/>
              <x14:negativeBorderColor rgb="FFFF0000"/>
              <x14:axisColor rgb="FF000000"/>
            </x14:dataBar>
          </x14:cfRule>
          <xm:sqref>AJ70:AK75</xm:sqref>
        </x14:conditionalFormatting>
        <x14:conditionalFormatting xmlns:xm="http://schemas.microsoft.com/office/excel/2006/main">
          <x14:cfRule type="dataBar" id="{df17a509-8d99-4d71-8aee-cbd7822ed410}">
            <x14:dataBar minLength="0" maxLength="100" border="1" negativeBarBorderColorSameAsPositive="0">
              <x14:cfvo type="autoMin"/>
              <x14:cfvo type="autoMax"/>
              <x14:borderColor rgb="FF63C384"/>
              <x14:negativeFillColor rgb="FFFF0000"/>
              <x14:negativeBorderColor rgb="FFFF0000"/>
              <x14:axisColor rgb="FF000000"/>
            </x14:dataBar>
          </x14:cfRule>
          <xm:sqref>AW70:BS73 AL70:AV74 AW74</xm:sqref>
        </x14:conditionalFormatting>
        <x14:conditionalFormatting xmlns:xm="http://schemas.microsoft.com/office/excel/2006/main">
          <x14:cfRule type="dataBar" id="{f6b1bc34-1f93-402a-a475-6f11340f09c2}">
            <x14:dataBar minLength="0" maxLength="100" border="1" negativeBarBorderColorSameAsPositive="0">
              <x14:cfvo type="autoMin"/>
              <x14:cfvo type="autoMax"/>
              <x14:borderColor rgb="FF63C384"/>
              <x14:negativeFillColor rgb="FFFF0000"/>
              <x14:negativeBorderColor rgb="FFFF0000"/>
              <x14:axisColor rgb="FF000000"/>
            </x14:dataBar>
          </x14:cfRule>
          <xm:sqref>AW70:BZ73 AL70:AV74 AW74</xm:sqref>
        </x14:conditionalFormatting>
        <x14:conditionalFormatting xmlns:xm="http://schemas.microsoft.com/office/excel/2006/main">
          <x14:cfRule type="dataBar" id="{f71ff7b2-d9a1-4edc-921f-2229f8680a72}">
            <x14:dataBar minLength="0" maxLength="100">
              <x14:cfvo type="autoMin"/>
              <x14:cfvo type="autoMax"/>
              <x14:negativeFillColor rgb="FF00B050"/>
              <x14:axisColor rgb="FF000000"/>
            </x14:dataBar>
          </x14:cfRule>
          <xm:sqref>AW70:CB73 AL70:AV74 AW74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P37"/>
  <sheetViews>
    <sheetView workbookViewId="0">
      <selection activeCell="E33" sqref="E33"/>
    </sheetView>
  </sheetViews>
  <sheetFormatPr defaultColWidth="9" defaultRowHeight="16.8"/>
  <cols>
    <col min="1" max="1" width="27" customWidth="1"/>
    <col min="2" max="2" width="42.75" customWidth="1"/>
    <col min="3" max="3" width="11" customWidth="1"/>
    <col min="4" max="4" width="9.50735294117647" customWidth="1"/>
    <col min="5" max="5" width="11" customWidth="1"/>
    <col min="6" max="6" width="12.75" customWidth="1"/>
    <col min="7" max="7" width="9.375" customWidth="1"/>
    <col min="8" max="8" width="11" customWidth="1"/>
    <col min="9" max="9" width="12.75" customWidth="1"/>
    <col min="10" max="10" width="11.125" customWidth="1"/>
  </cols>
  <sheetData>
    <row r="1" spans="1:1">
      <c r="A1" s="139">
        <f>周报!A3</f>
        <v>45961</v>
      </c>
    </row>
    <row r="2" spans="2:9">
      <c r="B2" s="140" t="s">
        <v>104</v>
      </c>
      <c r="C2" s="141" t="s">
        <v>105</v>
      </c>
      <c r="D2" s="141" t="s">
        <v>106</v>
      </c>
      <c r="E2" s="141" t="s">
        <v>86</v>
      </c>
      <c r="F2" s="141" t="s">
        <v>107</v>
      </c>
      <c r="G2" s="141" t="s">
        <v>108</v>
      </c>
      <c r="H2" s="141" t="s">
        <v>87</v>
      </c>
      <c r="I2" s="141" t="s">
        <v>85</v>
      </c>
    </row>
    <row r="3" spans="1:16">
      <c r="A3" s="5" t="s">
        <v>43</v>
      </c>
      <c r="B3" s="142" t="s">
        <v>109</v>
      </c>
      <c r="C3" s="143">
        <v>6181714.39</v>
      </c>
      <c r="D3" s="144">
        <v>1.0515</v>
      </c>
      <c r="E3" s="143">
        <v>6500000</v>
      </c>
      <c r="F3" s="144">
        <v>7.3164</v>
      </c>
      <c r="G3" s="145">
        <v>1.057</v>
      </c>
      <c r="H3" s="143">
        <v>6534072.11</v>
      </c>
      <c r="I3" s="144">
        <v>7.3547</v>
      </c>
      <c r="J3" s="143">
        <v>34072.11</v>
      </c>
      <c r="K3" s="142" t="s">
        <v>110</v>
      </c>
      <c r="L3" s="146"/>
      <c r="M3" s="146"/>
      <c r="N3" s="146"/>
      <c r="O3" s="146"/>
      <c r="P3" s="146"/>
    </row>
    <row r="4" spans="1:16">
      <c r="A4" s="5" t="s">
        <v>55</v>
      </c>
      <c r="B4" s="142" t="s">
        <v>111</v>
      </c>
      <c r="C4" s="143">
        <v>2988047.81</v>
      </c>
      <c r="D4" s="144">
        <v>1.004</v>
      </c>
      <c r="E4" s="143">
        <v>3000000</v>
      </c>
      <c r="F4" s="144">
        <v>3.3768</v>
      </c>
      <c r="G4" s="145">
        <v>1.0292</v>
      </c>
      <c r="H4" s="143">
        <v>3075298.81</v>
      </c>
      <c r="I4" s="144">
        <v>3.4615</v>
      </c>
      <c r="J4" s="143">
        <v>75298.81</v>
      </c>
      <c r="K4" s="142" t="s">
        <v>110</v>
      </c>
      <c r="L4" s="146"/>
      <c r="M4" s="146"/>
      <c r="N4" s="146"/>
      <c r="O4" s="146"/>
      <c r="P4" s="146"/>
    </row>
    <row r="5" spans="1:16">
      <c r="A5" s="5" t="s">
        <v>51</v>
      </c>
      <c r="B5" s="142" t="s">
        <v>112</v>
      </c>
      <c r="C5" s="143">
        <v>4732536.05</v>
      </c>
      <c r="D5" s="144">
        <v>1.0776</v>
      </c>
      <c r="E5" s="143">
        <v>5100000</v>
      </c>
      <c r="F5" s="144">
        <v>5.7405</v>
      </c>
      <c r="G5" s="145">
        <v>1.1243</v>
      </c>
      <c r="H5" s="143">
        <v>5320790.28</v>
      </c>
      <c r="I5" s="144">
        <v>5.9891</v>
      </c>
      <c r="J5" s="143">
        <v>220790.28</v>
      </c>
      <c r="K5" s="142" t="s">
        <v>110</v>
      </c>
      <c r="L5" s="146"/>
      <c r="M5" s="146"/>
      <c r="N5" s="146"/>
      <c r="O5" s="146"/>
      <c r="P5" s="146"/>
    </row>
    <row r="6" spans="1:16">
      <c r="A6" s="5" t="s">
        <v>47</v>
      </c>
      <c r="B6" s="142" t="s">
        <v>113</v>
      </c>
      <c r="C6" s="143">
        <v>4949500.06</v>
      </c>
      <c r="D6" s="144">
        <v>1.0102</v>
      </c>
      <c r="E6" s="143">
        <v>5000000</v>
      </c>
      <c r="F6" s="144">
        <v>5.628</v>
      </c>
      <c r="G6" s="145">
        <v>1.0716</v>
      </c>
      <c r="H6" s="143">
        <v>5303884.26</v>
      </c>
      <c r="I6" s="144">
        <v>5.97</v>
      </c>
      <c r="J6" s="143">
        <v>303884.26</v>
      </c>
      <c r="K6" s="142" t="s">
        <v>110</v>
      </c>
      <c r="L6" s="146"/>
      <c r="M6" s="146"/>
      <c r="N6" s="146"/>
      <c r="O6" s="146"/>
      <c r="P6" s="146"/>
    </row>
    <row r="7" spans="1:16">
      <c r="A7" s="5" t="s">
        <v>58</v>
      </c>
      <c r="B7" s="142" t="s">
        <v>114</v>
      </c>
      <c r="C7" s="143">
        <v>2856326.76</v>
      </c>
      <c r="D7" s="144">
        <v>1.0503</v>
      </c>
      <c r="E7" s="143">
        <v>3000000</v>
      </c>
      <c r="F7" s="144">
        <v>3.3768</v>
      </c>
      <c r="G7" s="145">
        <v>1.1037</v>
      </c>
      <c r="H7" s="143">
        <v>3152527.85</v>
      </c>
      <c r="I7" s="144">
        <v>3.5485</v>
      </c>
      <c r="J7" s="143">
        <v>152527.85</v>
      </c>
      <c r="K7" s="142" t="s">
        <v>110</v>
      </c>
      <c r="L7" s="146"/>
      <c r="M7" s="146"/>
      <c r="N7" s="146"/>
      <c r="O7" s="146"/>
      <c r="P7" s="146"/>
    </row>
    <row r="8" spans="1:16">
      <c r="A8" s="5" t="s">
        <v>53</v>
      </c>
      <c r="B8" s="142" t="s">
        <v>115</v>
      </c>
      <c r="C8" s="143">
        <v>6723871.64</v>
      </c>
      <c r="D8" s="144">
        <v>1.0559</v>
      </c>
      <c r="E8" s="143">
        <v>7100000</v>
      </c>
      <c r="F8" s="144">
        <v>7.9917</v>
      </c>
      <c r="G8" s="145">
        <v>1.1573</v>
      </c>
      <c r="H8" s="143">
        <v>7781536.65</v>
      </c>
      <c r="I8" s="144">
        <v>8.7589</v>
      </c>
      <c r="J8" s="143">
        <v>681536.65</v>
      </c>
      <c r="K8" s="142" t="s">
        <v>110</v>
      </c>
      <c r="L8" s="146"/>
      <c r="M8" s="146"/>
      <c r="N8" s="146"/>
      <c r="O8" s="146"/>
      <c r="P8" s="146"/>
    </row>
    <row r="9" spans="1:16">
      <c r="A9" s="5" t="s">
        <v>59</v>
      </c>
      <c r="B9" s="142" t="s">
        <v>116</v>
      </c>
      <c r="C9" s="143">
        <v>2004409.7</v>
      </c>
      <c r="D9" s="144">
        <v>0.9978</v>
      </c>
      <c r="E9" s="143">
        <v>2000000</v>
      </c>
      <c r="F9" s="144">
        <v>2.2512</v>
      </c>
      <c r="G9" s="145">
        <v>1.0784</v>
      </c>
      <c r="H9" s="143">
        <v>2161555.42</v>
      </c>
      <c r="I9" s="144">
        <v>2.433</v>
      </c>
      <c r="J9" s="143">
        <v>161555.42</v>
      </c>
      <c r="K9" s="142" t="s">
        <v>110</v>
      </c>
      <c r="L9" s="146"/>
      <c r="M9" s="146"/>
      <c r="N9" s="146"/>
      <c r="O9" s="146"/>
      <c r="P9" s="146"/>
    </row>
    <row r="10" spans="1:16">
      <c r="A10" s="5" t="s">
        <v>65</v>
      </c>
      <c r="B10" s="142" t="s">
        <v>117</v>
      </c>
      <c r="C10" s="143">
        <v>4510730.55</v>
      </c>
      <c r="D10" s="144">
        <v>0.9976</v>
      </c>
      <c r="E10" s="143">
        <v>4500000</v>
      </c>
      <c r="F10" s="144">
        <v>5.0652</v>
      </c>
      <c r="G10" s="145">
        <v>0.9566</v>
      </c>
      <c r="H10" s="143">
        <v>4314964.84</v>
      </c>
      <c r="I10" s="144">
        <v>4.8569</v>
      </c>
      <c r="J10" s="143">
        <v>-185035.16</v>
      </c>
      <c r="K10" s="142" t="s">
        <v>110</v>
      </c>
      <c r="L10" s="146"/>
      <c r="M10" s="146"/>
      <c r="N10" s="146"/>
      <c r="O10" s="146"/>
      <c r="P10" s="146"/>
    </row>
    <row r="11" spans="1:16">
      <c r="A11" s="5" t="s">
        <v>61</v>
      </c>
      <c r="B11" s="142" t="s">
        <v>118</v>
      </c>
      <c r="C11" s="143">
        <v>1493131.59</v>
      </c>
      <c r="D11" s="144">
        <v>1.0046</v>
      </c>
      <c r="E11" s="143">
        <v>1500000</v>
      </c>
      <c r="F11" s="144">
        <v>1.6884</v>
      </c>
      <c r="G11" s="145">
        <v>1.0014</v>
      </c>
      <c r="H11" s="143">
        <v>1495221.97</v>
      </c>
      <c r="I11" s="144">
        <v>1.683</v>
      </c>
      <c r="J11" s="143">
        <v>-4778.03</v>
      </c>
      <c r="K11" s="142" t="s">
        <v>110</v>
      </c>
      <c r="L11" s="146"/>
      <c r="M11" s="146"/>
      <c r="N11" s="146"/>
      <c r="O11" s="146"/>
      <c r="P11" s="146"/>
    </row>
    <row r="12" spans="1:16">
      <c r="A12" s="5" t="s">
        <v>62</v>
      </c>
      <c r="B12" s="142" t="s">
        <v>119</v>
      </c>
      <c r="C12" s="143">
        <v>1502102.94</v>
      </c>
      <c r="D12" s="144">
        <v>0.9986</v>
      </c>
      <c r="E12" s="143">
        <v>1500000</v>
      </c>
      <c r="F12" s="144">
        <v>1.6884</v>
      </c>
      <c r="G12" s="145">
        <v>0.996</v>
      </c>
      <c r="H12" s="143">
        <v>1496094.53</v>
      </c>
      <c r="I12" s="144">
        <v>1.684</v>
      </c>
      <c r="J12" s="143">
        <v>-3905.47</v>
      </c>
      <c r="K12" s="142" t="s">
        <v>110</v>
      </c>
      <c r="L12" s="146"/>
      <c r="M12" s="146"/>
      <c r="N12" s="146"/>
      <c r="O12" s="146"/>
      <c r="P12" s="146"/>
    </row>
    <row r="13" spans="1:16">
      <c r="A13" s="5" t="s">
        <v>68</v>
      </c>
      <c r="B13" s="142" t="s">
        <v>120</v>
      </c>
      <c r="C13" s="143">
        <v>3124674.51</v>
      </c>
      <c r="D13" s="144">
        <v>0.9601</v>
      </c>
      <c r="E13" s="143">
        <v>3000000</v>
      </c>
      <c r="F13" s="144">
        <v>3.3768</v>
      </c>
      <c r="G13" s="145">
        <v>0.9625</v>
      </c>
      <c r="H13" s="143">
        <v>3007499.22</v>
      </c>
      <c r="I13" s="144">
        <v>3.3852</v>
      </c>
      <c r="J13" s="143">
        <v>7499.22</v>
      </c>
      <c r="K13" s="142" t="s">
        <v>110</v>
      </c>
      <c r="L13" s="146"/>
      <c r="M13" s="146"/>
      <c r="N13" s="146"/>
      <c r="O13" s="146"/>
      <c r="P13" s="146"/>
    </row>
    <row r="14" spans="1:16">
      <c r="A14" s="5" t="s">
        <v>69</v>
      </c>
      <c r="B14" s="142" t="s">
        <v>121</v>
      </c>
      <c r="C14" s="143">
        <v>2405388.07</v>
      </c>
      <c r="D14" s="144">
        <v>1.2472</v>
      </c>
      <c r="E14" s="143">
        <v>3000000</v>
      </c>
      <c r="F14" s="144">
        <v>3.3768</v>
      </c>
      <c r="G14" s="145">
        <v>1.2488</v>
      </c>
      <c r="H14" s="143">
        <v>3003848.62</v>
      </c>
      <c r="I14" s="144">
        <v>3.3811</v>
      </c>
      <c r="J14" s="143">
        <v>3848.62</v>
      </c>
      <c r="K14" s="142" t="s">
        <v>110</v>
      </c>
      <c r="L14" s="146"/>
      <c r="M14" s="146"/>
      <c r="N14" s="146"/>
      <c r="O14" s="146"/>
      <c r="P14" s="146"/>
    </row>
    <row r="15" spans="1:16">
      <c r="A15" s="5" t="s">
        <v>67</v>
      </c>
      <c r="B15" s="142" t="s">
        <v>122</v>
      </c>
      <c r="C15" s="143">
        <v>2324035.26</v>
      </c>
      <c r="D15" s="144">
        <v>1.2909</v>
      </c>
      <c r="E15" s="143">
        <v>3000000</v>
      </c>
      <c r="F15" s="144">
        <v>3.3768</v>
      </c>
      <c r="G15" s="145">
        <v>1.2997</v>
      </c>
      <c r="H15" s="143">
        <v>3020548.63</v>
      </c>
      <c r="I15" s="144">
        <v>3.3999</v>
      </c>
      <c r="J15" s="143">
        <v>20548.63</v>
      </c>
      <c r="K15" s="142" t="s">
        <v>110</v>
      </c>
      <c r="L15" s="146"/>
      <c r="M15" s="146"/>
      <c r="N15" s="146"/>
      <c r="O15" s="146"/>
      <c r="P15" s="146"/>
    </row>
    <row r="16" spans="1:16">
      <c r="A16" s="5" t="s">
        <v>44</v>
      </c>
      <c r="B16" s="142" t="s">
        <v>123</v>
      </c>
      <c r="C16" s="143">
        <v>1881951.25</v>
      </c>
      <c r="D16" s="144">
        <v>1.0627</v>
      </c>
      <c r="E16" s="143">
        <v>2000000</v>
      </c>
      <c r="F16" s="144">
        <v>2.2512</v>
      </c>
      <c r="G16" s="145">
        <v>1.1578</v>
      </c>
      <c r="H16" s="143">
        <v>2178923.16</v>
      </c>
      <c r="I16" s="144">
        <v>2.4526</v>
      </c>
      <c r="J16" s="143">
        <v>178923.16</v>
      </c>
      <c r="K16" s="142" t="s">
        <v>110</v>
      </c>
      <c r="L16" s="146"/>
      <c r="M16" s="146"/>
      <c r="N16" s="146"/>
      <c r="O16" s="146"/>
      <c r="P16" s="146"/>
    </row>
    <row r="17" spans="1:16">
      <c r="A17" s="5" t="s">
        <v>63</v>
      </c>
      <c r="B17" s="142" t="s">
        <v>124</v>
      </c>
      <c r="C17" s="143">
        <v>3973931.01</v>
      </c>
      <c r="D17" s="144">
        <v>1.2582</v>
      </c>
      <c r="E17" s="143">
        <v>5000000</v>
      </c>
      <c r="F17" s="144">
        <v>5.628</v>
      </c>
      <c r="G17" s="145">
        <v>1.2472</v>
      </c>
      <c r="H17" s="143">
        <v>4956286.76</v>
      </c>
      <c r="I17" s="144">
        <v>5.5788</v>
      </c>
      <c r="J17" s="143">
        <v>-43713.24</v>
      </c>
      <c r="K17" s="142" t="s">
        <v>110</v>
      </c>
      <c r="L17" s="146"/>
      <c r="M17" s="146"/>
      <c r="N17" s="146"/>
      <c r="O17" s="146"/>
      <c r="P17" s="146"/>
    </row>
    <row r="18" spans="1:16">
      <c r="A18" s="5" t="s">
        <v>41</v>
      </c>
      <c r="B18" s="142" t="s">
        <v>125</v>
      </c>
      <c r="C18" s="143">
        <v>3560039.24</v>
      </c>
      <c r="D18" s="144">
        <v>1.4045</v>
      </c>
      <c r="E18" s="143">
        <v>5000000</v>
      </c>
      <c r="F18" s="144">
        <v>5.628</v>
      </c>
      <c r="G18" s="145">
        <v>1.7657</v>
      </c>
      <c r="H18" s="143">
        <v>6285961.29</v>
      </c>
      <c r="I18" s="144">
        <v>7.0755</v>
      </c>
      <c r="J18" s="143">
        <v>1285961.29</v>
      </c>
      <c r="K18" s="142" t="s">
        <v>110</v>
      </c>
      <c r="L18" s="146"/>
      <c r="M18" s="146"/>
      <c r="N18" s="146"/>
      <c r="O18" s="146"/>
      <c r="P18" s="146"/>
    </row>
    <row r="19" spans="1:16">
      <c r="A19" s="5" t="s">
        <v>39</v>
      </c>
      <c r="B19" s="142" t="s">
        <v>126</v>
      </c>
      <c r="C19" s="143">
        <v>5738096.16</v>
      </c>
      <c r="D19" s="144">
        <v>1.0494</v>
      </c>
      <c r="E19" s="143">
        <v>6021518.41</v>
      </c>
      <c r="F19" s="144">
        <v>6.7778</v>
      </c>
      <c r="G19" s="145">
        <v>1.109406</v>
      </c>
      <c r="H19" s="143">
        <v>6365878.31</v>
      </c>
      <c r="I19" s="144">
        <v>7.1654</v>
      </c>
      <c r="J19" s="143">
        <v>344359.9</v>
      </c>
      <c r="K19" s="142" t="s">
        <v>110</v>
      </c>
      <c r="L19" s="146"/>
      <c r="M19" s="146"/>
      <c r="N19" s="146"/>
      <c r="O19" s="146"/>
      <c r="P19" s="146"/>
    </row>
    <row r="20" spans="1:16">
      <c r="A20" s="5" t="s">
        <v>66</v>
      </c>
      <c r="B20" s="142" t="s">
        <v>127</v>
      </c>
      <c r="C20" s="143">
        <v>2760683.27</v>
      </c>
      <c r="D20" s="144">
        <v>1.7387</v>
      </c>
      <c r="E20" s="143">
        <v>4800000</v>
      </c>
      <c r="F20" s="144">
        <v>5.4029</v>
      </c>
      <c r="G20" s="145">
        <v>1.7275</v>
      </c>
      <c r="H20" s="143">
        <v>4769080.35</v>
      </c>
      <c r="I20" s="144">
        <v>5.3681</v>
      </c>
      <c r="J20" s="143">
        <v>-30919.65</v>
      </c>
      <c r="K20" s="142" t="s">
        <v>110</v>
      </c>
      <c r="L20" s="146"/>
      <c r="M20" s="146"/>
      <c r="N20" s="146"/>
      <c r="O20" s="146"/>
      <c r="P20" s="146"/>
    </row>
    <row r="21" spans="1:16">
      <c r="A21" s="5" t="s">
        <v>50</v>
      </c>
      <c r="B21" s="142" t="s">
        <v>128</v>
      </c>
      <c r="C21" s="143">
        <v>2148204.76</v>
      </c>
      <c r="D21" s="144">
        <v>0.931</v>
      </c>
      <c r="E21" s="143">
        <v>2000000</v>
      </c>
      <c r="F21" s="144">
        <v>2.2512</v>
      </c>
      <c r="G21" s="145">
        <v>1.0547</v>
      </c>
      <c r="H21" s="143">
        <v>2265711.56</v>
      </c>
      <c r="I21" s="144">
        <v>2.5503</v>
      </c>
      <c r="J21" s="143">
        <v>265711.56</v>
      </c>
      <c r="K21" s="142" t="s">
        <v>110</v>
      </c>
      <c r="L21" s="146"/>
      <c r="M21" s="146"/>
      <c r="N21" s="146"/>
      <c r="O21" s="146"/>
      <c r="P21" s="146"/>
    </row>
    <row r="22" spans="1:16">
      <c r="A22" s="5" t="s">
        <v>60</v>
      </c>
      <c r="B22" s="142" t="s">
        <v>129</v>
      </c>
      <c r="C22" s="143">
        <v>2284495.89</v>
      </c>
      <c r="D22" s="144">
        <v>1.3132</v>
      </c>
      <c r="E22" s="143">
        <v>3000000</v>
      </c>
      <c r="F22" s="144">
        <v>3.3768</v>
      </c>
      <c r="G22" s="145">
        <v>1.33424</v>
      </c>
      <c r="H22" s="143">
        <v>3048065.8</v>
      </c>
      <c r="I22" s="144">
        <v>3.4309</v>
      </c>
      <c r="J22" s="143">
        <v>48065.8</v>
      </c>
      <c r="K22" s="142" t="s">
        <v>110</v>
      </c>
      <c r="L22" s="146"/>
      <c r="M22" s="146"/>
      <c r="N22" s="146"/>
      <c r="O22" s="146"/>
      <c r="P22" s="146"/>
    </row>
    <row r="23" spans="1:12">
      <c r="A23" s="5" t="s">
        <v>54</v>
      </c>
      <c r="B23" s="142" t="s">
        <v>130</v>
      </c>
      <c r="C23" s="143">
        <v>3129998.08</v>
      </c>
      <c r="D23" s="144">
        <v>1.0919</v>
      </c>
      <c r="E23" s="143">
        <v>3417520.68</v>
      </c>
      <c r="F23" s="144">
        <v>3.8468</v>
      </c>
      <c r="G23" s="145">
        <v>0.995</v>
      </c>
      <c r="H23" s="143">
        <v>3114348.09</v>
      </c>
      <c r="I23" s="144">
        <v>3.5055</v>
      </c>
      <c r="J23" s="143">
        <v>-303172.59</v>
      </c>
      <c r="K23" s="142" t="s">
        <v>110</v>
      </c>
      <c r="L23" s="147"/>
    </row>
    <row r="24" spans="1:12">
      <c r="A24" s="5" t="s">
        <v>48</v>
      </c>
      <c r="B24" s="142" t="s">
        <v>131</v>
      </c>
      <c r="C24" s="143">
        <v>1830877.24</v>
      </c>
      <c r="D24" s="144">
        <v>1.6386</v>
      </c>
      <c r="E24" s="143">
        <v>3000000</v>
      </c>
      <c r="F24" s="144">
        <v>3.3768</v>
      </c>
      <c r="G24" s="145">
        <v>1.7592</v>
      </c>
      <c r="H24" s="143">
        <v>3220879.24</v>
      </c>
      <c r="I24" s="144">
        <v>3.6254</v>
      </c>
      <c r="J24" s="143">
        <v>220879.24</v>
      </c>
      <c r="K24" s="142" t="s">
        <v>110</v>
      </c>
      <c r="L24" s="147"/>
    </row>
    <row r="30" spans="2:2">
      <c r="B30" s="5"/>
    </row>
    <row r="31" spans="2:2">
      <c r="B31" s="5"/>
    </row>
    <row r="32" spans="2:2">
      <c r="B32" s="5"/>
    </row>
    <row r="33" spans="2:2">
      <c r="B33" s="5"/>
    </row>
    <row r="34" spans="2:2">
      <c r="B34" s="5"/>
    </row>
    <row r="35" spans="2:2">
      <c r="B35" s="5"/>
    </row>
    <row r="36" spans="2:2">
      <c r="B36" s="5"/>
    </row>
    <row r="37" spans="2:2">
      <c r="B37" s="5"/>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C000"/>
  </sheetPr>
  <dimension ref="A1:X57"/>
  <sheetViews>
    <sheetView zoomScale="69" zoomScaleNormal="69" workbookViewId="0">
      <selection activeCell="I22" sqref="I22"/>
    </sheetView>
  </sheetViews>
  <sheetFormatPr defaultColWidth="9" defaultRowHeight="16.8"/>
  <cols>
    <col min="1" max="1" width="13" customWidth="1"/>
    <col min="2" max="2" width="42.375" customWidth="1"/>
    <col min="3" max="3" width="16.375" customWidth="1"/>
    <col min="4" max="4" width="42.875" customWidth="1"/>
    <col min="5" max="5" width="13" customWidth="1"/>
    <col min="6" max="6" width="15.875" customWidth="1"/>
    <col min="7" max="7" width="10.75" customWidth="1"/>
    <col min="8" max="8" width="17.75" customWidth="1"/>
    <col min="9" max="9" width="15.5073529411765" style="13" customWidth="1"/>
    <col min="10" max="10" width="17.25" customWidth="1"/>
    <col min="18" max="18" width="19.125" customWidth="1"/>
  </cols>
  <sheetData>
    <row r="1" ht="23.2" spans="1:18">
      <c r="A1" s="88" t="s">
        <v>132</v>
      </c>
      <c r="B1" s="89"/>
      <c r="C1" s="89"/>
      <c r="D1" s="89"/>
      <c r="E1" s="89"/>
      <c r="F1" s="89"/>
      <c r="G1" s="89"/>
      <c r="H1" s="89"/>
      <c r="I1" s="14"/>
      <c r="J1" s="89"/>
      <c r="K1" s="89"/>
      <c r="L1" s="89"/>
      <c r="M1" s="89"/>
      <c r="N1" s="89"/>
      <c r="O1" s="89"/>
      <c r="P1" s="89"/>
      <c r="Q1" s="89"/>
      <c r="R1" s="89"/>
    </row>
    <row r="2" ht="24" customHeight="1" spans="1:18">
      <c r="A2" s="90" t="s">
        <v>78</v>
      </c>
      <c r="B2" s="91">
        <f>业绩归因!$C$1</f>
        <v>45961</v>
      </c>
      <c r="C2" s="89"/>
      <c r="D2" s="89"/>
      <c r="E2" s="89"/>
      <c r="F2" s="89"/>
      <c r="G2" s="89"/>
      <c r="H2" s="89"/>
      <c r="I2" s="14"/>
      <c r="J2" s="89"/>
      <c r="K2" s="89"/>
      <c r="L2" s="89"/>
      <c r="M2" s="89"/>
      <c r="N2" s="89"/>
      <c r="O2" s="89"/>
      <c r="P2" s="89"/>
      <c r="Q2" s="89"/>
      <c r="R2" s="89"/>
    </row>
    <row r="3" ht="17.6" spans="1:24">
      <c r="A3" s="92" t="s">
        <v>133</v>
      </c>
      <c r="B3" s="93"/>
      <c r="C3" s="94"/>
      <c r="D3" s="94"/>
      <c r="E3" s="94"/>
      <c r="F3" s="94"/>
      <c r="G3" s="94"/>
      <c r="H3" s="94"/>
      <c r="I3" s="127"/>
      <c r="J3" s="94"/>
      <c r="K3" s="94"/>
      <c r="L3" s="94"/>
      <c r="M3" s="94"/>
      <c r="N3" s="94"/>
      <c r="O3" s="136"/>
      <c r="P3" s="94"/>
      <c r="Q3" s="94"/>
      <c r="R3" s="94"/>
      <c r="S3" s="106"/>
      <c r="T3" s="106"/>
      <c r="U3" s="106"/>
      <c r="V3" s="106"/>
      <c r="W3" s="106"/>
      <c r="X3" s="106"/>
    </row>
    <row r="4" ht="17.6" spans="1:24">
      <c r="A4" s="95" t="s">
        <v>134</v>
      </c>
      <c r="B4" s="96" t="s">
        <v>135</v>
      </c>
      <c r="C4" s="97"/>
      <c r="D4" s="97"/>
      <c r="E4" s="105"/>
      <c r="F4" s="114"/>
      <c r="G4" s="97" t="s">
        <v>136</v>
      </c>
      <c r="H4" s="114"/>
      <c r="I4" s="128" t="s">
        <v>137</v>
      </c>
      <c r="J4" s="94"/>
      <c r="K4" s="129" t="s">
        <v>83</v>
      </c>
      <c r="L4" s="130"/>
      <c r="M4" s="130"/>
      <c r="N4" s="129" t="s">
        <v>138</v>
      </c>
      <c r="O4" s="130"/>
      <c r="P4" s="130"/>
      <c r="Q4" s="137"/>
      <c r="R4" s="138" t="s">
        <v>139</v>
      </c>
      <c r="S4" s="106"/>
      <c r="T4" s="106"/>
      <c r="U4" s="106"/>
      <c r="V4" s="106"/>
      <c r="W4" s="106"/>
      <c r="X4" s="106"/>
    </row>
    <row r="5" ht="17.6" spans="1:24">
      <c r="A5" s="98" t="s">
        <v>140</v>
      </c>
      <c r="B5" s="99" t="s">
        <v>22</v>
      </c>
      <c r="C5" s="100"/>
      <c r="D5" s="100"/>
      <c r="E5" s="105"/>
      <c r="F5" s="114"/>
      <c r="G5" s="105" t="s">
        <v>141</v>
      </c>
      <c r="H5" s="114"/>
      <c r="I5" s="131" t="str">
        <f>VLOOKUP(B2,启后私享1号FOF周净值!A:M,11)</f>
        <v>否</v>
      </c>
      <c r="J5" s="94"/>
      <c r="K5" s="132" t="s">
        <v>142</v>
      </c>
      <c r="L5" s="133"/>
      <c r="M5" s="133"/>
      <c r="N5" s="133" t="s">
        <v>70</v>
      </c>
      <c r="O5" s="133"/>
      <c r="P5" s="133"/>
      <c r="Q5" s="133"/>
      <c r="R5" s="137" t="s">
        <v>143</v>
      </c>
      <c r="S5" s="106"/>
      <c r="T5" s="106"/>
      <c r="U5" s="106"/>
      <c r="V5" s="106"/>
      <c r="W5" s="106"/>
      <c r="X5" s="106"/>
    </row>
    <row r="6" ht="17.6" spans="1:24">
      <c r="A6" s="101"/>
      <c r="B6" s="102" t="s">
        <v>3</v>
      </c>
      <c r="C6" s="94"/>
      <c r="D6" s="94"/>
      <c r="E6" s="105"/>
      <c r="F6" s="114"/>
      <c r="G6" s="94" t="s">
        <v>144</v>
      </c>
      <c r="H6" s="115"/>
      <c r="I6" s="131" t="str">
        <f>VLOOKUP(B2,启后私享1号FOF周净值!A:M,12)</f>
        <v>否</v>
      </c>
      <c r="J6" s="94"/>
      <c r="K6" s="102" t="s">
        <v>145</v>
      </c>
      <c r="L6" s="94"/>
      <c r="M6" s="94"/>
      <c r="N6" s="94" t="s">
        <v>71</v>
      </c>
      <c r="O6" s="94"/>
      <c r="P6" s="94"/>
      <c r="Q6" s="94"/>
      <c r="R6" s="115" t="s">
        <v>143</v>
      </c>
      <c r="S6" s="106"/>
      <c r="T6" s="106"/>
      <c r="U6" s="106"/>
      <c r="V6" s="106"/>
      <c r="W6" s="106"/>
      <c r="X6" s="106"/>
    </row>
    <row r="7" ht="17.6" spans="1:24">
      <c r="A7" s="103"/>
      <c r="B7" s="104" t="s">
        <v>146</v>
      </c>
      <c r="C7" s="105"/>
      <c r="D7" s="105"/>
      <c r="E7" s="105"/>
      <c r="F7" s="114"/>
      <c r="G7" s="105" t="s">
        <v>147</v>
      </c>
      <c r="H7" s="114"/>
      <c r="I7" s="131" t="str">
        <f>VLOOKUP(B2,启后私享1号FOF周净值!A:M,13)</f>
        <v>否</v>
      </c>
      <c r="J7" s="94"/>
      <c r="K7" s="102" t="s">
        <v>148</v>
      </c>
      <c r="L7" s="94"/>
      <c r="M7" s="94"/>
      <c r="N7" s="94" t="s">
        <v>72</v>
      </c>
      <c r="O7" s="94"/>
      <c r="P7" s="94"/>
      <c r="Q7" s="94"/>
      <c r="R7" s="115" t="s">
        <v>143</v>
      </c>
      <c r="S7" s="106"/>
      <c r="T7" s="106"/>
      <c r="U7" s="106"/>
      <c r="V7" s="106"/>
      <c r="W7" s="106"/>
      <c r="X7" s="106"/>
    </row>
    <row r="8" ht="17.6" spans="1:24">
      <c r="A8" s="98" t="s">
        <v>84</v>
      </c>
      <c r="B8" s="102" t="s">
        <v>149</v>
      </c>
      <c r="C8" s="94"/>
      <c r="D8" s="94"/>
      <c r="E8" s="105"/>
      <c r="F8" s="114"/>
      <c r="G8" s="94" t="s">
        <v>150</v>
      </c>
      <c r="H8" s="115"/>
      <c r="I8" s="131" t="s">
        <v>151</v>
      </c>
      <c r="J8" s="94"/>
      <c r="K8" s="102" t="s">
        <v>152</v>
      </c>
      <c r="L8" s="94"/>
      <c r="M8" s="94"/>
      <c r="N8" s="94" t="s">
        <v>153</v>
      </c>
      <c r="O8" s="94"/>
      <c r="P8" s="94"/>
      <c r="Q8" s="94"/>
      <c r="R8" s="115" t="s">
        <v>143</v>
      </c>
      <c r="S8" s="106"/>
      <c r="T8" s="106"/>
      <c r="U8" s="106"/>
      <c r="V8" s="106"/>
      <c r="W8" s="106"/>
      <c r="X8" s="106"/>
    </row>
    <row r="9" ht="17.6" spans="1:24">
      <c r="A9" s="101"/>
      <c r="B9" s="104" t="s">
        <v>154</v>
      </c>
      <c r="C9" s="105"/>
      <c r="D9" s="105"/>
      <c r="E9" s="105"/>
      <c r="F9" s="114"/>
      <c r="G9" s="105" t="s">
        <v>155</v>
      </c>
      <c r="H9" s="114"/>
      <c r="I9" s="131" t="s">
        <v>151</v>
      </c>
      <c r="J9" s="94"/>
      <c r="K9" s="102" t="s">
        <v>156</v>
      </c>
      <c r="L9" s="94"/>
      <c r="M9" s="94"/>
      <c r="N9" s="94" t="s">
        <v>157</v>
      </c>
      <c r="O9" s="94"/>
      <c r="P9" s="94"/>
      <c r="Q9" s="94"/>
      <c r="R9" s="115"/>
      <c r="S9" s="106"/>
      <c r="T9" s="106"/>
      <c r="U9" s="106"/>
      <c r="V9" s="106"/>
      <c r="W9" s="106"/>
      <c r="X9" s="106"/>
    </row>
    <row r="10" ht="17.6" spans="1:24">
      <c r="A10" s="103"/>
      <c r="B10" s="99" t="s">
        <v>158</v>
      </c>
      <c r="C10" s="100"/>
      <c r="D10" s="100"/>
      <c r="E10" s="100"/>
      <c r="F10" s="116"/>
      <c r="G10" s="100" t="s">
        <v>159</v>
      </c>
      <c r="H10" s="116"/>
      <c r="I10" s="131" t="s">
        <v>151</v>
      </c>
      <c r="J10" s="94"/>
      <c r="K10" s="99" t="s">
        <v>160</v>
      </c>
      <c r="L10" s="100"/>
      <c r="M10" s="100"/>
      <c r="N10" s="100" t="s">
        <v>161</v>
      </c>
      <c r="O10" s="100"/>
      <c r="P10" s="100"/>
      <c r="Q10" s="100"/>
      <c r="R10" s="116"/>
      <c r="S10" s="106"/>
      <c r="T10" s="106"/>
      <c r="U10" s="106"/>
      <c r="V10" s="106"/>
      <c r="W10" s="106"/>
      <c r="X10" s="106"/>
    </row>
    <row r="11" ht="17.6" spans="1:24">
      <c r="A11" s="94"/>
      <c r="B11" s="94"/>
      <c r="C11" s="94"/>
      <c r="D11" s="94"/>
      <c r="E11" s="94"/>
      <c r="F11" s="94"/>
      <c r="G11" s="94"/>
      <c r="H11" s="94"/>
      <c r="I11" s="127"/>
      <c r="J11" s="94"/>
      <c r="K11" s="94"/>
      <c r="L11" s="94"/>
      <c r="M11" s="94"/>
      <c r="N11" s="94"/>
      <c r="O11" s="94"/>
      <c r="P11" s="94"/>
      <c r="Q11" s="94"/>
      <c r="R11" s="94"/>
      <c r="S11" s="106"/>
      <c r="T11" s="106"/>
      <c r="U11" s="106"/>
      <c r="V11" s="106"/>
      <c r="W11" s="106"/>
      <c r="X11" s="106"/>
    </row>
    <row r="12" ht="17.6" spans="1:24">
      <c r="A12" s="106"/>
      <c r="B12" s="106"/>
      <c r="C12" s="106"/>
      <c r="D12" s="106"/>
      <c r="E12" s="106"/>
      <c r="F12" s="106"/>
      <c r="G12" s="117" t="s">
        <v>162</v>
      </c>
      <c r="H12" s="117"/>
      <c r="I12" s="117"/>
      <c r="J12" s="117"/>
      <c r="K12" s="117"/>
      <c r="L12" s="117"/>
      <c r="M12" s="117"/>
      <c r="N12" s="117"/>
      <c r="O12" s="117"/>
      <c r="P12" s="117"/>
      <c r="Q12" s="117"/>
      <c r="R12" s="106"/>
      <c r="S12" s="106"/>
      <c r="T12" s="106"/>
      <c r="U12" s="106"/>
      <c r="V12" s="106"/>
      <c r="W12" s="106"/>
      <c r="X12" s="106"/>
    </row>
    <row r="13" ht="17.6" spans="1:24">
      <c r="A13" s="106"/>
      <c r="B13" s="106"/>
      <c r="C13" s="106"/>
      <c r="D13" s="106"/>
      <c r="E13" s="106"/>
      <c r="F13" s="106"/>
      <c r="G13" s="118" t="s">
        <v>163</v>
      </c>
      <c r="H13" s="118"/>
      <c r="I13" s="120"/>
      <c r="J13" s="94"/>
      <c r="K13" s="106"/>
      <c r="L13" s="106"/>
      <c r="M13" s="106"/>
      <c r="N13" s="106"/>
      <c r="O13" s="106"/>
      <c r="P13" s="106"/>
      <c r="Q13" s="106"/>
      <c r="R13" s="106"/>
      <c r="S13" s="106"/>
      <c r="T13" s="106"/>
      <c r="U13" s="106"/>
      <c r="V13" s="106"/>
      <c r="W13" s="106"/>
      <c r="X13" s="106"/>
    </row>
    <row r="14" ht="17.6" spans="1:24">
      <c r="A14" s="106"/>
      <c r="B14" s="106"/>
      <c r="C14" s="106"/>
      <c r="D14" s="106"/>
      <c r="E14" s="106"/>
      <c r="F14" s="106"/>
      <c r="G14" s="112">
        <v>4</v>
      </c>
      <c r="H14" s="118"/>
      <c r="I14" s="120"/>
      <c r="J14" s="109"/>
      <c r="K14" s="106"/>
      <c r="L14" s="106"/>
      <c r="M14" s="106"/>
      <c r="N14" s="106"/>
      <c r="O14" s="106"/>
      <c r="P14" s="106"/>
      <c r="Q14" s="106"/>
      <c r="R14" s="106"/>
      <c r="S14" s="106"/>
      <c r="T14" s="106"/>
      <c r="U14" s="106"/>
      <c r="V14" s="106"/>
      <c r="W14" s="106"/>
      <c r="X14" s="106"/>
    </row>
    <row r="15" ht="17.6" spans="1:24">
      <c r="A15" s="106"/>
      <c r="B15" s="106"/>
      <c r="C15" s="106"/>
      <c r="D15" s="106"/>
      <c r="E15" s="106"/>
      <c r="F15" s="106"/>
      <c r="G15" s="119">
        <v>5</v>
      </c>
      <c r="H15" s="109" t="s">
        <v>164</v>
      </c>
      <c r="I15" s="120"/>
      <c r="J15" s="134"/>
      <c r="K15" s="106"/>
      <c r="L15" s="106"/>
      <c r="M15" s="106"/>
      <c r="N15" s="106"/>
      <c r="O15" s="106"/>
      <c r="P15" s="106"/>
      <c r="Q15" s="106"/>
      <c r="R15" s="106"/>
      <c r="S15" s="106"/>
      <c r="T15" s="106"/>
      <c r="U15" s="106"/>
      <c r="V15" s="106"/>
      <c r="W15" s="106"/>
      <c r="X15" s="106"/>
    </row>
    <row r="16" ht="17.6" spans="1:24">
      <c r="A16" s="106"/>
      <c r="B16" s="106"/>
      <c r="C16" s="106"/>
      <c r="D16" s="106"/>
      <c r="E16" s="106"/>
      <c r="F16" s="106"/>
      <c r="G16" s="119">
        <v>6</v>
      </c>
      <c r="H16" s="109" t="s">
        <v>54</v>
      </c>
      <c r="I16" s="120"/>
      <c r="J16" s="134"/>
      <c r="K16" s="106"/>
      <c r="L16" s="106"/>
      <c r="M16" s="106"/>
      <c r="N16" s="106"/>
      <c r="O16" s="106"/>
      <c r="P16" s="106"/>
      <c r="Q16" s="106"/>
      <c r="R16" s="106"/>
      <c r="S16" s="106"/>
      <c r="T16" s="106"/>
      <c r="U16" s="106"/>
      <c r="V16" s="106"/>
      <c r="W16" s="106"/>
      <c r="X16" s="106"/>
    </row>
    <row r="17" ht="17.6" spans="1:24">
      <c r="A17" s="106"/>
      <c r="B17" s="106"/>
      <c r="C17" s="106"/>
      <c r="D17" s="106"/>
      <c r="E17" s="106"/>
      <c r="F17" s="106"/>
      <c r="G17" s="120">
        <v>7</v>
      </c>
      <c r="H17" s="109" t="s">
        <v>165</v>
      </c>
      <c r="I17" s="120"/>
      <c r="J17" s="134"/>
      <c r="K17" s="106"/>
      <c r="L17" s="106"/>
      <c r="M17" s="106"/>
      <c r="N17" s="106"/>
      <c r="O17" s="106"/>
      <c r="P17" s="106"/>
      <c r="Q17" s="106"/>
      <c r="R17" s="106"/>
      <c r="S17" s="106"/>
      <c r="T17" s="106"/>
      <c r="U17" s="106"/>
      <c r="V17" s="106"/>
      <c r="W17" s="106"/>
      <c r="X17" s="106"/>
    </row>
    <row r="18" ht="17.6" spans="1:24">
      <c r="A18" s="94"/>
      <c r="B18" s="94"/>
      <c r="C18" s="94"/>
      <c r="D18" s="94"/>
      <c r="E18" s="94"/>
      <c r="F18" s="94"/>
      <c r="G18" s="120">
        <v>8</v>
      </c>
      <c r="H18" s="109"/>
      <c r="I18" s="118"/>
      <c r="J18" s="118"/>
      <c r="K18" s="122"/>
      <c r="L18" s="122"/>
      <c r="M18" s="122"/>
      <c r="N18" s="122"/>
      <c r="O18" s="122"/>
      <c r="P18" s="122"/>
      <c r="Q18" s="122"/>
      <c r="R18" s="122"/>
      <c r="S18" s="106"/>
      <c r="T18" s="106"/>
      <c r="U18" s="106"/>
      <c r="V18" s="106"/>
      <c r="W18" s="106"/>
      <c r="X18" s="106"/>
    </row>
    <row r="19" ht="15" customHeight="1" spans="1:24">
      <c r="A19" s="107" t="s">
        <v>166</v>
      </c>
      <c r="B19" s="108"/>
      <c r="C19" s="109" t="s">
        <v>167</v>
      </c>
      <c r="D19" s="94"/>
      <c r="E19" s="94"/>
      <c r="F19" s="94"/>
      <c r="G19" s="120">
        <v>9</v>
      </c>
      <c r="H19" s="121"/>
      <c r="I19" s="122"/>
      <c r="J19" s="122"/>
      <c r="K19" s="122"/>
      <c r="L19" s="122"/>
      <c r="M19" s="122"/>
      <c r="N19" s="122"/>
      <c r="O19" s="122"/>
      <c r="P19" s="122"/>
      <c r="Q19" s="122"/>
      <c r="R19" s="122"/>
      <c r="S19" s="106"/>
      <c r="T19" s="106"/>
      <c r="U19" s="106"/>
      <c r="V19" s="106"/>
      <c r="W19" s="106"/>
      <c r="X19" s="106"/>
    </row>
    <row r="20" ht="17.6" spans="1:24">
      <c r="A20" s="14">
        <v>1</v>
      </c>
      <c r="B20" s="94" t="s">
        <v>168</v>
      </c>
      <c r="C20" s="94"/>
      <c r="D20" s="94"/>
      <c r="E20" s="94"/>
      <c r="F20" s="94"/>
      <c r="G20" s="122"/>
      <c r="I20" s="135"/>
      <c r="J20" s="123"/>
      <c r="K20" s="123"/>
      <c r="L20" s="123"/>
      <c r="M20" s="123"/>
      <c r="N20" s="123"/>
      <c r="O20" s="109"/>
      <c r="P20" s="94"/>
      <c r="Q20" s="94"/>
      <c r="R20" s="94"/>
      <c r="S20" s="106"/>
      <c r="T20" s="106"/>
      <c r="U20" s="106"/>
      <c r="V20" s="106"/>
      <c r="W20" s="106"/>
      <c r="X20" s="106"/>
    </row>
    <row r="21" ht="17.6" spans="1:24">
      <c r="A21" s="14">
        <v>2</v>
      </c>
      <c r="B21" s="94" t="s">
        <v>169</v>
      </c>
      <c r="C21" s="94"/>
      <c r="D21" s="94"/>
      <c r="E21" s="94"/>
      <c r="F21" s="94"/>
      <c r="G21" s="122"/>
      <c r="I21" s="135"/>
      <c r="J21" s="123"/>
      <c r="K21" s="123"/>
      <c r="L21" s="123"/>
      <c r="M21" s="123"/>
      <c r="N21" s="123"/>
      <c r="O21" s="109"/>
      <c r="P21" s="94"/>
      <c r="Q21" s="94"/>
      <c r="R21" s="94"/>
      <c r="S21" s="106"/>
      <c r="T21" s="106"/>
      <c r="U21" s="106"/>
      <c r="V21" s="106"/>
      <c r="W21" s="106"/>
      <c r="X21" s="106"/>
    </row>
    <row r="22" ht="17.6" spans="1:24">
      <c r="A22" s="14">
        <v>3</v>
      </c>
      <c r="B22" s="94" t="s">
        <v>170</v>
      </c>
      <c r="C22" s="94"/>
      <c r="D22" s="94"/>
      <c r="E22" s="110"/>
      <c r="F22" s="94"/>
      <c r="G22" s="123"/>
      <c r="I22" s="135"/>
      <c r="J22" s="123"/>
      <c r="K22" s="123"/>
      <c r="L22" s="123"/>
      <c r="M22" s="123"/>
      <c r="N22" s="123"/>
      <c r="O22" s="109"/>
      <c r="P22" s="94"/>
      <c r="Q22" s="94"/>
      <c r="R22" s="94"/>
      <c r="S22" s="106"/>
      <c r="T22" s="106"/>
      <c r="U22" s="106"/>
      <c r="V22" s="106"/>
      <c r="W22" s="106"/>
      <c r="X22" s="106"/>
    </row>
    <row r="23" ht="17.6" spans="1:24">
      <c r="A23" s="14">
        <v>4</v>
      </c>
      <c r="B23" s="94" t="s">
        <v>171</v>
      </c>
      <c r="C23" s="94"/>
      <c r="D23" s="94"/>
      <c r="E23" s="94"/>
      <c r="F23" s="94"/>
      <c r="G23" s="118"/>
      <c r="I23" s="127"/>
      <c r="J23" s="94"/>
      <c r="K23" s="94"/>
      <c r="L23" s="94"/>
      <c r="M23" s="94"/>
      <c r="N23" s="94"/>
      <c r="O23" s="94"/>
      <c r="P23" s="94"/>
      <c r="Q23" s="94"/>
      <c r="R23" s="94"/>
      <c r="S23" s="106"/>
      <c r="T23" s="106"/>
      <c r="U23" s="106"/>
      <c r="V23" s="106"/>
      <c r="W23" s="106"/>
      <c r="X23" s="106"/>
    </row>
    <row r="24" ht="17.6" spans="1:24">
      <c r="A24" s="14">
        <v>5</v>
      </c>
      <c r="B24" s="94" t="s">
        <v>172</v>
      </c>
      <c r="C24" s="94"/>
      <c r="D24" s="94"/>
      <c r="E24" s="94"/>
      <c r="F24" s="94"/>
      <c r="G24" s="94"/>
      <c r="I24" s="127"/>
      <c r="J24" s="94"/>
      <c r="K24" s="94"/>
      <c r="L24" s="94"/>
      <c r="M24" s="94"/>
      <c r="N24" s="94"/>
      <c r="O24" s="94"/>
      <c r="P24" s="94"/>
      <c r="Q24" s="94"/>
      <c r="R24" s="94"/>
      <c r="S24" s="106"/>
      <c r="T24" s="106"/>
      <c r="U24" s="106"/>
      <c r="V24" s="106"/>
      <c r="W24" s="106"/>
      <c r="X24" s="106"/>
    </row>
    <row r="25" ht="17.6" spans="1:24">
      <c r="A25" s="14">
        <v>6</v>
      </c>
      <c r="B25" s="94" t="s">
        <v>173</v>
      </c>
      <c r="C25" s="94"/>
      <c r="D25" s="94"/>
      <c r="E25" s="94"/>
      <c r="F25" s="94"/>
      <c r="G25" s="94"/>
      <c r="H25" s="94"/>
      <c r="I25" s="127"/>
      <c r="J25" s="94"/>
      <c r="K25" s="94"/>
      <c r="L25" s="94"/>
      <c r="M25" s="94"/>
      <c r="N25" s="94"/>
      <c r="O25" s="94"/>
      <c r="P25" s="94"/>
      <c r="Q25" s="94"/>
      <c r="R25" s="94"/>
      <c r="S25" s="106"/>
      <c r="T25" s="106"/>
      <c r="U25" s="106"/>
      <c r="V25" s="106"/>
      <c r="W25" s="106"/>
      <c r="X25" s="106"/>
    </row>
    <row r="26" ht="17.6" spans="1:24">
      <c r="A26" s="14">
        <v>7</v>
      </c>
      <c r="B26" s="110" t="s">
        <v>174</v>
      </c>
      <c r="C26" s="94"/>
      <c r="D26" s="94"/>
      <c r="E26" s="94"/>
      <c r="F26" s="94"/>
      <c r="G26" s="94"/>
      <c r="H26" s="94"/>
      <c r="I26" s="127"/>
      <c r="J26" s="94"/>
      <c r="K26" s="94"/>
      <c r="L26" s="94"/>
      <c r="M26" s="94"/>
      <c r="N26" s="94"/>
      <c r="O26" s="94"/>
      <c r="P26" s="94"/>
      <c r="Q26" s="94"/>
      <c r="R26" s="94"/>
      <c r="S26" s="106"/>
      <c r="T26" s="106"/>
      <c r="U26" s="106"/>
      <c r="V26" s="106"/>
      <c r="W26" s="106"/>
      <c r="X26" s="106"/>
    </row>
    <row r="27" ht="17.6" spans="1:24">
      <c r="A27" s="14">
        <v>8</v>
      </c>
      <c r="B27" s="94" t="s">
        <v>175</v>
      </c>
      <c r="C27" s="94"/>
      <c r="D27" s="94"/>
      <c r="E27" s="94"/>
      <c r="F27" s="94"/>
      <c r="G27" s="94"/>
      <c r="H27" s="94"/>
      <c r="I27" s="127"/>
      <c r="J27" s="94"/>
      <c r="K27" s="94"/>
      <c r="L27" s="94"/>
      <c r="M27" s="94"/>
      <c r="N27" s="94"/>
      <c r="O27" s="94"/>
      <c r="P27" s="94"/>
      <c r="Q27" s="94"/>
      <c r="R27" s="94"/>
      <c r="S27" s="106"/>
      <c r="T27" s="106"/>
      <c r="U27" s="106"/>
      <c r="V27" s="106"/>
      <c r="W27" s="106"/>
      <c r="X27" s="106"/>
    </row>
    <row r="28" ht="17.6" spans="1:24">
      <c r="A28" s="111" t="s">
        <v>176</v>
      </c>
      <c r="B28" s="111"/>
      <c r="C28" s="111"/>
      <c r="D28" s="111"/>
      <c r="E28" s="111"/>
      <c r="F28" s="111"/>
      <c r="G28" s="111" t="s">
        <v>177</v>
      </c>
      <c r="H28" s="111"/>
      <c r="I28" s="111"/>
      <c r="J28" s="111"/>
      <c r="K28" s="111"/>
      <c r="L28" s="111"/>
      <c r="M28" s="111"/>
      <c r="N28" s="111"/>
      <c r="O28" s="111"/>
      <c r="P28" s="111"/>
      <c r="Q28" s="111"/>
      <c r="R28" s="94"/>
      <c r="S28" s="106"/>
      <c r="T28" s="106"/>
      <c r="U28" s="106"/>
      <c r="V28" s="106"/>
      <c r="W28" s="106"/>
      <c r="X28" s="106"/>
    </row>
    <row r="29" ht="17.6" spans="1:24">
      <c r="A29" s="111" t="s">
        <v>178</v>
      </c>
      <c r="B29" s="111" t="s">
        <v>179</v>
      </c>
      <c r="C29" s="111" t="s">
        <v>180</v>
      </c>
      <c r="D29" s="111" t="s">
        <v>181</v>
      </c>
      <c r="E29" s="111" t="s">
        <v>182</v>
      </c>
      <c r="F29" s="111" t="s">
        <v>183</v>
      </c>
      <c r="G29" s="122">
        <v>45694</v>
      </c>
      <c r="H29" s="123" t="s">
        <v>184</v>
      </c>
      <c r="I29" s="135"/>
      <c r="J29" s="123"/>
      <c r="K29" s="123"/>
      <c r="L29" s="123"/>
      <c r="M29" s="123"/>
      <c r="N29" s="123"/>
      <c r="O29" s="109"/>
      <c r="P29" s="94"/>
      <c r="Q29" s="94"/>
      <c r="R29" s="94"/>
      <c r="S29" s="106"/>
      <c r="T29" s="106"/>
      <c r="U29" s="106"/>
      <c r="V29" s="106"/>
      <c r="W29" s="106"/>
      <c r="X29" s="106"/>
    </row>
    <row r="30" ht="17.6" spans="1:18">
      <c r="A30" s="14">
        <v>1</v>
      </c>
      <c r="B30" s="14" t="s">
        <v>185</v>
      </c>
      <c r="C30" s="14" t="s">
        <v>186</v>
      </c>
      <c r="D30" s="14" t="s">
        <v>187</v>
      </c>
      <c r="E30" s="124">
        <v>45285</v>
      </c>
      <c r="F30" s="14" t="s">
        <v>151</v>
      </c>
      <c r="G30" s="122">
        <v>45700</v>
      </c>
      <c r="H30" s="123" t="s">
        <v>188</v>
      </c>
      <c r="I30" s="135"/>
      <c r="J30" s="123"/>
      <c r="K30" s="123"/>
      <c r="L30" s="123"/>
      <c r="M30" s="123"/>
      <c r="N30" s="123"/>
      <c r="O30" s="109"/>
      <c r="P30" s="94"/>
      <c r="Q30" s="94"/>
      <c r="R30" s="89"/>
    </row>
    <row r="31" ht="17.6" spans="1:18">
      <c r="A31" s="14">
        <v>2</v>
      </c>
      <c r="B31" s="14" t="s">
        <v>189</v>
      </c>
      <c r="C31" s="14" t="s">
        <v>186</v>
      </c>
      <c r="D31" s="14" t="s">
        <v>190</v>
      </c>
      <c r="E31" s="124">
        <v>45533</v>
      </c>
      <c r="F31" s="14" t="s">
        <v>151</v>
      </c>
      <c r="G31" s="123"/>
      <c r="H31" s="123" t="s">
        <v>191</v>
      </c>
      <c r="I31" s="135"/>
      <c r="J31" s="123"/>
      <c r="K31" s="123"/>
      <c r="L31" s="123"/>
      <c r="M31" s="123"/>
      <c r="N31" s="123"/>
      <c r="O31" s="109"/>
      <c r="P31" s="94"/>
      <c r="Q31" s="94"/>
      <c r="R31" s="89"/>
    </row>
    <row r="32" ht="17.6" spans="1:18">
      <c r="A32" s="14">
        <v>3</v>
      </c>
      <c r="B32" s="14" t="s">
        <v>192</v>
      </c>
      <c r="C32" s="14" t="s">
        <v>193</v>
      </c>
      <c r="D32" s="14"/>
      <c r="E32" s="124"/>
      <c r="F32" s="14" t="s">
        <v>151</v>
      </c>
      <c r="G32" s="125">
        <v>45728</v>
      </c>
      <c r="H32" s="94" t="s">
        <v>194</v>
      </c>
      <c r="I32" s="127"/>
      <c r="J32" s="94"/>
      <c r="K32" s="94"/>
      <c r="L32" s="94"/>
      <c r="M32" s="94"/>
      <c r="N32" s="94"/>
      <c r="O32" s="94"/>
      <c r="P32" s="94"/>
      <c r="Q32" s="94"/>
      <c r="R32" s="89"/>
    </row>
    <row r="33" ht="17.6" spans="1:17">
      <c r="A33" s="14">
        <v>4</v>
      </c>
      <c r="B33" s="14" t="s">
        <v>195</v>
      </c>
      <c r="C33" s="14" t="s">
        <v>186</v>
      </c>
      <c r="D33" s="14" t="s">
        <v>196</v>
      </c>
      <c r="E33" s="124">
        <v>45845</v>
      </c>
      <c r="F33" s="14" t="s">
        <v>151</v>
      </c>
      <c r="G33" s="94"/>
      <c r="H33" s="94" t="s">
        <v>197</v>
      </c>
      <c r="I33" s="127"/>
      <c r="J33" s="94"/>
      <c r="K33" s="94"/>
      <c r="L33" s="94"/>
      <c r="M33" s="94"/>
      <c r="N33" s="94"/>
      <c r="O33" s="94"/>
      <c r="P33" s="94"/>
      <c r="Q33" s="94"/>
    </row>
    <row r="34" ht="17.6" spans="1:17">
      <c r="A34" s="14">
        <v>5</v>
      </c>
      <c r="B34" s="14" t="s">
        <v>198</v>
      </c>
      <c r="C34" s="14" t="s">
        <v>193</v>
      </c>
      <c r="D34" s="14"/>
      <c r="E34" s="124"/>
      <c r="F34" s="14" t="s">
        <v>151</v>
      </c>
      <c r="G34" s="125">
        <v>45764</v>
      </c>
      <c r="H34" s="94" t="s">
        <v>199</v>
      </c>
      <c r="I34" s="127"/>
      <c r="J34" s="94"/>
      <c r="K34" s="94"/>
      <c r="L34" s="94"/>
      <c r="M34" s="94"/>
      <c r="N34" s="94"/>
      <c r="O34" s="94"/>
      <c r="P34" s="94"/>
      <c r="Q34" s="94"/>
    </row>
    <row r="35" ht="17.6" spans="1:8">
      <c r="A35" s="112">
        <v>6</v>
      </c>
      <c r="B35" s="113" t="s">
        <v>200</v>
      </c>
      <c r="C35" s="113" t="s">
        <v>186</v>
      </c>
      <c r="D35" s="113" t="s">
        <v>201</v>
      </c>
      <c r="E35" s="126">
        <v>45896</v>
      </c>
      <c r="F35" s="113" t="s">
        <v>151</v>
      </c>
      <c r="G35" s="125">
        <v>45772</v>
      </c>
      <c r="H35" s="94" t="s">
        <v>202</v>
      </c>
    </row>
    <row r="36" ht="17.6" spans="1:11">
      <c r="A36" s="14">
        <v>7</v>
      </c>
      <c r="B36" s="14" t="s">
        <v>203</v>
      </c>
      <c r="C36" s="14" t="s">
        <v>186</v>
      </c>
      <c r="D36" s="14" t="s">
        <v>204</v>
      </c>
      <c r="E36" s="124">
        <v>45639</v>
      </c>
      <c r="F36" s="14" t="s">
        <v>151</v>
      </c>
      <c r="G36" s="125">
        <v>45806</v>
      </c>
      <c r="H36" s="125" t="s">
        <v>205</v>
      </c>
      <c r="I36" s="125"/>
      <c r="J36" s="125"/>
      <c r="K36" s="125"/>
    </row>
    <row r="37" ht="17.6" spans="1:8">
      <c r="A37" s="14">
        <v>8</v>
      </c>
      <c r="B37" s="14" t="s">
        <v>206</v>
      </c>
      <c r="C37" s="14" t="s">
        <v>186</v>
      </c>
      <c r="D37" s="14" t="s">
        <v>207</v>
      </c>
      <c r="E37" s="124">
        <v>45772</v>
      </c>
      <c r="F37" s="14" t="s">
        <v>151</v>
      </c>
      <c r="G37" s="125">
        <v>45846</v>
      </c>
      <c r="H37" s="125" t="s">
        <v>208</v>
      </c>
    </row>
    <row r="38" ht="17.6" spans="1:8">
      <c r="A38" s="14">
        <v>9</v>
      </c>
      <c r="B38" s="14" t="s">
        <v>209</v>
      </c>
      <c r="C38" s="14" t="s">
        <v>193</v>
      </c>
      <c r="D38" s="14"/>
      <c r="E38" s="124"/>
      <c r="F38" s="14" t="s">
        <v>151</v>
      </c>
      <c r="G38" s="125">
        <v>45890</v>
      </c>
      <c r="H38" s="125" t="s">
        <v>210</v>
      </c>
    </row>
    <row r="39" ht="17.6" spans="1:8">
      <c r="A39" s="14">
        <v>10</v>
      </c>
      <c r="B39" s="14" t="s">
        <v>211</v>
      </c>
      <c r="C39" s="14" t="s">
        <v>186</v>
      </c>
      <c r="D39" s="14" t="s">
        <v>196</v>
      </c>
      <c r="E39" s="124">
        <v>45799</v>
      </c>
      <c r="F39" s="14" t="s">
        <v>151</v>
      </c>
      <c r="G39" s="125">
        <v>45896</v>
      </c>
      <c r="H39" s="125" t="s">
        <v>212</v>
      </c>
    </row>
    <row r="40" spans="1:6">
      <c r="A40" s="14">
        <v>11</v>
      </c>
      <c r="B40" s="14" t="s">
        <v>213</v>
      </c>
      <c r="C40" s="14" t="s">
        <v>193</v>
      </c>
      <c r="D40" s="14"/>
      <c r="E40" s="124"/>
      <c r="F40" s="14" t="s">
        <v>151</v>
      </c>
    </row>
    <row r="41" spans="1:6">
      <c r="A41" s="14">
        <v>12</v>
      </c>
      <c r="B41" s="14" t="s">
        <v>214</v>
      </c>
      <c r="C41" s="14" t="s">
        <v>186</v>
      </c>
      <c r="D41" s="14" t="s">
        <v>187</v>
      </c>
      <c r="E41" s="124">
        <v>45764</v>
      </c>
      <c r="F41" s="14" t="s">
        <v>151</v>
      </c>
    </row>
    <row r="42" spans="1:6">
      <c r="A42" s="14">
        <v>13</v>
      </c>
      <c r="B42" s="14" t="s">
        <v>215</v>
      </c>
      <c r="C42" s="14" t="s">
        <v>186</v>
      </c>
      <c r="D42" s="14" t="s">
        <v>204</v>
      </c>
      <c r="E42" s="124">
        <v>45665</v>
      </c>
      <c r="F42" s="14" t="s">
        <v>151</v>
      </c>
    </row>
    <row r="43" spans="1:6">
      <c r="A43" s="14">
        <v>14</v>
      </c>
      <c r="B43" s="14" t="s">
        <v>216</v>
      </c>
      <c r="C43" s="14" t="s">
        <v>186</v>
      </c>
      <c r="D43" s="14" t="s">
        <v>187</v>
      </c>
      <c r="E43" s="124">
        <v>45618</v>
      </c>
      <c r="F43" s="14" t="s">
        <v>151</v>
      </c>
    </row>
    <row r="44" spans="1:6">
      <c r="A44" s="14">
        <v>15</v>
      </c>
      <c r="B44" s="14" t="s">
        <v>217</v>
      </c>
      <c r="C44" s="14" t="s">
        <v>186</v>
      </c>
      <c r="D44" s="14" t="s">
        <v>207</v>
      </c>
      <c r="E44" s="124">
        <v>45681</v>
      </c>
      <c r="F44" s="14" t="s">
        <v>151</v>
      </c>
    </row>
    <row r="45" spans="1:6">
      <c r="A45" s="14">
        <v>16</v>
      </c>
      <c r="B45" s="14" t="s">
        <v>218</v>
      </c>
      <c r="C45" s="14" t="s">
        <v>186</v>
      </c>
      <c r="D45" s="14" t="s">
        <v>207</v>
      </c>
      <c r="E45" s="124">
        <v>45632</v>
      </c>
      <c r="F45" s="14" t="s">
        <v>151</v>
      </c>
    </row>
    <row r="46" spans="1:6">
      <c r="A46" s="14">
        <v>17</v>
      </c>
      <c r="B46" s="14" t="s">
        <v>219</v>
      </c>
      <c r="C46" s="113" t="s">
        <v>186</v>
      </c>
      <c r="D46" s="113" t="s">
        <v>204</v>
      </c>
      <c r="E46" s="126">
        <v>45946</v>
      </c>
      <c r="F46" s="113" t="s">
        <v>151</v>
      </c>
    </row>
    <row r="47" spans="1:6">
      <c r="A47" s="14">
        <v>18</v>
      </c>
      <c r="B47" s="14" t="s">
        <v>220</v>
      </c>
      <c r="C47" s="14" t="s">
        <v>193</v>
      </c>
      <c r="D47" s="14"/>
      <c r="E47" s="124"/>
      <c r="F47" s="14" t="s">
        <v>151</v>
      </c>
    </row>
    <row r="48" spans="1:6">
      <c r="A48" s="14">
        <v>19</v>
      </c>
      <c r="B48" s="14" t="s">
        <v>221</v>
      </c>
      <c r="C48" s="14" t="s">
        <v>186</v>
      </c>
      <c r="D48" s="14" t="s">
        <v>207</v>
      </c>
      <c r="E48" s="124">
        <v>45583</v>
      </c>
      <c r="F48" s="14" t="s">
        <v>151</v>
      </c>
    </row>
    <row r="49" spans="1:6">
      <c r="A49" s="14">
        <v>20</v>
      </c>
      <c r="B49" s="14" t="s">
        <v>222</v>
      </c>
      <c r="C49" s="14" t="s">
        <v>186</v>
      </c>
      <c r="D49" s="14" t="s">
        <v>207</v>
      </c>
      <c r="E49" s="124">
        <v>45657</v>
      </c>
      <c r="F49" s="14" t="s">
        <v>151</v>
      </c>
    </row>
    <row r="50" spans="1:3">
      <c r="A50" s="14">
        <v>21</v>
      </c>
      <c r="B50" s="14" t="s">
        <v>223</v>
      </c>
      <c r="C50" s="14" t="s">
        <v>193</v>
      </c>
    </row>
    <row r="51" spans="1:3">
      <c r="A51" s="14">
        <v>22</v>
      </c>
      <c r="B51" s="14" t="s">
        <v>224</v>
      </c>
      <c r="C51" s="14" t="s">
        <v>193</v>
      </c>
    </row>
    <row r="52" spans="2:2">
      <c r="B52" s="14"/>
    </row>
    <row r="53" spans="2:2">
      <c r="B53" s="14"/>
    </row>
    <row r="54" spans="2:2">
      <c r="B54" s="14"/>
    </row>
    <row r="55" spans="2:2">
      <c r="B55" s="14"/>
    </row>
    <row r="56" spans="2:2">
      <c r="B56" s="14"/>
    </row>
    <row r="57" spans="2:2">
      <c r="B57" s="14"/>
    </row>
  </sheetData>
  <mergeCells count="5">
    <mergeCell ref="G12:Q12"/>
    <mergeCell ref="A28:F28"/>
    <mergeCell ref="G28:Q28"/>
    <mergeCell ref="A5:A7"/>
    <mergeCell ref="A8:A10"/>
  </mergeCells>
  <conditionalFormatting sqref="I1:I11 I13:I17 I20:I27 I29:I35 I37:I1048576">
    <cfRule type="containsText" dxfId="0" priority="2" operator="between" text="是">
      <formula>NOT(ISERROR(SEARCH("是",I1)))</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Y65"/>
  <sheetViews>
    <sheetView topLeftCell="A35" workbookViewId="0">
      <selection activeCell="H72" sqref="H72"/>
    </sheetView>
  </sheetViews>
  <sheetFormatPr defaultColWidth="9" defaultRowHeight="16.8"/>
  <cols>
    <col min="1" max="1" width="15.25" style="1" customWidth="1"/>
    <col min="2" max="2" width="13.25" style="1" customWidth="1"/>
    <col min="3" max="3" width="11.625" style="1" customWidth="1"/>
    <col min="4" max="4" width="9.875" style="1" customWidth="1"/>
    <col min="5" max="5" width="29.25" style="1" customWidth="1"/>
    <col min="6" max="6" width="10.75" style="1" customWidth="1"/>
    <col min="7" max="7" width="8.75" style="1" customWidth="1"/>
    <col min="8" max="8" width="13.875" style="1" customWidth="1"/>
    <col min="9" max="9" width="25.125" style="1" customWidth="1"/>
    <col min="10" max="10" width="60.5073529411765" style="1" customWidth="1"/>
    <col min="11" max="11" width="7.50735294117647" style="1" customWidth="1"/>
    <col min="12" max="16384" width="9" style="1"/>
  </cols>
  <sheetData>
    <row r="1" ht="23.25" customHeight="1" spans="1:2">
      <c r="A1" s="35" t="s">
        <v>78</v>
      </c>
      <c r="B1" s="36">
        <f ca="1">TODAY()</f>
        <v>45967</v>
      </c>
    </row>
    <row r="2" ht="18" customHeight="1" spans="1:25">
      <c r="A2" s="37" t="s">
        <v>225</v>
      </c>
      <c r="B2" s="37"/>
      <c r="C2" s="37"/>
      <c r="D2" s="37"/>
      <c r="E2" s="58"/>
      <c r="F2" s="37"/>
      <c r="G2" s="37"/>
      <c r="H2" s="37"/>
      <c r="I2" s="37"/>
      <c r="J2" s="37"/>
      <c r="K2" s="37"/>
      <c r="L2" s="76"/>
      <c r="M2" s="76"/>
      <c r="N2" s="76"/>
      <c r="O2" s="76"/>
      <c r="P2" s="76"/>
      <c r="Q2" s="76"/>
      <c r="R2" s="76"/>
      <c r="S2" s="76"/>
      <c r="T2" s="76"/>
      <c r="U2" s="76"/>
      <c r="V2" s="76"/>
      <c r="W2" s="76"/>
      <c r="X2" s="76"/>
      <c r="Y2" s="76"/>
    </row>
    <row r="3" s="15" customFormat="1" ht="34" spans="1:25">
      <c r="A3" s="38" t="s">
        <v>226</v>
      </c>
      <c r="B3" s="39" t="s">
        <v>227</v>
      </c>
      <c r="C3" s="39" t="s">
        <v>78</v>
      </c>
      <c r="D3" s="40"/>
      <c r="E3" s="59" t="s">
        <v>84</v>
      </c>
      <c r="F3" s="39" t="s">
        <v>228</v>
      </c>
      <c r="G3" s="39" t="s">
        <v>229</v>
      </c>
      <c r="H3" s="39" t="s">
        <v>230</v>
      </c>
      <c r="I3" s="39"/>
      <c r="J3" s="39" t="s">
        <v>231</v>
      </c>
      <c r="K3" s="39" t="s">
        <v>232</v>
      </c>
      <c r="L3" s="77"/>
      <c r="M3" s="77"/>
      <c r="N3" s="77"/>
      <c r="O3" s="77"/>
      <c r="P3" s="77"/>
      <c r="Q3" s="77"/>
      <c r="R3" s="77"/>
      <c r="S3" s="77"/>
      <c r="T3" s="77"/>
      <c r="U3" s="77"/>
      <c r="V3" s="77"/>
      <c r="W3" s="77"/>
      <c r="X3" s="77"/>
      <c r="Y3" s="77"/>
    </row>
    <row r="4" ht="17" spans="1:25">
      <c r="A4" s="41" t="s">
        <v>233</v>
      </c>
      <c r="B4" s="42">
        <f ca="1">C4-$B$1</f>
        <v>-506</v>
      </c>
      <c r="C4" s="43">
        <v>45461</v>
      </c>
      <c r="D4" s="44">
        <f>C4</f>
        <v>45461</v>
      </c>
      <c r="E4" s="60" t="s">
        <v>234</v>
      </c>
      <c r="F4" s="60" t="s">
        <v>235</v>
      </c>
      <c r="G4" s="41" t="s">
        <v>236</v>
      </c>
      <c r="H4" s="61">
        <v>12300000</v>
      </c>
      <c r="I4" s="52" t="s">
        <v>237</v>
      </c>
      <c r="J4" s="60" t="s">
        <v>238</v>
      </c>
      <c r="K4" s="52" t="s">
        <v>239</v>
      </c>
      <c r="L4" s="76"/>
      <c r="M4" s="76"/>
      <c r="N4" s="76"/>
      <c r="O4" s="76"/>
      <c r="P4" s="76"/>
      <c r="Q4" s="76"/>
      <c r="R4" s="76"/>
      <c r="S4" s="76"/>
      <c r="T4" s="76"/>
      <c r="U4" s="76"/>
      <c r="V4" s="76"/>
      <c r="W4" s="76"/>
      <c r="X4" s="76"/>
      <c r="Y4" s="76"/>
    </row>
    <row r="5" ht="17" spans="1:25">
      <c r="A5" s="41" t="s">
        <v>233</v>
      </c>
      <c r="B5" s="42">
        <f ca="1" t="shared" ref="B5:B16" si="0">C5-$B$1</f>
        <v>-498</v>
      </c>
      <c r="C5" s="43">
        <v>45469</v>
      </c>
      <c r="D5" s="44">
        <f t="shared" ref="D5:D11" si="1">C5</f>
        <v>45469</v>
      </c>
      <c r="E5" s="60" t="s">
        <v>40</v>
      </c>
      <c r="F5" s="60"/>
      <c r="G5" s="41" t="s">
        <v>236</v>
      </c>
      <c r="H5" s="61">
        <v>3000000</v>
      </c>
      <c r="I5" s="52" t="s">
        <v>240</v>
      </c>
      <c r="J5" s="60" t="s">
        <v>241</v>
      </c>
      <c r="K5" s="52"/>
      <c r="L5" s="76"/>
      <c r="M5" s="76"/>
      <c r="N5" s="76"/>
      <c r="O5" s="76"/>
      <c r="P5" s="76"/>
      <c r="Q5" s="76"/>
      <c r="R5" s="76"/>
      <c r="S5" s="76"/>
      <c r="T5" s="76"/>
      <c r="U5" s="76"/>
      <c r="V5" s="76"/>
      <c r="W5" s="76"/>
      <c r="X5" s="76"/>
      <c r="Y5" s="76"/>
    </row>
    <row r="6" ht="17" spans="1:25">
      <c r="A6" s="41" t="s">
        <v>233</v>
      </c>
      <c r="B6" s="42">
        <f ca="1" t="shared" si="0"/>
        <v>-498</v>
      </c>
      <c r="C6" s="43">
        <v>45469</v>
      </c>
      <c r="D6" s="44">
        <f t="shared" si="1"/>
        <v>45469</v>
      </c>
      <c r="E6" s="60" t="s">
        <v>39</v>
      </c>
      <c r="F6" s="60"/>
      <c r="G6" s="41" t="s">
        <v>236</v>
      </c>
      <c r="H6" s="61">
        <v>7500000</v>
      </c>
      <c r="I6" s="52" t="s">
        <v>242</v>
      </c>
      <c r="J6" s="60" t="s">
        <v>243</v>
      </c>
      <c r="K6" s="52"/>
      <c r="L6" s="76"/>
      <c r="M6" s="76"/>
      <c r="N6" s="76"/>
      <c r="O6" s="76"/>
      <c r="P6" s="76"/>
      <c r="Q6" s="76"/>
      <c r="R6" s="76"/>
      <c r="S6" s="76"/>
      <c r="T6" s="76"/>
      <c r="U6" s="76"/>
      <c r="V6" s="76"/>
      <c r="W6" s="76"/>
      <c r="X6" s="76"/>
      <c r="Y6" s="76"/>
    </row>
    <row r="7" ht="17" spans="1:25">
      <c r="A7" s="41" t="s">
        <v>233</v>
      </c>
      <c r="B7" s="42">
        <f ca="1" t="shared" si="0"/>
        <v>-492</v>
      </c>
      <c r="C7" s="43">
        <v>45475</v>
      </c>
      <c r="D7" s="44">
        <f t="shared" si="1"/>
        <v>45475</v>
      </c>
      <c r="E7" s="60" t="s">
        <v>41</v>
      </c>
      <c r="F7" s="60"/>
      <c r="G7" s="41" t="s">
        <v>236</v>
      </c>
      <c r="H7" s="61">
        <v>2000000</v>
      </c>
      <c r="I7" s="52" t="s">
        <v>244</v>
      </c>
      <c r="J7" s="60" t="s">
        <v>245</v>
      </c>
      <c r="K7" s="52"/>
      <c r="L7" s="76"/>
      <c r="M7" s="76"/>
      <c r="N7" s="76"/>
      <c r="O7" s="76"/>
      <c r="P7" s="76"/>
      <c r="Q7" s="76"/>
      <c r="R7" s="76"/>
      <c r="S7" s="76"/>
      <c r="T7" s="76"/>
      <c r="U7" s="76"/>
      <c r="V7" s="76"/>
      <c r="W7" s="76"/>
      <c r="X7" s="76"/>
      <c r="Y7" s="76"/>
    </row>
    <row r="8" ht="17" spans="1:25">
      <c r="A8" s="41" t="s">
        <v>233</v>
      </c>
      <c r="B8" s="42">
        <f ca="1" t="shared" si="0"/>
        <v>-486</v>
      </c>
      <c r="C8" s="43">
        <v>45481</v>
      </c>
      <c r="D8" s="44">
        <f t="shared" si="1"/>
        <v>45481</v>
      </c>
      <c r="E8" s="60" t="s">
        <v>234</v>
      </c>
      <c r="F8" s="60" t="s">
        <v>235</v>
      </c>
      <c r="G8" s="41" t="s">
        <v>236</v>
      </c>
      <c r="H8" s="61">
        <v>5000000</v>
      </c>
      <c r="I8" s="52" t="s">
        <v>246</v>
      </c>
      <c r="J8" s="60" t="s">
        <v>247</v>
      </c>
      <c r="K8" s="52" t="s">
        <v>239</v>
      </c>
      <c r="L8" s="76"/>
      <c r="M8" s="76"/>
      <c r="N8" s="76"/>
      <c r="O8" s="76"/>
      <c r="P8" s="76"/>
      <c r="Q8" s="76"/>
      <c r="R8" s="76"/>
      <c r="S8" s="76"/>
      <c r="T8" s="76"/>
      <c r="U8" s="76"/>
      <c r="V8" s="76"/>
      <c r="W8" s="76"/>
      <c r="X8" s="76"/>
      <c r="Y8" s="76"/>
    </row>
    <row r="9" ht="17" spans="1:25">
      <c r="A9" s="41" t="s">
        <v>233</v>
      </c>
      <c r="B9" s="42">
        <f ca="1" t="shared" si="0"/>
        <v>-485</v>
      </c>
      <c r="C9" s="43">
        <v>45482</v>
      </c>
      <c r="D9" s="44">
        <f t="shared" si="1"/>
        <v>45482</v>
      </c>
      <c r="E9" s="60" t="s">
        <v>41</v>
      </c>
      <c r="F9" s="60"/>
      <c r="G9" s="41" t="s">
        <v>236</v>
      </c>
      <c r="H9" s="61">
        <v>3000000</v>
      </c>
      <c r="I9" s="52" t="s">
        <v>240</v>
      </c>
      <c r="J9" s="60" t="s">
        <v>248</v>
      </c>
      <c r="K9" s="52"/>
      <c r="L9" s="76"/>
      <c r="M9" s="76"/>
      <c r="N9" s="76"/>
      <c r="O9" s="76"/>
      <c r="P9" s="76"/>
      <c r="Q9" s="76"/>
      <c r="R9" s="76"/>
      <c r="S9" s="76"/>
      <c r="T9" s="76"/>
      <c r="U9" s="76"/>
      <c r="V9" s="76"/>
      <c r="W9" s="76"/>
      <c r="X9" s="76"/>
      <c r="Y9" s="76"/>
    </row>
    <row r="10" ht="17" spans="1:25">
      <c r="A10" s="41" t="s">
        <v>233</v>
      </c>
      <c r="B10" s="42">
        <f ca="1" t="shared" si="0"/>
        <v>-479</v>
      </c>
      <c r="C10" s="43">
        <v>45488</v>
      </c>
      <c r="D10" s="44">
        <f t="shared" si="1"/>
        <v>45488</v>
      </c>
      <c r="E10" s="60" t="s">
        <v>234</v>
      </c>
      <c r="F10" s="60" t="s">
        <v>235</v>
      </c>
      <c r="G10" s="62" t="s">
        <v>249</v>
      </c>
      <c r="H10" s="61">
        <v>2000000</v>
      </c>
      <c r="I10" s="52" t="s">
        <v>244</v>
      </c>
      <c r="J10" s="60" t="s">
        <v>250</v>
      </c>
      <c r="K10" s="52" t="s">
        <v>239</v>
      </c>
      <c r="L10" s="76"/>
      <c r="M10" s="76"/>
      <c r="N10" s="76"/>
      <c r="O10" s="76"/>
      <c r="P10" s="76"/>
      <c r="Q10" s="76"/>
      <c r="R10" s="76"/>
      <c r="S10" s="76"/>
      <c r="T10" s="76"/>
      <c r="U10" s="76"/>
      <c r="V10" s="76"/>
      <c r="W10" s="76"/>
      <c r="X10" s="76"/>
      <c r="Y10" s="76"/>
    </row>
    <row r="11" ht="17" spans="1:25">
      <c r="A11" s="41" t="s">
        <v>233</v>
      </c>
      <c r="B11" s="42">
        <f ca="1" t="shared" si="0"/>
        <v>-477</v>
      </c>
      <c r="C11" s="43">
        <v>45490</v>
      </c>
      <c r="D11" s="44">
        <f t="shared" si="1"/>
        <v>45490</v>
      </c>
      <c r="E11" s="60" t="s">
        <v>42</v>
      </c>
      <c r="F11" s="60"/>
      <c r="G11" s="41" t="s">
        <v>236</v>
      </c>
      <c r="H11" s="61">
        <v>2000000</v>
      </c>
      <c r="I11" s="52" t="s">
        <v>244</v>
      </c>
      <c r="J11" s="60" t="s">
        <v>251</v>
      </c>
      <c r="K11" s="78"/>
      <c r="L11" s="76"/>
      <c r="M11" s="76"/>
      <c r="N11" s="76"/>
      <c r="O11" s="76"/>
      <c r="P11" s="76"/>
      <c r="Q11" s="76"/>
      <c r="R11" s="76"/>
      <c r="S11" s="76"/>
      <c r="T11" s="76"/>
      <c r="U11" s="76"/>
      <c r="V11" s="76"/>
      <c r="W11" s="76"/>
      <c r="X11" s="76"/>
      <c r="Y11" s="76"/>
    </row>
    <row r="12" ht="17" spans="1:25">
      <c r="A12" s="41" t="s">
        <v>233</v>
      </c>
      <c r="B12" s="42">
        <f ca="1" t="shared" si="0"/>
        <v>-402</v>
      </c>
      <c r="C12" s="43">
        <v>45565</v>
      </c>
      <c r="D12" s="44">
        <v>45565</v>
      </c>
      <c r="E12" s="60" t="s">
        <v>234</v>
      </c>
      <c r="F12" s="60" t="s">
        <v>235</v>
      </c>
      <c r="G12" s="41" t="s">
        <v>249</v>
      </c>
      <c r="H12" s="61">
        <v>3000000</v>
      </c>
      <c r="I12" s="52" t="s">
        <v>252</v>
      </c>
      <c r="J12" s="60"/>
      <c r="K12" s="78" t="s">
        <v>239</v>
      </c>
      <c r="L12" s="76"/>
      <c r="M12" s="76"/>
      <c r="N12" s="76"/>
      <c r="O12" s="76"/>
      <c r="P12" s="76"/>
      <c r="Q12" s="76"/>
      <c r="R12" s="76"/>
      <c r="S12" s="76"/>
      <c r="T12" s="76"/>
      <c r="U12" s="76"/>
      <c r="V12" s="76"/>
      <c r="W12" s="76"/>
      <c r="X12" s="76"/>
      <c r="Y12" s="76"/>
    </row>
    <row r="13" ht="17" spans="1:25">
      <c r="A13" s="41" t="s">
        <v>233</v>
      </c>
      <c r="B13" s="42">
        <f ca="1" t="shared" si="0"/>
        <v>-394</v>
      </c>
      <c r="C13" s="43">
        <v>45573</v>
      </c>
      <c r="D13" s="44">
        <v>45573</v>
      </c>
      <c r="E13" s="60" t="s">
        <v>253</v>
      </c>
      <c r="F13" s="60"/>
      <c r="G13" s="41" t="s">
        <v>236</v>
      </c>
      <c r="H13" s="61">
        <v>3000000</v>
      </c>
      <c r="I13" s="52" t="s">
        <v>240</v>
      </c>
      <c r="J13" s="60" t="s">
        <v>254</v>
      </c>
      <c r="K13" s="78"/>
      <c r="L13" s="76"/>
      <c r="M13" s="76"/>
      <c r="N13" s="76"/>
      <c r="O13" s="76"/>
      <c r="P13" s="76"/>
      <c r="Q13" s="76"/>
      <c r="R13" s="76"/>
      <c r="S13" s="76"/>
      <c r="T13" s="76"/>
      <c r="U13" s="76"/>
      <c r="V13" s="76"/>
      <c r="W13" s="76"/>
      <c r="X13" s="76"/>
      <c r="Y13" s="76"/>
    </row>
    <row r="14" ht="17" spans="1:25">
      <c r="A14" s="41" t="s">
        <v>233</v>
      </c>
      <c r="B14" s="42">
        <f ca="1" t="shared" si="0"/>
        <v>-380</v>
      </c>
      <c r="C14" s="43">
        <v>45587</v>
      </c>
      <c r="D14" s="44">
        <v>45587</v>
      </c>
      <c r="E14" s="60" t="s">
        <v>253</v>
      </c>
      <c r="F14" s="60"/>
      <c r="G14" s="41" t="s">
        <v>236</v>
      </c>
      <c r="H14" s="61">
        <v>1500000</v>
      </c>
      <c r="I14" s="52" t="s">
        <v>255</v>
      </c>
      <c r="J14" s="60" t="s">
        <v>254</v>
      </c>
      <c r="K14" s="78"/>
      <c r="L14" s="76"/>
      <c r="M14" s="76"/>
      <c r="N14" s="76"/>
      <c r="O14" s="76"/>
      <c r="P14" s="76"/>
      <c r="Q14" s="76"/>
      <c r="R14" s="76"/>
      <c r="S14" s="76"/>
      <c r="T14" s="76"/>
      <c r="U14" s="76"/>
      <c r="V14" s="76"/>
      <c r="W14" s="76"/>
      <c r="X14" s="76"/>
      <c r="Y14" s="76"/>
    </row>
    <row r="15" ht="17" spans="1:25">
      <c r="A15" s="41" t="s">
        <v>233</v>
      </c>
      <c r="B15" s="42">
        <f ca="1" t="shared" si="0"/>
        <v>-380</v>
      </c>
      <c r="C15" s="43">
        <v>45587</v>
      </c>
      <c r="D15" s="44">
        <v>45587</v>
      </c>
      <c r="E15" s="60" t="s">
        <v>44</v>
      </c>
      <c r="F15" s="60"/>
      <c r="G15" s="41" t="s">
        <v>236</v>
      </c>
      <c r="H15" s="61">
        <v>2000000</v>
      </c>
      <c r="I15" s="52" t="s">
        <v>244</v>
      </c>
      <c r="J15" s="60" t="s">
        <v>256</v>
      </c>
      <c r="K15" s="78"/>
      <c r="L15" s="76"/>
      <c r="M15" s="76"/>
      <c r="N15" s="76"/>
      <c r="O15" s="76"/>
      <c r="P15" s="76"/>
      <c r="Q15" s="76"/>
      <c r="R15" s="76"/>
      <c r="S15" s="76"/>
      <c r="T15" s="76"/>
      <c r="U15" s="76"/>
      <c r="V15" s="76"/>
      <c r="W15" s="76"/>
      <c r="X15" s="76"/>
      <c r="Y15" s="76"/>
    </row>
    <row r="16" ht="17" spans="1:25">
      <c r="A16" s="41" t="s">
        <v>233</v>
      </c>
      <c r="B16" s="42">
        <f ca="1" t="shared" si="0"/>
        <v>-380</v>
      </c>
      <c r="C16" s="43">
        <v>45587</v>
      </c>
      <c r="D16" s="44">
        <v>45587</v>
      </c>
      <c r="E16" s="60" t="s">
        <v>45</v>
      </c>
      <c r="F16" s="60"/>
      <c r="G16" s="41" t="s">
        <v>236</v>
      </c>
      <c r="H16" s="61">
        <v>1000000</v>
      </c>
      <c r="I16" s="52" t="s">
        <v>257</v>
      </c>
      <c r="J16" s="60" t="s">
        <v>258</v>
      </c>
      <c r="K16" s="78"/>
      <c r="L16" s="76"/>
      <c r="M16" s="76"/>
      <c r="N16" s="76"/>
      <c r="O16" s="76"/>
      <c r="P16" s="76"/>
      <c r="Q16" s="76"/>
      <c r="R16" s="76"/>
      <c r="S16" s="76"/>
      <c r="T16" s="76"/>
      <c r="U16" s="76"/>
      <c r="V16" s="76"/>
      <c r="W16" s="76"/>
      <c r="X16" s="76"/>
      <c r="Y16" s="76"/>
    </row>
    <row r="17" ht="17" spans="1:25">
      <c r="A17" s="41" t="s">
        <v>233</v>
      </c>
      <c r="B17" s="42">
        <f ca="1" t="shared" ref="B17:B34" si="2">C17-$B$1</f>
        <v>-380</v>
      </c>
      <c r="C17" s="43">
        <v>45587</v>
      </c>
      <c r="D17" s="44">
        <v>45587</v>
      </c>
      <c r="E17" s="60" t="s">
        <v>46</v>
      </c>
      <c r="F17" s="60"/>
      <c r="G17" s="41" t="s">
        <v>236</v>
      </c>
      <c r="H17" s="61">
        <v>1000000</v>
      </c>
      <c r="I17" s="52" t="s">
        <v>257</v>
      </c>
      <c r="J17" s="60" t="s">
        <v>259</v>
      </c>
      <c r="K17" s="78"/>
      <c r="L17" s="76"/>
      <c r="M17" s="76"/>
      <c r="N17" s="76"/>
      <c r="O17" s="76"/>
      <c r="P17" s="76"/>
      <c r="Q17" s="76"/>
      <c r="R17" s="76"/>
      <c r="S17" s="76"/>
      <c r="T17" s="76"/>
      <c r="U17" s="76"/>
      <c r="V17" s="76"/>
      <c r="W17" s="76"/>
      <c r="X17" s="76"/>
      <c r="Y17" s="76"/>
    </row>
    <row r="18" ht="17" spans="1:25">
      <c r="A18" s="41" t="s">
        <v>233</v>
      </c>
      <c r="B18" s="42">
        <f ca="1" t="shared" si="2"/>
        <v>-379</v>
      </c>
      <c r="C18" s="43">
        <v>45588</v>
      </c>
      <c r="D18" s="44">
        <v>45588</v>
      </c>
      <c r="E18" s="60" t="s">
        <v>260</v>
      </c>
      <c r="F18" s="60"/>
      <c r="G18" s="41" t="s">
        <v>236</v>
      </c>
      <c r="H18" s="61">
        <v>4000000</v>
      </c>
      <c r="I18" s="52" t="s">
        <v>261</v>
      </c>
      <c r="J18" s="79" t="s">
        <v>29</v>
      </c>
      <c r="K18" s="80"/>
      <c r="L18" s="76"/>
      <c r="M18" s="76"/>
      <c r="N18" s="76"/>
      <c r="O18" s="76"/>
      <c r="P18" s="76"/>
      <c r="Q18" s="76"/>
      <c r="R18" s="76"/>
      <c r="S18" s="76"/>
      <c r="T18" s="76"/>
      <c r="U18" s="76"/>
      <c r="V18" s="76"/>
      <c r="W18" s="76"/>
      <c r="X18" s="76"/>
      <c r="Y18" s="76"/>
    </row>
    <row r="19" ht="17" spans="1:25">
      <c r="A19" s="45" t="s">
        <v>233</v>
      </c>
      <c r="B19" s="42">
        <f ca="1" t="shared" si="2"/>
        <v>-330</v>
      </c>
      <c r="C19" s="46">
        <v>45637</v>
      </c>
      <c r="D19" s="47">
        <v>45588</v>
      </c>
      <c r="E19" s="63" t="s">
        <v>48</v>
      </c>
      <c r="F19" s="63"/>
      <c r="G19" s="45" t="s">
        <v>236</v>
      </c>
      <c r="H19" s="64">
        <v>3000000</v>
      </c>
      <c r="I19" s="78" t="s">
        <v>240</v>
      </c>
      <c r="J19" s="81" t="s">
        <v>29</v>
      </c>
      <c r="K19" s="82"/>
      <c r="L19" s="76"/>
      <c r="M19" s="76"/>
      <c r="N19" s="76"/>
      <c r="O19" s="76"/>
      <c r="P19" s="76"/>
      <c r="Q19" s="76"/>
      <c r="R19" s="76"/>
      <c r="S19" s="76"/>
      <c r="T19" s="76"/>
      <c r="U19" s="76"/>
      <c r="V19" s="76"/>
      <c r="W19" s="76"/>
      <c r="X19" s="76"/>
      <c r="Y19" s="76"/>
    </row>
    <row r="20" ht="17" spans="1:11">
      <c r="A20" s="45" t="s">
        <v>233</v>
      </c>
      <c r="B20" s="42">
        <f ca="1" t="shared" si="2"/>
        <v>-310</v>
      </c>
      <c r="C20" s="48">
        <v>45657</v>
      </c>
      <c r="D20" s="49">
        <v>45589</v>
      </c>
      <c r="E20" s="65" t="s">
        <v>40</v>
      </c>
      <c r="F20" s="66"/>
      <c r="G20" s="67" t="s">
        <v>249</v>
      </c>
      <c r="H20" s="61"/>
      <c r="I20" s="80" t="s">
        <v>252</v>
      </c>
      <c r="J20" s="66" t="s">
        <v>262</v>
      </c>
      <c r="K20" s="66"/>
    </row>
    <row r="21" ht="17" spans="1:11">
      <c r="A21" s="45" t="s">
        <v>233</v>
      </c>
      <c r="B21" s="42">
        <f ca="1" t="shared" si="2"/>
        <v>-303</v>
      </c>
      <c r="C21" s="43">
        <v>45664</v>
      </c>
      <c r="D21" s="49" t="s">
        <v>263</v>
      </c>
      <c r="E21" s="65" t="s">
        <v>264</v>
      </c>
      <c r="F21" s="66"/>
      <c r="G21" s="67" t="s">
        <v>236</v>
      </c>
      <c r="H21" s="61">
        <v>3000000</v>
      </c>
      <c r="I21" s="80" t="s">
        <v>240</v>
      </c>
      <c r="J21" s="66" t="s">
        <v>265</v>
      </c>
      <c r="K21" s="66"/>
    </row>
    <row r="22" ht="17" spans="1:11">
      <c r="A22" s="45" t="s">
        <v>233</v>
      </c>
      <c r="B22" s="42">
        <f ca="1" t="shared" si="2"/>
        <v>-303</v>
      </c>
      <c r="C22" s="43">
        <v>45664</v>
      </c>
      <c r="D22" s="49" t="s">
        <v>263</v>
      </c>
      <c r="E22" s="65" t="s">
        <v>39</v>
      </c>
      <c r="F22" s="66"/>
      <c r="G22" s="67" t="s">
        <v>249</v>
      </c>
      <c r="H22" s="61">
        <v>1000000</v>
      </c>
      <c r="I22" s="80" t="s">
        <v>257</v>
      </c>
      <c r="J22" s="66" t="s">
        <v>266</v>
      </c>
      <c r="K22" s="66"/>
    </row>
    <row r="23" ht="17" spans="1:11">
      <c r="A23" s="45" t="s">
        <v>233</v>
      </c>
      <c r="B23" s="42">
        <f ca="1" t="shared" si="2"/>
        <v>-300</v>
      </c>
      <c r="C23" s="43">
        <v>45667</v>
      </c>
      <c r="D23" s="49" t="s">
        <v>267</v>
      </c>
      <c r="E23" s="65" t="s">
        <v>50</v>
      </c>
      <c r="F23" s="66"/>
      <c r="G23" s="41" t="s">
        <v>236</v>
      </c>
      <c r="H23" s="61">
        <v>1000000</v>
      </c>
      <c r="I23" s="80" t="s">
        <v>257</v>
      </c>
      <c r="J23" s="66" t="s">
        <v>266</v>
      </c>
      <c r="K23" s="66"/>
    </row>
    <row r="24" ht="17" spans="1:11">
      <c r="A24" s="45" t="s">
        <v>233</v>
      </c>
      <c r="B24" s="42">
        <f ca="1" t="shared" si="2"/>
        <v>-294</v>
      </c>
      <c r="C24" s="43">
        <v>45673</v>
      </c>
      <c r="D24" s="49" t="s">
        <v>268</v>
      </c>
      <c r="E24" s="65" t="s">
        <v>39</v>
      </c>
      <c r="F24" s="66"/>
      <c r="G24" s="67" t="s">
        <v>249</v>
      </c>
      <c r="H24" s="61">
        <v>1000000</v>
      </c>
      <c r="I24" s="80" t="s">
        <v>257</v>
      </c>
      <c r="J24" s="66" t="s">
        <v>266</v>
      </c>
      <c r="K24" s="66"/>
    </row>
    <row r="25" ht="17" spans="1:11">
      <c r="A25" s="45" t="s">
        <v>233</v>
      </c>
      <c r="B25" s="42">
        <f ca="1" t="shared" si="2"/>
        <v>-293</v>
      </c>
      <c r="C25" s="43">
        <v>45674</v>
      </c>
      <c r="D25" s="49" t="s">
        <v>267</v>
      </c>
      <c r="E25" s="65" t="s">
        <v>51</v>
      </c>
      <c r="F25" s="66"/>
      <c r="G25" s="41" t="s">
        <v>236</v>
      </c>
      <c r="H25" s="61">
        <v>3000000</v>
      </c>
      <c r="I25" s="80" t="s">
        <v>240</v>
      </c>
      <c r="J25" s="66" t="s">
        <v>266</v>
      </c>
      <c r="K25" s="66"/>
    </row>
    <row r="26" ht="17" spans="1:11">
      <c r="A26" s="45" t="s">
        <v>233</v>
      </c>
      <c r="B26" s="42">
        <f ca="1" t="shared" si="2"/>
        <v>-289</v>
      </c>
      <c r="C26" s="43">
        <v>45678</v>
      </c>
      <c r="D26" s="49" t="s">
        <v>263</v>
      </c>
      <c r="E26" s="65" t="s">
        <v>52</v>
      </c>
      <c r="F26" s="66"/>
      <c r="G26" s="41" t="s">
        <v>236</v>
      </c>
      <c r="H26" s="61">
        <v>5000000</v>
      </c>
      <c r="I26" s="80" t="s">
        <v>246</v>
      </c>
      <c r="J26" s="66" t="s">
        <v>269</v>
      </c>
      <c r="K26" s="66"/>
    </row>
    <row r="27" ht="17" spans="1:11">
      <c r="A27" s="45" t="s">
        <v>233</v>
      </c>
      <c r="B27" s="42">
        <f ca="1" t="shared" si="2"/>
        <v>-288</v>
      </c>
      <c r="C27" s="43">
        <v>45679</v>
      </c>
      <c r="D27" s="49" t="s">
        <v>270</v>
      </c>
      <c r="E27" s="65" t="s">
        <v>53</v>
      </c>
      <c r="F27" s="66"/>
      <c r="G27" s="41" t="s">
        <v>236</v>
      </c>
      <c r="H27" s="61">
        <v>3200000</v>
      </c>
      <c r="I27" s="80" t="s">
        <v>271</v>
      </c>
      <c r="J27" s="83" t="s">
        <v>265</v>
      </c>
      <c r="K27" s="66"/>
    </row>
    <row r="28" ht="17" spans="1:11">
      <c r="A28" s="50" t="s">
        <v>233</v>
      </c>
      <c r="B28" s="42">
        <f ca="1" t="shared" si="2"/>
        <v>-251</v>
      </c>
      <c r="C28" s="43">
        <v>45716</v>
      </c>
      <c r="D28" s="49" t="s">
        <v>267</v>
      </c>
      <c r="E28" s="65" t="s">
        <v>45</v>
      </c>
      <c r="F28" s="66"/>
      <c r="G28" s="67" t="s">
        <v>249</v>
      </c>
      <c r="H28" s="61" t="s">
        <v>272</v>
      </c>
      <c r="I28" s="80" t="s">
        <v>273</v>
      </c>
      <c r="J28" s="83"/>
      <c r="K28" s="66"/>
    </row>
    <row r="29" ht="17" spans="1:11">
      <c r="A29" s="50" t="s">
        <v>233</v>
      </c>
      <c r="B29" s="42">
        <f ca="1" t="shared" si="2"/>
        <v>-246</v>
      </c>
      <c r="C29" s="43">
        <v>45721</v>
      </c>
      <c r="D29" s="49" t="s">
        <v>270</v>
      </c>
      <c r="E29" s="65" t="s">
        <v>53</v>
      </c>
      <c r="F29" s="66"/>
      <c r="G29" s="41" t="s">
        <v>236</v>
      </c>
      <c r="H29" s="61">
        <v>1000000</v>
      </c>
      <c r="I29" s="80" t="s">
        <v>257</v>
      </c>
      <c r="J29" s="83" t="s">
        <v>265</v>
      </c>
      <c r="K29" s="66"/>
    </row>
    <row r="30" ht="17" spans="1:11">
      <c r="A30" s="50" t="s">
        <v>233</v>
      </c>
      <c r="B30" s="42">
        <f ca="1" t="shared" si="2"/>
        <v>-239</v>
      </c>
      <c r="C30" s="43">
        <v>45728</v>
      </c>
      <c r="D30" s="49" t="s">
        <v>270</v>
      </c>
      <c r="E30" s="65" t="s">
        <v>54</v>
      </c>
      <c r="F30" s="66"/>
      <c r="G30" s="41" t="s">
        <v>236</v>
      </c>
      <c r="H30" s="61">
        <v>3000000</v>
      </c>
      <c r="I30" s="80" t="s">
        <v>274</v>
      </c>
      <c r="J30" s="83"/>
      <c r="K30" s="66"/>
    </row>
    <row r="31" ht="17" spans="1:11">
      <c r="A31" s="50" t="s">
        <v>233</v>
      </c>
      <c r="B31" s="42">
        <f ca="1" t="shared" si="2"/>
        <v>-239</v>
      </c>
      <c r="C31" s="43">
        <v>45728</v>
      </c>
      <c r="D31" s="49" t="s">
        <v>270</v>
      </c>
      <c r="E31" s="65" t="s">
        <v>53</v>
      </c>
      <c r="F31" s="66"/>
      <c r="G31" s="41" t="s">
        <v>236</v>
      </c>
      <c r="H31" s="61">
        <v>1400000</v>
      </c>
      <c r="I31" s="80" t="s">
        <v>275</v>
      </c>
      <c r="J31" s="83" t="s">
        <v>265</v>
      </c>
      <c r="K31" s="66"/>
    </row>
    <row r="32" ht="17" spans="1:11">
      <c r="A32" s="50" t="s">
        <v>233</v>
      </c>
      <c r="B32" s="42">
        <f ca="1" t="shared" si="2"/>
        <v>-239</v>
      </c>
      <c r="C32" s="43">
        <v>45728</v>
      </c>
      <c r="D32" s="49" t="s">
        <v>270</v>
      </c>
      <c r="E32" s="65" t="s">
        <v>276</v>
      </c>
      <c r="F32" s="66" t="s">
        <v>277</v>
      </c>
      <c r="G32" s="41" t="s">
        <v>236</v>
      </c>
      <c r="H32" s="61">
        <v>30000</v>
      </c>
      <c r="I32" s="80" t="s">
        <v>278</v>
      </c>
      <c r="J32" s="83"/>
      <c r="K32" s="84" t="s">
        <v>239</v>
      </c>
    </row>
    <row r="33" ht="17" spans="1:11">
      <c r="A33" s="50" t="s">
        <v>233</v>
      </c>
      <c r="B33" s="42">
        <f ca="1" t="shared" si="2"/>
        <v>-226</v>
      </c>
      <c r="C33" s="43">
        <v>45741</v>
      </c>
      <c r="D33" s="49" t="s">
        <v>263</v>
      </c>
      <c r="E33" s="65" t="s">
        <v>50</v>
      </c>
      <c r="F33" s="66"/>
      <c r="G33" s="41" t="s">
        <v>236</v>
      </c>
      <c r="H33" s="61">
        <v>1000000</v>
      </c>
      <c r="I33" s="80" t="s">
        <v>279</v>
      </c>
      <c r="J33" s="83"/>
      <c r="K33" s="84"/>
    </row>
    <row r="34" ht="17" spans="1:11">
      <c r="A34" s="50" t="s">
        <v>233</v>
      </c>
      <c r="B34" s="42">
        <f ca="1" t="shared" si="2"/>
        <v>-225</v>
      </c>
      <c r="C34" s="43">
        <v>45742</v>
      </c>
      <c r="D34" s="49" t="s">
        <v>270</v>
      </c>
      <c r="E34" s="65" t="s">
        <v>55</v>
      </c>
      <c r="F34" s="66"/>
      <c r="G34" s="41" t="s">
        <v>236</v>
      </c>
      <c r="H34" s="61">
        <v>3000000</v>
      </c>
      <c r="I34" s="80" t="s">
        <v>240</v>
      </c>
      <c r="J34" s="83" t="s">
        <v>265</v>
      </c>
      <c r="K34" s="84"/>
    </row>
    <row r="35" ht="17" spans="1:11">
      <c r="A35" s="50" t="s">
        <v>233</v>
      </c>
      <c r="B35" s="42">
        <f ca="1" t="shared" ref="B35:B44" si="3">C35-$B$1</f>
        <v>-225</v>
      </c>
      <c r="C35" s="43">
        <v>45742</v>
      </c>
      <c r="D35" s="49" t="s">
        <v>270</v>
      </c>
      <c r="E35" s="65" t="s">
        <v>280</v>
      </c>
      <c r="F35" s="66"/>
      <c r="G35" s="41" t="s">
        <v>236</v>
      </c>
      <c r="H35" s="61">
        <v>3000000</v>
      </c>
      <c r="I35" s="80" t="s">
        <v>240</v>
      </c>
      <c r="J35" s="83" t="s">
        <v>265</v>
      </c>
      <c r="K35" s="84"/>
    </row>
    <row r="36" ht="17" spans="1:11">
      <c r="A36" s="50" t="s">
        <v>233</v>
      </c>
      <c r="B36" s="42">
        <f ca="1" t="shared" si="3"/>
        <v>-219</v>
      </c>
      <c r="C36" s="43">
        <v>45748</v>
      </c>
      <c r="D36" s="49" t="s">
        <v>263</v>
      </c>
      <c r="E36" s="65" t="s">
        <v>52</v>
      </c>
      <c r="F36" s="66"/>
      <c r="G36" s="67" t="s">
        <v>249</v>
      </c>
      <c r="H36" s="61">
        <v>2000000</v>
      </c>
      <c r="I36" s="80" t="s">
        <v>244</v>
      </c>
      <c r="J36" s="66" t="s">
        <v>269</v>
      </c>
      <c r="K36" s="66"/>
    </row>
    <row r="37" ht="17" spans="1:11">
      <c r="A37" s="50" t="s">
        <v>233</v>
      </c>
      <c r="B37" s="42">
        <f ca="1" t="shared" si="3"/>
        <v>-217</v>
      </c>
      <c r="C37" s="43">
        <v>45750</v>
      </c>
      <c r="D37" s="49" t="s">
        <v>268</v>
      </c>
      <c r="E37" s="65" t="s">
        <v>57</v>
      </c>
      <c r="F37" s="66"/>
      <c r="G37" s="41" t="s">
        <v>236</v>
      </c>
      <c r="H37" s="61">
        <v>2000000</v>
      </c>
      <c r="I37" s="80" t="s">
        <v>244</v>
      </c>
      <c r="J37" s="83" t="s">
        <v>266</v>
      </c>
      <c r="K37" s="84"/>
    </row>
    <row r="38" ht="17" spans="1:11">
      <c r="A38" s="50" t="s">
        <v>233</v>
      </c>
      <c r="B38" s="42">
        <f ca="1" t="shared" si="3"/>
        <v>-198</v>
      </c>
      <c r="C38" s="43">
        <v>45769</v>
      </c>
      <c r="D38" s="49" t="s">
        <v>263</v>
      </c>
      <c r="E38" s="65" t="s">
        <v>52</v>
      </c>
      <c r="F38" s="66"/>
      <c r="G38" s="67" t="s">
        <v>249</v>
      </c>
      <c r="H38" s="61">
        <v>3000000</v>
      </c>
      <c r="I38" s="80" t="s">
        <v>281</v>
      </c>
      <c r="J38" s="66" t="s">
        <v>269</v>
      </c>
      <c r="K38" s="66"/>
    </row>
    <row r="39" ht="17" spans="1:11">
      <c r="A39" s="50" t="s">
        <v>233</v>
      </c>
      <c r="B39" s="42">
        <f ca="1" t="shared" si="3"/>
        <v>-196</v>
      </c>
      <c r="C39" s="43">
        <v>45771</v>
      </c>
      <c r="D39" s="49" t="s">
        <v>268</v>
      </c>
      <c r="E39" s="65" t="s">
        <v>57</v>
      </c>
      <c r="F39" s="66"/>
      <c r="G39" s="41" t="s">
        <v>236</v>
      </c>
      <c r="H39" s="61">
        <v>1500000</v>
      </c>
      <c r="I39" s="80" t="s">
        <v>282</v>
      </c>
      <c r="J39" s="83" t="s">
        <v>266</v>
      </c>
      <c r="K39" s="84"/>
    </row>
    <row r="40" ht="17" spans="1:11">
      <c r="A40" s="50" t="s">
        <v>233</v>
      </c>
      <c r="B40" s="42">
        <f ca="1" t="shared" si="3"/>
        <v>-191</v>
      </c>
      <c r="C40" s="43">
        <v>45776</v>
      </c>
      <c r="D40" s="49" t="s">
        <v>263</v>
      </c>
      <c r="E40" s="65" t="s">
        <v>53</v>
      </c>
      <c r="F40" s="66"/>
      <c r="G40" s="41" t="s">
        <v>236</v>
      </c>
      <c r="H40" s="61">
        <v>1500000</v>
      </c>
      <c r="I40" s="80" t="s">
        <v>282</v>
      </c>
      <c r="J40" s="83" t="s">
        <v>265</v>
      </c>
      <c r="K40" s="84"/>
    </row>
    <row r="41" ht="17" spans="1:11">
      <c r="A41" s="50" t="s">
        <v>233</v>
      </c>
      <c r="B41" s="42">
        <f ca="1" t="shared" si="3"/>
        <v>-162</v>
      </c>
      <c r="C41" s="43">
        <v>45805</v>
      </c>
      <c r="D41" s="49" t="s">
        <v>270</v>
      </c>
      <c r="E41" s="65" t="s">
        <v>283</v>
      </c>
      <c r="F41" s="66"/>
      <c r="G41" s="67" t="s">
        <v>249</v>
      </c>
      <c r="H41" s="61" t="s">
        <v>284</v>
      </c>
      <c r="I41" s="80"/>
      <c r="J41" s="83" t="s">
        <v>285</v>
      </c>
      <c r="K41" s="84"/>
    </row>
    <row r="42" ht="17" spans="1:11">
      <c r="A42" s="50" t="s">
        <v>233</v>
      </c>
      <c r="B42" s="42">
        <f ca="1" t="shared" si="3"/>
        <v>-160</v>
      </c>
      <c r="C42" s="43">
        <v>45807</v>
      </c>
      <c r="D42" s="49" t="s">
        <v>267</v>
      </c>
      <c r="E42" s="65" t="s">
        <v>286</v>
      </c>
      <c r="F42" s="66"/>
      <c r="G42" s="41" t="s">
        <v>236</v>
      </c>
      <c r="H42" s="61"/>
      <c r="I42" s="80"/>
      <c r="J42" s="83" t="s">
        <v>287</v>
      </c>
      <c r="K42" s="84"/>
    </row>
    <row r="43" ht="12" customHeight="1" spans="1:11">
      <c r="A43" s="50" t="s">
        <v>233</v>
      </c>
      <c r="B43" s="42">
        <f ca="1" t="shared" si="3"/>
        <v>-149</v>
      </c>
      <c r="C43" s="43">
        <v>45818</v>
      </c>
      <c r="D43" s="49" t="s">
        <v>263</v>
      </c>
      <c r="E43" s="65" t="s">
        <v>288</v>
      </c>
      <c r="F43" s="66"/>
      <c r="G43" s="41" t="s">
        <v>236</v>
      </c>
      <c r="H43" s="61">
        <v>3000000</v>
      </c>
      <c r="I43" s="80"/>
      <c r="J43" s="83" t="s">
        <v>265</v>
      </c>
      <c r="K43" s="84"/>
    </row>
    <row r="44" ht="17" spans="1:11">
      <c r="A44" s="50" t="s">
        <v>233</v>
      </c>
      <c r="B44" s="42">
        <f ca="1" t="shared" si="3"/>
        <v>-147</v>
      </c>
      <c r="C44" s="43">
        <v>45820</v>
      </c>
      <c r="D44" s="49" t="s">
        <v>268</v>
      </c>
      <c r="E44" s="65" t="s">
        <v>289</v>
      </c>
      <c r="F44" s="66"/>
      <c r="G44" s="41" t="s">
        <v>236</v>
      </c>
      <c r="H44" s="61">
        <v>2000000</v>
      </c>
      <c r="I44" s="80"/>
      <c r="J44" s="83" t="s">
        <v>290</v>
      </c>
      <c r="K44" s="84"/>
    </row>
    <row r="45" ht="17" spans="1:11">
      <c r="A45" s="50" t="s">
        <v>233</v>
      </c>
      <c r="B45" s="42">
        <v>-5</v>
      </c>
      <c r="C45" s="43">
        <v>45848</v>
      </c>
      <c r="D45" s="49" t="s">
        <v>268</v>
      </c>
      <c r="E45" s="65" t="s">
        <v>60</v>
      </c>
      <c r="F45" s="66"/>
      <c r="G45" s="41" t="s">
        <v>236</v>
      </c>
      <c r="H45" s="61">
        <v>3000000</v>
      </c>
      <c r="I45" s="80"/>
      <c r="J45" s="83" t="s">
        <v>290</v>
      </c>
      <c r="K45" s="84"/>
    </row>
    <row r="46" ht="17" spans="1:11">
      <c r="A46" s="50" t="s">
        <v>233</v>
      </c>
      <c r="B46" s="42">
        <v>-1</v>
      </c>
      <c r="C46" s="43">
        <v>45852</v>
      </c>
      <c r="D46" s="49" t="s">
        <v>291</v>
      </c>
      <c r="E46" s="65" t="s">
        <v>276</v>
      </c>
      <c r="F46" s="66" t="s">
        <v>277</v>
      </c>
      <c r="G46" s="67" t="s">
        <v>249</v>
      </c>
      <c r="H46" s="61">
        <v>300000</v>
      </c>
      <c r="I46" s="80"/>
      <c r="J46" s="83"/>
      <c r="K46" s="84"/>
    </row>
    <row r="47" ht="17" spans="1:10">
      <c r="A47" s="50" t="s">
        <v>233</v>
      </c>
      <c r="B47" s="42">
        <v>0</v>
      </c>
      <c r="C47" s="43">
        <v>45853</v>
      </c>
      <c r="D47" s="49" t="s">
        <v>263</v>
      </c>
      <c r="E47" s="65" t="s">
        <v>62</v>
      </c>
      <c r="F47" s="66"/>
      <c r="G47" s="41" t="s">
        <v>236</v>
      </c>
      <c r="H47" s="61">
        <v>1500000</v>
      </c>
      <c r="I47" s="80"/>
      <c r="J47" s="83" t="s">
        <v>292</v>
      </c>
    </row>
    <row r="48" ht="17" spans="1:10">
      <c r="A48" s="50" t="s">
        <v>233</v>
      </c>
      <c r="B48" s="42">
        <v>0</v>
      </c>
      <c r="C48" s="43">
        <v>45853</v>
      </c>
      <c r="D48" s="49" t="s">
        <v>263</v>
      </c>
      <c r="E48" s="65" t="s">
        <v>253</v>
      </c>
      <c r="F48" s="66"/>
      <c r="G48" s="41" t="s">
        <v>236</v>
      </c>
      <c r="H48" s="61">
        <v>2000000</v>
      </c>
      <c r="I48" s="80"/>
      <c r="J48" s="83" t="s">
        <v>266</v>
      </c>
    </row>
    <row r="49" ht="17" spans="1:10">
      <c r="A49" s="50" t="s">
        <v>233</v>
      </c>
      <c r="B49" s="51">
        <v>0</v>
      </c>
      <c r="C49" s="43">
        <v>45853</v>
      </c>
      <c r="D49" s="49" t="s">
        <v>263</v>
      </c>
      <c r="E49" s="65" t="s">
        <v>57</v>
      </c>
      <c r="F49" s="66"/>
      <c r="G49" s="67" t="s">
        <v>249</v>
      </c>
      <c r="H49" s="61" t="s">
        <v>284</v>
      </c>
      <c r="I49" s="80"/>
      <c r="J49" s="83"/>
    </row>
    <row r="50" ht="17" spans="1:10">
      <c r="A50" s="50" t="s">
        <v>233</v>
      </c>
      <c r="B50" s="51">
        <v>0</v>
      </c>
      <c r="C50" s="43">
        <v>45853</v>
      </c>
      <c r="D50" s="49" t="s">
        <v>263</v>
      </c>
      <c r="E50" s="65" t="s">
        <v>264</v>
      </c>
      <c r="F50" s="66"/>
      <c r="G50" s="67" t="s">
        <v>293</v>
      </c>
      <c r="H50" s="61"/>
      <c r="I50" s="80"/>
      <c r="J50" s="83" t="s">
        <v>294</v>
      </c>
    </row>
    <row r="51" ht="17" spans="1:11">
      <c r="A51" s="50" t="s">
        <v>233</v>
      </c>
      <c r="B51" s="42">
        <v>1</v>
      </c>
      <c r="C51" s="43">
        <v>45854</v>
      </c>
      <c r="D51" s="49" t="s">
        <v>270</v>
      </c>
      <c r="E51" s="65" t="s">
        <v>61</v>
      </c>
      <c r="F51" s="66"/>
      <c r="G51" s="41" t="s">
        <v>236</v>
      </c>
      <c r="H51" s="61">
        <v>1500000</v>
      </c>
      <c r="I51" s="80"/>
      <c r="J51" s="83" t="s">
        <v>295</v>
      </c>
      <c r="K51" s="84"/>
    </row>
    <row r="52" ht="17" spans="1:11">
      <c r="A52" s="50" t="s">
        <v>233</v>
      </c>
      <c r="B52" s="42">
        <v>1</v>
      </c>
      <c r="C52" s="43">
        <v>45854</v>
      </c>
      <c r="D52" s="49" t="s">
        <v>270</v>
      </c>
      <c r="E52" s="65" t="s">
        <v>64</v>
      </c>
      <c r="F52" s="66"/>
      <c r="G52" s="41" t="s">
        <v>236</v>
      </c>
      <c r="H52" s="61">
        <v>2000000</v>
      </c>
      <c r="I52" s="80"/>
      <c r="J52" s="83" t="s">
        <v>29</v>
      </c>
      <c r="K52" s="84"/>
    </row>
    <row r="53" ht="17" spans="1:11">
      <c r="A53" s="50" t="s">
        <v>233</v>
      </c>
      <c r="B53" s="42">
        <v>1</v>
      </c>
      <c r="C53" s="43">
        <v>45854</v>
      </c>
      <c r="D53" s="49" t="s">
        <v>270</v>
      </c>
      <c r="E53" s="65" t="s">
        <v>260</v>
      </c>
      <c r="F53" s="66"/>
      <c r="G53" s="41" t="s">
        <v>236</v>
      </c>
      <c r="H53" s="61">
        <v>1000000</v>
      </c>
      <c r="I53" s="80"/>
      <c r="J53" s="83" t="s">
        <v>29</v>
      </c>
      <c r="K53" s="84"/>
    </row>
    <row r="54" ht="17" spans="1:11">
      <c r="A54" s="50" t="s">
        <v>233</v>
      </c>
      <c r="B54" s="42">
        <v>2</v>
      </c>
      <c r="C54" s="43">
        <v>45855</v>
      </c>
      <c r="D54" s="49" t="s">
        <v>268</v>
      </c>
      <c r="E54" s="65" t="s">
        <v>296</v>
      </c>
      <c r="F54" s="66"/>
      <c r="G54" s="41" t="s">
        <v>236</v>
      </c>
      <c r="H54" s="61">
        <v>5000000</v>
      </c>
      <c r="I54" s="80"/>
      <c r="J54" s="83"/>
      <c r="K54" s="84"/>
    </row>
    <row r="55" ht="17" spans="1:11">
      <c r="A55" s="50" t="s">
        <v>233</v>
      </c>
      <c r="B55" s="42">
        <v>2</v>
      </c>
      <c r="C55" s="43">
        <v>45855</v>
      </c>
      <c r="D55" s="49" t="s">
        <v>268</v>
      </c>
      <c r="E55" s="65" t="s">
        <v>297</v>
      </c>
      <c r="F55" s="66"/>
      <c r="G55" s="41" t="s">
        <v>236</v>
      </c>
      <c r="H55" s="61">
        <v>1500000</v>
      </c>
      <c r="I55" s="80"/>
      <c r="J55" s="83"/>
      <c r="K55" s="84"/>
    </row>
    <row r="56" ht="34" spans="1:11">
      <c r="A56" s="50" t="s">
        <v>233</v>
      </c>
      <c r="B56" s="42"/>
      <c r="C56" s="43">
        <v>45863</v>
      </c>
      <c r="D56" s="49" t="s">
        <v>267</v>
      </c>
      <c r="E56" s="65" t="s">
        <v>297</v>
      </c>
      <c r="F56" s="66"/>
      <c r="G56" s="41" t="s">
        <v>298</v>
      </c>
      <c r="H56" s="61">
        <v>3000000</v>
      </c>
      <c r="I56" s="85" t="s">
        <v>299</v>
      </c>
      <c r="J56" s="83" t="s">
        <v>300</v>
      </c>
      <c r="K56" s="84"/>
    </row>
    <row r="57" ht="17" spans="1:11">
      <c r="A57" s="50" t="s">
        <v>301</v>
      </c>
      <c r="B57" s="52">
        <v>-14</v>
      </c>
      <c r="C57" s="43">
        <v>45888</v>
      </c>
      <c r="D57" s="53" t="s">
        <v>263</v>
      </c>
      <c r="E57" s="68" t="s">
        <v>46</v>
      </c>
      <c r="F57" s="60"/>
      <c r="G57" s="69" t="s">
        <v>249</v>
      </c>
      <c r="H57" s="68" t="s">
        <v>284</v>
      </c>
      <c r="I57" s="60"/>
      <c r="J57" s="68" t="s">
        <v>269</v>
      </c>
      <c r="K57" s="86"/>
    </row>
    <row r="58" ht="17" spans="1:11">
      <c r="A58" s="50" t="s">
        <v>301</v>
      </c>
      <c r="B58" s="52">
        <v>-14</v>
      </c>
      <c r="C58" s="43">
        <v>45888</v>
      </c>
      <c r="D58" s="53" t="s">
        <v>263</v>
      </c>
      <c r="E58" s="68" t="s">
        <v>302</v>
      </c>
      <c r="F58" s="60"/>
      <c r="G58" s="60"/>
      <c r="H58" s="60"/>
      <c r="I58" s="60"/>
      <c r="J58" s="60"/>
      <c r="K58" s="86"/>
    </row>
    <row r="59" ht="17" spans="1:11">
      <c r="A59" s="50" t="s">
        <v>301</v>
      </c>
      <c r="B59" s="52">
        <v>-12</v>
      </c>
      <c r="C59" s="43">
        <v>45890</v>
      </c>
      <c r="D59" s="53" t="s">
        <v>268</v>
      </c>
      <c r="E59" s="68" t="s">
        <v>66</v>
      </c>
      <c r="F59" s="60"/>
      <c r="G59" s="41" t="s">
        <v>236</v>
      </c>
      <c r="H59" s="70">
        <v>4800000</v>
      </c>
      <c r="I59" s="60"/>
      <c r="J59" s="68" t="s">
        <v>290</v>
      </c>
      <c r="K59" s="86"/>
    </row>
    <row r="60" s="34" customFormat="1" ht="17" spans="1:10">
      <c r="A60" s="54" t="s">
        <v>301</v>
      </c>
      <c r="B60" s="55">
        <v>-6</v>
      </c>
      <c r="C60" s="56">
        <v>45924</v>
      </c>
      <c r="D60" s="57" t="s">
        <v>270</v>
      </c>
      <c r="E60" s="71" t="s">
        <v>64</v>
      </c>
      <c r="F60" s="72"/>
      <c r="G60" s="73" t="s">
        <v>249</v>
      </c>
      <c r="H60" s="74"/>
      <c r="I60" s="74"/>
      <c r="J60" s="74"/>
    </row>
    <row r="61" ht="17" spans="1:10">
      <c r="A61" s="41" t="s">
        <v>301</v>
      </c>
      <c r="B61" s="52">
        <v>-6</v>
      </c>
      <c r="C61" s="43">
        <v>45940</v>
      </c>
      <c r="D61" s="53" t="s">
        <v>267</v>
      </c>
      <c r="E61" s="68" t="s">
        <v>303</v>
      </c>
      <c r="F61" s="75"/>
      <c r="G61" s="41" t="s">
        <v>236</v>
      </c>
      <c r="H61" s="70">
        <v>1800000</v>
      </c>
      <c r="I61" s="60"/>
      <c r="J61" s="68" t="s">
        <v>304</v>
      </c>
    </row>
    <row r="62" ht="17" spans="1:10">
      <c r="A62" s="41" t="s">
        <v>301</v>
      </c>
      <c r="B62" s="52">
        <v>-8</v>
      </c>
      <c r="C62" s="43">
        <v>45952</v>
      </c>
      <c r="D62" s="53" t="s">
        <v>270</v>
      </c>
      <c r="E62" s="68" t="s">
        <v>303</v>
      </c>
      <c r="F62" s="75"/>
      <c r="G62" s="41" t="s">
        <v>298</v>
      </c>
      <c r="H62" s="70">
        <v>1200000</v>
      </c>
      <c r="I62" s="60"/>
      <c r="J62" s="68" t="s">
        <v>304</v>
      </c>
    </row>
    <row r="63" ht="17" spans="1:10">
      <c r="A63" s="41" t="s">
        <v>301</v>
      </c>
      <c r="B63" s="52">
        <v>-8</v>
      </c>
      <c r="C63" s="43">
        <v>45952</v>
      </c>
      <c r="D63" s="53" t="s">
        <v>270</v>
      </c>
      <c r="E63" s="68" t="s">
        <v>305</v>
      </c>
      <c r="F63" s="75"/>
      <c r="G63" s="45" t="s">
        <v>306</v>
      </c>
      <c r="H63" s="70">
        <v>3000000</v>
      </c>
      <c r="I63" s="60"/>
      <c r="J63" s="60"/>
    </row>
    <row r="64" ht="17" spans="1:10">
      <c r="A64" s="41" t="s">
        <v>301</v>
      </c>
      <c r="B64" s="52">
        <v>-8</v>
      </c>
      <c r="C64" s="43">
        <v>45952</v>
      </c>
      <c r="D64" s="53" t="s">
        <v>270</v>
      </c>
      <c r="E64" s="68" t="s">
        <v>307</v>
      </c>
      <c r="F64" s="75"/>
      <c r="G64" s="45" t="s">
        <v>306</v>
      </c>
      <c r="H64" s="70">
        <v>3000000</v>
      </c>
      <c r="I64" s="60"/>
      <c r="J64" s="60"/>
    </row>
    <row r="65" ht="17" spans="1:10">
      <c r="A65" s="41" t="s">
        <v>301</v>
      </c>
      <c r="B65" s="52">
        <v>-1</v>
      </c>
      <c r="C65" s="43">
        <v>45959</v>
      </c>
      <c r="D65" s="53" t="s">
        <v>270</v>
      </c>
      <c r="E65" s="68" t="s">
        <v>56</v>
      </c>
      <c r="F65" s="75"/>
      <c r="G65" s="69" t="s">
        <v>249</v>
      </c>
      <c r="H65" s="70" t="s">
        <v>308</v>
      </c>
      <c r="I65" s="68" t="s">
        <v>309</v>
      </c>
      <c r="J65" s="87" t="s">
        <v>265</v>
      </c>
    </row>
  </sheetData>
  <mergeCells count="1">
    <mergeCell ref="A2:K2"/>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L127"/>
  <sheetViews>
    <sheetView topLeftCell="A54" workbookViewId="0">
      <selection activeCell="G76" sqref="G76"/>
    </sheetView>
  </sheetViews>
  <sheetFormatPr defaultColWidth="9" defaultRowHeight="16.8"/>
  <cols>
    <col min="1" max="1" width="11.625" style="1" customWidth="1"/>
    <col min="2" max="2" width="14" style="1" customWidth="1"/>
    <col min="3" max="3" width="10.25" customWidth="1"/>
    <col min="4" max="4" width="10.25" style="27" customWidth="1"/>
    <col min="5" max="5" width="10.25" style="21" customWidth="1"/>
    <col min="6" max="6" width="17.375" style="28" customWidth="1"/>
    <col min="7" max="8" width="22.125" customWidth="1"/>
    <col min="9" max="9" width="16.25" style="15" customWidth="1"/>
  </cols>
  <sheetData>
    <row r="1" spans="1:12">
      <c r="A1" s="1">
        <v>1</v>
      </c>
      <c r="B1" s="1">
        <v>2</v>
      </c>
      <c r="C1" s="1">
        <v>3</v>
      </c>
      <c r="D1" s="3">
        <v>4</v>
      </c>
      <c r="E1" s="31">
        <v>5</v>
      </c>
      <c r="F1" s="31">
        <v>6</v>
      </c>
      <c r="G1" s="31">
        <v>7</v>
      </c>
      <c r="H1" s="31">
        <v>8</v>
      </c>
      <c r="I1" s="31">
        <v>9</v>
      </c>
      <c r="J1" s="31">
        <v>10</v>
      </c>
      <c r="K1" s="21"/>
      <c r="L1" s="21"/>
    </row>
    <row r="2" ht="16.5" customHeight="1" spans="1:10">
      <c r="A2" s="4" t="s">
        <v>2</v>
      </c>
      <c r="B2" s="4" t="s">
        <v>39</v>
      </c>
      <c r="C2" s="5" t="s">
        <v>310</v>
      </c>
      <c r="D2" s="29" t="s">
        <v>311</v>
      </c>
      <c r="E2" s="32" t="s">
        <v>22</v>
      </c>
      <c r="F2" s="10" t="s">
        <v>312</v>
      </c>
      <c r="G2" s="11" t="s">
        <v>313</v>
      </c>
      <c r="H2" s="11" t="s">
        <v>314</v>
      </c>
      <c r="I2" s="11" t="s">
        <v>315</v>
      </c>
      <c r="J2" s="5" t="s">
        <v>316</v>
      </c>
    </row>
    <row r="3" spans="1:3">
      <c r="A3" s="7">
        <f>IF(子基金及业绩基准周净值!A3="","",子基金及业绩基准周净值!A3)</f>
        <v>45469</v>
      </c>
      <c r="B3" s="1">
        <f>IF(A3="","",VLOOKUP($A3,子基金及业绩基准周净值!$A:$F,2))</f>
        <v>1.0494</v>
      </c>
      <c r="C3" s="30"/>
    </row>
    <row r="4" spans="1:9">
      <c r="A4" s="7">
        <f>IF(子基金及业绩基准周净值!A4="","",子基金及业绩基准周净值!A4)</f>
        <v>45471</v>
      </c>
      <c r="B4" s="1">
        <f>IF(A4="","",VLOOKUP($A4,子基金及业绩基准周净值!$A:$F,2))</f>
        <v>1.051</v>
      </c>
      <c r="C4" s="12">
        <f>IF(A4="","",(B4-B3)/B3)</f>
        <v>0.00152468076996362</v>
      </c>
      <c r="D4" s="27" t="e">
        <f>IF(A4="","",C4-(子基金及业绩基准周净值!AH4/子基金及业绩基准周净值!AH3-1))</f>
        <v>#DIV/0!</v>
      </c>
      <c r="E4" s="33">
        <v>0</v>
      </c>
      <c r="F4" s="17">
        <v>0</v>
      </c>
      <c r="G4" s="14" t="str">
        <f>IF(A4="","",IF(C4&lt;-3%,"是","否"))</f>
        <v>否</v>
      </c>
      <c r="H4" s="14" t="str">
        <f>IF(A4="","",IF(E4&gt;5%,"是","否"))</f>
        <v>否</v>
      </c>
      <c r="I4" s="15" t="str">
        <f>IF(A4="","",IF(F4&gt;=4,"是","否"))</f>
        <v>否</v>
      </c>
    </row>
    <row r="5" spans="1:9">
      <c r="A5" s="7">
        <f>IF(子基金及业绩基准周净值!A5="","",子基金及业绩基准周净值!A5)</f>
        <v>45478</v>
      </c>
      <c r="B5" s="1">
        <f>IF(A5="","",VLOOKUP($A5,子基金及业绩基准周净值!$A:$F,2))</f>
        <v>1.0518</v>
      </c>
      <c r="C5" s="12">
        <f>IF(A5="","",(B5-B4)/B4)</f>
        <v>0.000761179828734666</v>
      </c>
      <c r="D5" s="27" t="e">
        <f>IF(A5="","",C5-(子基金及业绩基准周净值!AH5/子基金及业绩基准周净值!AH4-1))</f>
        <v>#DIV/0!</v>
      </c>
      <c r="E5" s="33">
        <v>0</v>
      </c>
      <c r="F5" s="17">
        <v>1</v>
      </c>
      <c r="G5" s="14" t="str">
        <f t="shared" ref="G5:G36" si="0">IF(A5="","",IF(C5&lt;-3%,"是","否"))</f>
        <v>否</v>
      </c>
      <c r="H5" s="14" t="str">
        <f t="shared" ref="H5:H68" si="1">IF(A5="","",IF(E5&gt;5%,"是","否"))</f>
        <v>否</v>
      </c>
      <c r="I5" s="15" t="str">
        <f t="shared" ref="I5:I68" si="2">IF(A5="","",IF(F5&gt;=4,"是","否"))</f>
        <v>否</v>
      </c>
    </row>
    <row r="6" spans="1:9">
      <c r="A6" s="7">
        <f>IF(子基金及业绩基准周净值!A6="","",子基金及业绩基准周净值!A6)</f>
        <v>45485</v>
      </c>
      <c r="B6" s="1">
        <f>IF(A6="","",VLOOKUP($A6,子基金及业绩基准周净值!$A:$F,2))</f>
        <v>1.0527</v>
      </c>
      <c r="C6" s="12">
        <f t="shared" ref="C6:C68" si="3">IF(A6="","",(B6-B5)/B5)</f>
        <v>0.000855675984027287</v>
      </c>
      <c r="D6" s="27">
        <f>IF(A6="","",C6-(子基金及业绩基准周净值!AH6/子基金及业绩基准周净值!AH5-1))</f>
        <v>-0.000319524478214778</v>
      </c>
      <c r="E6" s="33">
        <v>0</v>
      </c>
      <c r="F6" s="17">
        <v>2</v>
      </c>
      <c r="G6" s="14" t="str">
        <f t="shared" si="0"/>
        <v>否</v>
      </c>
      <c r="H6" s="14" t="str">
        <f t="shared" si="1"/>
        <v>否</v>
      </c>
      <c r="I6" s="15" t="str">
        <f t="shared" si="2"/>
        <v>否</v>
      </c>
    </row>
    <row r="7" spans="1:9">
      <c r="A7" s="7">
        <f>IF(子基金及业绩基准周净值!A7="","",子基金及业绩基准周净值!A7)</f>
        <v>45492</v>
      </c>
      <c r="B7" s="1">
        <f>IF(A7="","",VLOOKUP($A7,子基金及业绩基准周净值!$A:$F,2))</f>
        <v>1.0536</v>
      </c>
      <c r="C7" s="12">
        <f t="shared" si="3"/>
        <v>0.000854944428612257</v>
      </c>
      <c r="D7" s="27">
        <f>IF(A7="","",C7-(子基金及业绩基准周净值!AH7/子基金及业绩基准周净值!AH6-1))</f>
        <v>0.00171104641314338</v>
      </c>
      <c r="E7" s="33">
        <v>0</v>
      </c>
      <c r="F7" s="17">
        <v>0</v>
      </c>
      <c r="G7" s="14" t="str">
        <f t="shared" si="0"/>
        <v>否</v>
      </c>
      <c r="H7" s="14" t="str">
        <f t="shared" si="1"/>
        <v>否</v>
      </c>
      <c r="I7" s="15" t="str">
        <f t="shared" si="2"/>
        <v>否</v>
      </c>
    </row>
    <row r="8" spans="1:9">
      <c r="A8" s="7">
        <f>IF(子基金及业绩基准周净值!A8="","",子基金及业绩基准周净值!A8)</f>
        <v>45499</v>
      </c>
      <c r="B8" s="1">
        <f>IF(A8="","",VLOOKUP($A8,子基金及业绩基准周净值!$A:$F,2))</f>
        <v>1.0585</v>
      </c>
      <c r="C8" s="12">
        <f t="shared" si="3"/>
        <v>0.00465072133637045</v>
      </c>
      <c r="D8" s="27">
        <f>IF(A8="","",C8-(子基金及业绩基准周净值!AH8/子基金及业绩基准周净值!AH7-1))</f>
        <v>0.00758453683052872</v>
      </c>
      <c r="E8" s="33">
        <v>0</v>
      </c>
      <c r="F8" s="17">
        <v>0</v>
      </c>
      <c r="G8" s="14" t="str">
        <f t="shared" si="0"/>
        <v>否</v>
      </c>
      <c r="H8" s="14" t="str">
        <f t="shared" si="1"/>
        <v>否</v>
      </c>
      <c r="I8" s="15" t="str">
        <f t="shared" si="2"/>
        <v>否</v>
      </c>
    </row>
    <row r="9" spans="1:9">
      <c r="A9" s="7">
        <f>IF(子基金及业绩基准周净值!A9="","",子基金及业绩基准周净值!A9)</f>
        <v>45506</v>
      </c>
      <c r="B9" s="1">
        <f>IF(A9="","",VLOOKUP($A9,子基金及业绩基准周净值!$A:$F,2))</f>
        <v>1.0615</v>
      </c>
      <c r="C9" s="12">
        <f t="shared" si="3"/>
        <v>0.00283419933868693</v>
      </c>
      <c r="D9" s="27">
        <f>IF(A9="","",C9-(子基金及业绩基准周净值!AH9/子基金及业绩基准周净值!AH8-1))</f>
        <v>0.00272895710472735</v>
      </c>
      <c r="E9" s="33">
        <v>0</v>
      </c>
      <c r="F9" s="17">
        <v>0</v>
      </c>
      <c r="G9" s="14" t="str">
        <f t="shared" si="0"/>
        <v>否</v>
      </c>
      <c r="H9" s="14" t="str">
        <f t="shared" si="1"/>
        <v>否</v>
      </c>
      <c r="I9" s="15" t="str">
        <f t="shared" si="2"/>
        <v>否</v>
      </c>
    </row>
    <row r="10" spans="1:9">
      <c r="A10" s="7">
        <f>IF(子基金及业绩基准周净值!A10="","",子基金及业绩基准周净值!A10)</f>
        <v>45513</v>
      </c>
      <c r="B10" s="1">
        <f>IF(A10="","",VLOOKUP($A10,子基金及业绩基准周净值!$A:$F,2))</f>
        <v>1.0762</v>
      </c>
      <c r="C10" s="12">
        <f t="shared" si="3"/>
        <v>0.0138483278379651</v>
      </c>
      <c r="D10" s="27">
        <f>IF(A10="","",C10-(子基金及业绩基准周净值!AH10/子基金及业绩基准周净值!AH9-1))</f>
        <v>0.0161493177115926</v>
      </c>
      <c r="E10" s="33">
        <v>0</v>
      </c>
      <c r="F10" s="17">
        <v>0</v>
      </c>
      <c r="G10" s="14" t="str">
        <f t="shared" si="0"/>
        <v>否</v>
      </c>
      <c r="H10" s="14" t="str">
        <f t="shared" si="1"/>
        <v>否</v>
      </c>
      <c r="I10" s="15" t="str">
        <f t="shared" si="2"/>
        <v>否</v>
      </c>
    </row>
    <row r="11" spans="1:9">
      <c r="A11" s="7">
        <f>IF(子基金及业绩基准周净值!A11="","",子基金及业绩基准周净值!A11)</f>
        <v>45520</v>
      </c>
      <c r="B11" s="1">
        <f>IF(A11="","",VLOOKUP($A11,子基金及业绩基准周净值!$A:$F,2))</f>
        <v>1.0767</v>
      </c>
      <c r="C11" s="12">
        <f t="shared" si="3"/>
        <v>0.00046459765842775</v>
      </c>
      <c r="D11" s="27">
        <f>IF(A11="","",C11-(子基金及业绩基准周净值!AH11/子基金及业绩基准周净值!AH10-1))</f>
        <v>-0.00308469088632836</v>
      </c>
      <c r="E11" s="33">
        <v>0</v>
      </c>
      <c r="F11" s="17">
        <v>1</v>
      </c>
      <c r="G11" s="14" t="str">
        <f t="shared" si="0"/>
        <v>否</v>
      </c>
      <c r="H11" s="14" t="str">
        <f t="shared" si="1"/>
        <v>否</v>
      </c>
      <c r="I11" s="15" t="str">
        <f t="shared" si="2"/>
        <v>否</v>
      </c>
    </row>
    <row r="12" spans="1:9">
      <c r="A12" s="7">
        <f>IF(子基金及业绩基准周净值!A12="","",子基金及业绩基准周净值!A12)</f>
        <v>45527</v>
      </c>
      <c r="B12" s="1">
        <f>IF(A12="","",VLOOKUP($A12,子基金及业绩基准周净值!$A:$F,2))</f>
        <v>1.0783</v>
      </c>
      <c r="C12" s="12">
        <f t="shared" si="3"/>
        <v>0.00148602210457885</v>
      </c>
      <c r="D12" s="27">
        <f>IF(A12="","",C12-(子基金及业绩基准周净值!AH12/子基金及业绩基准周净值!AH11-1))</f>
        <v>0.00238103771233403</v>
      </c>
      <c r="E12" s="33">
        <v>0</v>
      </c>
      <c r="F12" s="17">
        <v>0</v>
      </c>
      <c r="G12" s="14" t="str">
        <f t="shared" si="0"/>
        <v>否</v>
      </c>
      <c r="H12" s="14" t="str">
        <f t="shared" si="1"/>
        <v>否</v>
      </c>
      <c r="I12" s="15" t="str">
        <f t="shared" si="2"/>
        <v>否</v>
      </c>
    </row>
    <row r="13" spans="1:9">
      <c r="A13" s="7">
        <f>IF(子基金及业绩基准周净值!A13="","",子基金及业绩基准周净值!A13)</f>
        <v>45534</v>
      </c>
      <c r="B13" s="16">
        <f>IF(A13="","",VLOOKUP($A13,子基金及业绩基准周净值!$A:$F,2))</f>
        <v>1.078</v>
      </c>
      <c r="C13" s="12">
        <f t="shared" si="3"/>
        <v>-0.000278215709913722</v>
      </c>
      <c r="D13" s="27">
        <f>IF(A13="","",C13-(子基金及业绩基准周净值!AH13/子基金及业绩基准周净值!AH12-1))</f>
        <v>-0.00135863042266561</v>
      </c>
      <c r="E13" s="33">
        <v>0.000278215709913722</v>
      </c>
      <c r="F13" s="17">
        <v>1</v>
      </c>
      <c r="G13" s="14" t="str">
        <f t="shared" si="0"/>
        <v>否</v>
      </c>
      <c r="H13" s="14" t="str">
        <f t="shared" si="1"/>
        <v>否</v>
      </c>
      <c r="I13" s="15" t="str">
        <f t="shared" si="2"/>
        <v>否</v>
      </c>
    </row>
    <row r="14" spans="1:9">
      <c r="A14" s="7">
        <f>IF(子基金及业绩基准周净值!A14="","",子基金及业绩基准周净值!A14)</f>
        <v>45541</v>
      </c>
      <c r="B14" s="1">
        <f>IF(A14="","",VLOOKUP($A14,子基金及业绩基准周净值!$A:$F,2))</f>
        <v>1.0775</v>
      </c>
      <c r="C14" s="12">
        <f t="shared" si="3"/>
        <v>-0.000463821892393476</v>
      </c>
      <c r="D14" s="27">
        <f>IF(A14="","",C14-(子基金及业绩基准周净值!AH14/子基金及业绩基准周净值!AH13-1))</f>
        <v>0.000994941468936076</v>
      </c>
      <c r="E14" s="33">
        <v>0.000741908559770132</v>
      </c>
      <c r="F14" s="17">
        <v>0</v>
      </c>
      <c r="G14" s="14" t="str">
        <f t="shared" si="0"/>
        <v>否</v>
      </c>
      <c r="H14" s="14" t="str">
        <f t="shared" si="1"/>
        <v>否</v>
      </c>
      <c r="I14" s="15" t="str">
        <f t="shared" si="2"/>
        <v>否</v>
      </c>
    </row>
    <row r="15" spans="1:9">
      <c r="A15" s="7">
        <f>IF(子基金及业绩基准周净值!A15="","",子基金及业绩基准周净值!A15)</f>
        <v>45548</v>
      </c>
      <c r="B15" s="1">
        <f>IF(A15="","",VLOOKUP($A15,子基金及业绩基准周净值!$A:$F,2))</f>
        <v>1.0757</v>
      </c>
      <c r="C15" s="12">
        <f t="shared" si="3"/>
        <v>-0.00167053364269123</v>
      </c>
      <c r="D15" s="27">
        <f>IF(A15="","",C15-(子基金及业绩基准周净值!AH15/子基金及业绩基准周净值!AH14-1))</f>
        <v>0.000236819497739658</v>
      </c>
      <c r="E15" s="33">
        <v>0.00241120281925247</v>
      </c>
      <c r="F15" s="17">
        <v>0</v>
      </c>
      <c r="G15" s="14" t="str">
        <f t="shared" si="0"/>
        <v>否</v>
      </c>
      <c r="H15" s="14" t="str">
        <f t="shared" si="1"/>
        <v>否</v>
      </c>
      <c r="I15" s="15" t="str">
        <f t="shared" si="2"/>
        <v>否</v>
      </c>
    </row>
    <row r="16" spans="1:9">
      <c r="A16" s="7">
        <f>IF(子基金及业绩基准周净值!A16="","",子基金及业绩基准周净值!A16)</f>
        <v>45555</v>
      </c>
      <c r="B16" s="1">
        <f>IF(A16="","",VLOOKUP($A16,子基金及业绩基准周净值!$A:$F,2))</f>
        <v>1.0718</v>
      </c>
      <c r="C16" s="12">
        <f t="shared" si="3"/>
        <v>-0.00362554615599146</v>
      </c>
      <c r="D16" s="27">
        <f>IF(A16="","",C16-(子基金及业绩基准周净值!AH16/子基金及业绩基准周净值!AH15-1))</f>
        <v>-0.00313152263125098</v>
      </c>
      <c r="E16" s="33">
        <v>0.00602800704813127</v>
      </c>
      <c r="F16" s="17">
        <v>1</v>
      </c>
      <c r="G16" s="14" t="str">
        <f t="shared" si="0"/>
        <v>否</v>
      </c>
      <c r="H16" s="14" t="str">
        <f t="shared" si="1"/>
        <v>否</v>
      </c>
      <c r="I16" s="15" t="str">
        <f t="shared" si="2"/>
        <v>否</v>
      </c>
    </row>
    <row r="17" spans="1:9">
      <c r="A17" s="7">
        <f>IF(子基金及业绩基准周净值!A17="","",子基金及业绩基准周净值!A17)</f>
        <v>45562</v>
      </c>
      <c r="B17" s="1">
        <f>IF(A17="","",VLOOKUP($A17,子基金及业绩基准周净值!$A:$F,2))</f>
        <v>1.0705</v>
      </c>
      <c r="C17" s="12">
        <f t="shared" si="3"/>
        <v>-0.00121291285687636</v>
      </c>
      <c r="D17" s="27">
        <f>IF(A17="","",C17-(子基金及业绩基准周净值!AH17/子基金及业绩基准周净值!AH16-1))</f>
        <v>-0.000440754067864311</v>
      </c>
      <c r="E17" s="33">
        <v>0.00723360845775761</v>
      </c>
      <c r="F17" s="17">
        <v>2</v>
      </c>
      <c r="G17" s="14" t="str">
        <f t="shared" si="0"/>
        <v>否</v>
      </c>
      <c r="H17" s="14" t="str">
        <f t="shared" si="1"/>
        <v>否</v>
      </c>
      <c r="I17" s="15" t="str">
        <f t="shared" si="2"/>
        <v>否</v>
      </c>
    </row>
    <row r="18" spans="1:9">
      <c r="A18" s="7">
        <f>IF(子基金及业绩基准周净值!A18="","",子基金及业绩基准周净值!A18)</f>
        <v>45565</v>
      </c>
      <c r="B18" s="1">
        <f>IF(A18="","",VLOOKUP($A18,子基金及业绩基准周净值!$A:$F,2))</f>
        <v>1.0662</v>
      </c>
      <c r="C18" s="12">
        <f t="shared" si="3"/>
        <v>-0.00401681457262958</v>
      </c>
      <c r="D18" s="27">
        <f>IF(A18="","",C18-(子基金及业绩基准周净值!AH18/子基金及业绩基准周净值!AH17-1))</f>
        <v>-0.0119038210368834</v>
      </c>
      <c r="E18" s="33">
        <v>0.0112213669665214</v>
      </c>
      <c r="F18" s="17">
        <v>3</v>
      </c>
      <c r="G18" s="14" t="str">
        <f t="shared" si="0"/>
        <v>否</v>
      </c>
      <c r="H18" s="14" t="str">
        <f t="shared" si="1"/>
        <v>否</v>
      </c>
      <c r="I18" s="15" t="str">
        <f t="shared" si="2"/>
        <v>否</v>
      </c>
    </row>
    <row r="19" spans="1:9">
      <c r="A19" s="7">
        <f>IF(子基金及业绩基准周净值!A19="","",子基金及业绩基准周净值!A19)</f>
        <v>45576</v>
      </c>
      <c r="B19" s="16">
        <f>IF(A19="","",VLOOKUP($A19,子基金及业绩基准周净值!$A:$F,2))</f>
        <v>1.074246</v>
      </c>
      <c r="C19" s="12">
        <f t="shared" si="3"/>
        <v>0.00754642656162071</v>
      </c>
      <c r="D19" s="27">
        <f>IF(A19="","",C19-(子基金及业绩基准周净值!AH19/子基金及业绩基准周净值!AH18-1))</f>
        <v>0.000989430475071235</v>
      </c>
      <c r="E19" s="33">
        <v>0.0112213669665214</v>
      </c>
      <c r="F19" s="17">
        <v>0</v>
      </c>
      <c r="G19" s="14" t="str">
        <f t="shared" si="0"/>
        <v>否</v>
      </c>
      <c r="H19" s="14" t="str">
        <f t="shared" si="1"/>
        <v>否</v>
      </c>
      <c r="I19" s="15" t="str">
        <f t="shared" si="2"/>
        <v>否</v>
      </c>
    </row>
    <row r="20" spans="1:9">
      <c r="A20" s="7">
        <f>IF(子基金及业绩基准周净值!A20="","",子基金及业绩基准周净值!A20)</f>
        <v>45583</v>
      </c>
      <c r="B20" s="16">
        <f>IF(A20="","",VLOOKUP($A20,子基金及业绩基准周净值!$A:$F,2))</f>
        <v>1.079986</v>
      </c>
      <c r="C20" s="12">
        <f t="shared" si="3"/>
        <v>0.00534328263731013</v>
      </c>
      <c r="D20" s="27">
        <f>IF(A20="","",C20-(子基金及业绩基准周净值!AH20/子基金及业绩基准周净值!AH19-1))</f>
        <v>0.00515630885405452</v>
      </c>
      <c r="E20" s="33">
        <v>0.0112213669665214</v>
      </c>
      <c r="F20" s="17">
        <v>0</v>
      </c>
      <c r="G20" s="14" t="str">
        <f t="shared" si="0"/>
        <v>否</v>
      </c>
      <c r="H20" s="14" t="str">
        <f t="shared" si="1"/>
        <v>否</v>
      </c>
      <c r="I20" s="15" t="str">
        <f t="shared" si="2"/>
        <v>否</v>
      </c>
    </row>
    <row r="21" spans="1:9">
      <c r="A21" s="7">
        <f>IF(子基金及业绩基准周净值!A21="","",子基金及业绩基准周净值!A21)</f>
        <v>45590</v>
      </c>
      <c r="B21" s="16">
        <f>IF(A21="","",VLOOKUP($A21,子基金及业绩基准周净值!$A:$F,2))</f>
        <v>1.077116</v>
      </c>
      <c r="C21" s="12">
        <f t="shared" si="3"/>
        <v>-0.00265744185572769</v>
      </c>
      <c r="D21" s="27">
        <f>IF(A21="","",C21-(子基金及业绩基准周净值!AH21/子基金及业绩基准周净值!AH20-1))</f>
        <v>-0.00900162836045015</v>
      </c>
      <c r="E21" s="33">
        <v>0.0112213669665214</v>
      </c>
      <c r="F21" s="17">
        <v>1</v>
      </c>
      <c r="G21" s="14" t="str">
        <f t="shared" si="0"/>
        <v>否</v>
      </c>
      <c r="H21" s="14" t="str">
        <f t="shared" si="1"/>
        <v>否</v>
      </c>
      <c r="I21" s="15" t="str">
        <f t="shared" si="2"/>
        <v>否</v>
      </c>
    </row>
    <row r="22" spans="1:9">
      <c r="A22" s="7">
        <f>IF(子基金及业绩基准周净值!A22="","",子基金及业绩基准周净值!A22)</f>
        <v>45597</v>
      </c>
      <c r="B22" s="16">
        <f>IF(A22="","",VLOOKUP($A22,子基金及业绩基准周净值!$A:$F,2))</f>
        <v>1.081298</v>
      </c>
      <c r="C22" s="12">
        <f t="shared" si="3"/>
        <v>0.00388259017598859</v>
      </c>
      <c r="D22" s="27">
        <f>IF(A22="","",C22-(子基金及业绩基准周净值!AH22/子基金及业绩基准周净值!AH21-1))</f>
        <v>0.00248445317543524</v>
      </c>
      <c r="E22" s="33">
        <v>0.0112213669665214</v>
      </c>
      <c r="F22" s="17">
        <v>0</v>
      </c>
      <c r="G22" s="14" t="str">
        <f t="shared" si="0"/>
        <v>否</v>
      </c>
      <c r="H22" s="14" t="str">
        <f t="shared" si="1"/>
        <v>否</v>
      </c>
      <c r="I22" s="15" t="str">
        <f t="shared" si="2"/>
        <v>否</v>
      </c>
    </row>
    <row r="23" spans="1:9">
      <c r="A23" s="7">
        <f>IF(子基金及业绩基准周净值!A23="","",子基金及业绩基准周净值!A23)</f>
        <v>45604</v>
      </c>
      <c r="B23" s="16">
        <f>IF(A23="","",VLOOKUP($A23,子基金及业绩基准周净值!$A:$F,2))</f>
        <v>1.107374</v>
      </c>
      <c r="C23" s="12">
        <f t="shared" si="3"/>
        <v>0.0241154612327036</v>
      </c>
      <c r="D23" s="27">
        <f>IF(A23="","",C23-(子基金及业绩基准周净值!AH23/子基金及业绩基准周净值!AH22-1))</f>
        <v>0.0134321468468565</v>
      </c>
      <c r="E23" s="33">
        <v>0.0112213669665214</v>
      </c>
      <c r="F23" s="17">
        <v>0</v>
      </c>
      <c r="G23" s="14" t="str">
        <f t="shared" si="0"/>
        <v>否</v>
      </c>
      <c r="H23" s="14" t="str">
        <f t="shared" si="1"/>
        <v>否</v>
      </c>
      <c r="I23" s="15" t="str">
        <f t="shared" si="2"/>
        <v>否</v>
      </c>
    </row>
    <row r="24" spans="1:9">
      <c r="A24" s="7">
        <f>IF(子基金及业绩基准周净值!A24="","",子基金及业绩基准周净值!A24)</f>
        <v>45611</v>
      </c>
      <c r="B24" s="16">
        <f>IF(A24="","",VLOOKUP($A24,子基金及业绩基准周净值!$A:$F,2))</f>
        <v>1.117378</v>
      </c>
      <c r="C24" s="12">
        <f t="shared" si="3"/>
        <v>0.00903398490482881</v>
      </c>
      <c r="D24" s="27">
        <f>IF(A24="","",C24-(子基金及业绩基准周净值!AH24/子基金及业绩基准周净值!AH23-1))</f>
        <v>0.00887474376396396</v>
      </c>
      <c r="E24" s="33">
        <v>0.0112213669665214</v>
      </c>
      <c r="F24" s="17">
        <v>0</v>
      </c>
      <c r="G24" s="14" t="str">
        <f t="shared" si="0"/>
        <v>否</v>
      </c>
      <c r="H24" s="14" t="str">
        <f t="shared" si="1"/>
        <v>否</v>
      </c>
      <c r="I24" s="15" t="str">
        <f t="shared" si="2"/>
        <v>否</v>
      </c>
    </row>
    <row r="25" spans="1:9">
      <c r="A25" s="7">
        <f>IF(子基金及业绩基准周净值!A25="","",子基金及业绩基准周净值!A25)</f>
        <v>45618</v>
      </c>
      <c r="B25" s="16">
        <f>IF(A25="","",VLOOKUP($A25,子基金及业绩基准周净值!$A:$F,2))</f>
        <v>1.1191</v>
      </c>
      <c r="C25" s="12">
        <f t="shared" si="3"/>
        <v>0.00154110784354086</v>
      </c>
      <c r="D25" s="27">
        <f>IF(A25="","",C25-(子基金及业绩基准周净值!AH25/子基金及业绩基准周净值!AH24-1))</f>
        <v>0.000973434765365905</v>
      </c>
      <c r="E25" s="33">
        <v>0.0112213669665214</v>
      </c>
      <c r="F25" s="17">
        <v>0</v>
      </c>
      <c r="G25" s="14" t="str">
        <f t="shared" si="0"/>
        <v>否</v>
      </c>
      <c r="H25" s="14" t="str">
        <f t="shared" si="1"/>
        <v>否</v>
      </c>
      <c r="I25" s="15" t="str">
        <f t="shared" si="2"/>
        <v>否</v>
      </c>
    </row>
    <row r="26" spans="1:9">
      <c r="A26" s="7">
        <f>IF(子基金及业绩基准周净值!A26="","",子基金及业绩基准周净值!A26)</f>
        <v>45625</v>
      </c>
      <c r="B26" s="16">
        <f>IF(A26="","",VLOOKUP($A26,子基金及业绩基准周净值!$A:$F,2))</f>
        <v>1.117296</v>
      </c>
      <c r="C26" s="12">
        <f t="shared" si="3"/>
        <v>-0.00161200965061202</v>
      </c>
      <c r="D26" s="27">
        <f>IF(A26="","",C26-(子基金及业绩基准周净值!AH26/子基金及业绩基准周净值!AH25-1))</f>
        <v>-0.00556299649561253</v>
      </c>
      <c r="E26" s="33">
        <v>0.0112213669665214</v>
      </c>
      <c r="F26" s="17">
        <v>1</v>
      </c>
      <c r="G26" s="14" t="str">
        <f t="shared" si="0"/>
        <v>否</v>
      </c>
      <c r="H26" s="14" t="str">
        <f t="shared" si="1"/>
        <v>否</v>
      </c>
      <c r="I26" s="15" t="str">
        <f t="shared" si="2"/>
        <v>否</v>
      </c>
    </row>
    <row r="27" spans="1:9">
      <c r="A27" s="7">
        <f>IF(子基金及业绩基准周净值!A27="","",子基金及业绩基准周净值!A27)</f>
        <v>45632</v>
      </c>
      <c r="B27" s="16">
        <f>IF(A27="","",VLOOKUP($A27,子基金及业绩基准周净值!$A:$F,2))</f>
        <v>1.11213</v>
      </c>
      <c r="C27" s="12">
        <f t="shared" si="3"/>
        <v>-0.00462366284314989</v>
      </c>
      <c r="D27" s="27">
        <f>IF(A27="","",C27-(子基金及业绩基准周净值!AH27/子基金及业绩基准周净值!AH26-1))</f>
        <v>-0.00816363546778957</v>
      </c>
      <c r="E27" s="33">
        <v>0.0112213669665214</v>
      </c>
      <c r="F27" s="17">
        <v>2</v>
      </c>
      <c r="G27" s="14" t="str">
        <f t="shared" si="0"/>
        <v>否</v>
      </c>
      <c r="H27" s="14" t="str">
        <f t="shared" si="1"/>
        <v>否</v>
      </c>
      <c r="I27" s="15" t="str">
        <f t="shared" si="2"/>
        <v>否</v>
      </c>
    </row>
    <row r="28" spans="1:9">
      <c r="A28" s="7">
        <f>IF(子基金及业绩基准周净值!A28="","",子基金及业绩基准周净值!A28)</f>
        <v>45639</v>
      </c>
      <c r="B28" s="16">
        <f>IF(A28="","",VLOOKUP($A28,子基金及业绩基准周净值!$A:$F,2))</f>
        <v>1.124594</v>
      </c>
      <c r="C28" s="12">
        <f t="shared" si="3"/>
        <v>0.0112073228849146</v>
      </c>
      <c r="D28" s="27">
        <f>IF(A28="","",C28-(子基金及业绩基准周净值!AH28/子基金及业绩基准周净值!AH27-1))</f>
        <v>0.00944369716619443</v>
      </c>
      <c r="E28" s="33">
        <v>0.0112213669665214</v>
      </c>
      <c r="F28" s="17">
        <v>0</v>
      </c>
      <c r="G28" s="14" t="str">
        <f t="shared" si="0"/>
        <v>否</v>
      </c>
      <c r="H28" s="14" t="str">
        <f t="shared" si="1"/>
        <v>否</v>
      </c>
      <c r="I28" s="15" t="str">
        <f t="shared" si="2"/>
        <v>否</v>
      </c>
    </row>
    <row r="29" spans="1:9">
      <c r="A29" s="7">
        <f>IF(子基金及业绩基准周净值!A29="","",子基金及业绩基准周净值!A29)</f>
        <v>45646</v>
      </c>
      <c r="B29" s="16">
        <f>IF(A29="","",VLOOKUP($A29,子基金及业绩基准周净值!$A:$F,2))</f>
        <v>1.125086</v>
      </c>
      <c r="C29" s="12">
        <f t="shared" si="3"/>
        <v>0.00043749121905322</v>
      </c>
      <c r="D29" s="27">
        <f>IF(A29="","",C29-(子基金及业绩基准周净值!AH29/子基金及业绩基准周净值!AH28-1))</f>
        <v>2.45333903081558e-5</v>
      </c>
      <c r="E29" s="33">
        <v>0.0112213669665214</v>
      </c>
      <c r="F29" s="17">
        <v>0</v>
      </c>
      <c r="G29" s="14" t="str">
        <f t="shared" si="0"/>
        <v>否</v>
      </c>
      <c r="H29" s="14" t="str">
        <f t="shared" si="1"/>
        <v>否</v>
      </c>
      <c r="I29" s="15" t="str">
        <f t="shared" si="2"/>
        <v>否</v>
      </c>
    </row>
    <row r="30" spans="1:9">
      <c r="A30" s="7">
        <f>IF(子基金及业绩基准周净值!A30="","",子基金及业绩基准周净值!A30)</f>
        <v>45653</v>
      </c>
      <c r="B30" s="16">
        <f>IF(A30="","",VLOOKUP($A30,子基金及业绩基准周净值!$A:$F,2))</f>
        <v>1.122052</v>
      </c>
      <c r="C30" s="12">
        <f t="shared" si="3"/>
        <v>-0.00269668274247478</v>
      </c>
      <c r="D30" s="27">
        <f>IF(A30="","",C30-(子基金及业绩基准周净值!AH30/子基金及业绩基准周净值!AH29-1))</f>
        <v>-0.00279268070904545</v>
      </c>
      <c r="E30" s="33">
        <v>0.0112213669665214</v>
      </c>
      <c r="F30" s="17">
        <v>1</v>
      </c>
      <c r="G30" s="14" t="str">
        <f t="shared" si="0"/>
        <v>否</v>
      </c>
      <c r="H30" s="14" t="str">
        <f t="shared" si="1"/>
        <v>否</v>
      </c>
      <c r="I30" s="15" t="str">
        <f t="shared" si="2"/>
        <v>否</v>
      </c>
    </row>
    <row r="31" spans="1:10">
      <c r="A31" s="7">
        <f>IF(子基金及业绩基准周净值!A31="","",子基金及业绩基准周净值!A31)</f>
        <v>45660</v>
      </c>
      <c r="B31" s="16">
        <f>IF(A31="","",VLOOKUP($A31,子基金及业绩基准周净值!$A:$F,2))</f>
        <v>1.0524</v>
      </c>
      <c r="C31" s="12">
        <v>0.0092</v>
      </c>
      <c r="D31" s="27">
        <f>IF(A31="","",C31-(子基金及业绩基准周净值!AH31/子基金及业绩基准周净值!AH30-1))</f>
        <v>0.0135503487500529</v>
      </c>
      <c r="E31" s="33">
        <v>0.0112</v>
      </c>
      <c r="F31" s="17">
        <v>0</v>
      </c>
      <c r="G31" s="14" t="str">
        <f t="shared" si="0"/>
        <v>否</v>
      </c>
      <c r="H31" s="14" t="str">
        <f t="shared" si="1"/>
        <v>否</v>
      </c>
      <c r="I31" s="15" t="str">
        <f t="shared" si="2"/>
        <v>否</v>
      </c>
      <c r="J31" s="14" t="s">
        <v>186</v>
      </c>
    </row>
    <row r="32" spans="1:9">
      <c r="A32" s="7">
        <f>IF(子基金及业绩基准周净值!A32="","",子基金及业绩基准周净值!A32)</f>
        <v>45667</v>
      </c>
      <c r="B32" s="16">
        <f>IF(A32="","",VLOOKUP($A32,子基金及业绩基准周净值!$A:$F,2))</f>
        <v>1.0588</v>
      </c>
      <c r="C32" s="12">
        <f t="shared" si="3"/>
        <v>0.00608133789433672</v>
      </c>
      <c r="D32" s="27">
        <f>IF(A32="","",C32-(子基金及业绩基准周净值!AH32/子基金及业绩基准周净值!AH31-1))</f>
        <v>0.0058891859172465</v>
      </c>
      <c r="E32" s="33">
        <v>0.0112213669665214</v>
      </c>
      <c r="F32" s="17">
        <v>0</v>
      </c>
      <c r="G32" s="14" t="str">
        <f t="shared" si="0"/>
        <v>否</v>
      </c>
      <c r="H32" s="14" t="str">
        <f t="shared" si="1"/>
        <v>否</v>
      </c>
      <c r="I32" s="15" t="str">
        <f t="shared" si="2"/>
        <v>否</v>
      </c>
    </row>
    <row r="33" spans="1:9">
      <c r="A33" s="7">
        <f>IF(子基金及业绩基准周净值!A33="","",子基金及业绩基准周净值!A33)</f>
        <v>45674</v>
      </c>
      <c r="B33" s="16">
        <f>IF(A33="","",VLOOKUP($A33,子基金及业绩基准周净值!$A:$F,2))</f>
        <v>1.0606</v>
      </c>
      <c r="C33" s="12">
        <f t="shared" si="3"/>
        <v>0.00170003777861733</v>
      </c>
      <c r="D33" s="27">
        <f>IF(A33="","",C33-(子基金及业绩基准周净值!AH33/子基金及业绩基准周净值!AH32-1))</f>
        <v>-0.0020652924035654</v>
      </c>
      <c r="E33" s="33">
        <v>0.0112213669665214</v>
      </c>
      <c r="F33" s="17">
        <v>1</v>
      </c>
      <c r="G33" s="14" t="str">
        <f t="shared" si="0"/>
        <v>否</v>
      </c>
      <c r="H33" s="14" t="str">
        <f t="shared" si="1"/>
        <v>否</v>
      </c>
      <c r="I33" s="15" t="str">
        <f t="shared" si="2"/>
        <v>否</v>
      </c>
    </row>
    <row r="34" spans="1:9">
      <c r="A34" s="7">
        <f>IF(子基金及业绩基准周净值!A34="","",子基金及业绩基准周净值!A34)</f>
        <v>45681</v>
      </c>
      <c r="B34" s="16">
        <f>IF(A34="","",VLOOKUP($A34,子基金及业绩基准周净值!$A:$F,2))</f>
        <v>1.0609</v>
      </c>
      <c r="C34" s="12">
        <f t="shared" si="3"/>
        <v>0.000282858759192879</v>
      </c>
      <c r="D34" s="27">
        <f>IF(A34="","",C34-(子基金及业绩基准周净值!AH34/子基金及业绩基准周净值!AH33-1))</f>
        <v>-0.00245014582107716</v>
      </c>
      <c r="E34" s="33">
        <v>0.0112213669665214</v>
      </c>
      <c r="F34" s="17">
        <v>2</v>
      </c>
      <c r="G34" s="14" t="str">
        <f t="shared" si="0"/>
        <v>否</v>
      </c>
      <c r="H34" s="14" t="str">
        <f t="shared" si="1"/>
        <v>否</v>
      </c>
      <c r="I34" s="15" t="str">
        <f t="shared" si="2"/>
        <v>否</v>
      </c>
    </row>
    <row r="35" spans="1:9">
      <c r="A35" s="7">
        <f>IF(子基金及业绩基准周净值!A35="","",子基金及业绩基准周净值!A35)</f>
        <v>45684</v>
      </c>
      <c r="B35" s="16">
        <f>IF(A35="","",VLOOKUP($A35,子基金及业绩基准周净值!$A:$F,2))</f>
        <v>1.06447</v>
      </c>
      <c r="C35" s="12">
        <f t="shared" si="3"/>
        <v>0.00336506739560757</v>
      </c>
      <c r="D35" s="27">
        <f>IF(A35="","",C35-(子基金及业绩基准周净值!AH35/子基金及业绩基准周净值!AH34-1))</f>
        <v>0.00306006696064129</v>
      </c>
      <c r="E35" s="33">
        <v>0.0112213669665214</v>
      </c>
      <c r="F35" s="17">
        <v>0</v>
      </c>
      <c r="G35" s="14" t="str">
        <f t="shared" si="0"/>
        <v>否</v>
      </c>
      <c r="H35" s="14" t="str">
        <f t="shared" si="1"/>
        <v>否</v>
      </c>
      <c r="I35" s="15" t="str">
        <f t="shared" si="2"/>
        <v>否</v>
      </c>
    </row>
    <row r="36" spans="1:9">
      <c r="A36" s="7">
        <f>IF(子基金及业绩基准周净值!A36="","",子基金及业绩基准周净值!A36)</f>
        <v>45695</v>
      </c>
      <c r="B36" s="16">
        <f>IF(A36="","",VLOOKUP($A36,子基金及业绩基准周净值!$A:$F,2))</f>
        <v>1.0682</v>
      </c>
      <c r="C36" s="12">
        <f t="shared" si="3"/>
        <v>0.00350409123789305</v>
      </c>
      <c r="D36" s="27">
        <f>IF(A36="","",C36-(子基金及业绩基准周净值!AH36/子基金及业绩基准周净值!AH35-1))</f>
        <v>0.000731090614961426</v>
      </c>
      <c r="E36" s="33">
        <v>0.0112213669665214</v>
      </c>
      <c r="F36" s="17">
        <v>0</v>
      </c>
      <c r="G36" s="14" t="str">
        <f t="shared" si="0"/>
        <v>否</v>
      </c>
      <c r="H36" s="14" t="str">
        <f t="shared" si="1"/>
        <v>否</v>
      </c>
      <c r="I36" s="15" t="str">
        <f t="shared" si="2"/>
        <v>否</v>
      </c>
    </row>
    <row r="37" spans="1:9">
      <c r="A37" s="7">
        <f>IF(子基金及业绩基准周净值!A37="","",子基金及业绩基准周净值!A37)</f>
        <v>45702</v>
      </c>
      <c r="B37" s="16">
        <f>IF(A37="","",VLOOKUP($A37,子基金及业绩基准周净值!$A:$F,2))</f>
        <v>1.07513</v>
      </c>
      <c r="C37" s="12">
        <f t="shared" si="3"/>
        <v>0.00648754914809949</v>
      </c>
      <c r="D37" s="27">
        <f>IF(A37="","",C37-(子基金及业绩基准周净值!AH37/子基金及业绩基准周净值!AH36-1))</f>
        <v>0.00431300782190706</v>
      </c>
      <c r="E37" s="33">
        <v>0.0112213669665214</v>
      </c>
      <c r="F37" s="17">
        <v>0</v>
      </c>
      <c r="G37" s="14" t="str">
        <f t="shared" ref="G37:G68" si="4">IF(A37="","",IF(C37&lt;-3%,"是","否"))</f>
        <v>否</v>
      </c>
      <c r="H37" s="14" t="str">
        <f t="shared" si="1"/>
        <v>否</v>
      </c>
      <c r="I37" s="15" t="str">
        <f t="shared" si="2"/>
        <v>否</v>
      </c>
    </row>
    <row r="38" spans="1:9">
      <c r="A38" s="7">
        <f>IF(子基金及业绩基准周净值!A38="","",子基金及业绩基准周净值!A38)</f>
        <v>45709</v>
      </c>
      <c r="B38" s="16">
        <f>IF(A38="","",VLOOKUP($A38,子基金及业绩基准周净值!$A:$F,2))</f>
        <v>1.08128</v>
      </c>
      <c r="C38" s="12">
        <f t="shared" si="3"/>
        <v>0.00572023848278822</v>
      </c>
      <c r="D38" s="27">
        <f>IF(A38="","",C38-(子基金及业绩基准周净值!AH38/子基金及业绩基准周净值!AH37-1))</f>
        <v>-0.000167515675923234</v>
      </c>
      <c r="E38" s="33">
        <v>0.0112213669665214</v>
      </c>
      <c r="F38" s="17">
        <v>1</v>
      </c>
      <c r="G38" s="14" t="str">
        <f t="shared" si="4"/>
        <v>否</v>
      </c>
      <c r="H38" s="14" t="str">
        <f t="shared" si="1"/>
        <v>否</v>
      </c>
      <c r="I38" s="15" t="str">
        <f t="shared" si="2"/>
        <v>否</v>
      </c>
    </row>
    <row r="39" spans="1:9">
      <c r="A39" s="7">
        <f>IF(子基金及业绩基准周净值!A39="","",子基金及业绩基准周净值!A39)</f>
        <v>45716</v>
      </c>
      <c r="B39" s="16">
        <f>IF(A39="","",VLOOKUP($A39,子基金及业绩基准周净值!$A:$F,2))</f>
        <v>1.090136</v>
      </c>
      <c r="C39" s="12">
        <f t="shared" si="3"/>
        <v>0.00819029298609054</v>
      </c>
      <c r="D39" s="27">
        <f>IF(A39="","",C39-(子基金及业绩基准周净值!AH39/子基金及业绩基准周净值!AH38-1))</f>
        <v>0.00899601791740346</v>
      </c>
      <c r="E39" s="33">
        <v>0.0112213669665214</v>
      </c>
      <c r="F39" s="17">
        <v>0</v>
      </c>
      <c r="G39" s="14" t="str">
        <f t="shared" si="4"/>
        <v>否</v>
      </c>
      <c r="H39" s="14" t="str">
        <f t="shared" si="1"/>
        <v>否</v>
      </c>
      <c r="I39" s="15" t="str">
        <f t="shared" si="2"/>
        <v>否</v>
      </c>
    </row>
    <row r="40" spans="1:9">
      <c r="A40" s="7">
        <f>IF(子基金及业绩基准周净值!A40="","",子基金及业绩基准周净值!A40)</f>
        <v>45723</v>
      </c>
      <c r="B40" s="16">
        <f>IF(A40="","",VLOOKUP($A40,子基金及业绩基准周净值!$A:$F,2))</f>
        <v>1.08579</v>
      </c>
      <c r="C40" s="12">
        <f t="shared" si="3"/>
        <v>-0.00398665854535577</v>
      </c>
      <c r="D40" s="27">
        <f>IF(A40="","",C40-(子基金及业绩基准周净值!AH40/子基金及业绩基准周净值!AH39-1))</f>
        <v>-0.00875121543657024</v>
      </c>
      <c r="E40" s="33">
        <v>0.0112213669665214</v>
      </c>
      <c r="F40" s="17">
        <v>1</v>
      </c>
      <c r="G40" s="14" t="str">
        <f t="shared" si="4"/>
        <v>否</v>
      </c>
      <c r="H40" s="14" t="str">
        <f t="shared" si="1"/>
        <v>否</v>
      </c>
      <c r="I40" s="15" t="str">
        <f t="shared" si="2"/>
        <v>否</v>
      </c>
    </row>
    <row r="41" spans="1:9">
      <c r="A41" s="7">
        <f>IF(子基金及业绩基准周净值!A41="","",子基金及业绩基准周净值!A41)</f>
        <v>45730</v>
      </c>
      <c r="B41" s="16">
        <f>IF(A41="","",VLOOKUP($A41,子基金及业绩基准周净值!$A:$F,2))</f>
        <v>1.086692</v>
      </c>
      <c r="C41" s="12">
        <f t="shared" si="3"/>
        <v>0.000830731541089859</v>
      </c>
      <c r="D41" s="27">
        <f>IF(A41="","",C41-(子基金及业绩基准周净值!AH41/子基金及业绩基准周净值!AH40-1))</f>
        <v>-0.000399479336143214</v>
      </c>
      <c r="E41" s="33">
        <v>0.0112213669665214</v>
      </c>
      <c r="F41" s="17">
        <v>2</v>
      </c>
      <c r="G41" s="14" t="str">
        <f t="shared" si="4"/>
        <v>否</v>
      </c>
      <c r="H41" s="14" t="str">
        <f t="shared" si="1"/>
        <v>否</v>
      </c>
      <c r="I41" s="15" t="str">
        <f t="shared" si="2"/>
        <v>否</v>
      </c>
    </row>
    <row r="42" spans="1:9">
      <c r="A42" s="7">
        <f>IF(子基金及业绩基准周净值!A42="","",子基金及业绩基准周净值!A42)</f>
        <v>45737</v>
      </c>
      <c r="B42" s="16">
        <f>IF(A42="","",VLOOKUP($A42,子基金及业绩基准周净值!$A:$F,2))</f>
        <v>1.08989</v>
      </c>
      <c r="C42" s="12">
        <f t="shared" si="3"/>
        <v>0.00294287617834679</v>
      </c>
      <c r="D42" s="27">
        <f>IF(A42="","",C42-(子基金及业绩基准周净值!AH42/子基金及业绩基准周净值!AH41-1))</f>
        <v>0.00353560940645983</v>
      </c>
      <c r="E42" s="33">
        <v>0.0112213669665214</v>
      </c>
      <c r="F42" s="17">
        <v>0</v>
      </c>
      <c r="G42" s="14" t="str">
        <f t="shared" si="4"/>
        <v>否</v>
      </c>
      <c r="H42" s="14" t="str">
        <f t="shared" si="1"/>
        <v>否</v>
      </c>
      <c r="I42" s="15" t="str">
        <f t="shared" si="2"/>
        <v>否</v>
      </c>
    </row>
    <row r="43" spans="1:9">
      <c r="A43" s="7">
        <f>IF(子基金及业绩基准周净值!A43="","",子基金及业绩基准周净值!A43)</f>
        <v>45744</v>
      </c>
      <c r="B43" s="16">
        <f>IF(A43="","",VLOOKUP($A43,子基金及业绩基准周净值!$A:$F,2))</f>
        <v>1.088824</v>
      </c>
      <c r="C43" s="12">
        <f t="shared" si="3"/>
        <v>-0.000978080356733259</v>
      </c>
      <c r="D43" s="27">
        <f>IF(A43="","",C43-(子基金及业绩基准周净值!AH43/子基金及业绩基准周净值!AH42-1))</f>
        <v>-0.000696059377582504</v>
      </c>
      <c r="E43" s="33">
        <v>0.0112213669665214</v>
      </c>
      <c r="F43" s="17">
        <v>1</v>
      </c>
      <c r="G43" s="14" t="str">
        <f t="shared" si="4"/>
        <v>否</v>
      </c>
      <c r="H43" s="14" t="str">
        <f t="shared" si="1"/>
        <v>否</v>
      </c>
      <c r="I43" s="15" t="str">
        <f t="shared" si="2"/>
        <v>否</v>
      </c>
    </row>
    <row r="44" spans="1:9">
      <c r="A44" s="7">
        <f>IF(子基金及业绩基准周净值!A44="","",子基金及业绩基准周净值!A44)</f>
        <v>45750</v>
      </c>
      <c r="B44" s="1">
        <f>IF(A44="","",VLOOKUP($A44,子基金及业绩基准周净值!$A:$F,2))</f>
        <v>1.093826</v>
      </c>
      <c r="C44" s="12">
        <f t="shared" si="3"/>
        <v>0.00459394723114108</v>
      </c>
      <c r="D44" s="27">
        <f>IF(A44="","",C44-(子基金及业绩基准周净值!AH44/子基金及业绩基准周净值!AH43-1))</f>
        <v>0.00313543393766939</v>
      </c>
      <c r="E44" s="33">
        <v>0.0112213669665214</v>
      </c>
      <c r="F44" s="17">
        <v>0</v>
      </c>
      <c r="G44" s="14" t="str">
        <f t="shared" si="4"/>
        <v>否</v>
      </c>
      <c r="H44" s="14" t="str">
        <f t="shared" si="1"/>
        <v>否</v>
      </c>
      <c r="I44" s="15" t="str">
        <f t="shared" si="2"/>
        <v>否</v>
      </c>
    </row>
    <row r="45" spans="1:9">
      <c r="A45" s="7">
        <f>IF(子基金及业绩基准周净值!A45="","",子基金及业绩基准周净值!A45)</f>
        <v>45758</v>
      </c>
      <c r="B45" s="1">
        <f>IF(A45="","",VLOOKUP($A45,子基金及业绩基准周净值!$A:$F,2))</f>
        <v>1.11203</v>
      </c>
      <c r="C45" s="12">
        <f t="shared" si="3"/>
        <v>0.0166425007268067</v>
      </c>
      <c r="D45" s="27">
        <f>IF(A45="","",C45-(子基金及业绩基准周净值!AH45/子基金及业绩基准周净值!AH44-1))</f>
        <v>0.0228114667523584</v>
      </c>
      <c r="E45" s="33">
        <v>0.0112213669665214</v>
      </c>
      <c r="F45" s="17">
        <v>0</v>
      </c>
      <c r="G45" s="14" t="str">
        <f t="shared" si="4"/>
        <v>否</v>
      </c>
      <c r="H45" s="14" t="str">
        <f t="shared" si="1"/>
        <v>否</v>
      </c>
      <c r="I45" s="15" t="str">
        <f t="shared" si="2"/>
        <v>否</v>
      </c>
    </row>
    <row r="46" spans="1:9">
      <c r="A46" s="7">
        <f>IF(子基金及业绩基准周净值!A46="","",子基金及业绩基准周净值!A46)</f>
        <v>45765</v>
      </c>
      <c r="B46" s="1">
        <f>IF(A46="","",VLOOKUP($A46,子基金及业绩基准周净值!$A:$F,2))</f>
        <v>1.110062</v>
      </c>
      <c r="C46" s="12">
        <f t="shared" si="3"/>
        <v>-0.00176973642797404</v>
      </c>
      <c r="D46" s="27">
        <f>IF(A46="","",C46-(子基金及业绩基准周净值!AH46/子基金及业绩基准周净值!AH45-1))</f>
        <v>-0.00603901486380695</v>
      </c>
      <c r="E46" s="33">
        <v>0.0112213669665214</v>
      </c>
      <c r="F46" s="17">
        <v>1</v>
      </c>
      <c r="G46" s="14" t="str">
        <f t="shared" si="4"/>
        <v>否</v>
      </c>
      <c r="H46" s="14" t="str">
        <f t="shared" si="1"/>
        <v>否</v>
      </c>
      <c r="I46" s="15" t="str">
        <f t="shared" si="2"/>
        <v>否</v>
      </c>
    </row>
    <row r="47" spans="1:9">
      <c r="A47" s="7">
        <f>IF(子基金及业绩基准周净值!A47="","",子基金及业绩基准周净值!A47)</f>
        <v>45772</v>
      </c>
      <c r="B47" s="1">
        <f>IF(A47="","",VLOOKUP($A47,子基金及业绩基准周净值!$A:$F,2))</f>
        <v>1.109652</v>
      </c>
      <c r="C47" s="12">
        <f t="shared" si="3"/>
        <v>-0.000369348739079458</v>
      </c>
      <c r="D47" s="27">
        <f>IF(A47="","",C47-(子基金及业绩基准周净值!AH47/子基金及业绩基准周净值!AH46-1))</f>
        <v>-0.00275146643861679</v>
      </c>
      <c r="E47" s="33">
        <v>0.0112213669665214</v>
      </c>
      <c r="F47" s="17">
        <v>2</v>
      </c>
      <c r="G47" s="14" t="str">
        <f t="shared" si="4"/>
        <v>否</v>
      </c>
      <c r="H47" s="14" t="str">
        <f t="shared" si="1"/>
        <v>否</v>
      </c>
      <c r="I47" s="15" t="str">
        <f t="shared" si="2"/>
        <v>否</v>
      </c>
    </row>
    <row r="48" spans="1:9">
      <c r="A48" s="7">
        <f>IF(子基金及业绩基准周净值!A48="","",子基金及业绩基准周净值!A48)</f>
        <v>45786</v>
      </c>
      <c r="B48" s="1">
        <f>IF(A48="","",VLOOKUP($A48,子基金及业绩基准周净值!$A:$F,2))</f>
        <v>1.112604</v>
      </c>
      <c r="C48" s="12">
        <f t="shared" si="3"/>
        <v>0.00266029349742067</v>
      </c>
      <c r="D48" s="27">
        <f>IF(A48="","",C48-(子基金及业绩基准周净值!AH48/子基金及业绩基准周净值!AH47-1))</f>
        <v>-0.00400957260508308</v>
      </c>
      <c r="E48" s="33">
        <v>0.0112213669665214</v>
      </c>
      <c r="F48" s="17">
        <v>3</v>
      </c>
      <c r="G48" s="14" t="str">
        <f t="shared" si="4"/>
        <v>否</v>
      </c>
      <c r="H48" s="14" t="str">
        <f t="shared" si="1"/>
        <v>否</v>
      </c>
      <c r="I48" s="15" t="str">
        <f t="shared" si="2"/>
        <v>否</v>
      </c>
    </row>
    <row r="49" spans="1:9">
      <c r="A49" s="7">
        <f>IF(子基金及业绩基准周净值!A49="","",子基金及业绩基准周净值!A49)</f>
        <v>45793</v>
      </c>
      <c r="B49" s="1">
        <f>IF(A49="","",VLOOKUP($A49,子基金及业绩基准周净值!$A:$F,2))</f>
        <v>1.111046</v>
      </c>
      <c r="C49" s="12">
        <f t="shared" si="3"/>
        <v>-0.00140031853202033</v>
      </c>
      <c r="D49" s="27">
        <f>IF(A49="","",C49-(子基金及业绩基准周净值!AH49/子基金及业绩基准周净值!AH48-1))</f>
        <v>-0.0113267203162601</v>
      </c>
      <c r="E49" s="33">
        <v>0.0112213669665214</v>
      </c>
      <c r="F49" s="17">
        <v>4</v>
      </c>
      <c r="G49" s="14" t="str">
        <f t="shared" si="4"/>
        <v>否</v>
      </c>
      <c r="H49" s="14" t="str">
        <f t="shared" si="1"/>
        <v>否</v>
      </c>
      <c r="I49" s="15" t="str">
        <f t="shared" si="2"/>
        <v>是</v>
      </c>
    </row>
    <row r="50" spans="1:9">
      <c r="A50" s="7">
        <f>IF(子基金及业绩基准周净值!A50="","",子基金及业绩基准周净值!A50)</f>
        <v>45800</v>
      </c>
      <c r="B50" s="1">
        <f>IF(A50="","",VLOOKUP($A50,子基金及业绩基准周净值!$A:$F,2))</f>
        <v>1.110882</v>
      </c>
      <c r="C50" s="12">
        <f t="shared" si="3"/>
        <v>-0.00014760864986693</v>
      </c>
      <c r="D50" s="27">
        <f>IF(A50="","",C50-(子基金及业绩基准周净值!AH50/子基金及业绩基准周净值!AH49-1))</f>
        <v>0.00696072140706242</v>
      </c>
      <c r="E50" s="33">
        <v>0.0112213669665214</v>
      </c>
      <c r="F50" s="17">
        <v>0</v>
      </c>
      <c r="G50" s="14" t="str">
        <f t="shared" si="4"/>
        <v>否</v>
      </c>
      <c r="H50" s="14" t="str">
        <f t="shared" si="1"/>
        <v>否</v>
      </c>
      <c r="I50" s="15" t="str">
        <f t="shared" si="2"/>
        <v>否</v>
      </c>
    </row>
    <row r="51" spans="1:9">
      <c r="A51" s="7">
        <f>IF(子基金及业绩基准周净值!A51="","",子基金及业绩基准周净值!A51)</f>
        <v>45807</v>
      </c>
      <c r="B51" s="1">
        <f>IF(A51="","",VLOOKUP($A51,子基金及业绩基准周净值!$A:$F,2))</f>
        <v>1.10916</v>
      </c>
      <c r="C51" s="12">
        <f t="shared" si="3"/>
        <v>-0.00155011963466867</v>
      </c>
      <c r="D51" s="27">
        <f>IF(A51="","",C51-(子基金及业绩基准周净值!AH51/子基金及业绩基准周净值!AH50-1))</f>
        <v>-0.00301310714299719</v>
      </c>
      <c r="E51" s="33">
        <v>0.0112213669665214</v>
      </c>
      <c r="F51" s="17">
        <v>1</v>
      </c>
      <c r="G51" s="14" t="str">
        <f t="shared" si="4"/>
        <v>否</v>
      </c>
      <c r="H51" s="14" t="str">
        <f t="shared" si="1"/>
        <v>否</v>
      </c>
      <c r="I51" s="15" t="str">
        <f t="shared" si="2"/>
        <v>否</v>
      </c>
    </row>
    <row r="52" spans="1:9">
      <c r="A52" s="7">
        <f>IF(子基金及业绩基准周净值!A52="","",子基金及业绩基准周净值!A52)</f>
        <v>45814</v>
      </c>
      <c r="B52" s="1">
        <f>IF(A52="","",VLOOKUP($A52,子基金及业绩基准周净值!$A:$F,2))</f>
        <v>1.10752</v>
      </c>
      <c r="C52" s="12">
        <f t="shared" si="3"/>
        <v>-0.00147859641530515</v>
      </c>
      <c r="D52" s="27">
        <f>IF(A52="","",C52-(子基金及业绩基准周净值!AH52/子基金及业绩基准周净值!AH51-1))</f>
        <v>-0.00494088862257761</v>
      </c>
      <c r="E52" s="33">
        <v>0.0112213669665214</v>
      </c>
      <c r="F52" s="17">
        <v>2</v>
      </c>
      <c r="G52" s="14" t="str">
        <f t="shared" si="4"/>
        <v>否</v>
      </c>
      <c r="H52" s="14" t="str">
        <f t="shared" si="1"/>
        <v>否</v>
      </c>
      <c r="I52" s="15" t="str">
        <f t="shared" si="2"/>
        <v>否</v>
      </c>
    </row>
    <row r="53" spans="1:9">
      <c r="A53" s="7">
        <f>IF(子基金及业绩基准周净值!A53="","",子基金及业绩基准周净值!A53)</f>
        <v>45821</v>
      </c>
      <c r="B53" s="1">
        <f>IF(A53="","",VLOOKUP($A53,子基金及业绩基准周净值!$A:$F,2))</f>
        <v>1.105224</v>
      </c>
      <c r="C53" s="12">
        <f t="shared" si="3"/>
        <v>-0.00207310026004052</v>
      </c>
      <c r="D53" s="27">
        <f>IF(A53="","",C53-(子基金及业绩基准周净值!AH53/子基金及业绩基准周净值!AH52-1))</f>
        <v>-0.00224298486149647</v>
      </c>
      <c r="E53" s="33">
        <v>0.0112213669665214</v>
      </c>
      <c r="F53" s="17">
        <v>3</v>
      </c>
      <c r="G53" s="14" t="str">
        <f t="shared" si="4"/>
        <v>否</v>
      </c>
      <c r="H53" s="14" t="str">
        <f t="shared" si="1"/>
        <v>否</v>
      </c>
      <c r="I53" s="15" t="str">
        <f t="shared" si="2"/>
        <v>否</v>
      </c>
    </row>
    <row r="54" spans="1:9">
      <c r="A54" s="7">
        <f>IF(子基金及业绩基准周净值!A54="","",子基金及业绩基准周净值!A54)</f>
        <v>45828</v>
      </c>
      <c r="B54" s="1">
        <f>IF(A54="","",VLOOKUP($A54,子基金及业绩基准周净值!$A:$F,2))</f>
        <v>1.10547</v>
      </c>
      <c r="C54" s="30">
        <f t="shared" si="3"/>
        <v>0.000222579314238533</v>
      </c>
      <c r="D54" s="27">
        <f>IF(A54="","",C54-(子基金及业绩基准周净值!AH54/子基金及业绩基准周净值!AH53-1))</f>
        <v>0.00129759283087517</v>
      </c>
      <c r="E54" s="33">
        <v>0.0112213669665214</v>
      </c>
      <c r="F54" s="17">
        <v>0</v>
      </c>
      <c r="G54" s="14" t="str">
        <f t="shared" si="4"/>
        <v>否</v>
      </c>
      <c r="H54" s="14" t="str">
        <f t="shared" si="1"/>
        <v>否</v>
      </c>
      <c r="I54" s="15" t="str">
        <f t="shared" si="2"/>
        <v>否</v>
      </c>
    </row>
    <row r="55" spans="1:9">
      <c r="A55" s="7">
        <f>IF(子基金及业绩基准周净值!A55="","",子基金及业绩基准周净值!A55)</f>
        <v>45835</v>
      </c>
      <c r="B55" s="1">
        <f>IF(A55="","",VLOOKUP($A55,子基金及业绩基准周净值!$A:$F,2))</f>
        <v>1.102272</v>
      </c>
      <c r="C55" s="30">
        <f t="shared" si="3"/>
        <v>-0.0028928871882548</v>
      </c>
      <c r="D55" s="27">
        <f>IF(A55="","",C55-(子基金及业绩基准周净值!AH55/子基金及业绩基准周净值!AH54-1))</f>
        <v>-0.00702922429235047</v>
      </c>
      <c r="E55" s="33">
        <v>0.0112213669665214</v>
      </c>
      <c r="F55" s="17">
        <v>1</v>
      </c>
      <c r="G55" s="14" t="str">
        <f t="shared" si="4"/>
        <v>否</v>
      </c>
      <c r="H55" s="14" t="str">
        <f t="shared" si="1"/>
        <v>否</v>
      </c>
      <c r="I55" s="15" t="str">
        <f t="shared" si="2"/>
        <v>否</v>
      </c>
    </row>
    <row r="56" spans="1:9">
      <c r="A56" s="7">
        <f>IF(子基金及业绩基准周净值!A56="","",子基金及业绩基准周净值!A56)</f>
        <v>45842</v>
      </c>
      <c r="B56" s="1">
        <f>IF(A56="","",VLOOKUP($A56,子基金及业绩基准周净值!$A:$F,2))</f>
        <v>1.100304</v>
      </c>
      <c r="C56" s="30">
        <f t="shared" si="3"/>
        <v>-0.00178540323985366</v>
      </c>
      <c r="D56" s="27">
        <f>IF(A56="","",C56-(子基金及业绩基准周净值!AH56/子基金及业绩基准周净值!AH55-1))</f>
        <v>-0.00645440367570172</v>
      </c>
      <c r="E56" s="33">
        <v>0.0133</v>
      </c>
      <c r="F56" s="17">
        <v>2</v>
      </c>
      <c r="G56" s="14" t="str">
        <f t="shared" si="4"/>
        <v>否</v>
      </c>
      <c r="H56" s="14" t="str">
        <f t="shared" si="1"/>
        <v>否</v>
      </c>
      <c r="I56" s="15" t="str">
        <f t="shared" si="2"/>
        <v>否</v>
      </c>
    </row>
    <row r="57" spans="1:9">
      <c r="A57" s="7">
        <f>IF(子基金及业绩基准周净值!A57="","",子基金及业绩基准周净值!A57)</f>
        <v>45849</v>
      </c>
      <c r="B57" s="1">
        <f>IF(A57="","",VLOOKUP($A57,子基金及业绩基准周净值!$A:$F,2))</f>
        <v>1.0988</v>
      </c>
      <c r="C57" s="30">
        <f t="shared" si="3"/>
        <v>-0.00136689496720902</v>
      </c>
      <c r="D57" s="27">
        <f>IF(A57="","",C57-(子基金及业绩基准周净值!AH57/子基金及业绩基准周净值!AH56-1))</f>
        <v>-0.00392296154121288</v>
      </c>
      <c r="E57" s="33">
        <v>0.0149</v>
      </c>
      <c r="F57" s="17">
        <v>3</v>
      </c>
      <c r="G57" s="14" t="str">
        <f t="shared" si="4"/>
        <v>否</v>
      </c>
      <c r="H57" s="14" t="str">
        <f t="shared" si="1"/>
        <v>否</v>
      </c>
      <c r="I57" s="15" t="str">
        <f t="shared" si="2"/>
        <v>否</v>
      </c>
    </row>
    <row r="58" spans="1:9">
      <c r="A58" s="7">
        <f>IF(子基金及业绩基准周净值!A58="","",子基金及业绩基准周净值!A58)</f>
        <v>45856</v>
      </c>
      <c r="B58" s="1">
        <f>IF(A58="","",VLOOKUP($A58,子基金及业绩基准周净值!$A:$F,2))</f>
        <v>1.09932</v>
      </c>
      <c r="C58" s="30">
        <f t="shared" si="3"/>
        <v>0.000473243538405602</v>
      </c>
      <c r="D58" s="27">
        <f>IF(A58="","",C58-(子基金及业绩基准周净值!AH58/子基金及业绩基准周净值!AH57-1))</f>
        <v>-0.00378997584915975</v>
      </c>
      <c r="E58" s="33">
        <v>0.0149</v>
      </c>
      <c r="F58" s="17">
        <v>4</v>
      </c>
      <c r="G58" s="14" t="str">
        <f t="shared" si="4"/>
        <v>否</v>
      </c>
      <c r="H58" s="14" t="str">
        <f t="shared" si="1"/>
        <v>否</v>
      </c>
      <c r="I58" s="15" t="str">
        <f t="shared" si="2"/>
        <v>是</v>
      </c>
    </row>
    <row r="59" spans="1:9">
      <c r="A59" s="7">
        <f>IF(子基金及业绩基准周净值!A59="","",子基金及业绩基准周净值!A59)</f>
        <v>45863</v>
      </c>
      <c r="B59" s="1">
        <f>IF(A59="","",VLOOKUP($A59,子基金及业绩基准周净值!$A:$F,2))</f>
        <v>1.100468</v>
      </c>
      <c r="C59" s="30">
        <f t="shared" si="3"/>
        <v>0.00104428191973213</v>
      </c>
      <c r="D59" s="27">
        <f>IF(A59="","",C59-(子基金及业绩基准周净值!AH59/子基金及业绩基准周净值!AH58-1))</f>
        <v>0.00108164011563669</v>
      </c>
      <c r="E59" s="33">
        <v>0.0149</v>
      </c>
      <c r="F59" s="17">
        <v>0</v>
      </c>
      <c r="G59" s="14" t="str">
        <f t="shared" si="4"/>
        <v>否</v>
      </c>
      <c r="H59" s="14" t="str">
        <f t="shared" si="1"/>
        <v>否</v>
      </c>
      <c r="I59" s="15" t="str">
        <f t="shared" si="2"/>
        <v>否</v>
      </c>
    </row>
    <row r="60" spans="1:9">
      <c r="A60" s="7">
        <f>IF(子基金及业绩基准周净值!A60="","",子基金及业绩基准周净值!A60)</f>
        <v>45870</v>
      </c>
      <c r="B60" s="1">
        <f>IF(A60="","",VLOOKUP($A60,子基金及业绩基准周净值!$A:$F,2))</f>
        <v>1.09768</v>
      </c>
      <c r="C60" s="30">
        <f t="shared" si="3"/>
        <v>-0.00253346757924811</v>
      </c>
      <c r="D60" s="27">
        <f>IF(A60="","",C60-(子基金及业绩基准周净值!AH60/子基金及业绩基准周净值!AH59-1))</f>
        <v>-0.00628477085637003</v>
      </c>
      <c r="E60" s="33">
        <v>0.0162</v>
      </c>
      <c r="F60" s="17">
        <v>1</v>
      </c>
      <c r="G60" s="14" t="str">
        <f t="shared" si="4"/>
        <v>否</v>
      </c>
      <c r="H60" s="14" t="str">
        <f t="shared" si="1"/>
        <v>否</v>
      </c>
      <c r="I60" s="15" t="str">
        <f t="shared" si="2"/>
        <v>否</v>
      </c>
    </row>
    <row r="61" spans="1:9">
      <c r="A61" s="7">
        <f>IF(子基金及业绩基准周净值!A61="","",子基金及业绩基准周净值!A61)</f>
        <v>45877</v>
      </c>
      <c r="B61" s="1">
        <f>IF(A61="","",VLOOKUP($A61,子基金及业绩基准周净值!$A:$F,2))</f>
        <v>1.09891</v>
      </c>
      <c r="C61" s="30">
        <f t="shared" si="3"/>
        <v>0.00112054514977048</v>
      </c>
      <c r="D61" s="27">
        <f>IF(A61="","",C61-(子基金及业绩基准周净值!AH61/子基金及业绩基准周净值!AH60-1))</f>
        <v>-0.00494342955069467</v>
      </c>
      <c r="E61" s="33">
        <v>0.0162</v>
      </c>
      <c r="F61" s="17">
        <v>2</v>
      </c>
      <c r="G61" s="14" t="str">
        <f t="shared" si="4"/>
        <v>否</v>
      </c>
      <c r="H61" s="14" t="str">
        <f t="shared" si="1"/>
        <v>否</v>
      </c>
      <c r="I61" s="15" t="str">
        <f t="shared" si="2"/>
        <v>否</v>
      </c>
    </row>
    <row r="62" spans="1:9">
      <c r="A62" s="7">
        <f>IF(子基金及业绩基准周净值!A62="","",子基金及业绩基准周净值!A62)</f>
        <v>45884</v>
      </c>
      <c r="B62" s="1">
        <f>IF(A62="","",VLOOKUP($A62,子基金及业绩基准周净值!$A:$F,2))</f>
        <v>1.100878</v>
      </c>
      <c r="C62" s="30">
        <f t="shared" si="3"/>
        <v>0.00179086549398947</v>
      </c>
      <c r="D62" s="27">
        <f>IF(A62="","",C62-(子基金及业绩基准周净值!AH62/子基金及业绩基准周净值!AH61-1))</f>
        <v>-0.000674225112449931</v>
      </c>
      <c r="E62" s="33">
        <v>0.0162</v>
      </c>
      <c r="F62" s="17">
        <v>3</v>
      </c>
      <c r="G62" s="14" t="str">
        <f t="shared" si="4"/>
        <v>否</v>
      </c>
      <c r="H62" s="14" t="str">
        <f t="shared" si="1"/>
        <v>否</v>
      </c>
      <c r="I62" s="15" t="str">
        <f t="shared" si="2"/>
        <v>否</v>
      </c>
    </row>
    <row r="63" spans="1:9">
      <c r="A63" s="7">
        <f>IF(子基金及业绩基准周净值!A63="","",子基金及业绩基准周净值!A63)</f>
        <v>45891</v>
      </c>
      <c r="B63" s="1">
        <f>IF(A63="","",VLOOKUP($A63,子基金及业绩基准周净值!$A:$F,2))</f>
        <v>1.108996</v>
      </c>
      <c r="C63" s="30">
        <f t="shared" si="3"/>
        <v>0.00737411411618732</v>
      </c>
      <c r="D63" s="27">
        <f>IF(A63="","",C63-(子基金及业绩基准周净值!AH63/子基金及业绩基准周净值!AH62-1))</f>
        <v>0.0024208358479178</v>
      </c>
      <c r="E63" s="33">
        <v>0.0162</v>
      </c>
      <c r="F63" s="17">
        <v>0</v>
      </c>
      <c r="G63" s="14" t="str">
        <f t="shared" si="4"/>
        <v>否</v>
      </c>
      <c r="H63" s="14" t="str">
        <f t="shared" si="1"/>
        <v>否</v>
      </c>
      <c r="I63" s="15" t="str">
        <f t="shared" si="2"/>
        <v>否</v>
      </c>
    </row>
    <row r="64" spans="1:9">
      <c r="A64" s="7">
        <f>IF(子基金及业绩基准周净值!A64="","",子基金及业绩基准周净值!A64)</f>
        <v>45898</v>
      </c>
      <c r="B64" s="1">
        <f>IF(A64="","",VLOOKUP($A64,子基金及业绩基准周净值!$A:$F,2))</f>
        <v>1.105388</v>
      </c>
      <c r="C64" s="30">
        <f t="shared" si="3"/>
        <v>-0.00325339315921794</v>
      </c>
      <c r="D64" s="27">
        <f>IF(A64="","",C64-(子基金及业绩基准周净值!AH64/子基金及业绩基准周净值!AH63-1))</f>
        <v>-0.00296121408623454</v>
      </c>
      <c r="E64" s="33">
        <v>0.0162</v>
      </c>
      <c r="F64" s="17">
        <v>1</v>
      </c>
      <c r="G64" s="14" t="str">
        <f t="shared" si="4"/>
        <v>否</v>
      </c>
      <c r="H64" s="14" t="str">
        <f t="shared" si="1"/>
        <v>否</v>
      </c>
      <c r="I64" s="15" t="str">
        <f t="shared" si="2"/>
        <v>否</v>
      </c>
    </row>
    <row r="65" spans="1:9">
      <c r="A65" s="7">
        <f>IF(子基金及业绩基准周净值!A65="","",子基金及业绩基准周净值!A65)</f>
        <v>45905</v>
      </c>
      <c r="B65" s="1">
        <f>IF(A65="","",VLOOKUP($A65,子基金及业绩基准周净值!$A:$F,2))</f>
        <v>1.103748</v>
      </c>
      <c r="C65" s="30">
        <f t="shared" si="3"/>
        <v>-0.00148364194291967</v>
      </c>
      <c r="D65" s="27">
        <f>IF(A65="","",C65-(子基金及业绩基准周净值!AH65/子基金及业绩基准周净值!AH64-1))</f>
        <v>-0.00320734634037018</v>
      </c>
      <c r="E65" s="33">
        <v>0.0162</v>
      </c>
      <c r="F65" s="17">
        <v>2</v>
      </c>
      <c r="G65" s="14" t="str">
        <f t="shared" si="4"/>
        <v>否</v>
      </c>
      <c r="H65" s="14" t="str">
        <f t="shared" si="1"/>
        <v>否</v>
      </c>
      <c r="I65" s="15" t="str">
        <f t="shared" si="2"/>
        <v>否</v>
      </c>
    </row>
    <row r="66" spans="1:9">
      <c r="A66" s="7">
        <f>IF(子基金及业绩基准周净值!A66="","",子基金及业绩基准周净值!A66)</f>
        <v>45912</v>
      </c>
      <c r="B66" s="1">
        <f>IF(A66="","",VLOOKUP($A66,子基金及业绩基准周净值!$A:$F,2))</f>
        <v>1.108832</v>
      </c>
      <c r="C66" s="30">
        <f t="shared" si="3"/>
        <v>0.00460612386160617</v>
      </c>
      <c r="D66" s="27">
        <f>IF(A66="","",C66-(子基金及业绩基准周净值!AH66/子基金及业绩基准周净值!AH65-1))</f>
        <v>-0.000225767640929429</v>
      </c>
      <c r="E66" s="33">
        <v>0.0162</v>
      </c>
      <c r="F66" s="17">
        <v>3</v>
      </c>
      <c r="G66" s="14" t="str">
        <f t="shared" si="4"/>
        <v>否</v>
      </c>
      <c r="H66" s="14" t="str">
        <f t="shared" si="1"/>
        <v>否</v>
      </c>
      <c r="I66" s="15" t="str">
        <f t="shared" si="2"/>
        <v>否</v>
      </c>
    </row>
    <row r="67" spans="1:9">
      <c r="A67" s="7">
        <f>IF(子基金及业绩基准周净值!A67="","",子基金及业绩基准周净值!A67)</f>
        <v>45919</v>
      </c>
      <c r="B67" s="1">
        <f>IF(A67="","",VLOOKUP($A67,子基金及业绩基准周净值!$A:$F,2))</f>
        <v>1.099074</v>
      </c>
      <c r="C67" s="30">
        <f t="shared" si="3"/>
        <v>-0.00880025107500499</v>
      </c>
      <c r="D67" s="27">
        <f>IF(A67="","",C67-(子基金及业绩基准周净值!AH67/子基金及业绩基准周净值!AH66-1))</f>
        <v>-0.00983026372479141</v>
      </c>
      <c r="E67" s="33">
        <v>0.0162</v>
      </c>
      <c r="F67" s="17">
        <v>4</v>
      </c>
      <c r="G67" s="14" t="str">
        <f t="shared" si="4"/>
        <v>否</v>
      </c>
      <c r="H67" s="14" t="str">
        <f t="shared" si="1"/>
        <v>否</v>
      </c>
      <c r="I67" s="15" t="str">
        <f t="shared" si="2"/>
        <v>是</v>
      </c>
    </row>
    <row r="68" spans="1:9">
      <c r="A68" s="7">
        <f>IF(子基金及业绩基准周净值!A68="","",子基金及业绩基准周净值!A68)</f>
        <v>45926</v>
      </c>
      <c r="B68" s="1">
        <f>IF(A68="","",VLOOKUP($A68,子基金及业绩基准周净值!$A:$F,2))</f>
        <v>1.116786</v>
      </c>
      <c r="C68" s="30">
        <f t="shared" si="3"/>
        <v>0.0161153844054176</v>
      </c>
      <c r="D68" s="27">
        <f>IF(A68="","",C68-(子基金及业绩基准周净值!AH68/子基金及业绩基准周净值!AH67-1))</f>
        <v>0.0162003769929791</v>
      </c>
      <c r="E68" s="33">
        <v>0.0162</v>
      </c>
      <c r="F68" s="17">
        <v>0</v>
      </c>
      <c r="G68" s="14" t="str">
        <f t="shared" si="4"/>
        <v>否</v>
      </c>
      <c r="H68" s="14" t="str">
        <f t="shared" si="1"/>
        <v>否</v>
      </c>
      <c r="I68" s="15" t="str">
        <f t="shared" si="2"/>
        <v>否</v>
      </c>
    </row>
    <row r="69" spans="1:9">
      <c r="A69" s="7">
        <f>IF(子基金及业绩基准周净值!A69="","",子基金及业绩基准周净值!A69)</f>
        <v>45940</v>
      </c>
      <c r="B69" s="1">
        <f>IF(A69="","",VLOOKUP($A69,子基金及业绩基准周净值!$A:$F,2))</f>
        <v>1.103748</v>
      </c>
      <c r="C69" s="30">
        <f t="shared" ref="C69:C127" si="5">IF(A69="","",(B69-B68)/B68)</f>
        <v>-0.0116745732844073</v>
      </c>
      <c r="D69" s="27">
        <f>IF(A69="","",C69-(子基金及业绩基准周净值!AH69/子基金及业绩基准周净值!AH68-1))</f>
        <v>-0.017864006397151</v>
      </c>
      <c r="E69" s="33">
        <v>0.0162</v>
      </c>
      <c r="F69" s="17">
        <v>1</v>
      </c>
      <c r="G69" s="14" t="str">
        <f t="shared" ref="G69:G100" si="6">IF(A69="","",IF(C69&lt;-3%,"是","否"))</f>
        <v>否</v>
      </c>
      <c r="H69" s="14" t="str">
        <f t="shared" ref="H69:H127" si="7">IF(A69="","",IF(E69&gt;5%,"是","否"))</f>
        <v>否</v>
      </c>
      <c r="I69" s="15" t="str">
        <f t="shared" ref="I69:I127" si="8">IF(A69="","",IF(F69&gt;=4,"是","否"))</f>
        <v>否</v>
      </c>
    </row>
    <row r="70" spans="1:9">
      <c r="A70" s="7">
        <f>IF(子基金及业绩基准周净值!A70="","",子基金及业绩基准周净值!A70)</f>
        <v>45947</v>
      </c>
      <c r="B70" s="1">
        <f>IF(A70="","",VLOOKUP($A70,子基金及业绩基准周净值!$A:$F,2))</f>
        <v>1.11326</v>
      </c>
      <c r="C70" s="30">
        <f t="shared" si="5"/>
        <v>0.00861790916042427</v>
      </c>
      <c r="D70" s="27">
        <f>IF(A70="","",C70-(子基金及业绩基准周净值!AH70/子基金及业绩基准周净值!AH69-1))</f>
        <v>0.0139748260609902</v>
      </c>
      <c r="E70" s="33">
        <v>0.0162</v>
      </c>
      <c r="F70" s="17">
        <v>0</v>
      </c>
      <c r="G70" s="14" t="str">
        <f t="shared" si="6"/>
        <v>否</v>
      </c>
      <c r="H70" s="14" t="str">
        <f t="shared" si="7"/>
        <v>否</v>
      </c>
      <c r="I70" s="15" t="str">
        <f t="shared" si="8"/>
        <v>否</v>
      </c>
    </row>
    <row r="71" spans="1:9">
      <c r="A71" s="7">
        <f>IF(子基金及业绩基准周净值!A71="","",子基金及业绩基准周净值!A71)</f>
        <v>45954</v>
      </c>
      <c r="B71" s="1">
        <f>IF(A71="","",VLOOKUP($A71,子基金及业绩基准周净值!$A:$F,2))</f>
        <v>1.102846</v>
      </c>
      <c r="C71" s="30">
        <f t="shared" si="5"/>
        <v>-0.00935450838079148</v>
      </c>
      <c r="D71" s="27">
        <f>IF(A71="","",C71-(子基金及业绩基准周净值!AH71/子基金及业绩基准周净值!AH70-1))</f>
        <v>-0.0184382483633424</v>
      </c>
      <c r="E71" s="33">
        <v>0.0162</v>
      </c>
      <c r="F71" s="17">
        <v>1</v>
      </c>
      <c r="G71" s="14" t="str">
        <f t="shared" si="6"/>
        <v>否</v>
      </c>
      <c r="H71" s="14" t="str">
        <f t="shared" si="7"/>
        <v>否</v>
      </c>
      <c r="I71" s="15" t="str">
        <f t="shared" si="8"/>
        <v>否</v>
      </c>
    </row>
    <row r="72" spans="1:9">
      <c r="A72" s="7">
        <f>IF(子基金及业绩基准周净值!A72="","",子基金及业绩基准周净值!A72)</f>
        <v>45961</v>
      </c>
      <c r="B72" s="1">
        <f>IF(A72="","",VLOOKUP($A72,子基金及业绩基准周净值!$A:$F,2))</f>
        <v>1.109406</v>
      </c>
      <c r="C72" s="30">
        <f t="shared" si="5"/>
        <v>0.00594824662736221</v>
      </c>
      <c r="D72" s="27">
        <f>IF(A72="","",C72-(子基金及业绩基准周净值!AH72/子基金及业绩基准周净值!AH71-1))</f>
        <v>0.00298412269861586</v>
      </c>
      <c r="E72" s="33">
        <v>0.0162</v>
      </c>
      <c r="F72" s="17">
        <v>0</v>
      </c>
      <c r="G72" s="14" t="str">
        <f t="shared" si="6"/>
        <v>否</v>
      </c>
      <c r="H72" s="14" t="str">
        <f t="shared" si="7"/>
        <v>否</v>
      </c>
      <c r="I72" s="15" t="str">
        <f t="shared" si="8"/>
        <v>否</v>
      </c>
    </row>
    <row r="73" spans="1:9">
      <c r="A73" s="7" t="str">
        <f>IF(子基金及业绩基准周净值!A73="","",子基金及业绩基准周净值!A73)</f>
        <v/>
      </c>
      <c r="B73" s="1" t="str">
        <f>IF(A73="","",VLOOKUP($A73,子基金及业绩基准周净值!$A:$F,2))</f>
        <v/>
      </c>
      <c r="C73" s="30" t="str">
        <f t="shared" si="5"/>
        <v/>
      </c>
      <c r="D73" s="27" t="str">
        <f>IF(A73="","",C73-(子基金及业绩基准周净值!AH73/子基金及业绩基准周净值!AH72-1))</f>
        <v/>
      </c>
      <c r="E73" s="33" t="s">
        <v>317</v>
      </c>
      <c r="F73" s="17" t="str">
        <f>IF(A73="","",MAX(FREQUENCY(IF($D$3:D73&lt;0,ROW($D$3:D73)),IF($D$3:D73&gt;=0,ROW($D$3:D73)))))</f>
        <v/>
      </c>
      <c r="G73" s="14" t="str">
        <f t="shared" si="6"/>
        <v/>
      </c>
      <c r="H73" s="14" t="str">
        <f t="shared" si="7"/>
        <v/>
      </c>
      <c r="I73" s="15" t="str">
        <f t="shared" si="8"/>
        <v/>
      </c>
    </row>
    <row r="74" spans="1:9">
      <c r="A74" s="7" t="str">
        <f>IF(子基金及业绩基准周净值!A74="","",子基金及业绩基准周净值!A74)</f>
        <v/>
      </c>
      <c r="B74" s="1" t="str">
        <f>IF(A74="","",VLOOKUP($A74,子基金及业绩基准周净值!$A:$F,2))</f>
        <v/>
      </c>
      <c r="C74" s="30" t="str">
        <f t="shared" si="5"/>
        <v/>
      </c>
      <c r="D74" s="27" t="str">
        <f>IF(A74="","",C74-(子基金及业绩基准周净值!AH74/子基金及业绩基准周净值!AH73-1))</f>
        <v/>
      </c>
      <c r="E74" s="33" t="s">
        <v>317</v>
      </c>
      <c r="F74" s="17" t="str">
        <f>IF(A74="","",MAX(FREQUENCY(IF($D$3:D74&lt;0,ROW($D$3:D74)),IF($D$3:D74&gt;=0,ROW($D$3:D74)))))</f>
        <v/>
      </c>
      <c r="G74" s="14" t="str">
        <f t="shared" si="6"/>
        <v/>
      </c>
      <c r="H74" s="14" t="str">
        <f t="shared" si="7"/>
        <v/>
      </c>
      <c r="I74" s="15" t="str">
        <f t="shared" si="8"/>
        <v/>
      </c>
    </row>
    <row r="75" spans="1:9">
      <c r="A75" s="7" t="str">
        <f>IF(子基金及业绩基准周净值!A75="","",子基金及业绩基准周净值!A75)</f>
        <v/>
      </c>
      <c r="B75" s="1" t="str">
        <f>IF(A75="","",VLOOKUP($A75,子基金及业绩基准周净值!$A:$F,2))</f>
        <v/>
      </c>
      <c r="C75" s="30" t="str">
        <f t="shared" si="5"/>
        <v/>
      </c>
      <c r="D75" s="27" t="str">
        <f>IF(A75="","",C75-(子基金及业绩基准周净值!AH75/子基金及业绩基准周净值!AH74-1))</f>
        <v/>
      </c>
      <c r="E75" s="33" t="s">
        <v>317</v>
      </c>
      <c r="F75" s="17" t="str">
        <f>IF(A75="","",MAX(FREQUENCY(IF($D$3:D75&lt;0,ROW($D$3:D75)),IF($D$3:D75&gt;=0,ROW($D$3:D75)))))</f>
        <v/>
      </c>
      <c r="G75" s="14" t="str">
        <f t="shared" si="6"/>
        <v/>
      </c>
      <c r="H75" s="14" t="str">
        <f t="shared" si="7"/>
        <v/>
      </c>
      <c r="I75" s="15" t="str">
        <f t="shared" si="8"/>
        <v/>
      </c>
    </row>
    <row r="76" spans="1:9">
      <c r="A76" s="7" t="str">
        <f>IF(子基金及业绩基准周净值!A76="","",子基金及业绩基准周净值!A76)</f>
        <v/>
      </c>
      <c r="B76" s="1" t="str">
        <f>IF(A76="","",VLOOKUP($A76,子基金及业绩基准周净值!$A:$F,2))</f>
        <v/>
      </c>
      <c r="C76" s="30" t="str">
        <f t="shared" si="5"/>
        <v/>
      </c>
      <c r="D76" s="27" t="str">
        <f>IF(A76="","",C76-(子基金及业绩基准周净值!AH76/子基金及业绩基准周净值!AH75-1))</f>
        <v/>
      </c>
      <c r="E76" s="33" t="s">
        <v>317</v>
      </c>
      <c r="F76" s="17" t="str">
        <f>IF(A76="","",MAX(FREQUENCY(IF($D$3:D76&lt;0,ROW($D$3:D76)),IF($D$3:D76&gt;=0,ROW($D$3:D76)))))</f>
        <v/>
      </c>
      <c r="G76" s="14" t="str">
        <f t="shared" si="6"/>
        <v/>
      </c>
      <c r="H76" s="14" t="str">
        <f t="shared" si="7"/>
        <v/>
      </c>
      <c r="I76" s="15" t="str">
        <f t="shared" si="8"/>
        <v/>
      </c>
    </row>
    <row r="77" spans="1:9">
      <c r="A77" s="7" t="str">
        <f>IF(子基金及业绩基准周净值!A77="","",子基金及业绩基准周净值!A77)</f>
        <v/>
      </c>
      <c r="B77" s="1" t="str">
        <f>IF(A77="","",VLOOKUP($A77,子基金及业绩基准周净值!$A:$F,2))</f>
        <v/>
      </c>
      <c r="C77" s="30" t="str">
        <f t="shared" si="5"/>
        <v/>
      </c>
      <c r="D77" s="27" t="str">
        <f>IF(A77="","",C77-(子基金及业绩基准周净值!AH77/子基金及业绩基准周净值!AH76-1))</f>
        <v/>
      </c>
      <c r="E77" s="33" t="s">
        <v>317</v>
      </c>
      <c r="F77" s="17" t="str">
        <f>IF(A77="","",MAX(FREQUENCY(IF($D$3:D77&lt;0,ROW($D$3:D77)),IF($D$3:D77&gt;=0,ROW($D$3:D77)))))</f>
        <v/>
      </c>
      <c r="G77" s="14" t="str">
        <f t="shared" si="6"/>
        <v/>
      </c>
      <c r="H77" s="14" t="str">
        <f t="shared" si="7"/>
        <v/>
      </c>
      <c r="I77" s="15" t="str">
        <f t="shared" si="8"/>
        <v/>
      </c>
    </row>
    <row r="78" spans="1:9">
      <c r="A78" s="7" t="str">
        <f>IF(子基金及业绩基准周净值!A78="","",子基金及业绩基准周净值!A78)</f>
        <v/>
      </c>
      <c r="B78" s="1" t="str">
        <f>IF(A78="","",VLOOKUP($A78,子基金及业绩基准周净值!$A:$F,2))</f>
        <v/>
      </c>
      <c r="C78" s="30" t="str">
        <f t="shared" si="5"/>
        <v/>
      </c>
      <c r="D78" s="27" t="str">
        <f>IF(A78="","",C78-(子基金及业绩基准周净值!AH78/子基金及业绩基准周净值!AH77-1))</f>
        <v/>
      </c>
      <c r="E78" s="33" t="s">
        <v>317</v>
      </c>
      <c r="F78" s="17" t="str">
        <f>IF(A78="","",MAX(FREQUENCY(IF($D$3:D78&lt;0,ROW($D$3:D78)),IF($D$3:D78&gt;=0,ROW($D$3:D78)))))</f>
        <v/>
      </c>
      <c r="G78" s="14" t="str">
        <f t="shared" si="6"/>
        <v/>
      </c>
      <c r="H78" s="14" t="str">
        <f t="shared" si="7"/>
        <v/>
      </c>
      <c r="I78" s="15" t="str">
        <f t="shared" si="8"/>
        <v/>
      </c>
    </row>
    <row r="79" spans="1:9">
      <c r="A79" s="7" t="str">
        <f>IF(子基金及业绩基准周净值!A79="","",子基金及业绩基准周净值!A79)</f>
        <v/>
      </c>
      <c r="B79" s="1" t="str">
        <f>IF(A79="","",VLOOKUP($A79,子基金及业绩基准周净值!$A:$F,2))</f>
        <v/>
      </c>
      <c r="C79" s="30" t="str">
        <f t="shared" si="5"/>
        <v/>
      </c>
      <c r="D79" s="27" t="str">
        <f>IF(A79="","",C79-(子基金及业绩基准周净值!AH79/子基金及业绩基准周净值!AH78-1))</f>
        <v/>
      </c>
      <c r="E79" s="33" t="s">
        <v>317</v>
      </c>
      <c r="F79" s="17" t="str">
        <f>IF(A79="","",MAX(FREQUENCY(IF($D$3:D79&lt;0,ROW($D$3:D79)),IF($D$3:D79&gt;=0,ROW($D$3:D79)))))</f>
        <v/>
      </c>
      <c r="G79" s="14" t="str">
        <f t="shared" si="6"/>
        <v/>
      </c>
      <c r="H79" s="14" t="str">
        <f t="shared" si="7"/>
        <v/>
      </c>
      <c r="I79" s="15" t="str">
        <f t="shared" si="8"/>
        <v/>
      </c>
    </row>
    <row r="80" spans="1:9">
      <c r="A80" s="7" t="str">
        <f>IF(子基金及业绩基准周净值!A80="","",子基金及业绩基准周净值!A80)</f>
        <v/>
      </c>
      <c r="B80" s="1" t="str">
        <f>IF(A80="","",VLOOKUP($A80,子基金及业绩基准周净值!$A:$F,2))</f>
        <v/>
      </c>
      <c r="C80" s="30" t="str">
        <f t="shared" si="5"/>
        <v/>
      </c>
      <c r="D80" s="27" t="str">
        <f>IF(A80="","",C80-(子基金及业绩基准周净值!AH80/子基金及业绩基准周净值!AH79-1))</f>
        <v/>
      </c>
      <c r="E80" s="33" t="s">
        <v>317</v>
      </c>
      <c r="F80" s="17" t="str">
        <f>IF(A80="","",MAX(FREQUENCY(IF($D$3:D80&lt;0,ROW($D$3:D80)),IF($D$3:D80&gt;=0,ROW($D$3:D80)))))</f>
        <v/>
      </c>
      <c r="G80" s="14" t="str">
        <f t="shared" si="6"/>
        <v/>
      </c>
      <c r="H80" s="14" t="str">
        <f t="shared" si="7"/>
        <v/>
      </c>
      <c r="I80" s="15" t="str">
        <f t="shared" si="8"/>
        <v/>
      </c>
    </row>
    <row r="81" spans="1:9">
      <c r="A81" s="7" t="str">
        <f>IF(子基金及业绩基准周净值!A81="","",子基金及业绩基准周净值!A81)</f>
        <v/>
      </c>
      <c r="B81" s="1" t="str">
        <f>IF(A81="","",VLOOKUP($A81,子基金及业绩基准周净值!$A:$F,2))</f>
        <v/>
      </c>
      <c r="C81" s="30" t="str">
        <f t="shared" si="5"/>
        <v/>
      </c>
      <c r="D81" s="27" t="str">
        <f>IF(A81="","",C81-(子基金及业绩基准周净值!AH81/子基金及业绩基准周净值!AH80-1))</f>
        <v/>
      </c>
      <c r="E81" s="33" t="s">
        <v>317</v>
      </c>
      <c r="F81" s="17" t="str">
        <f>IF(A81="","",MAX(FREQUENCY(IF($D$3:D81&lt;0,ROW($D$3:D81)),IF($D$3:D81&gt;=0,ROW($D$3:D81)))))</f>
        <v/>
      </c>
      <c r="G81" s="14" t="str">
        <f t="shared" si="6"/>
        <v/>
      </c>
      <c r="H81" s="14" t="str">
        <f t="shared" si="7"/>
        <v/>
      </c>
      <c r="I81" s="15" t="str">
        <f t="shared" si="8"/>
        <v/>
      </c>
    </row>
    <row r="82" spans="1:9">
      <c r="A82" s="7" t="str">
        <f>IF(子基金及业绩基准周净值!A82="","",子基金及业绩基准周净值!A82)</f>
        <v/>
      </c>
      <c r="B82" s="1" t="str">
        <f>IF(A82="","",VLOOKUP($A82,子基金及业绩基准周净值!$A:$F,2))</f>
        <v/>
      </c>
      <c r="C82" s="30" t="str">
        <f t="shared" si="5"/>
        <v/>
      </c>
      <c r="D82" s="27" t="str">
        <f>IF(A82="","",C82-(子基金及业绩基准周净值!AH82/子基金及业绩基准周净值!AH81-1))</f>
        <v/>
      </c>
      <c r="E82" s="33" t="s">
        <v>317</v>
      </c>
      <c r="F82" s="17" t="str">
        <f>IF(A82="","",MAX(FREQUENCY(IF($D$3:D82&lt;0,ROW($D$3:D82)),IF($D$3:D82&gt;=0,ROW($D$3:D82)))))</f>
        <v/>
      </c>
      <c r="G82" s="14" t="str">
        <f t="shared" si="6"/>
        <v/>
      </c>
      <c r="H82" s="14" t="str">
        <f t="shared" si="7"/>
        <v/>
      </c>
      <c r="I82" s="15" t="str">
        <f t="shared" si="8"/>
        <v/>
      </c>
    </row>
    <row r="83" spans="1:9">
      <c r="A83" s="7" t="str">
        <f>IF(子基金及业绩基准周净值!A83="","",子基金及业绩基准周净值!A83)</f>
        <v/>
      </c>
      <c r="B83" s="1" t="str">
        <f>IF(A83="","",VLOOKUP($A83,子基金及业绩基准周净值!$A:$F,2))</f>
        <v/>
      </c>
      <c r="C83" s="30" t="str">
        <f t="shared" si="5"/>
        <v/>
      </c>
      <c r="D83" s="27" t="str">
        <f>IF(A83="","",C83-(子基金及业绩基准周净值!AH83/子基金及业绩基准周净值!AH82-1))</f>
        <v/>
      </c>
      <c r="E83" s="33" t="s">
        <v>317</v>
      </c>
      <c r="F83" s="17" t="str">
        <f>IF(A83="","",MAX(FREQUENCY(IF($D$3:D83&lt;0,ROW($D$3:D83)),IF($D$3:D83&gt;=0,ROW($D$3:D83)))))</f>
        <v/>
      </c>
      <c r="G83" s="14" t="str">
        <f t="shared" si="6"/>
        <v/>
      </c>
      <c r="H83" s="14" t="str">
        <f t="shared" si="7"/>
        <v/>
      </c>
      <c r="I83" s="15" t="str">
        <f t="shared" si="8"/>
        <v/>
      </c>
    </row>
    <row r="84" spans="1:9">
      <c r="A84" s="7" t="str">
        <f>IF(子基金及业绩基准周净值!A84="","",子基金及业绩基准周净值!A84)</f>
        <v/>
      </c>
      <c r="B84" s="1" t="str">
        <f>IF(A84="","",VLOOKUP($A84,子基金及业绩基准周净值!$A:$F,2))</f>
        <v/>
      </c>
      <c r="C84" s="30" t="str">
        <f t="shared" si="5"/>
        <v/>
      </c>
      <c r="D84" s="27" t="str">
        <f>IF(A84="","",C84-(子基金及业绩基准周净值!AH84/子基金及业绩基准周净值!AH83-1))</f>
        <v/>
      </c>
      <c r="E84" s="33" t="s">
        <v>317</v>
      </c>
      <c r="F84" s="17" t="str">
        <f>IF(A84="","",MAX(FREQUENCY(IF($D$3:D84&lt;0,ROW($D$3:D84)),IF($D$3:D84&gt;=0,ROW($D$3:D84)))))</f>
        <v/>
      </c>
      <c r="G84" s="14" t="str">
        <f t="shared" si="6"/>
        <v/>
      </c>
      <c r="H84" s="14" t="str">
        <f t="shared" si="7"/>
        <v/>
      </c>
      <c r="I84" s="15" t="str">
        <f t="shared" si="8"/>
        <v/>
      </c>
    </row>
    <row r="85" spans="1:9">
      <c r="A85" s="7" t="str">
        <f>IF(子基金及业绩基准周净值!A85="","",子基金及业绩基准周净值!A85)</f>
        <v/>
      </c>
      <c r="B85" s="1" t="str">
        <f>IF(A85="","",VLOOKUP($A85,子基金及业绩基准周净值!$A:$F,2))</f>
        <v/>
      </c>
      <c r="C85" s="30" t="str">
        <f t="shared" si="5"/>
        <v/>
      </c>
      <c r="D85" s="27" t="str">
        <f>IF(A85="","",C85-(子基金及业绩基准周净值!AH85/子基金及业绩基准周净值!AH84-1))</f>
        <v/>
      </c>
      <c r="E85" s="33" t="s">
        <v>317</v>
      </c>
      <c r="F85" s="17" t="str">
        <f>IF(A85="","",MAX(FREQUENCY(IF($D$3:D85&lt;0,ROW($D$3:D85)),IF($D$3:D85&gt;=0,ROW($D$3:D85)))))</f>
        <v/>
      </c>
      <c r="G85" s="14" t="str">
        <f t="shared" si="6"/>
        <v/>
      </c>
      <c r="H85" s="14" t="str">
        <f t="shared" si="7"/>
        <v/>
      </c>
      <c r="I85" s="15" t="str">
        <f t="shared" si="8"/>
        <v/>
      </c>
    </row>
    <row r="86" spans="1:9">
      <c r="A86" s="7" t="str">
        <f>IF(子基金及业绩基准周净值!A86="","",子基金及业绩基准周净值!A86)</f>
        <v/>
      </c>
      <c r="B86" s="1" t="str">
        <f>IF(A86="","",VLOOKUP($A86,子基金及业绩基准周净值!$A:$F,2))</f>
        <v/>
      </c>
      <c r="C86" s="30" t="str">
        <f t="shared" si="5"/>
        <v/>
      </c>
      <c r="D86" s="27" t="str">
        <f>IF(A86="","",C86-(子基金及业绩基准周净值!AH86/子基金及业绩基准周净值!AH85-1))</f>
        <v/>
      </c>
      <c r="E86" s="33" t="s">
        <v>317</v>
      </c>
      <c r="F86" s="17" t="str">
        <f>IF(A86="","",MAX(FREQUENCY(IF($D$3:D86&lt;0,ROW($D$3:D86)),IF($D$3:D86&gt;=0,ROW($D$3:D86)))))</f>
        <v/>
      </c>
      <c r="G86" s="14" t="str">
        <f t="shared" si="6"/>
        <v/>
      </c>
      <c r="H86" s="14" t="str">
        <f t="shared" si="7"/>
        <v/>
      </c>
      <c r="I86" s="15" t="str">
        <f t="shared" si="8"/>
        <v/>
      </c>
    </row>
    <row r="87" spans="1:9">
      <c r="A87" s="7" t="str">
        <f>IF(子基金及业绩基准周净值!A87="","",子基金及业绩基准周净值!A87)</f>
        <v/>
      </c>
      <c r="B87" s="1" t="str">
        <f>IF(A87="","",VLOOKUP($A87,子基金及业绩基准周净值!$A:$F,2))</f>
        <v/>
      </c>
      <c r="C87" s="30" t="str">
        <f t="shared" si="5"/>
        <v/>
      </c>
      <c r="D87" s="27" t="str">
        <f>IF(A87="","",C87-(子基金及业绩基准周净值!AH87/子基金及业绩基准周净值!AH86-1))</f>
        <v/>
      </c>
      <c r="E87" s="33" t="s">
        <v>317</v>
      </c>
      <c r="F87" s="17" t="str">
        <f>IF(A87="","",MAX(FREQUENCY(IF($D$3:D87&lt;0,ROW($D$3:D87)),IF($D$3:D87&gt;=0,ROW($D$3:D87)))))</f>
        <v/>
      </c>
      <c r="G87" s="14" t="str">
        <f t="shared" si="6"/>
        <v/>
      </c>
      <c r="H87" s="14" t="str">
        <f t="shared" si="7"/>
        <v/>
      </c>
      <c r="I87" s="15" t="str">
        <f t="shared" si="8"/>
        <v/>
      </c>
    </row>
    <row r="88" spans="1:9">
      <c r="A88" s="7" t="str">
        <f>IF(子基金及业绩基准周净值!A88="","",子基金及业绩基准周净值!A88)</f>
        <v/>
      </c>
      <c r="B88" s="1" t="str">
        <f>IF(A88="","",VLOOKUP($A88,子基金及业绩基准周净值!$A:$F,2))</f>
        <v/>
      </c>
      <c r="C88" s="30" t="str">
        <f t="shared" si="5"/>
        <v/>
      </c>
      <c r="D88" s="27" t="str">
        <f>IF(A88="","",C88-(子基金及业绩基准周净值!AH88/子基金及业绩基准周净值!AH87-1))</f>
        <v/>
      </c>
      <c r="E88" s="33" t="s">
        <v>317</v>
      </c>
      <c r="F88" s="17" t="str">
        <f>IF(A88="","",MAX(FREQUENCY(IF($D$3:D88&lt;0,ROW($D$3:D88)),IF($D$3:D88&gt;=0,ROW($D$3:D88)))))</f>
        <v/>
      </c>
      <c r="G88" s="14" t="str">
        <f t="shared" si="6"/>
        <v/>
      </c>
      <c r="H88" s="14" t="str">
        <f t="shared" si="7"/>
        <v/>
      </c>
      <c r="I88" s="15" t="str">
        <f t="shared" si="8"/>
        <v/>
      </c>
    </row>
    <row r="89" spans="1:9">
      <c r="A89" s="7" t="str">
        <f>IF(子基金及业绩基准周净值!A89="","",子基金及业绩基准周净值!A89)</f>
        <v/>
      </c>
      <c r="B89" s="1" t="str">
        <f>IF(A89="","",VLOOKUP($A89,子基金及业绩基准周净值!$A:$F,2))</f>
        <v/>
      </c>
      <c r="C89" s="30" t="str">
        <f t="shared" si="5"/>
        <v/>
      </c>
      <c r="D89" s="27" t="str">
        <f>IF(A89="","",C89-(子基金及业绩基准周净值!AH89/子基金及业绩基准周净值!AH88-1))</f>
        <v/>
      </c>
      <c r="E89" s="33" t="s">
        <v>317</v>
      </c>
      <c r="F89" s="17" t="str">
        <f>IF(A89="","",MAX(FREQUENCY(IF($D$3:D89&lt;0,ROW($D$3:D89)),IF($D$3:D89&gt;=0,ROW($D$3:D89)))))</f>
        <v/>
      </c>
      <c r="G89" s="14" t="str">
        <f t="shared" si="6"/>
        <v/>
      </c>
      <c r="H89" s="14" t="str">
        <f t="shared" si="7"/>
        <v/>
      </c>
      <c r="I89" s="15" t="str">
        <f t="shared" si="8"/>
        <v/>
      </c>
    </row>
    <row r="90" spans="1:9">
      <c r="A90" s="7" t="str">
        <f>IF(子基金及业绩基准周净值!A90="","",子基金及业绩基准周净值!A90)</f>
        <v/>
      </c>
      <c r="B90" s="1" t="str">
        <f>IF(A90="","",VLOOKUP($A90,子基金及业绩基准周净值!$A:$F,2))</f>
        <v/>
      </c>
      <c r="C90" s="30" t="str">
        <f t="shared" si="5"/>
        <v/>
      </c>
      <c r="D90" s="27" t="str">
        <f>IF(A90="","",C90-(子基金及业绩基准周净值!AH90/子基金及业绩基准周净值!AH89-1))</f>
        <v/>
      </c>
      <c r="E90" s="33" t="s">
        <v>317</v>
      </c>
      <c r="F90" s="17" t="str">
        <f>IF(A90="","",MAX(FREQUENCY(IF($D$3:D90&lt;0,ROW($D$3:D90)),IF($D$3:D90&gt;=0,ROW($D$3:D90)))))</f>
        <v/>
      </c>
      <c r="G90" s="14" t="str">
        <f t="shared" si="6"/>
        <v/>
      </c>
      <c r="H90" s="14" t="str">
        <f t="shared" si="7"/>
        <v/>
      </c>
      <c r="I90" s="15" t="str">
        <f t="shared" si="8"/>
        <v/>
      </c>
    </row>
    <row r="91" spans="1:9">
      <c r="A91" s="7" t="str">
        <f>IF(子基金及业绩基准周净值!A91="","",子基金及业绩基准周净值!A91)</f>
        <v/>
      </c>
      <c r="B91" s="1" t="str">
        <f>IF(A91="","",VLOOKUP($A91,子基金及业绩基准周净值!$A:$F,2))</f>
        <v/>
      </c>
      <c r="C91" s="30" t="str">
        <f t="shared" si="5"/>
        <v/>
      </c>
      <c r="D91" s="27" t="str">
        <f>IF(A91="","",C91-(子基金及业绩基准周净值!AH91/子基金及业绩基准周净值!AH90-1))</f>
        <v/>
      </c>
      <c r="E91" s="33" t="s">
        <v>317</v>
      </c>
      <c r="F91" s="17" t="str">
        <f>IF(A91="","",MAX(FREQUENCY(IF($D$3:D91&lt;0,ROW($D$3:D91)),IF($D$3:D91&gt;=0,ROW($D$3:D91)))))</f>
        <v/>
      </c>
      <c r="G91" s="14" t="str">
        <f t="shared" si="6"/>
        <v/>
      </c>
      <c r="H91" s="14" t="str">
        <f t="shared" si="7"/>
        <v/>
      </c>
      <c r="I91" s="15" t="str">
        <f t="shared" si="8"/>
        <v/>
      </c>
    </row>
    <row r="92" spans="1:9">
      <c r="A92" s="7" t="str">
        <f>IF(子基金及业绩基准周净值!A92="","",子基金及业绩基准周净值!A92)</f>
        <v/>
      </c>
      <c r="B92" s="1" t="str">
        <f>IF(A92="","",VLOOKUP($A92,子基金及业绩基准周净值!$A:$F,2))</f>
        <v/>
      </c>
      <c r="C92" s="30" t="str">
        <f t="shared" si="5"/>
        <v/>
      </c>
      <c r="D92" s="27" t="str">
        <f>IF(A92="","",C92-(子基金及业绩基准周净值!AH92/子基金及业绩基准周净值!AH91-1))</f>
        <v/>
      </c>
      <c r="E92" s="33" t="s">
        <v>317</v>
      </c>
      <c r="F92" s="17" t="str">
        <f>IF(A92="","",MAX(FREQUENCY(IF($D$3:D92&lt;0,ROW($D$3:D92)),IF($D$3:D92&gt;=0,ROW($D$3:D92)))))</f>
        <v/>
      </c>
      <c r="G92" s="14" t="str">
        <f t="shared" si="6"/>
        <v/>
      </c>
      <c r="H92" s="14" t="str">
        <f t="shared" si="7"/>
        <v/>
      </c>
      <c r="I92" s="15" t="str">
        <f t="shared" si="8"/>
        <v/>
      </c>
    </row>
    <row r="93" spans="1:9">
      <c r="A93" s="7" t="str">
        <f>IF(子基金及业绩基准周净值!A93="","",子基金及业绩基准周净值!A93)</f>
        <v/>
      </c>
      <c r="B93" s="1" t="str">
        <f>IF(A93="","",VLOOKUP($A93,子基金及业绩基准周净值!$A:$F,2))</f>
        <v/>
      </c>
      <c r="C93" s="30" t="str">
        <f t="shared" si="5"/>
        <v/>
      </c>
      <c r="D93" s="27" t="str">
        <f>IF(A93="","",C93-(子基金及业绩基准周净值!AH93/子基金及业绩基准周净值!AH92-1))</f>
        <v/>
      </c>
      <c r="E93" s="33" t="s">
        <v>317</v>
      </c>
      <c r="F93" s="17" t="str">
        <f>IF(A93="","",MAX(FREQUENCY(IF($D$3:D93&lt;0,ROW($D$3:D93)),IF($D$3:D93&gt;=0,ROW($D$3:D93)))))</f>
        <v/>
      </c>
      <c r="G93" s="14" t="str">
        <f t="shared" si="6"/>
        <v/>
      </c>
      <c r="H93" s="14" t="str">
        <f t="shared" si="7"/>
        <v/>
      </c>
      <c r="I93" s="15" t="str">
        <f t="shared" si="8"/>
        <v/>
      </c>
    </row>
    <row r="94" spans="1:9">
      <c r="A94" s="7" t="str">
        <f>IF(子基金及业绩基准周净值!A94="","",子基金及业绩基准周净值!A94)</f>
        <v/>
      </c>
      <c r="B94" s="1" t="str">
        <f>IF(A94="","",VLOOKUP($A94,子基金及业绩基准周净值!$A:$F,2))</f>
        <v/>
      </c>
      <c r="C94" s="30" t="str">
        <f t="shared" si="5"/>
        <v/>
      </c>
      <c r="D94" s="27" t="str">
        <f>IF(A94="","",C94-(子基金及业绩基准周净值!AH94/子基金及业绩基准周净值!AH93-1))</f>
        <v/>
      </c>
      <c r="E94" s="33" t="s">
        <v>317</v>
      </c>
      <c r="F94" s="17" t="str">
        <f>IF(A94="","",MAX(FREQUENCY(IF($D$3:D94&lt;0,ROW($D$3:D94)),IF($D$3:D94&gt;=0,ROW($D$3:D94)))))</f>
        <v/>
      </c>
      <c r="G94" s="14" t="str">
        <f t="shared" si="6"/>
        <v/>
      </c>
      <c r="H94" s="14" t="str">
        <f t="shared" si="7"/>
        <v/>
      </c>
      <c r="I94" s="15" t="str">
        <f t="shared" si="8"/>
        <v/>
      </c>
    </row>
    <row r="95" spans="1:9">
      <c r="A95" s="7" t="str">
        <f>IF(子基金及业绩基准周净值!A95="","",子基金及业绩基准周净值!A95)</f>
        <v/>
      </c>
      <c r="B95" s="1" t="str">
        <f>IF(A95="","",VLOOKUP($A95,子基金及业绩基准周净值!$A:$F,2))</f>
        <v/>
      </c>
      <c r="C95" s="30" t="str">
        <f t="shared" si="5"/>
        <v/>
      </c>
      <c r="D95" s="27" t="str">
        <f>IF(A95="","",C95-(子基金及业绩基准周净值!AH95/子基金及业绩基准周净值!AH94-1))</f>
        <v/>
      </c>
      <c r="E95" s="33" t="s">
        <v>317</v>
      </c>
      <c r="F95" s="17" t="str">
        <f>IF(A95="","",MAX(FREQUENCY(IF($D$3:D95&lt;0,ROW($D$3:D95)),IF($D$3:D95&gt;=0,ROW($D$3:D95)))))</f>
        <v/>
      </c>
      <c r="G95" s="14" t="str">
        <f t="shared" si="6"/>
        <v/>
      </c>
      <c r="H95" s="14" t="str">
        <f t="shared" si="7"/>
        <v/>
      </c>
      <c r="I95" s="15" t="str">
        <f t="shared" si="8"/>
        <v/>
      </c>
    </row>
    <row r="96" spans="1:9">
      <c r="A96" s="7" t="str">
        <f>IF(子基金及业绩基准周净值!A96="","",子基金及业绩基准周净值!A96)</f>
        <v/>
      </c>
      <c r="B96" s="1" t="str">
        <f>IF(A96="","",VLOOKUP($A96,子基金及业绩基准周净值!$A:$F,2))</f>
        <v/>
      </c>
      <c r="C96" s="30" t="str">
        <f t="shared" si="5"/>
        <v/>
      </c>
      <c r="D96" s="27" t="str">
        <f>IF(A96="","",C96-(子基金及业绩基准周净值!AH96/子基金及业绩基准周净值!AH95-1))</f>
        <v/>
      </c>
      <c r="E96" s="33" t="s">
        <v>317</v>
      </c>
      <c r="F96" s="17" t="str">
        <f>IF(A96="","",MAX(FREQUENCY(IF($D$3:D96&lt;0,ROW($D$3:D96)),IF($D$3:D96&gt;=0,ROW($D$3:D96)))))</f>
        <v/>
      </c>
      <c r="G96" s="14" t="str">
        <f t="shared" si="6"/>
        <v/>
      </c>
      <c r="H96" s="14" t="str">
        <f t="shared" si="7"/>
        <v/>
      </c>
      <c r="I96" s="15" t="str">
        <f t="shared" si="8"/>
        <v/>
      </c>
    </row>
    <row r="97" spans="1:9">
      <c r="A97" s="7" t="str">
        <f>IF(子基金及业绩基准周净值!A97="","",子基金及业绩基准周净值!A97)</f>
        <v/>
      </c>
      <c r="B97" s="1" t="str">
        <f>IF(A97="","",VLOOKUP($A97,子基金及业绩基准周净值!$A:$F,2))</f>
        <v/>
      </c>
      <c r="C97" s="30" t="str">
        <f t="shared" si="5"/>
        <v/>
      </c>
      <c r="D97" s="27" t="str">
        <f>IF(A97="","",C97-(子基金及业绩基准周净值!AH97/子基金及业绩基准周净值!AH96-1))</f>
        <v/>
      </c>
      <c r="E97" s="33" t="s">
        <v>317</v>
      </c>
      <c r="F97" s="17" t="str">
        <f>IF(A97="","",MAX(FREQUENCY(IF($D$3:D97&lt;0,ROW($D$3:D97)),IF($D$3:D97&gt;=0,ROW($D$3:D97)))))</f>
        <v/>
      </c>
      <c r="G97" s="14" t="str">
        <f t="shared" si="6"/>
        <v/>
      </c>
      <c r="H97" s="14" t="str">
        <f t="shared" si="7"/>
        <v/>
      </c>
      <c r="I97" s="15" t="str">
        <f t="shared" si="8"/>
        <v/>
      </c>
    </row>
    <row r="98" spans="1:9">
      <c r="A98" s="7" t="str">
        <f>IF(子基金及业绩基准周净值!A98="","",子基金及业绩基准周净值!A98)</f>
        <v/>
      </c>
      <c r="B98" s="1" t="str">
        <f>IF(A98="","",VLOOKUP($A98,子基金及业绩基准周净值!$A:$F,2))</f>
        <v/>
      </c>
      <c r="C98" s="30" t="str">
        <f t="shared" si="5"/>
        <v/>
      </c>
      <c r="D98" s="27" t="str">
        <f>IF(A98="","",C98-(子基金及业绩基准周净值!AH98/子基金及业绩基准周净值!AH97-1))</f>
        <v/>
      </c>
      <c r="E98" s="33" t="s">
        <v>317</v>
      </c>
      <c r="F98" s="17" t="str">
        <f>IF(A98="","",MAX(FREQUENCY(IF($D$3:D98&lt;0,ROW($D$3:D98)),IF($D$3:D98&gt;=0,ROW($D$3:D98)))))</f>
        <v/>
      </c>
      <c r="G98" s="14" t="str">
        <f t="shared" si="6"/>
        <v/>
      </c>
      <c r="H98" s="14" t="str">
        <f t="shared" si="7"/>
        <v/>
      </c>
      <c r="I98" s="15" t="str">
        <f t="shared" si="8"/>
        <v/>
      </c>
    </row>
    <row r="99" spans="1:9">
      <c r="A99" s="7" t="str">
        <f>IF(子基金及业绩基准周净值!A99="","",子基金及业绩基准周净值!A99)</f>
        <v/>
      </c>
      <c r="B99" s="1" t="str">
        <f>IF(A99="","",VLOOKUP($A99,子基金及业绩基准周净值!$A:$F,2))</f>
        <v/>
      </c>
      <c r="C99" s="30" t="str">
        <f t="shared" si="5"/>
        <v/>
      </c>
      <c r="D99" s="27" t="str">
        <f>IF(A99="","",C99-(子基金及业绩基准周净值!AH99/子基金及业绩基准周净值!AH98-1))</f>
        <v/>
      </c>
      <c r="E99" s="33" t="s">
        <v>317</v>
      </c>
      <c r="F99" s="17" t="str">
        <f>IF(A99="","",MAX(FREQUENCY(IF($D$3:D99&lt;0,ROW($D$3:D99)),IF($D$3:D99&gt;=0,ROW($D$3:D99)))))</f>
        <v/>
      </c>
      <c r="G99" s="14" t="str">
        <f t="shared" si="6"/>
        <v/>
      </c>
      <c r="H99" s="14" t="str">
        <f t="shared" si="7"/>
        <v/>
      </c>
      <c r="I99" s="15" t="str">
        <f t="shared" si="8"/>
        <v/>
      </c>
    </row>
    <row r="100" spans="1:9">
      <c r="A100" s="7" t="str">
        <f>IF(子基金及业绩基准周净值!A100="","",子基金及业绩基准周净值!A100)</f>
        <v/>
      </c>
      <c r="B100" s="1" t="str">
        <f>IF(A100="","",VLOOKUP($A100,子基金及业绩基准周净值!$A:$F,2))</f>
        <v/>
      </c>
      <c r="C100" s="30" t="str">
        <f t="shared" si="5"/>
        <v/>
      </c>
      <c r="D100" s="27" t="str">
        <f>IF(A100="","",C100-(子基金及业绩基准周净值!AH100/子基金及业绩基准周净值!AH99-1))</f>
        <v/>
      </c>
      <c r="E100" s="33" t="s">
        <v>317</v>
      </c>
      <c r="F100" s="17" t="str">
        <f>IF(A100="","",MAX(FREQUENCY(IF($D$3:D100&lt;0,ROW($D$3:D100)),IF($D$3:D100&gt;=0,ROW($D$3:D100)))))</f>
        <v/>
      </c>
      <c r="G100" s="14" t="str">
        <f t="shared" si="6"/>
        <v/>
      </c>
      <c r="H100" s="14" t="str">
        <f t="shared" si="7"/>
        <v/>
      </c>
      <c r="I100" s="15" t="str">
        <f t="shared" si="8"/>
        <v/>
      </c>
    </row>
    <row r="101" spans="1:9">
      <c r="A101" s="7" t="str">
        <f>IF(子基金及业绩基准周净值!A101="","",子基金及业绩基准周净值!A101)</f>
        <v/>
      </c>
      <c r="B101" s="1" t="str">
        <f>IF(A101="","",VLOOKUP($A101,子基金及业绩基准周净值!$A:$F,2))</f>
        <v/>
      </c>
      <c r="C101" s="30" t="str">
        <f t="shared" si="5"/>
        <v/>
      </c>
      <c r="D101" s="27" t="str">
        <f>IF(A101="","",C101-(子基金及业绩基准周净值!AH101/子基金及业绩基准周净值!AH100-1))</f>
        <v/>
      </c>
      <c r="E101" s="33" t="s">
        <v>317</v>
      </c>
      <c r="F101" s="17" t="str">
        <f>IF(A101="","",MAX(FREQUENCY(IF($D$3:D101&lt;0,ROW($D$3:D101)),IF($D$3:D101&gt;=0,ROW($D$3:D101)))))</f>
        <v/>
      </c>
      <c r="G101" s="14" t="str">
        <f t="shared" ref="G101:G127" si="9">IF(A101="","",IF(C101&lt;-3%,"是","否"))</f>
        <v/>
      </c>
      <c r="H101" s="14" t="str">
        <f t="shared" si="7"/>
        <v/>
      </c>
      <c r="I101" s="15" t="str">
        <f t="shared" si="8"/>
        <v/>
      </c>
    </row>
    <row r="102" spans="1:9">
      <c r="A102" s="7" t="str">
        <f>IF(子基金及业绩基准周净值!A102="","",子基金及业绩基准周净值!A102)</f>
        <v/>
      </c>
      <c r="B102" s="1" t="str">
        <f>IF(A102="","",VLOOKUP($A102,子基金及业绩基准周净值!$A:$F,2))</f>
        <v/>
      </c>
      <c r="C102" s="30" t="str">
        <f t="shared" si="5"/>
        <v/>
      </c>
      <c r="D102" s="27" t="str">
        <f>IF(A102="","",C102-(子基金及业绩基准周净值!AH102/子基金及业绩基准周净值!AH101-1))</f>
        <v/>
      </c>
      <c r="E102" s="33" t="s">
        <v>317</v>
      </c>
      <c r="F102" s="17" t="str">
        <f>IF(A102="","",MAX(FREQUENCY(IF($D$3:D102&lt;0,ROW($D$3:D102)),IF($D$3:D102&gt;=0,ROW($D$3:D102)))))</f>
        <v/>
      </c>
      <c r="G102" s="14" t="str">
        <f t="shared" si="9"/>
        <v/>
      </c>
      <c r="H102" s="14" t="str">
        <f t="shared" si="7"/>
        <v/>
      </c>
      <c r="I102" s="15" t="str">
        <f t="shared" si="8"/>
        <v/>
      </c>
    </row>
    <row r="103" spans="1:9">
      <c r="A103" s="7" t="str">
        <f>IF(子基金及业绩基准周净值!A103="","",子基金及业绩基准周净值!A103)</f>
        <v/>
      </c>
      <c r="B103" s="1" t="str">
        <f>IF(A103="","",VLOOKUP($A103,子基金及业绩基准周净值!$A:$F,2))</f>
        <v/>
      </c>
      <c r="C103" s="30" t="str">
        <f t="shared" si="5"/>
        <v/>
      </c>
      <c r="D103" s="27" t="str">
        <f>IF(A103="","",C103-(子基金及业绩基准周净值!AH103/子基金及业绩基准周净值!AH102-1))</f>
        <v/>
      </c>
      <c r="E103" s="33" t="s">
        <v>317</v>
      </c>
      <c r="F103" s="17" t="str">
        <f>IF(A103="","",MAX(FREQUENCY(IF($D$3:D103&lt;0,ROW($D$3:D103)),IF($D$3:D103&gt;=0,ROW($D$3:D103)))))</f>
        <v/>
      </c>
      <c r="G103" s="14" t="str">
        <f t="shared" si="9"/>
        <v/>
      </c>
      <c r="H103" s="14" t="str">
        <f t="shared" si="7"/>
        <v/>
      </c>
      <c r="I103" s="15" t="str">
        <f t="shared" si="8"/>
        <v/>
      </c>
    </row>
    <row r="104" spans="1:9">
      <c r="A104" s="7" t="str">
        <f>IF(子基金及业绩基准周净值!A104="","",子基金及业绩基准周净值!A104)</f>
        <v/>
      </c>
      <c r="B104" s="1" t="str">
        <f>IF(A104="","",VLOOKUP($A104,子基金及业绩基准周净值!$A:$F,2))</f>
        <v/>
      </c>
      <c r="C104" s="30" t="str">
        <f t="shared" si="5"/>
        <v/>
      </c>
      <c r="D104" s="27" t="str">
        <f>IF(A104="","",C104-(子基金及业绩基准周净值!AH104/子基金及业绩基准周净值!AH103-1))</f>
        <v/>
      </c>
      <c r="E104" s="33" t="s">
        <v>317</v>
      </c>
      <c r="F104" s="17" t="str">
        <f>IF(A104="","",MAX(FREQUENCY(IF($D$3:D104&lt;0,ROW($D$3:D104)),IF($D$3:D104&gt;=0,ROW($D$3:D104)))))</f>
        <v/>
      </c>
      <c r="G104" s="14" t="str">
        <f t="shared" si="9"/>
        <v/>
      </c>
      <c r="H104" s="14" t="str">
        <f t="shared" si="7"/>
        <v/>
      </c>
      <c r="I104" s="15" t="str">
        <f t="shared" si="8"/>
        <v/>
      </c>
    </row>
    <row r="105" spans="1:9">
      <c r="A105" s="7" t="str">
        <f>IF(子基金及业绩基准周净值!A105="","",子基金及业绩基准周净值!A105)</f>
        <v/>
      </c>
      <c r="B105" s="1" t="str">
        <f>IF(A105="","",VLOOKUP($A105,子基金及业绩基准周净值!$A:$F,2))</f>
        <v/>
      </c>
      <c r="C105" s="30" t="str">
        <f t="shared" si="5"/>
        <v/>
      </c>
      <c r="D105" s="27" t="str">
        <f>IF(A105="","",C105-(子基金及业绩基准周净值!AH105/子基金及业绩基准周净值!AH104-1))</f>
        <v/>
      </c>
      <c r="E105" s="33" t="s">
        <v>317</v>
      </c>
      <c r="F105" s="17" t="str">
        <f>IF(A105="","",MAX(FREQUENCY(IF($D$3:D105&lt;0,ROW($D$3:D105)),IF($D$3:D105&gt;=0,ROW($D$3:D105)))))</f>
        <v/>
      </c>
      <c r="G105" s="14" t="str">
        <f t="shared" si="9"/>
        <v/>
      </c>
      <c r="H105" s="14" t="str">
        <f t="shared" si="7"/>
        <v/>
      </c>
      <c r="I105" s="15" t="str">
        <f t="shared" si="8"/>
        <v/>
      </c>
    </row>
    <row r="106" spans="1:9">
      <c r="A106" s="7" t="str">
        <f>IF(子基金及业绩基准周净值!A106="","",子基金及业绩基准周净值!A106)</f>
        <v/>
      </c>
      <c r="B106" s="1" t="str">
        <f>IF(A106="","",VLOOKUP($A106,子基金及业绩基准周净值!$A:$F,2))</f>
        <v/>
      </c>
      <c r="C106" s="30" t="str">
        <f t="shared" si="5"/>
        <v/>
      </c>
      <c r="D106" s="27" t="str">
        <f>IF(A106="","",C106-(子基金及业绩基准周净值!AH106/子基金及业绩基准周净值!AH105-1))</f>
        <v/>
      </c>
      <c r="E106" s="33" t="s">
        <v>317</v>
      </c>
      <c r="F106" s="17" t="str">
        <f>IF(A106="","",MAX(FREQUENCY(IF($D$3:D106&lt;0,ROW($D$3:D106)),IF($D$3:D106&gt;=0,ROW($D$3:D106)))))</f>
        <v/>
      </c>
      <c r="G106" s="14" t="str">
        <f t="shared" si="9"/>
        <v/>
      </c>
      <c r="H106" s="14" t="str">
        <f t="shared" si="7"/>
        <v/>
      </c>
      <c r="I106" s="15" t="str">
        <f t="shared" si="8"/>
        <v/>
      </c>
    </row>
    <row r="107" spans="1:9">
      <c r="A107" s="7" t="str">
        <f>IF(子基金及业绩基准周净值!A107="","",子基金及业绩基准周净值!A107)</f>
        <v/>
      </c>
      <c r="B107" s="1" t="str">
        <f>IF(A107="","",VLOOKUP($A107,子基金及业绩基准周净值!$A:$F,2))</f>
        <v/>
      </c>
      <c r="C107" s="30" t="str">
        <f t="shared" si="5"/>
        <v/>
      </c>
      <c r="D107" s="27" t="str">
        <f>IF(A107="","",C107-(子基金及业绩基准周净值!AH107/子基金及业绩基准周净值!AH106-1))</f>
        <v/>
      </c>
      <c r="E107" s="33" t="s">
        <v>317</v>
      </c>
      <c r="F107" s="17" t="str">
        <f>IF(A107="","",MAX(FREQUENCY(IF($D$3:D107&lt;0,ROW($D$3:D107)),IF($D$3:D107&gt;=0,ROW($D$3:D107)))))</f>
        <v/>
      </c>
      <c r="G107" s="14" t="str">
        <f t="shared" si="9"/>
        <v/>
      </c>
      <c r="H107" s="14" t="str">
        <f t="shared" si="7"/>
        <v/>
      </c>
      <c r="I107" s="15" t="str">
        <f t="shared" si="8"/>
        <v/>
      </c>
    </row>
    <row r="108" spans="1:9">
      <c r="A108" s="7" t="str">
        <f>IF(子基金及业绩基准周净值!A108="","",子基金及业绩基准周净值!A108)</f>
        <v/>
      </c>
      <c r="B108" s="1" t="str">
        <f>IF(A108="","",VLOOKUP($A108,子基金及业绩基准周净值!$A:$F,2))</f>
        <v/>
      </c>
      <c r="C108" s="30" t="str">
        <f t="shared" si="5"/>
        <v/>
      </c>
      <c r="D108" s="27" t="str">
        <f>IF(A108="","",C108-(子基金及业绩基准周净值!AH108/子基金及业绩基准周净值!AH107-1))</f>
        <v/>
      </c>
      <c r="E108" s="33" t="s">
        <v>317</v>
      </c>
      <c r="F108" s="17" t="str">
        <f>IF(A108="","",MAX(FREQUENCY(IF($D$3:D108&lt;0,ROW($D$3:D108)),IF($D$3:D108&gt;=0,ROW($D$3:D108)))))</f>
        <v/>
      </c>
      <c r="G108" s="14" t="str">
        <f t="shared" si="9"/>
        <v/>
      </c>
      <c r="H108" s="14" t="str">
        <f t="shared" si="7"/>
        <v/>
      </c>
      <c r="I108" s="15" t="str">
        <f t="shared" si="8"/>
        <v/>
      </c>
    </row>
    <row r="109" spans="1:9">
      <c r="A109" s="7" t="str">
        <f>IF(子基金及业绩基准周净值!A109="","",子基金及业绩基准周净值!A109)</f>
        <v/>
      </c>
      <c r="B109" s="1" t="str">
        <f>IF(A109="","",VLOOKUP($A109,子基金及业绩基准周净值!$A:$F,2))</f>
        <v/>
      </c>
      <c r="C109" s="30" t="str">
        <f t="shared" si="5"/>
        <v/>
      </c>
      <c r="D109" s="27" t="str">
        <f>IF(A109="","",C109-(子基金及业绩基准周净值!AH109/子基金及业绩基准周净值!AH108-1))</f>
        <v/>
      </c>
      <c r="E109" s="33" t="s">
        <v>317</v>
      </c>
      <c r="F109" s="17" t="str">
        <f>IF(A109="","",MAX(FREQUENCY(IF($D$3:D109&lt;0,ROW($D$3:D109)),IF($D$3:D109&gt;=0,ROW($D$3:D109)))))</f>
        <v/>
      </c>
      <c r="G109" s="14" t="str">
        <f t="shared" si="9"/>
        <v/>
      </c>
      <c r="H109" s="14" t="str">
        <f t="shared" si="7"/>
        <v/>
      </c>
      <c r="I109" s="15" t="str">
        <f t="shared" si="8"/>
        <v/>
      </c>
    </row>
    <row r="110" spans="1:9">
      <c r="A110" s="7" t="str">
        <f>IF(子基金及业绩基准周净值!A110="","",子基金及业绩基准周净值!A110)</f>
        <v/>
      </c>
      <c r="B110" s="1" t="str">
        <f>IF(A110="","",VLOOKUP($A110,子基金及业绩基准周净值!$A:$F,2))</f>
        <v/>
      </c>
      <c r="C110" s="30" t="str">
        <f t="shared" si="5"/>
        <v/>
      </c>
      <c r="D110" s="27" t="str">
        <f>IF(A110="","",C110-(子基金及业绩基准周净值!AH110/子基金及业绩基准周净值!AH109-1))</f>
        <v/>
      </c>
      <c r="E110" s="33" t="s">
        <v>317</v>
      </c>
      <c r="F110" s="17" t="str">
        <f>IF(A110="","",MAX(FREQUENCY(IF($D$3:D110&lt;0,ROW($D$3:D110)),IF($D$3:D110&gt;=0,ROW($D$3:D110)))))</f>
        <v/>
      </c>
      <c r="G110" s="14" t="str">
        <f t="shared" si="9"/>
        <v/>
      </c>
      <c r="H110" s="14" t="str">
        <f t="shared" si="7"/>
        <v/>
      </c>
      <c r="I110" s="15" t="str">
        <f t="shared" si="8"/>
        <v/>
      </c>
    </row>
    <row r="111" spans="1:9">
      <c r="A111" s="7" t="str">
        <f>IF(子基金及业绩基准周净值!A111="","",子基金及业绩基准周净值!A111)</f>
        <v/>
      </c>
      <c r="B111" s="1" t="str">
        <f>IF(A111="","",VLOOKUP($A111,子基金及业绩基准周净值!$A:$F,2))</f>
        <v/>
      </c>
      <c r="C111" s="30" t="str">
        <f t="shared" si="5"/>
        <v/>
      </c>
      <c r="D111" s="27" t="str">
        <f>IF(A111="","",C111-(子基金及业绩基准周净值!AH111/子基金及业绩基准周净值!AH110-1))</f>
        <v/>
      </c>
      <c r="E111" s="33" t="s">
        <v>317</v>
      </c>
      <c r="F111" s="17" t="str">
        <f>IF(A111="","",MAX(FREQUENCY(IF($D$3:D111&lt;0,ROW($D$3:D111)),IF($D$3:D111&gt;=0,ROW($D$3:D111)))))</f>
        <v/>
      </c>
      <c r="G111" s="14" t="str">
        <f t="shared" si="9"/>
        <v/>
      </c>
      <c r="H111" s="14" t="str">
        <f t="shared" si="7"/>
        <v/>
      </c>
      <c r="I111" s="15" t="str">
        <f t="shared" si="8"/>
        <v/>
      </c>
    </row>
    <row r="112" spans="1:9">
      <c r="A112" s="7" t="str">
        <f>IF(子基金及业绩基准周净值!A112="","",子基金及业绩基准周净值!A112)</f>
        <v/>
      </c>
      <c r="B112" s="1" t="str">
        <f>IF(A112="","",VLOOKUP($A112,子基金及业绩基准周净值!$A:$F,2))</f>
        <v/>
      </c>
      <c r="C112" s="30" t="str">
        <f t="shared" si="5"/>
        <v/>
      </c>
      <c r="D112" s="27" t="str">
        <f>IF(A112="","",C112-(子基金及业绩基准周净值!AH112/子基金及业绩基准周净值!AH111-1))</f>
        <v/>
      </c>
      <c r="E112" s="33" t="s">
        <v>317</v>
      </c>
      <c r="F112" s="17" t="str">
        <f>IF(A112="","",MAX(FREQUENCY(IF($D$3:D112&lt;0,ROW($D$3:D112)),IF($D$3:D112&gt;=0,ROW($D$3:D112)))))</f>
        <v/>
      </c>
      <c r="G112" s="14" t="str">
        <f t="shared" si="9"/>
        <v/>
      </c>
      <c r="H112" s="14" t="str">
        <f t="shared" si="7"/>
        <v/>
      </c>
      <c r="I112" s="15" t="str">
        <f t="shared" si="8"/>
        <v/>
      </c>
    </row>
    <row r="113" spans="1:9">
      <c r="A113" s="7" t="str">
        <f>IF(子基金及业绩基准周净值!A113="","",子基金及业绩基准周净值!A113)</f>
        <v/>
      </c>
      <c r="B113" s="1" t="str">
        <f>IF(A113="","",VLOOKUP($A113,子基金及业绩基准周净值!$A:$F,2))</f>
        <v/>
      </c>
      <c r="C113" s="30" t="str">
        <f t="shared" si="5"/>
        <v/>
      </c>
      <c r="D113" s="27" t="str">
        <f>IF(A113="","",C113-(子基金及业绩基准周净值!AH113/子基金及业绩基准周净值!AH112-1))</f>
        <v/>
      </c>
      <c r="E113" s="33" t="s">
        <v>317</v>
      </c>
      <c r="F113" s="17" t="str">
        <f>IF(A113="","",MAX(FREQUENCY(IF($D$3:D113&lt;0,ROW($D$3:D113)),IF($D$3:D113&gt;=0,ROW($D$3:D113)))))</f>
        <v/>
      </c>
      <c r="G113" s="14" t="str">
        <f t="shared" si="9"/>
        <v/>
      </c>
      <c r="H113" s="14" t="str">
        <f t="shared" si="7"/>
        <v/>
      </c>
      <c r="I113" s="15" t="str">
        <f t="shared" si="8"/>
        <v/>
      </c>
    </row>
    <row r="114" spans="1:9">
      <c r="A114" s="7" t="str">
        <f>IF(子基金及业绩基准周净值!A114="","",子基金及业绩基准周净值!A114)</f>
        <v/>
      </c>
      <c r="B114" s="1" t="str">
        <f>IF(A114="","",VLOOKUP($A114,子基金及业绩基准周净值!$A:$F,2))</f>
        <v/>
      </c>
      <c r="C114" s="30" t="str">
        <f t="shared" si="5"/>
        <v/>
      </c>
      <c r="D114" s="27" t="str">
        <f>IF(A114="","",C114-(子基金及业绩基准周净值!AH114/子基金及业绩基准周净值!AH113-1))</f>
        <v/>
      </c>
      <c r="E114" s="33" t="s">
        <v>317</v>
      </c>
      <c r="F114" s="17" t="str">
        <f>IF(A114="","",MAX(FREQUENCY(IF($D$3:D114&lt;0,ROW($D$3:D114)),IF($D$3:D114&gt;=0,ROW($D$3:D114)))))</f>
        <v/>
      </c>
      <c r="G114" s="14" t="str">
        <f t="shared" si="9"/>
        <v/>
      </c>
      <c r="H114" s="14" t="str">
        <f t="shared" si="7"/>
        <v/>
      </c>
      <c r="I114" s="15" t="str">
        <f t="shared" si="8"/>
        <v/>
      </c>
    </row>
    <row r="115" spans="1:9">
      <c r="A115" s="7" t="str">
        <f>IF(子基金及业绩基准周净值!A115="","",子基金及业绩基准周净值!A115)</f>
        <v/>
      </c>
      <c r="B115" s="1" t="str">
        <f>IF(A115="","",VLOOKUP($A115,子基金及业绩基准周净值!$A:$F,2))</f>
        <v/>
      </c>
      <c r="C115" s="30" t="str">
        <f t="shared" si="5"/>
        <v/>
      </c>
      <c r="D115" s="27" t="str">
        <f>IF(A115="","",C115-(子基金及业绩基准周净值!AH115/子基金及业绩基准周净值!AH114-1))</f>
        <v/>
      </c>
      <c r="E115" s="33" t="s">
        <v>317</v>
      </c>
      <c r="F115" s="17" t="str">
        <f>IF(A115="","",MAX(FREQUENCY(IF($D$3:D115&lt;0,ROW($D$3:D115)),IF($D$3:D115&gt;=0,ROW($D$3:D115)))))</f>
        <v/>
      </c>
      <c r="G115" s="14" t="str">
        <f t="shared" si="9"/>
        <v/>
      </c>
      <c r="H115" s="14" t="str">
        <f t="shared" si="7"/>
        <v/>
      </c>
      <c r="I115" s="15" t="str">
        <f t="shared" si="8"/>
        <v/>
      </c>
    </row>
    <row r="116" spans="1:9">
      <c r="A116" s="7" t="str">
        <f>IF(子基金及业绩基准周净值!A116="","",子基金及业绩基准周净值!A116)</f>
        <v/>
      </c>
      <c r="B116" s="1" t="str">
        <f>IF(A116="","",VLOOKUP($A116,子基金及业绩基准周净值!$A:$F,2))</f>
        <v/>
      </c>
      <c r="C116" s="30" t="str">
        <f t="shared" si="5"/>
        <v/>
      </c>
      <c r="D116" s="27" t="str">
        <f>IF(A116="","",C116-(子基金及业绩基准周净值!AH116/子基金及业绩基准周净值!AH115-1))</f>
        <v/>
      </c>
      <c r="E116" s="33" t="s">
        <v>317</v>
      </c>
      <c r="F116" s="17" t="str">
        <f>IF(A116="","",MAX(FREQUENCY(IF($D$3:D116&lt;0,ROW($D$3:D116)),IF($D$3:D116&gt;=0,ROW($D$3:D116)))))</f>
        <v/>
      </c>
      <c r="G116" s="14" t="str">
        <f t="shared" si="9"/>
        <v/>
      </c>
      <c r="H116" s="14" t="str">
        <f t="shared" si="7"/>
        <v/>
      </c>
      <c r="I116" s="15" t="str">
        <f t="shared" si="8"/>
        <v/>
      </c>
    </row>
    <row r="117" spans="1:9">
      <c r="A117" s="7" t="str">
        <f>IF(子基金及业绩基准周净值!A117="","",子基金及业绩基准周净值!A117)</f>
        <v/>
      </c>
      <c r="B117" s="1" t="str">
        <f>IF(A117="","",VLOOKUP($A117,子基金及业绩基准周净值!$A:$F,2))</f>
        <v/>
      </c>
      <c r="C117" s="30" t="str">
        <f t="shared" si="5"/>
        <v/>
      </c>
      <c r="D117" s="27" t="str">
        <f>IF(A117="","",C117-(子基金及业绩基准周净值!AH117/子基金及业绩基准周净值!AH116-1))</f>
        <v/>
      </c>
      <c r="E117" s="33" t="s">
        <v>317</v>
      </c>
      <c r="F117" s="17" t="str">
        <f>IF(A117="","",MAX(FREQUENCY(IF($D$3:D117&lt;0,ROW($D$3:D117)),IF($D$3:D117&gt;=0,ROW($D$3:D117)))))</f>
        <v/>
      </c>
      <c r="G117" s="14" t="str">
        <f t="shared" si="9"/>
        <v/>
      </c>
      <c r="H117" s="14" t="str">
        <f t="shared" si="7"/>
        <v/>
      </c>
      <c r="I117" s="15" t="str">
        <f t="shared" si="8"/>
        <v/>
      </c>
    </row>
    <row r="118" spans="1:9">
      <c r="A118" s="7" t="str">
        <f>IF(子基金及业绩基准周净值!A118="","",子基金及业绩基准周净值!A118)</f>
        <v/>
      </c>
      <c r="B118" s="1" t="str">
        <f>IF(A118="","",VLOOKUP($A118,子基金及业绩基准周净值!$A:$F,2))</f>
        <v/>
      </c>
      <c r="C118" s="30" t="str">
        <f t="shared" si="5"/>
        <v/>
      </c>
      <c r="D118" s="27" t="str">
        <f>IF(A118="","",C118-(子基金及业绩基准周净值!AH118/子基金及业绩基准周净值!AH117-1))</f>
        <v/>
      </c>
      <c r="E118" s="33" t="s">
        <v>317</v>
      </c>
      <c r="F118" s="17" t="str">
        <f>IF(A118="","",MAX(FREQUENCY(IF($D$3:D118&lt;0,ROW($D$3:D118)),IF($D$3:D118&gt;=0,ROW($D$3:D118)))))</f>
        <v/>
      </c>
      <c r="G118" s="14" t="str">
        <f t="shared" si="9"/>
        <v/>
      </c>
      <c r="H118" s="14" t="str">
        <f t="shared" si="7"/>
        <v/>
      </c>
      <c r="I118" s="15" t="str">
        <f t="shared" si="8"/>
        <v/>
      </c>
    </row>
    <row r="119" spans="1:9">
      <c r="A119" s="7" t="str">
        <f>IF(子基金及业绩基准周净值!A119="","",子基金及业绩基准周净值!A119)</f>
        <v/>
      </c>
      <c r="B119" s="1" t="str">
        <f>IF(A119="","",VLOOKUP($A119,子基金及业绩基准周净值!$A:$F,2))</f>
        <v/>
      </c>
      <c r="C119" s="30" t="str">
        <f t="shared" si="5"/>
        <v/>
      </c>
      <c r="D119" s="27" t="str">
        <f>IF(A119="","",C119-(子基金及业绩基准周净值!AH119/子基金及业绩基准周净值!AH118-1))</f>
        <v/>
      </c>
      <c r="E119" s="33" t="s">
        <v>317</v>
      </c>
      <c r="F119" s="17" t="str">
        <f>IF(A119="","",MAX(FREQUENCY(IF($D$3:D119&lt;0,ROW($D$3:D119)),IF($D$3:D119&gt;=0,ROW($D$3:D119)))))</f>
        <v/>
      </c>
      <c r="G119" s="14" t="str">
        <f t="shared" si="9"/>
        <v/>
      </c>
      <c r="H119" s="14" t="str">
        <f t="shared" si="7"/>
        <v/>
      </c>
      <c r="I119" s="15" t="str">
        <f t="shared" si="8"/>
        <v/>
      </c>
    </row>
    <row r="120" spans="1:9">
      <c r="A120" s="7" t="str">
        <f>IF(子基金及业绩基准周净值!A120="","",子基金及业绩基准周净值!A120)</f>
        <v/>
      </c>
      <c r="B120" s="1" t="str">
        <f>IF(A120="","",VLOOKUP($A120,子基金及业绩基准周净值!$A:$F,2))</f>
        <v/>
      </c>
      <c r="C120" s="30" t="str">
        <f t="shared" si="5"/>
        <v/>
      </c>
      <c r="D120" s="27" t="str">
        <f>IF(A120="","",C120-(子基金及业绩基准周净值!AH120/子基金及业绩基准周净值!AH119-1))</f>
        <v/>
      </c>
      <c r="E120" s="33" t="s">
        <v>317</v>
      </c>
      <c r="F120" s="17" t="str">
        <f>IF(A120="","",MAX(FREQUENCY(IF($D$3:D120&lt;0,ROW($D$3:D120)),IF($D$3:D120&gt;=0,ROW($D$3:D120)))))</f>
        <v/>
      </c>
      <c r="G120" s="14" t="str">
        <f t="shared" si="9"/>
        <v/>
      </c>
      <c r="H120" s="14" t="str">
        <f t="shared" si="7"/>
        <v/>
      </c>
      <c r="I120" s="15" t="str">
        <f t="shared" si="8"/>
        <v/>
      </c>
    </row>
    <row r="121" spans="1:9">
      <c r="A121" s="7" t="str">
        <f>IF(子基金及业绩基准周净值!A121="","",子基金及业绩基准周净值!A121)</f>
        <v/>
      </c>
      <c r="B121" s="1" t="str">
        <f>IF(A121="","",VLOOKUP($A121,子基金及业绩基准周净值!$A:$F,2))</f>
        <v/>
      </c>
      <c r="C121" s="30" t="str">
        <f t="shared" si="5"/>
        <v/>
      </c>
      <c r="D121" s="27" t="str">
        <f>IF(A121="","",C121-(子基金及业绩基准周净值!AH121/子基金及业绩基准周净值!AH120-1))</f>
        <v/>
      </c>
      <c r="E121" s="33" t="s">
        <v>317</v>
      </c>
      <c r="F121" s="17" t="str">
        <f>IF(A121="","",MAX(FREQUENCY(IF($D$3:D121&lt;0,ROW($D$3:D121)),IF($D$3:D121&gt;=0,ROW($D$3:D121)))))</f>
        <v/>
      </c>
      <c r="G121" s="14" t="str">
        <f t="shared" si="9"/>
        <v/>
      </c>
      <c r="H121" s="14" t="str">
        <f t="shared" si="7"/>
        <v/>
      </c>
      <c r="I121" s="15" t="str">
        <f t="shared" si="8"/>
        <v/>
      </c>
    </row>
    <row r="122" spans="1:9">
      <c r="A122" s="7" t="str">
        <f>IF(子基金及业绩基准周净值!A122="","",子基金及业绩基准周净值!A122)</f>
        <v/>
      </c>
      <c r="B122" s="1" t="str">
        <f>IF(A122="","",VLOOKUP($A122,子基金及业绩基准周净值!$A:$F,2))</f>
        <v/>
      </c>
      <c r="C122" s="30" t="str">
        <f t="shared" si="5"/>
        <v/>
      </c>
      <c r="D122" s="27" t="str">
        <f>IF(A122="","",C122-(子基金及业绩基准周净值!AH122/子基金及业绩基准周净值!AH121-1))</f>
        <v/>
      </c>
      <c r="E122" s="33" t="s">
        <v>317</v>
      </c>
      <c r="F122" s="17" t="str">
        <f>IF(A122="","",MAX(FREQUENCY(IF($D$3:D122&lt;0,ROW($D$3:D122)),IF($D$3:D122&gt;=0,ROW($D$3:D122)))))</f>
        <v/>
      </c>
      <c r="G122" s="14" t="str">
        <f t="shared" si="9"/>
        <v/>
      </c>
      <c r="H122" s="14" t="str">
        <f t="shared" si="7"/>
        <v/>
      </c>
      <c r="I122" s="15" t="str">
        <f t="shared" si="8"/>
        <v/>
      </c>
    </row>
    <row r="123" spans="1:9">
      <c r="A123" s="7" t="str">
        <f>IF(子基金及业绩基准周净值!A123="","",子基金及业绩基准周净值!A123)</f>
        <v/>
      </c>
      <c r="B123" s="1" t="str">
        <f>IF(A123="","",VLOOKUP($A123,子基金及业绩基准周净值!$A:$F,2))</f>
        <v/>
      </c>
      <c r="C123" s="30" t="str">
        <f t="shared" si="5"/>
        <v/>
      </c>
      <c r="D123" s="27" t="str">
        <f>IF(A123="","",C123-(子基金及业绩基准周净值!AH123/子基金及业绩基准周净值!AH122-1))</f>
        <v/>
      </c>
      <c r="E123" s="33" t="s">
        <v>317</v>
      </c>
      <c r="F123" s="17" t="str">
        <f>IF(A123="","",MAX(FREQUENCY(IF($D$3:D123&lt;0,ROW($D$3:D123)),IF($D$3:D123&gt;=0,ROW($D$3:D123)))))</f>
        <v/>
      </c>
      <c r="G123" s="14" t="str">
        <f t="shared" si="9"/>
        <v/>
      </c>
      <c r="H123" s="14" t="str">
        <f t="shared" si="7"/>
        <v/>
      </c>
      <c r="I123" s="15" t="str">
        <f t="shared" si="8"/>
        <v/>
      </c>
    </row>
    <row r="124" spans="1:9">
      <c r="A124" s="7" t="str">
        <f>IF(子基金及业绩基准周净值!A124="","",子基金及业绩基准周净值!A124)</f>
        <v/>
      </c>
      <c r="B124" s="1" t="str">
        <f>IF(A124="","",VLOOKUP($A124,子基金及业绩基准周净值!$A:$F,2))</f>
        <v/>
      </c>
      <c r="C124" s="30" t="str">
        <f t="shared" si="5"/>
        <v/>
      </c>
      <c r="D124" s="27" t="str">
        <f>IF(A124="","",C124-(子基金及业绩基准周净值!AH124/子基金及业绩基准周净值!AH123-1))</f>
        <v/>
      </c>
      <c r="E124" s="33" t="s">
        <v>317</v>
      </c>
      <c r="F124" s="17" t="str">
        <f>IF(A124="","",MAX(FREQUENCY(IF($D$3:D124&lt;0,ROW($D$3:D124)),IF($D$3:D124&gt;=0,ROW($D$3:D124)))))</f>
        <v/>
      </c>
      <c r="G124" s="14" t="str">
        <f t="shared" si="9"/>
        <v/>
      </c>
      <c r="H124" s="14" t="str">
        <f t="shared" si="7"/>
        <v/>
      </c>
      <c r="I124" s="15" t="str">
        <f t="shared" si="8"/>
        <v/>
      </c>
    </row>
    <row r="125" spans="1:9">
      <c r="A125" s="7" t="str">
        <f>IF(子基金及业绩基准周净值!A125="","",子基金及业绩基准周净值!A125)</f>
        <v/>
      </c>
      <c r="B125" s="1" t="str">
        <f>IF(A125="","",VLOOKUP($A125,子基金及业绩基准周净值!$A:$F,2))</f>
        <v/>
      </c>
      <c r="C125" s="30" t="str">
        <f t="shared" si="5"/>
        <v/>
      </c>
      <c r="D125" s="27" t="str">
        <f>IF(A125="","",C125-(子基金及业绩基准周净值!AH125/子基金及业绩基准周净值!AH124-1))</f>
        <v/>
      </c>
      <c r="E125" s="33" t="s">
        <v>317</v>
      </c>
      <c r="F125" s="17" t="str">
        <f>IF(A125="","",MAX(FREQUENCY(IF($D$3:D125&lt;0,ROW($D$3:D125)),IF($D$3:D125&gt;=0,ROW($D$3:D125)))))</f>
        <v/>
      </c>
      <c r="G125" s="14" t="str">
        <f t="shared" si="9"/>
        <v/>
      </c>
      <c r="H125" s="14" t="str">
        <f t="shared" si="7"/>
        <v/>
      </c>
      <c r="I125" s="15" t="str">
        <f t="shared" si="8"/>
        <v/>
      </c>
    </row>
    <row r="126" spans="1:9">
      <c r="A126" s="7" t="str">
        <f>IF(子基金及业绩基准周净值!A126="","",子基金及业绩基准周净值!A126)</f>
        <v/>
      </c>
      <c r="B126" s="1" t="str">
        <f>IF(A126="","",VLOOKUP($A126,子基金及业绩基准周净值!$A:$F,2))</f>
        <v/>
      </c>
      <c r="C126" s="30" t="str">
        <f t="shared" si="5"/>
        <v/>
      </c>
      <c r="D126" s="27" t="str">
        <f>IF(A126="","",C126-(子基金及业绩基准周净值!AH126/子基金及业绩基准周净值!AH125-1))</f>
        <v/>
      </c>
      <c r="E126" s="33" t="s">
        <v>317</v>
      </c>
      <c r="F126" s="17" t="str">
        <f>IF(A126="","",MAX(FREQUENCY(IF($D$3:D126&lt;0,ROW($D$3:D126)),IF($D$3:D126&gt;=0,ROW($D$3:D126)))))</f>
        <v/>
      </c>
      <c r="G126" s="14" t="str">
        <f t="shared" si="9"/>
        <v/>
      </c>
      <c r="H126" s="14" t="str">
        <f t="shared" si="7"/>
        <v/>
      </c>
      <c r="I126" s="15" t="str">
        <f t="shared" si="8"/>
        <v/>
      </c>
    </row>
    <row r="127" spans="1:9">
      <c r="A127" s="7" t="str">
        <f>IF(子基金及业绩基准周净值!A127="","",子基金及业绩基准周净值!A127)</f>
        <v/>
      </c>
      <c r="B127" s="1" t="str">
        <f>IF(A127="","",VLOOKUP($A127,子基金及业绩基准周净值!$A:$F,2))</f>
        <v/>
      </c>
      <c r="C127" s="30" t="str">
        <f t="shared" si="5"/>
        <v/>
      </c>
      <c r="D127" s="27" t="str">
        <f>IF(A127="","",C127-(子基金及业绩基准周净值!AH127/子基金及业绩基准周净值!AH126-1))</f>
        <v/>
      </c>
      <c r="E127" s="33" t="s">
        <v>317</v>
      </c>
      <c r="F127" s="17" t="str">
        <f>IF(A127="","",MAX(FREQUENCY(IF($D$3:D127&lt;0,ROW($D$3:D127)),IF($D$3:D127&gt;=0,ROW($D$3:D127)))))</f>
        <v/>
      </c>
      <c r="G127" s="14" t="str">
        <f t="shared" si="9"/>
        <v/>
      </c>
      <c r="H127" s="14" t="str">
        <f t="shared" si="7"/>
        <v/>
      </c>
      <c r="I127" s="15" t="str">
        <f t="shared" si="8"/>
        <v/>
      </c>
    </row>
  </sheetData>
  <conditionalFormatting sqref="I3:I127">
    <cfRule type="containsText" dxfId="0" priority="2" operator="between" text="是">
      <formula>NOT(ISERROR(SEARCH("是",I3)))</formula>
    </cfRule>
  </conditionalFormatting>
  <conditionalFormatting sqref="G$1:J$1048576">
    <cfRule type="containsText" dxfId="0" priority="1" operator="between" text="是">
      <formula>NOT(ISERROR(SEARCH("是",G1)))</formula>
    </cfRule>
  </conditionalFormatting>
  <pageMargins left="0.7" right="0.7" top="0.75" bottom="0.75" header="0.3" footer="0.3"/>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127"/>
  <sheetViews>
    <sheetView topLeftCell="A45" workbookViewId="0">
      <selection activeCell="G71" sqref="G71"/>
    </sheetView>
  </sheetViews>
  <sheetFormatPr defaultColWidth="9" defaultRowHeight="16.8"/>
  <cols>
    <col min="1" max="1" width="11.625" style="1" customWidth="1"/>
    <col min="2" max="2" width="14" style="1" customWidth="1"/>
    <col min="3" max="3" width="10.25" style="1" customWidth="1"/>
    <col min="4" max="4" width="10.25" style="3" customWidth="1"/>
    <col min="5"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3">
        <v>4</v>
      </c>
      <c r="F1" s="1">
        <v>5</v>
      </c>
      <c r="G1" s="1">
        <v>6</v>
      </c>
      <c r="H1" s="1">
        <v>7</v>
      </c>
      <c r="I1" s="1">
        <v>8</v>
      </c>
      <c r="J1" s="1">
        <v>9</v>
      </c>
      <c r="K1" s="1">
        <v>10</v>
      </c>
    </row>
    <row r="2" ht="16.5" customHeight="1" spans="1:11">
      <c r="A2" s="4" t="s">
        <v>2</v>
      </c>
      <c r="B2" s="4" t="s">
        <v>41</v>
      </c>
      <c r="C2" s="5" t="s">
        <v>310</v>
      </c>
      <c r="D2" s="6" t="s">
        <v>311</v>
      </c>
      <c r="F2" s="5" t="s">
        <v>22</v>
      </c>
      <c r="G2" s="10" t="s">
        <v>312</v>
      </c>
      <c r="H2" s="11" t="s">
        <v>313</v>
      </c>
      <c r="I2" s="11" t="s">
        <v>314</v>
      </c>
      <c r="J2" s="11" t="s">
        <v>315</v>
      </c>
      <c r="K2" s="5" t="s">
        <v>316</v>
      </c>
    </row>
    <row r="3" spans="1:9">
      <c r="A3" s="7">
        <f>IF(子基金及业绩基准周净值!A5="","",子基金及业绩基准周净值!A5)</f>
        <v>45478</v>
      </c>
      <c r="B3" s="1">
        <f>IF(A3="","",VLOOKUP($A3,子基金及业绩基准周净值!$A:$F,4))</f>
        <v>1.3759</v>
      </c>
      <c r="C3" s="8"/>
      <c r="F3" s="12"/>
      <c r="H3" s="14"/>
      <c r="I3" s="14"/>
    </row>
    <row r="4" spans="1:10">
      <c r="A4" s="7">
        <f>IF(子基金及业绩基准周净值!A6="","",子基金及业绩基准周净值!A6)</f>
        <v>45485</v>
      </c>
      <c r="B4" s="1">
        <f>IF(A4="","",VLOOKUP($A4,子基金及业绩基准周净值!$A:$F,4))</f>
        <v>1.3786</v>
      </c>
      <c r="C4" s="8">
        <f>IF(A4="","",(B4-B3)/B3)</f>
        <v>0.00196235191511022</v>
      </c>
      <c r="D4" s="9">
        <f>IF(A4="","",C4-(子基金及业绩基准周净值!AH6/子基金及业绩基准周净值!AH5-1))</f>
        <v>0.000787151452868151</v>
      </c>
      <c r="E4" s="12">
        <f>IF(A4="","",(MAX(B$3:B4)-B4)/MAX(B$3:B4))</f>
        <v>0</v>
      </c>
      <c r="F4" s="12">
        <f>IF(A4="","",MAX(E$4:E4))</f>
        <v>0</v>
      </c>
      <c r="G4" s="17">
        <v>0</v>
      </c>
      <c r="H4" s="14" t="str">
        <f>IF(B4="","",IF(C4&lt;-3%,"是","否"))</f>
        <v>否</v>
      </c>
      <c r="I4" s="14" t="str">
        <f>IF(A4="","",IF(F4&gt;5%,"是","否"))</f>
        <v>否</v>
      </c>
      <c r="J4" s="15" t="str">
        <f>IF(A4="","",IF(G4&gt;=4,"是","否"))</f>
        <v>否</v>
      </c>
    </row>
    <row r="5" spans="1:10">
      <c r="A5" s="7">
        <f>IF(子基金及业绩基准周净值!A7="","",子基金及业绩基准周净值!A7)</f>
        <v>45492</v>
      </c>
      <c r="B5" s="1">
        <f>IF(A5="","",VLOOKUP($A5,子基金及业绩基准周净值!$A:$F,4))</f>
        <v>1.3823</v>
      </c>
      <c r="C5" s="8">
        <f>IF(A5="","",(B5-B4)/B4)</f>
        <v>0.00268388219933268</v>
      </c>
      <c r="D5" s="9">
        <f>IF(A5="","",C5-(子基金及业绩基准周净值!AH7/子基金及业绩基准周净值!AH6-1))</f>
        <v>0.0035399841838638</v>
      </c>
      <c r="E5" s="12">
        <f>IF(A5="","",(MAX(B$3:B5)-B5)/MAX(B$3:B5))</f>
        <v>0</v>
      </c>
      <c r="F5" s="12">
        <f>IF(A5="","",MAX(E$4:E5))</f>
        <v>0</v>
      </c>
      <c r="G5" s="17">
        <v>0</v>
      </c>
      <c r="H5" s="14" t="str">
        <f t="shared" ref="H5:H36" si="0">IF(B5="","",IF(C5&lt;-3%,"是","否"))</f>
        <v>否</v>
      </c>
      <c r="I5" s="14" t="str">
        <f>IF(A5="","",IF(F5&gt;5%,"是","否"))</f>
        <v>否</v>
      </c>
      <c r="J5" s="15" t="str">
        <f t="shared" ref="J5:J68" si="1">IF(A5="","",IF(G5&gt;=4,"是","否"))</f>
        <v>否</v>
      </c>
    </row>
    <row r="6" spans="1:10">
      <c r="A6" s="7">
        <f>IF(子基金及业绩基准周净值!A8="","",子基金及业绩基准周净值!A8)</f>
        <v>45499</v>
      </c>
      <c r="B6" s="1">
        <f>IF(A6="","",VLOOKUP($A6,子基金及业绩基准周净值!$A:$F,4))</f>
        <v>1.3807</v>
      </c>
      <c r="C6" s="8">
        <f>IF(A6="","",(B6-B5)/B5)</f>
        <v>-0.00115749113795851</v>
      </c>
      <c r="D6" s="9">
        <f>IF(A6="","",C6-(子基金及业绩基准周净值!AH8/子基金及业绩基准周净值!AH7-1))</f>
        <v>0.00177632435619977</v>
      </c>
      <c r="E6" s="12">
        <f>IF(A6="","",(MAX(B$3:B6)-B6)/MAX(B$3:B6))</f>
        <v>0.00115749113795851</v>
      </c>
      <c r="F6" s="12">
        <f>IF(A6="","",MAX(E$4:E6))</f>
        <v>0.00115749113795851</v>
      </c>
      <c r="G6" s="17">
        <v>0</v>
      </c>
      <c r="H6" s="14" t="str">
        <f t="shared" si="0"/>
        <v>否</v>
      </c>
      <c r="I6" s="14" t="str">
        <f t="shared" ref="I6:I68" si="2">IF(A6="","",IF(F6&gt;5%,"是","否"))</f>
        <v>否</v>
      </c>
      <c r="J6" s="15" t="str">
        <f t="shared" si="1"/>
        <v>否</v>
      </c>
    </row>
    <row r="7" spans="1:10">
      <c r="A7" s="7">
        <f>IF(子基金及业绩基准周净值!A9="","",子基金及业绩基准周净值!A9)</f>
        <v>45506</v>
      </c>
      <c r="B7" s="1">
        <f>IF(A7="","",VLOOKUP($A7,子基金及业绩基准周净值!$A:$F,4))</f>
        <v>1.3806</v>
      </c>
      <c r="C7" s="8">
        <f t="shared" ref="C7:C69" si="3">IF(A7="","",(B7-B6)/B6)</f>
        <v>-7.24270297675013e-5</v>
      </c>
      <c r="D7" s="9">
        <f>IF(A7="","",C7-(子基金及业绩基准周净值!AH9/子基金及业绩基准周净值!AH8-1))</f>
        <v>-0.000177669263727081</v>
      </c>
      <c r="E7" s="12">
        <f>IF(A7="","",(MAX(B$3:B7)-B7)/MAX(B$3:B7))</f>
        <v>0.0012298343340809</v>
      </c>
      <c r="F7" s="12">
        <f>IF(A7="","",MAX(E$4:E7))</f>
        <v>0.0012298343340809</v>
      </c>
      <c r="G7" s="17">
        <v>1</v>
      </c>
      <c r="H7" s="14" t="str">
        <f t="shared" si="0"/>
        <v>否</v>
      </c>
      <c r="I7" s="14" t="str">
        <f t="shared" si="2"/>
        <v>否</v>
      </c>
      <c r="J7" s="15" t="str">
        <f t="shared" si="1"/>
        <v>否</v>
      </c>
    </row>
    <row r="8" spans="1:10">
      <c r="A8" s="7">
        <f>IF(子基金及业绩基准周净值!A10="","",子基金及业绩基准周净值!A10)</f>
        <v>45513</v>
      </c>
      <c r="B8" s="1">
        <f>IF(A8="","",VLOOKUP($A8,子基金及业绩基准周净值!$A:$F,4))</f>
        <v>1.3778</v>
      </c>
      <c r="C8" s="8">
        <f t="shared" si="3"/>
        <v>-0.00202810372301908</v>
      </c>
      <c r="D8" s="9">
        <f>IF(A8="","",C8-(子基金及业绩基准周净值!AH10/子基金及业绩基准周净值!AH9-1))</f>
        <v>0.000272886150608404</v>
      </c>
      <c r="E8" s="12">
        <f>IF(A8="","",(MAX(B$3:B8)-B8)/MAX(B$3:B8))</f>
        <v>0.00325544382550833</v>
      </c>
      <c r="F8" s="12">
        <f>IF(A8="","",MAX(E$4:E8))</f>
        <v>0.00325544382550833</v>
      </c>
      <c r="G8" s="17">
        <v>0</v>
      </c>
      <c r="H8" s="14" t="str">
        <f t="shared" si="0"/>
        <v>否</v>
      </c>
      <c r="I8" s="14" t="str">
        <f t="shared" si="2"/>
        <v>否</v>
      </c>
      <c r="J8" s="15" t="str">
        <f t="shared" si="1"/>
        <v>否</v>
      </c>
    </row>
    <row r="9" spans="1:10">
      <c r="A9" s="7">
        <f>IF(子基金及业绩基准周净值!A11="","",子基金及业绩基准周净值!A11)</f>
        <v>45520</v>
      </c>
      <c r="B9" s="1">
        <f>IF(A9="","",VLOOKUP($A9,子基金及业绩基准周净值!$A:$F,4))</f>
        <v>1.3774</v>
      </c>
      <c r="C9" s="8">
        <f t="shared" si="3"/>
        <v>-0.000290317898098386</v>
      </c>
      <c r="D9" s="9">
        <f>IF(A9="","",C9-(子基金及业绩基准周净值!AH11/子基金及业绩基准周净值!AH10-1))</f>
        <v>-0.0038396064428545</v>
      </c>
      <c r="E9" s="12">
        <f>IF(A9="","",(MAX(B$3:B9)-B9)/MAX(B$3:B9))</f>
        <v>0.00354481660999792</v>
      </c>
      <c r="F9" s="12">
        <f>IF(A9="","",MAX(E$4:E9))</f>
        <v>0.00354481660999792</v>
      </c>
      <c r="G9" s="17">
        <v>1</v>
      </c>
      <c r="H9" s="14" t="str">
        <f t="shared" si="0"/>
        <v>否</v>
      </c>
      <c r="I9" s="14" t="str">
        <f t="shared" si="2"/>
        <v>否</v>
      </c>
      <c r="J9" s="15" t="str">
        <f t="shared" si="1"/>
        <v>否</v>
      </c>
    </row>
    <row r="10" spans="1:10">
      <c r="A10" s="7">
        <f>IF(子基金及业绩基准周净值!A12="","",子基金及业绩基准周净值!A12)</f>
        <v>45527</v>
      </c>
      <c r="B10" s="1">
        <f>IF(A10="","",VLOOKUP($A10,子基金及业绩基准周净值!$A:$F,4))</f>
        <v>1.376</v>
      </c>
      <c r="C10" s="8">
        <f t="shared" si="3"/>
        <v>-0.00101640772469876</v>
      </c>
      <c r="D10" s="9">
        <f>IF(A10="","",C10-(子基金及业绩基准周净值!AH12/子基金及业绩基准周净值!AH11-1))</f>
        <v>-0.000121392116943578</v>
      </c>
      <c r="E10" s="12">
        <f>IF(A10="","",(MAX(B$3:B10)-B10)/MAX(B$3:B10))</f>
        <v>0.00455762135571164</v>
      </c>
      <c r="F10" s="12">
        <f>IF(A10="","",MAX(E$4:E10))</f>
        <v>0.00455762135571164</v>
      </c>
      <c r="G10" s="17">
        <v>2</v>
      </c>
      <c r="H10" s="14" t="str">
        <f t="shared" si="0"/>
        <v>否</v>
      </c>
      <c r="I10" s="14" t="str">
        <f t="shared" si="2"/>
        <v>否</v>
      </c>
      <c r="J10" s="15" t="str">
        <f t="shared" si="1"/>
        <v>否</v>
      </c>
    </row>
    <row r="11" spans="1:10">
      <c r="A11" s="7">
        <f>IF(子基金及业绩基准周净值!A13="","",子基金及业绩基准周净值!A13)</f>
        <v>45534</v>
      </c>
      <c r="B11" s="1">
        <f>IF(A11="","",VLOOKUP($A11,子基金及业绩基准周净值!$A:$F,4))</f>
        <v>1.3766</v>
      </c>
      <c r="C11" s="8">
        <f t="shared" si="3"/>
        <v>0.00043604651162802</v>
      </c>
      <c r="D11" s="9">
        <f>IF(A11="","",C11-(子基金及业绩基准周净值!AH13/子基金及业绩基准周净值!AH12-1))</f>
        <v>-0.000644368201123867</v>
      </c>
      <c r="E11" s="12">
        <f>IF(A11="","",(MAX(B$3:B11)-B11)/MAX(B$3:B11))</f>
        <v>0.00412356217897709</v>
      </c>
      <c r="F11" s="12">
        <f>IF(A11="","",MAX(E$4:E11))</f>
        <v>0.00455762135571164</v>
      </c>
      <c r="G11" s="17">
        <v>3</v>
      </c>
      <c r="H11" s="14" t="str">
        <f t="shared" si="0"/>
        <v>否</v>
      </c>
      <c r="I11" s="14" t="str">
        <f t="shared" si="2"/>
        <v>否</v>
      </c>
      <c r="J11" s="15" t="str">
        <f t="shared" si="1"/>
        <v>否</v>
      </c>
    </row>
    <row r="12" spans="1:10">
      <c r="A12" s="7">
        <f>IF(子基金及业绩基准周净值!A14="","",子基金及业绩基准周净值!A14)</f>
        <v>45541</v>
      </c>
      <c r="B12" s="1">
        <f>IF(A12="","",VLOOKUP($A12,子基金及业绩基准周净值!$A:$F,4))</f>
        <v>1.3771</v>
      </c>
      <c r="C12" s="8">
        <f t="shared" si="3"/>
        <v>0.000363213714949837</v>
      </c>
      <c r="D12" s="9">
        <f>IF(A12="","",C12-(子基金及业绩基准周净值!AH14/子基金及业绩基准周净值!AH13-1))</f>
        <v>0.00182197707627939</v>
      </c>
      <c r="E12" s="12">
        <f>IF(A12="","",(MAX(B$3:B12)-B12)/MAX(B$3:B12))</f>
        <v>0.00376184619836511</v>
      </c>
      <c r="F12" s="12">
        <f>IF(A12="","",MAX(E$4:E12))</f>
        <v>0.00455762135571164</v>
      </c>
      <c r="G12" s="17">
        <v>0</v>
      </c>
      <c r="H12" s="14" t="str">
        <f t="shared" si="0"/>
        <v>否</v>
      </c>
      <c r="I12" s="14" t="str">
        <f t="shared" si="2"/>
        <v>否</v>
      </c>
      <c r="J12" s="15" t="str">
        <f t="shared" si="1"/>
        <v>否</v>
      </c>
    </row>
    <row r="13" spans="1:10">
      <c r="A13" s="7">
        <f>IF(子基金及业绩基准周净值!A15="","",子基金及业绩基准周净值!A15)</f>
        <v>45548</v>
      </c>
      <c r="B13" s="1">
        <f>IF(A13="","",VLOOKUP($A13,子基金及业绩基准周净值!$A:$F,4))</f>
        <v>1.3753</v>
      </c>
      <c r="C13" s="8">
        <f t="shared" si="3"/>
        <v>-0.00130709461912717</v>
      </c>
      <c r="D13" s="9">
        <f>IF(A13="","",C13-(子基金及业绩基准周净值!AH15/子基金及业绩基准周净值!AH14-1))</f>
        <v>0.000600258521303721</v>
      </c>
      <c r="E13" s="12">
        <f>IF(A13="","",(MAX(B$3:B13)-B13)/MAX(B$3:B13))</f>
        <v>0.00506402372856841</v>
      </c>
      <c r="F13" s="12">
        <f>IF(A13="","",MAX(E$4:E13))</f>
        <v>0.00506402372856841</v>
      </c>
      <c r="G13" s="17">
        <v>1</v>
      </c>
      <c r="H13" s="14" t="str">
        <f t="shared" si="0"/>
        <v>否</v>
      </c>
      <c r="I13" s="14" t="str">
        <f t="shared" si="2"/>
        <v>否</v>
      </c>
      <c r="J13" s="15" t="str">
        <f t="shared" si="1"/>
        <v>否</v>
      </c>
    </row>
    <row r="14" spans="1:10">
      <c r="A14" s="7">
        <f>IF(子基金及业绩基准周净值!A16="","",子基金及业绩基准周净值!A16)</f>
        <v>45555</v>
      </c>
      <c r="B14" s="1">
        <f>IF(A14="","",VLOOKUP($A14,子基金及业绩基准周净值!$A:$F,4))</f>
        <v>1.3748</v>
      </c>
      <c r="C14" s="8">
        <f t="shared" si="3"/>
        <v>-0.000363557042099865</v>
      </c>
      <c r="D14" s="9">
        <f>IF(A14="","",C14-(子基金及业绩基准周净值!AH16/子基金及业绩基准周净值!AH15-1))</f>
        <v>0.000130466482640618</v>
      </c>
      <c r="E14" s="12">
        <f>IF(A14="","",(MAX(B$3:B14)-B14)/MAX(B$3:B14))</f>
        <v>0.0054257397091804</v>
      </c>
      <c r="F14" s="12">
        <f>IF(A14="","",MAX(E$4:E14))</f>
        <v>0.0054257397091804</v>
      </c>
      <c r="G14" s="17">
        <v>2</v>
      </c>
      <c r="H14" s="14" t="str">
        <f t="shared" si="0"/>
        <v>否</v>
      </c>
      <c r="I14" s="14" t="str">
        <f t="shared" si="2"/>
        <v>否</v>
      </c>
      <c r="J14" s="15" t="str">
        <f t="shared" si="1"/>
        <v>否</v>
      </c>
    </row>
    <row r="15" spans="1:10">
      <c r="A15" s="7">
        <f>IF(子基金及业绩基准周净值!A17="","",子基金及业绩基准周净值!A17)</f>
        <v>45562</v>
      </c>
      <c r="B15" s="1">
        <f>IF(A15="","",VLOOKUP($A15,子基金及业绩基准周净值!$A:$F,4))</f>
        <v>1.4032</v>
      </c>
      <c r="C15" s="8">
        <f t="shared" si="3"/>
        <v>0.0206575501891184</v>
      </c>
      <c r="D15" s="9">
        <f>IF(A15="","",C15-(子基金及业绩基准周净值!AH17/子基金及业绩基准周净值!AH16-1))</f>
        <v>0.0214297089781304</v>
      </c>
      <c r="E15" s="12">
        <f>IF(A15="","",(MAX(B$3:B15)-B15)/MAX(B$3:B15))</f>
        <v>0</v>
      </c>
      <c r="F15" s="12">
        <f>IF(A15="","",MAX(E$4:E15))</f>
        <v>0.0054257397091804</v>
      </c>
      <c r="G15" s="17">
        <v>0</v>
      </c>
      <c r="H15" s="14" t="str">
        <f t="shared" si="0"/>
        <v>否</v>
      </c>
      <c r="I15" s="14" t="str">
        <f t="shared" si="2"/>
        <v>否</v>
      </c>
      <c r="J15" s="15" t="str">
        <f t="shared" si="1"/>
        <v>否</v>
      </c>
    </row>
    <row r="16" spans="1:10">
      <c r="A16" s="7">
        <f>IF(子基金及业绩基准周净值!A18="","",子基金及业绩基准周净值!A18)</f>
        <v>45565</v>
      </c>
      <c r="B16" s="1">
        <f>IF(A16="","",VLOOKUP($A16,子基金及业绩基准周净值!$A:$F,4))</f>
        <v>1.4354</v>
      </c>
      <c r="C16" s="8">
        <f t="shared" si="3"/>
        <v>0.0229475484606614</v>
      </c>
      <c r="D16" s="9">
        <f>IF(A16="","",C16-(子基金及业绩基准周净值!AH18/子基金及业绩基准周净值!AH17-1))</f>
        <v>0.0150605419964076</v>
      </c>
      <c r="E16" s="12">
        <f>IF(A16="","",(MAX(B$3:B16)-B16)/MAX(B$3:B16))</f>
        <v>0</v>
      </c>
      <c r="F16" s="12">
        <f>IF(A16="","",MAX(E$4:E16))</f>
        <v>0.0054257397091804</v>
      </c>
      <c r="G16" s="17">
        <v>0</v>
      </c>
      <c r="H16" s="14" t="str">
        <f t="shared" si="0"/>
        <v>否</v>
      </c>
      <c r="I16" s="14" t="str">
        <f t="shared" si="2"/>
        <v>否</v>
      </c>
      <c r="J16" s="15" t="str">
        <f t="shared" si="1"/>
        <v>否</v>
      </c>
    </row>
    <row r="17" spans="1:10">
      <c r="A17" s="7">
        <f>IF(子基金及业绩基准周净值!A19="","",子基金及业绩基准周净值!A19)</f>
        <v>45576</v>
      </c>
      <c r="B17" s="16">
        <f>IF(A17="","",VLOOKUP($A17,子基金及业绩基准周净值!$A:$F,4))</f>
        <v>1.441</v>
      </c>
      <c r="C17" s="8">
        <f t="shared" si="3"/>
        <v>0.00390135153964055</v>
      </c>
      <c r="D17" s="9">
        <f>IF(A17="","",C17-(子基金及业绩基准周净值!AH19/子基金及业绩基准周净值!AH18-1))</f>
        <v>-0.00265564454690892</v>
      </c>
      <c r="E17" s="12">
        <f>IF(A17="","",(MAX(B$3:B17)-B17)/MAX(B$3:B17))</f>
        <v>0</v>
      </c>
      <c r="F17" s="12">
        <f>IF(A17="","",MAX(E$4:E17))</f>
        <v>0.0054257397091804</v>
      </c>
      <c r="G17" s="17">
        <v>1</v>
      </c>
      <c r="H17" s="14" t="str">
        <f t="shared" si="0"/>
        <v>否</v>
      </c>
      <c r="I17" s="14" t="str">
        <f t="shared" si="2"/>
        <v>否</v>
      </c>
      <c r="J17" s="15" t="str">
        <f t="shared" si="1"/>
        <v>否</v>
      </c>
    </row>
    <row r="18" spans="1:10">
      <c r="A18" s="7">
        <f>IF(子基金及业绩基准周净值!A20="","",子基金及业绩基准周净值!A20)</f>
        <v>45583</v>
      </c>
      <c r="B18" s="1">
        <f>IF(A18="","",VLOOKUP($A18,子基金及业绩基准周净值!$A:$F,4))</f>
        <v>1.4585</v>
      </c>
      <c r="C18" s="8">
        <f t="shared" si="3"/>
        <v>0.0121443442054128</v>
      </c>
      <c r="D18" s="9">
        <f>IF(A18="","",C18-(子基金及业绩基准周净值!AH20/子基金及业绩基准周净值!AH19-1))</f>
        <v>0.0119573704221572</v>
      </c>
      <c r="E18" s="12">
        <f>IF(A18="","",(MAX(B$3:B18)-B18)/MAX(B$3:B18))</f>
        <v>0</v>
      </c>
      <c r="F18" s="12">
        <f>IF(A18="","",MAX(E$4:E18))</f>
        <v>0.0054257397091804</v>
      </c>
      <c r="G18" s="17">
        <v>0</v>
      </c>
      <c r="H18" s="14" t="str">
        <f t="shared" si="0"/>
        <v>否</v>
      </c>
      <c r="I18" s="14" t="str">
        <f t="shared" si="2"/>
        <v>否</v>
      </c>
      <c r="J18" s="15" t="str">
        <f t="shared" si="1"/>
        <v>否</v>
      </c>
    </row>
    <row r="19" spans="1:10">
      <c r="A19" s="7">
        <f>IF(子基金及业绩基准周净值!A21="","",子基金及业绩基准周净值!A21)</f>
        <v>45590</v>
      </c>
      <c r="B19" s="1">
        <f>IF(A19="","",VLOOKUP($A19,子基金及业绩基准周净值!$A:$F,4))</f>
        <v>1.4599</v>
      </c>
      <c r="C19" s="8">
        <f t="shared" si="3"/>
        <v>0.000959890298251675</v>
      </c>
      <c r="D19" s="9">
        <f>IF(A19="","",C19-(子基金及业绩基准周净值!AH21/子基金及业绩基准周净值!AH20-1))</f>
        <v>-0.00538429620647079</v>
      </c>
      <c r="E19" s="12">
        <f>IF(A19="","",(MAX(B$3:B19)-B19)/MAX(B$3:B19))</f>
        <v>0</v>
      </c>
      <c r="F19" s="12">
        <f>IF(A19="","",MAX(E$4:E19))</f>
        <v>0.0054257397091804</v>
      </c>
      <c r="G19" s="17">
        <v>1</v>
      </c>
      <c r="H19" s="14" t="str">
        <f t="shared" si="0"/>
        <v>否</v>
      </c>
      <c r="I19" s="14" t="str">
        <f t="shared" si="2"/>
        <v>否</v>
      </c>
      <c r="J19" s="15" t="str">
        <f t="shared" si="1"/>
        <v>否</v>
      </c>
    </row>
    <row r="20" spans="1:10">
      <c r="A20" s="7">
        <f>IF(子基金及业绩基准周净值!A22="","",子基金及业绩基准周净值!A22)</f>
        <v>45597</v>
      </c>
      <c r="B20" s="1">
        <f>IF(A20="","",VLOOKUP($A20,子基金及业绩基准周净值!$A:$F,4))</f>
        <v>1.4638</v>
      </c>
      <c r="C20" s="8">
        <f t="shared" si="3"/>
        <v>0.00267141585040072</v>
      </c>
      <c r="D20" s="9">
        <f>IF(A20="","",C20-(子基金及业绩基准周净值!AH22/子基金及业绩基准周净值!AH21-1))</f>
        <v>0.00127327884984737</v>
      </c>
      <c r="E20" s="12">
        <f>IF(A20="","",(MAX(B$3:B20)-B20)/MAX(B$3:B20))</f>
        <v>0</v>
      </c>
      <c r="F20" s="12">
        <f>IF(A20="","",MAX(E$4:E20))</f>
        <v>0.0054257397091804</v>
      </c>
      <c r="G20" s="17">
        <v>0</v>
      </c>
      <c r="H20" s="14" t="str">
        <f t="shared" si="0"/>
        <v>否</v>
      </c>
      <c r="I20" s="14" t="str">
        <f t="shared" si="2"/>
        <v>否</v>
      </c>
      <c r="J20" s="15" t="str">
        <f t="shared" si="1"/>
        <v>否</v>
      </c>
    </row>
    <row r="21" spans="1:10">
      <c r="A21" s="7">
        <f>IF(子基金及业绩基准周净值!A23="","",子基金及业绩基准周净值!A23)</f>
        <v>45604</v>
      </c>
      <c r="B21" s="1">
        <f>IF(A21="","",VLOOKUP($A21,子基金及业绩基准周净值!$A:$F,4))</f>
        <v>1.4682</v>
      </c>
      <c r="C21" s="8">
        <f t="shared" si="3"/>
        <v>0.00300587511955182</v>
      </c>
      <c r="D21" s="9">
        <f>IF(A21="","",C21-(子基金及业绩基准周净值!AH23/子基金及业绩基准周净值!AH22-1))</f>
        <v>-0.00767743926629531</v>
      </c>
      <c r="E21" s="12">
        <f>IF(A21="","",(MAX(B$3:B21)-B21)/MAX(B$3:B21))</f>
        <v>0</v>
      </c>
      <c r="F21" s="12">
        <f>IF(A21="","",MAX(E$4:E21))</f>
        <v>0.0054257397091804</v>
      </c>
      <c r="G21" s="17">
        <v>1</v>
      </c>
      <c r="H21" s="14" t="str">
        <f t="shared" si="0"/>
        <v>否</v>
      </c>
      <c r="I21" s="14" t="str">
        <f t="shared" si="2"/>
        <v>否</v>
      </c>
      <c r="J21" s="15" t="str">
        <f t="shared" si="1"/>
        <v>否</v>
      </c>
    </row>
    <row r="22" spans="1:10">
      <c r="A22" s="7">
        <f>IF(子基金及业绩基准周净值!A24="","",子基金及业绩基准周净值!A24)</f>
        <v>45611</v>
      </c>
      <c r="B22" s="1">
        <f>IF(A22="","",VLOOKUP($A22,子基金及业绩基准周净值!$A:$F,4))</f>
        <v>1.4727</v>
      </c>
      <c r="C22" s="8">
        <f t="shared" si="3"/>
        <v>0.00306497752349813</v>
      </c>
      <c r="D22" s="9">
        <f>IF(A22="","",C22-(子基金及业绩基准周净值!AH24/子基金及业绩基准周净值!AH23-1))</f>
        <v>0.00290573638263327</v>
      </c>
      <c r="E22" s="12">
        <f>IF(A22="","",(MAX(B$3:B22)-B22)/MAX(B$3:B22))</f>
        <v>0</v>
      </c>
      <c r="F22" s="12">
        <f>IF(A22="","",MAX(E$4:E22))</f>
        <v>0.0054257397091804</v>
      </c>
      <c r="G22" s="17">
        <v>0</v>
      </c>
      <c r="H22" s="14" t="str">
        <f t="shared" si="0"/>
        <v>否</v>
      </c>
      <c r="I22" s="14" t="str">
        <f t="shared" si="2"/>
        <v>否</v>
      </c>
      <c r="J22" s="15" t="str">
        <f t="shared" si="1"/>
        <v>否</v>
      </c>
    </row>
    <row r="23" spans="1:10">
      <c r="A23" s="7">
        <f>IF(子基金及业绩基准周净值!A25="","",子基金及业绩基准周净值!A25)</f>
        <v>45618</v>
      </c>
      <c r="B23" s="1">
        <f>IF(A23="","",VLOOKUP($A23,子基金及业绩基准周净值!$A:$F,4))</f>
        <v>1.4759</v>
      </c>
      <c r="C23" s="8">
        <f t="shared" si="3"/>
        <v>0.00217287974468669</v>
      </c>
      <c r="D23" s="9">
        <f>IF(A23="","",C23-(子基金及业绩基准周净值!AH25/子基金及业绩基准周净值!AH24-1))</f>
        <v>0.00160520666651174</v>
      </c>
      <c r="E23" s="12">
        <f>IF(A23="","",(MAX(B$3:B23)-B23)/MAX(B$3:B23))</f>
        <v>0</v>
      </c>
      <c r="F23" s="12">
        <f>IF(A23="","",MAX(E$4:E23))</f>
        <v>0.0054257397091804</v>
      </c>
      <c r="G23" s="17">
        <v>0</v>
      </c>
      <c r="H23" s="14" t="str">
        <f t="shared" si="0"/>
        <v>否</v>
      </c>
      <c r="I23" s="14" t="str">
        <f t="shared" si="2"/>
        <v>否</v>
      </c>
      <c r="J23" s="15" t="str">
        <f t="shared" si="1"/>
        <v>否</v>
      </c>
    </row>
    <row r="24" spans="1:10">
      <c r="A24" s="7">
        <f>IF(子基金及业绩基准周净值!A26="","",子基金及业绩基准周净值!A26)</f>
        <v>45625</v>
      </c>
      <c r="B24" s="1">
        <f>IF(A24="","",VLOOKUP($A24,子基金及业绩基准周净值!$A:$F,4))</f>
        <v>1.4877</v>
      </c>
      <c r="C24" s="8">
        <f t="shared" si="3"/>
        <v>0.00799512162070603</v>
      </c>
      <c r="D24" s="9">
        <f>IF(A24="","",C24-(子基金及业绩基准周净值!AH26/子基金及业绩基准周净值!AH25-1))</f>
        <v>0.00404413477570553</v>
      </c>
      <c r="E24" s="12">
        <f>IF(A24="","",(MAX(B$3:B24)-B24)/MAX(B$3:B24))</f>
        <v>0</v>
      </c>
      <c r="F24" s="12">
        <f>IF(A24="","",MAX(E$4:E24))</f>
        <v>0.0054257397091804</v>
      </c>
      <c r="G24" s="17">
        <v>0</v>
      </c>
      <c r="H24" s="14" t="str">
        <f t="shared" si="0"/>
        <v>否</v>
      </c>
      <c r="I24" s="14" t="str">
        <f t="shared" si="2"/>
        <v>否</v>
      </c>
      <c r="J24" s="15" t="str">
        <f t="shared" si="1"/>
        <v>否</v>
      </c>
    </row>
    <row r="25" spans="1:10">
      <c r="A25" s="7">
        <f>IF(子基金及业绩基准周净值!A27="","",子基金及业绩基准周净值!A27)</f>
        <v>45632</v>
      </c>
      <c r="B25" s="16">
        <f>IF(A25="","",VLOOKUP($A25,子基金及业绩基准周净值!$A:$F,4))</f>
        <v>1.49</v>
      </c>
      <c r="C25" s="8">
        <f t="shared" si="3"/>
        <v>0.00154601062042076</v>
      </c>
      <c r="D25" s="9">
        <f>IF(A25="","",C25-(子基金及业绩基准周净值!AH27/子基金及业绩基准周净值!AH26-1))</f>
        <v>-0.00199396200421891</v>
      </c>
      <c r="E25" s="12">
        <f>IF(A25="","",(MAX(B$3:B25)-B25)/MAX(B$3:B25))</f>
        <v>0</v>
      </c>
      <c r="F25" s="12">
        <f>IF(A25="","",MAX(E$4:E25))</f>
        <v>0.0054257397091804</v>
      </c>
      <c r="G25" s="17">
        <v>1</v>
      </c>
      <c r="H25" s="14" t="str">
        <f t="shared" si="0"/>
        <v>否</v>
      </c>
      <c r="I25" s="14" t="str">
        <f t="shared" si="2"/>
        <v>否</v>
      </c>
      <c r="J25" s="15" t="str">
        <f t="shared" si="1"/>
        <v>否</v>
      </c>
    </row>
    <row r="26" spans="1:10">
      <c r="A26" s="7">
        <f>IF(子基金及业绩基准周净值!A28="","",子基金及业绩基准周净值!A28)</f>
        <v>45639</v>
      </c>
      <c r="B26" s="1">
        <f>IF(A26="","",VLOOKUP($A26,子基金及业绩基准周净值!$A:$F,4))</f>
        <v>1.4958</v>
      </c>
      <c r="C26" s="8">
        <f t="shared" si="3"/>
        <v>0.00389261744966445</v>
      </c>
      <c r="D26" s="9">
        <f>IF(A26="","",C26-(子基金及业绩基准周净值!AH28/子基金及业绩基准周净值!AH27-1))</f>
        <v>0.00212899173094432</v>
      </c>
      <c r="E26" s="12">
        <f>IF(A26="","",(MAX(B$3:B26)-B26)/MAX(B$3:B26))</f>
        <v>0</v>
      </c>
      <c r="F26" s="12">
        <f>IF(A26="","",MAX(E$4:E26))</f>
        <v>0.0054257397091804</v>
      </c>
      <c r="G26" s="17">
        <v>0</v>
      </c>
      <c r="H26" s="14" t="str">
        <f t="shared" si="0"/>
        <v>否</v>
      </c>
      <c r="I26" s="14" t="str">
        <f t="shared" si="2"/>
        <v>否</v>
      </c>
      <c r="J26" s="15" t="str">
        <f t="shared" si="1"/>
        <v>否</v>
      </c>
    </row>
    <row r="27" spans="1:10">
      <c r="A27" s="7">
        <f>IF(子基金及业绩基准周净值!A29="","",子基金及业绩基准周净值!A29)</f>
        <v>45646</v>
      </c>
      <c r="B27" s="1">
        <f>IF(A27="","",VLOOKUP($A27,子基金及业绩基准周净值!$A:$F,4))</f>
        <v>1.5253</v>
      </c>
      <c r="C27" s="8">
        <f t="shared" si="3"/>
        <v>0.0197218879529349</v>
      </c>
      <c r="D27" s="9">
        <f>IF(A27="","",C27-(子基金及业绩基准周净值!AH29/子基金及业绩基准周净值!AH28-1))</f>
        <v>0.0193089301241899</v>
      </c>
      <c r="E27" s="12">
        <f>IF(A27="","",(MAX(B$3:B27)-B27)/MAX(B$3:B27))</f>
        <v>0</v>
      </c>
      <c r="F27" s="12">
        <f>IF(A27="","",MAX(E$4:E27))</f>
        <v>0.0054257397091804</v>
      </c>
      <c r="G27" s="17">
        <v>0</v>
      </c>
      <c r="H27" s="14" t="str">
        <f t="shared" si="0"/>
        <v>否</v>
      </c>
      <c r="I27" s="14" t="str">
        <f t="shared" si="2"/>
        <v>否</v>
      </c>
      <c r="J27" s="15" t="str">
        <f t="shared" si="1"/>
        <v>否</v>
      </c>
    </row>
    <row r="28" spans="1:10">
      <c r="A28" s="7">
        <f>IF(子基金及业绩基准周净值!A30="","",子基金及业绩基准周净值!A30)</f>
        <v>45653</v>
      </c>
      <c r="B28" s="1">
        <f>IF(A28="","",VLOOKUP($A28,子基金及业绩基准周净值!$A:$F,4))</f>
        <v>1.5286</v>
      </c>
      <c r="C28" s="8">
        <f t="shared" si="3"/>
        <v>0.00216350881793736</v>
      </c>
      <c r="D28" s="9">
        <f>IF(A28="","",C28-(子基金及业绩基准周净值!AH30/子基金及业绩基准周净值!AH29-1))</f>
        <v>0.00206751085136669</v>
      </c>
      <c r="E28" s="12">
        <f>IF(A28="","",(MAX(B$3:B28)-B28)/MAX(B$3:B28))</f>
        <v>0</v>
      </c>
      <c r="F28" s="12">
        <f>IF(A28="","",MAX(E$4:E28))</f>
        <v>0.0054257397091804</v>
      </c>
      <c r="G28" s="17">
        <v>0</v>
      </c>
      <c r="H28" s="14" t="str">
        <f t="shared" si="0"/>
        <v>否</v>
      </c>
      <c r="I28" s="14" t="str">
        <f t="shared" si="2"/>
        <v>否</v>
      </c>
      <c r="J28" s="15" t="str">
        <f t="shared" si="1"/>
        <v>否</v>
      </c>
    </row>
    <row r="29" spans="1:10">
      <c r="A29" s="7">
        <f>IF(子基金及业绩基准周净值!A31="","",子基金及业绩基准周净值!A31)</f>
        <v>45660</v>
      </c>
      <c r="B29" s="1">
        <f>IF(A29="","",VLOOKUP($A29,子基金及业绩基准周净值!$A:$F,4))</f>
        <v>1.5327</v>
      </c>
      <c r="C29" s="8">
        <f t="shared" si="3"/>
        <v>0.00268219285620829</v>
      </c>
      <c r="D29" s="9">
        <f>IF(A29="","",C29-(子基金及业绩基准周净值!AH31/子基金及业绩基准周净值!AH30-1))</f>
        <v>0.0070325416062612</v>
      </c>
      <c r="E29" s="12">
        <f>IF(A29="","",(MAX(B$3:B29)-B29)/MAX(B$3:B29))</f>
        <v>0</v>
      </c>
      <c r="F29" s="12">
        <f>IF(A29="","",MAX(E$4:E29))</f>
        <v>0.0054257397091804</v>
      </c>
      <c r="G29" s="17">
        <v>0</v>
      </c>
      <c r="H29" s="14" t="str">
        <f t="shared" si="0"/>
        <v>否</v>
      </c>
      <c r="I29" s="14" t="str">
        <f t="shared" si="2"/>
        <v>否</v>
      </c>
      <c r="J29" s="15" t="str">
        <f t="shared" si="1"/>
        <v>否</v>
      </c>
    </row>
    <row r="30" spans="1:10">
      <c r="A30" s="7">
        <f>IF(子基金及业绩基准周净值!A32="","",子基金及业绩基准周净值!A32)</f>
        <v>45667</v>
      </c>
      <c r="B30" s="1">
        <f>IF(A30="","",VLOOKUP($A30,子基金及业绩基准周净值!$A:$F,4))</f>
        <v>1.5446</v>
      </c>
      <c r="C30" s="8">
        <f t="shared" si="3"/>
        <v>0.00776407646636656</v>
      </c>
      <c r="D30" s="9">
        <f>IF(A30="","",C30-(子基金及业绩基准周净值!AH32/子基金及业绩基准周净值!AH31-1))</f>
        <v>0.00757192448927634</v>
      </c>
      <c r="E30" s="12">
        <f>IF(A30="","",(MAX(B$3:B30)-B30)/MAX(B$3:B30))</f>
        <v>0</v>
      </c>
      <c r="F30" s="12">
        <f>IF(A30="","",MAX(E$4:E30))</f>
        <v>0.0054257397091804</v>
      </c>
      <c r="G30" s="17">
        <v>0</v>
      </c>
      <c r="H30" s="14" t="str">
        <f t="shared" si="0"/>
        <v>否</v>
      </c>
      <c r="I30" s="14" t="str">
        <f t="shared" si="2"/>
        <v>否</v>
      </c>
      <c r="J30" s="15" t="str">
        <f t="shared" si="1"/>
        <v>否</v>
      </c>
    </row>
    <row r="31" spans="1:10">
      <c r="A31" s="7">
        <f>IF(子基金及业绩基准周净值!A33="","",子基金及业绩基准周净值!A33)</f>
        <v>45674</v>
      </c>
      <c r="B31" s="1">
        <f>IF(A31="","",VLOOKUP($A31,子基金及业绩基准周净值!$A:$F,4))</f>
        <v>1.5443</v>
      </c>
      <c r="C31" s="8">
        <f t="shared" si="3"/>
        <v>-0.000194225042082071</v>
      </c>
      <c r="D31" s="9">
        <f>IF(A31="","",C31-(子基金及业绩基准周净值!AH33/子基金及业绩基准周净值!AH32-1))</f>
        <v>-0.0039595552242648</v>
      </c>
      <c r="E31" s="12">
        <f>IF(A31="","",(MAX(B$3:B31)-B31)/MAX(B$3:B31))</f>
        <v>0.000194225042082071</v>
      </c>
      <c r="F31" s="12">
        <f>IF(A31="","",MAX(E$4:E31))</f>
        <v>0.0054257397091804</v>
      </c>
      <c r="G31" s="17">
        <v>1</v>
      </c>
      <c r="H31" s="14" t="str">
        <f t="shared" si="0"/>
        <v>否</v>
      </c>
      <c r="I31" s="14" t="str">
        <f t="shared" si="2"/>
        <v>否</v>
      </c>
      <c r="J31" s="15" t="str">
        <f t="shared" si="1"/>
        <v>否</v>
      </c>
    </row>
    <row r="32" spans="1:10">
      <c r="A32" s="7">
        <f>IF(子基金及业绩基准周净值!A34="","",子基金及业绩基准周净值!A34)</f>
        <v>45681</v>
      </c>
      <c r="B32" s="1">
        <f>IF(A32="","",VLOOKUP($A32,子基金及业绩基准周净值!$A:$F,4))</f>
        <v>1.5504</v>
      </c>
      <c r="C32" s="8">
        <f t="shared" si="3"/>
        <v>0.00395000971313863</v>
      </c>
      <c r="D32" s="9">
        <f>IF(A32="","",C32-(子基金及业绩基准周净值!AH34/子基金及业绩基准周净值!AH33-1))</f>
        <v>0.0012170051328686</v>
      </c>
      <c r="E32" s="12">
        <f>IF(A32="","",(MAX(B$3:B32)-B32)/MAX(B$3:B32))</f>
        <v>0</v>
      </c>
      <c r="F32" s="12">
        <f>IF(A32="","",MAX(E$4:E32))</f>
        <v>0.0054257397091804</v>
      </c>
      <c r="G32" s="17">
        <v>0</v>
      </c>
      <c r="H32" s="14" t="str">
        <f t="shared" si="0"/>
        <v>否</v>
      </c>
      <c r="I32" s="14" t="str">
        <f t="shared" si="2"/>
        <v>否</v>
      </c>
      <c r="J32" s="15" t="str">
        <f t="shared" si="1"/>
        <v>否</v>
      </c>
    </row>
    <row r="33" spans="1:10">
      <c r="A33" s="7">
        <f>IF(子基金及业绩基准周净值!A35="","",子基金及业绩基准周净值!A35)</f>
        <v>45684</v>
      </c>
      <c r="B33" s="1">
        <f>IF(A33="","",VLOOKUP($A33,子基金及业绩基准周净值!$A:$F,4))</f>
        <v>1.5537</v>
      </c>
      <c r="C33" s="8">
        <f t="shared" si="3"/>
        <v>0.00212848297213627</v>
      </c>
      <c r="D33" s="9">
        <f>IF(A33="","",C33-(子基金及业绩基准周净值!AH35/子基金及业绩基准周净值!AH34-1))</f>
        <v>0.00182348253716999</v>
      </c>
      <c r="E33" s="12">
        <f>IF(A33="","",(MAX(B$3:B33)-B33)/MAX(B$3:B33))</f>
        <v>0</v>
      </c>
      <c r="F33" s="12">
        <f>IF(A33="","",MAX(E$4:E33))</f>
        <v>0.0054257397091804</v>
      </c>
      <c r="G33" s="17">
        <v>0</v>
      </c>
      <c r="H33" s="14" t="str">
        <f t="shared" si="0"/>
        <v>否</v>
      </c>
      <c r="I33" s="14" t="str">
        <f t="shared" si="2"/>
        <v>否</v>
      </c>
      <c r="J33" s="15" t="str">
        <f t="shared" si="1"/>
        <v>否</v>
      </c>
    </row>
    <row r="34" spans="1:10">
      <c r="A34" s="7">
        <f>IF(子基金及业绩基准周净值!A36="","",子基金及业绩基准周净值!A36)</f>
        <v>45695</v>
      </c>
      <c r="B34" s="1">
        <f>IF(A34="","",VLOOKUP($A34,子基金及业绩基准周净值!$A:$F,4))</f>
        <v>1.5603</v>
      </c>
      <c r="C34" s="8">
        <f t="shared" si="3"/>
        <v>0.00424792430971226</v>
      </c>
      <c r="D34" s="9">
        <f>IF(A34="","",C34-(子基金及业绩基准周净值!AH36/子基金及业绩基准周净值!AH35-1))</f>
        <v>0.00147492368678064</v>
      </c>
      <c r="E34" s="12">
        <f>IF(A34="","",(MAX(B$3:B34)-B34)/MAX(B$3:B34))</f>
        <v>0</v>
      </c>
      <c r="F34" s="12">
        <f>IF(A34="","",MAX(E$4:E34))</f>
        <v>0.0054257397091804</v>
      </c>
      <c r="G34" s="17">
        <v>0</v>
      </c>
      <c r="H34" s="14" t="str">
        <f t="shared" si="0"/>
        <v>否</v>
      </c>
      <c r="I34" s="14" t="str">
        <f t="shared" si="2"/>
        <v>否</v>
      </c>
      <c r="J34" s="15" t="str">
        <f t="shared" si="1"/>
        <v>否</v>
      </c>
    </row>
    <row r="35" spans="1:10">
      <c r="A35" s="7">
        <f>IF(子基金及业绩基准周净值!A37="","",子基金及业绩基准周净值!A37)</f>
        <v>45702</v>
      </c>
      <c r="B35" s="1">
        <f>IF(A35="","",VLOOKUP($A35,子基金及业绩基准周净值!$A:$F,4))</f>
        <v>1.5625</v>
      </c>
      <c r="C35" s="8">
        <f t="shared" si="3"/>
        <v>0.001409985259245</v>
      </c>
      <c r="D35" s="9">
        <f>IF(A35="","",C35-(子基金及业绩基准周净值!AH37/子基金及业绩基准周净值!AH36-1))</f>
        <v>-0.000764556066947432</v>
      </c>
      <c r="E35" s="12">
        <f>IF(A35="","",(MAX(B$3:B35)-B35)/MAX(B$3:B35))</f>
        <v>0</v>
      </c>
      <c r="F35" s="12">
        <f>IF(A35="","",MAX(E$4:E35))</f>
        <v>0.0054257397091804</v>
      </c>
      <c r="G35" s="17">
        <v>1</v>
      </c>
      <c r="H35" s="14" t="str">
        <f t="shared" si="0"/>
        <v>否</v>
      </c>
      <c r="I35" s="14" t="str">
        <f t="shared" si="2"/>
        <v>否</v>
      </c>
      <c r="J35" s="15" t="str">
        <f t="shared" si="1"/>
        <v>否</v>
      </c>
    </row>
    <row r="36" spans="1:10">
      <c r="A36" s="7">
        <f>IF(子基金及业绩基准周净值!A38="","",子基金及业绩基准周净值!A38)</f>
        <v>45709</v>
      </c>
      <c r="B36" s="1">
        <f>IF(A36="","",VLOOKUP($A36,子基金及业绩基准周净值!$A:$F,4))</f>
        <v>1.5666</v>
      </c>
      <c r="C36" s="8">
        <f t="shared" si="3"/>
        <v>0.002624</v>
      </c>
      <c r="D36" s="9">
        <f>IF(A36="","",C36-(子基金及业绩基准周净值!AH38/子基金及业绩基准周净值!AH37-1))</f>
        <v>-0.00326375415871146</v>
      </c>
      <c r="E36" s="12">
        <f>IF(A36="","",(MAX(B$3:B36)-B36)/MAX(B$3:B36))</f>
        <v>0</v>
      </c>
      <c r="F36" s="12">
        <f>IF(A36="","",MAX(E$4:E36))</f>
        <v>0.0054257397091804</v>
      </c>
      <c r="G36" s="17">
        <v>2</v>
      </c>
      <c r="H36" s="14" t="str">
        <f t="shared" si="0"/>
        <v>否</v>
      </c>
      <c r="I36" s="14" t="str">
        <f t="shared" si="2"/>
        <v>否</v>
      </c>
      <c r="J36" s="15" t="str">
        <f t="shared" si="1"/>
        <v>否</v>
      </c>
    </row>
    <row r="37" spans="1:10">
      <c r="A37" s="7">
        <f>IF(子基金及业绩基准周净值!A39="","",子基金及业绩基准周净值!A39)</f>
        <v>45716</v>
      </c>
      <c r="B37" s="1">
        <f>IF(A37="","",VLOOKUP($A37,子基金及业绩基准周净值!$A:$F,4))</f>
        <v>1.5709</v>
      </c>
      <c r="C37" s="8">
        <f t="shared" si="3"/>
        <v>0.00274479765096385</v>
      </c>
      <c r="D37" s="9">
        <f>IF(A37="","",C37-(子基金及业绩基准周净值!AH39/子基金及业绩基准周净值!AH38-1))</f>
        <v>0.00355052258227678</v>
      </c>
      <c r="E37" s="12">
        <f>IF(A37="","",(MAX(B$3:B37)-B37)/MAX(B$3:B37))</f>
        <v>0</v>
      </c>
      <c r="F37" s="12">
        <f>IF(A37="","",MAX(E$4:E37))</f>
        <v>0.0054257397091804</v>
      </c>
      <c r="G37" s="17">
        <v>0</v>
      </c>
      <c r="H37" s="14" t="str">
        <f t="shared" ref="H37:H68" si="4">IF(B37="","",IF(C37&lt;-3%,"是","否"))</f>
        <v>否</v>
      </c>
      <c r="I37" s="14" t="str">
        <f t="shared" si="2"/>
        <v>否</v>
      </c>
      <c r="J37" s="15" t="str">
        <f t="shared" si="1"/>
        <v>否</v>
      </c>
    </row>
    <row r="38" spans="1:10">
      <c r="A38" s="7">
        <f>IF(子基金及业绩基准周净值!A40="","",子基金及业绩基准周净值!A40)</f>
        <v>45723</v>
      </c>
      <c r="B38" s="1">
        <f>IF(A38="","",VLOOKUP($A38,子基金及业绩基准周净值!$A:$F,4))</f>
        <v>1.5733</v>
      </c>
      <c r="C38" s="8">
        <f t="shared" si="3"/>
        <v>0.0015277866191355</v>
      </c>
      <c r="D38" s="9">
        <f>IF(A38="","",C38-(子基金及业绩基准周净值!AH40/子基金及业绩基准周净值!AH39-1))</f>
        <v>-0.00323677027207897</v>
      </c>
      <c r="E38" s="12">
        <f>IF(A38="","",(MAX(B$3:B38)-B38)/MAX(B$3:B38))</f>
        <v>0</v>
      </c>
      <c r="F38" s="12">
        <f>IF(A38="","",MAX(E$4:E38))</f>
        <v>0.0054257397091804</v>
      </c>
      <c r="G38" s="17">
        <v>1</v>
      </c>
      <c r="H38" s="14" t="str">
        <f t="shared" si="4"/>
        <v>否</v>
      </c>
      <c r="I38" s="14" t="str">
        <f t="shared" si="2"/>
        <v>否</v>
      </c>
      <c r="J38" s="15" t="str">
        <f t="shared" si="1"/>
        <v>否</v>
      </c>
    </row>
    <row r="39" spans="1:10">
      <c r="A39" s="7">
        <f>IF(子基金及业绩基准周净值!A41="","",子基金及业绩基准周净值!A41)</f>
        <v>45730</v>
      </c>
      <c r="B39" s="1">
        <f>IF(A39="","",VLOOKUP($A39,子基金及业绩基准周净值!$A:$F,4))</f>
        <v>1.5794</v>
      </c>
      <c r="C39" s="8">
        <f t="shared" si="3"/>
        <v>0.00387720078815229</v>
      </c>
      <c r="D39" s="9">
        <f>IF(A39="","",C39-(子基金及业绩基准周净值!AH41/子基金及业绩基准周净值!AH40-1))</f>
        <v>0.00264698991091921</v>
      </c>
      <c r="E39" s="12">
        <f>IF(A39="","",(MAX(B$3:B39)-B39)/MAX(B$3:B39))</f>
        <v>0</v>
      </c>
      <c r="F39" s="12">
        <f>IF(A39="","",MAX(E$4:E39))</f>
        <v>0.0054257397091804</v>
      </c>
      <c r="G39" s="17">
        <v>0</v>
      </c>
      <c r="H39" s="14" t="str">
        <f t="shared" si="4"/>
        <v>否</v>
      </c>
      <c r="I39" s="14" t="str">
        <f t="shared" si="2"/>
        <v>否</v>
      </c>
      <c r="J39" s="15" t="str">
        <f t="shared" si="1"/>
        <v>否</v>
      </c>
    </row>
    <row r="40" spans="1:10">
      <c r="A40" s="7">
        <f>IF(子基金及业绩基准周净值!A42="","",子基金及业绩基准周净值!A42)</f>
        <v>45737</v>
      </c>
      <c r="B40" s="1">
        <f>IF(A40="","",VLOOKUP($A40,子基金及业绩基准周净值!$A:$F,4))</f>
        <v>1.5789</v>
      </c>
      <c r="C40" s="8">
        <f t="shared" si="3"/>
        <v>-0.000316575914904359</v>
      </c>
      <c r="D40" s="9">
        <f>IF(A40="","",C40-(子基金及业绩基准周净值!AH42/子基金及业绩基准周净值!AH41-1))</f>
        <v>0.000276157313208681</v>
      </c>
      <c r="E40" s="12">
        <f>IF(A40="","",(MAX(B$3:B40)-B40)/MAX(B$3:B40))</f>
        <v>0.000316575914904359</v>
      </c>
      <c r="F40" s="12">
        <f>IF(A40="","",MAX(E$4:E40))</f>
        <v>0.0054257397091804</v>
      </c>
      <c r="G40" s="17">
        <v>0</v>
      </c>
      <c r="H40" s="14" t="str">
        <f t="shared" si="4"/>
        <v>否</v>
      </c>
      <c r="I40" s="14" t="str">
        <f t="shared" si="2"/>
        <v>否</v>
      </c>
      <c r="J40" s="15" t="str">
        <f t="shared" si="1"/>
        <v>否</v>
      </c>
    </row>
    <row r="41" spans="1:10">
      <c r="A41" s="7">
        <f>IF(子基金及业绩基准周净值!A43="","",子基金及业绩基准周净值!A43)</f>
        <v>45744</v>
      </c>
      <c r="B41" s="1">
        <f>IF(A41="","",VLOOKUP($A41,子基金及业绩基准周净值!$A:$F,4))</f>
        <v>1.5773</v>
      </c>
      <c r="C41" s="8">
        <f t="shared" si="3"/>
        <v>-0.00101336373424539</v>
      </c>
      <c r="D41" s="9">
        <f>IF(A41="","",C41-(子基金及业绩基准周净值!AH43/子基金及业绩基准周净值!AH42-1))</f>
        <v>-0.000731342755094635</v>
      </c>
      <c r="E41" s="12">
        <f>IF(A41="","",(MAX(B$3:B41)-B41)/MAX(B$3:B41))</f>
        <v>0.00132961884259845</v>
      </c>
      <c r="F41" s="12">
        <f>IF(A41="","",MAX(E$4:E41))</f>
        <v>0.0054257397091804</v>
      </c>
      <c r="G41" s="17">
        <v>1</v>
      </c>
      <c r="H41" s="14" t="str">
        <f t="shared" si="4"/>
        <v>否</v>
      </c>
      <c r="I41" s="14" t="str">
        <f t="shared" si="2"/>
        <v>否</v>
      </c>
      <c r="J41" s="15" t="str">
        <f t="shared" si="1"/>
        <v>否</v>
      </c>
    </row>
    <row r="42" spans="1:10">
      <c r="A42" s="7">
        <f>IF(子基金及业绩基准周净值!A44="","",子基金及业绩基准周净值!A44)</f>
        <v>45750</v>
      </c>
      <c r="B42" s="1">
        <f>IF(A42="","",VLOOKUP($A42,子基金及业绩基准周净值!$A:$F,4))</f>
        <v>1.5796</v>
      </c>
      <c r="C42" s="8">
        <f t="shared" si="3"/>
        <v>0.00145818804285803</v>
      </c>
      <c r="D42" s="9">
        <f>IF(A42="","",C42-(子基金及业绩基准周净值!AH44/子基金及业绩基准周净值!AH43-1))</f>
        <v>-3.25250613657235e-7</v>
      </c>
      <c r="E42" s="12">
        <f>IF(A42="","",(MAX(B$3:B42)-B42)/MAX(B$3:B42))</f>
        <v>0</v>
      </c>
      <c r="F42" s="12">
        <f>IF(A42="","",MAX(E$4:E42))</f>
        <v>0.0054257397091804</v>
      </c>
      <c r="G42" s="17">
        <v>0</v>
      </c>
      <c r="H42" s="14" t="str">
        <f t="shared" si="4"/>
        <v>否</v>
      </c>
      <c r="I42" s="14" t="str">
        <f t="shared" si="2"/>
        <v>否</v>
      </c>
      <c r="J42" s="15" t="str">
        <f t="shared" si="1"/>
        <v>否</v>
      </c>
    </row>
    <row r="43" spans="1:10">
      <c r="A43" s="7">
        <f>IF(子基金及业绩基准周净值!A45="","",子基金及业绩基准周净值!A45)</f>
        <v>45758</v>
      </c>
      <c r="B43" s="1">
        <f>IF(A43="","",VLOOKUP($A43,子基金及业绩基准周净值!$A:$F,4))</f>
        <v>1.6575</v>
      </c>
      <c r="C43" s="8">
        <f t="shared" si="3"/>
        <v>0.0493162826031907</v>
      </c>
      <c r="D43" s="9">
        <f>IF(A43="","",C43-(子基金及业绩基准周净值!AH45/子基金及业绩基准周净值!AH44-1))</f>
        <v>0.0554852486287424</v>
      </c>
      <c r="E43" s="12">
        <f>IF(A43="","",(MAX(B$3:B43)-B43)/MAX(B$3:B43))</f>
        <v>0</v>
      </c>
      <c r="F43" s="12">
        <f>IF(A43="","",MAX(E$4:E43))</f>
        <v>0.0054257397091804</v>
      </c>
      <c r="G43" s="17">
        <v>0</v>
      </c>
      <c r="H43" s="14" t="str">
        <f t="shared" si="4"/>
        <v>否</v>
      </c>
      <c r="I43" s="14" t="str">
        <f t="shared" si="2"/>
        <v>否</v>
      </c>
      <c r="J43" s="15" t="str">
        <f t="shared" si="1"/>
        <v>否</v>
      </c>
    </row>
    <row r="44" spans="1:10">
      <c r="A44" s="7">
        <f>IF(子基金及业绩基准周净值!A46="","",子基金及业绩基准周净值!A46)</f>
        <v>45765</v>
      </c>
      <c r="B44" s="1">
        <f>IF(A44="","",VLOOKUP($A44,子基金及业绩基准周净值!$A:$F,4))</f>
        <v>1.6629</v>
      </c>
      <c r="C44" s="8">
        <f t="shared" si="3"/>
        <v>0.00325791855203624</v>
      </c>
      <c r="D44" s="9">
        <f>IF(A44="","",C44-(子基金及业绩基准周净值!AH46/子基金及业绩基准周净值!AH45-1))</f>
        <v>-0.00101135988379667</v>
      </c>
      <c r="E44" s="12">
        <f>IF(A44="","",(MAX(B$3:B44)-B44)/MAX(B$3:B44))</f>
        <v>0</v>
      </c>
      <c r="F44" s="12">
        <f>IF(A44="","",MAX(E$4:E44))</f>
        <v>0.0054257397091804</v>
      </c>
      <c r="G44" s="17">
        <v>1</v>
      </c>
      <c r="H44" s="14" t="str">
        <f t="shared" si="4"/>
        <v>否</v>
      </c>
      <c r="I44" s="14" t="str">
        <f t="shared" si="2"/>
        <v>否</v>
      </c>
      <c r="J44" s="15" t="str">
        <f t="shared" si="1"/>
        <v>否</v>
      </c>
    </row>
    <row r="45" spans="1:10">
      <c r="A45" s="7">
        <f>IF(子基金及业绩基准周净值!A47="","",子基金及业绩基准周净值!A47)</f>
        <v>45772</v>
      </c>
      <c r="B45" s="1">
        <f>IF(A45="","",VLOOKUP($A45,子基金及业绩基准周净值!$A:$F,4))</f>
        <v>1.6587</v>
      </c>
      <c r="C45" s="8">
        <f t="shared" si="3"/>
        <v>-0.00252570810030668</v>
      </c>
      <c r="D45" s="9">
        <f>IF(A45="","",C45-(子基金及业绩基准周净值!AH47/子基金及业绩基准周净值!AH46-1))</f>
        <v>-0.00490782579984402</v>
      </c>
      <c r="E45" s="12">
        <f>IF(A45="","",(MAX(B$3:B45)-B45)/MAX(B$3:B45))</f>
        <v>0.00252570810030668</v>
      </c>
      <c r="F45" s="12">
        <f>IF(A45="","",MAX(E$4:E45))</f>
        <v>0.0054257397091804</v>
      </c>
      <c r="G45" s="17">
        <v>2</v>
      </c>
      <c r="H45" s="14" t="str">
        <f t="shared" si="4"/>
        <v>否</v>
      </c>
      <c r="I45" s="14" t="str">
        <f t="shared" si="2"/>
        <v>否</v>
      </c>
      <c r="J45" s="15" t="str">
        <f t="shared" si="1"/>
        <v>否</v>
      </c>
    </row>
    <row r="46" spans="1:10">
      <c r="A46" s="7">
        <f>IF(子基金及业绩基准周净值!A48="","",子基金及业绩基准周净值!A48)</f>
        <v>45786</v>
      </c>
      <c r="B46" s="1">
        <f>IF(A46="","",VLOOKUP($A46,子基金及业绩基准周净值!$A:$F,4))</f>
        <v>1.6645</v>
      </c>
      <c r="C46" s="8">
        <f t="shared" si="3"/>
        <v>0.0034967142943269</v>
      </c>
      <c r="D46" s="9">
        <f>IF(A46="","",C46-(子基金及业绩基准周净值!AH48/子基金及业绩基准周净值!AH47-1))</f>
        <v>-0.00317315180817685</v>
      </c>
      <c r="E46" s="12">
        <f>IF(A46="","",(MAX(B$3:B46)-B46)/MAX(B$3:B46))</f>
        <v>0</v>
      </c>
      <c r="F46" s="12">
        <f>IF(A46="","",MAX(E$4:E46))</f>
        <v>0.0054257397091804</v>
      </c>
      <c r="G46" s="17">
        <v>3</v>
      </c>
      <c r="H46" s="14" t="str">
        <f t="shared" si="4"/>
        <v>否</v>
      </c>
      <c r="I46" s="14" t="str">
        <f t="shared" si="2"/>
        <v>否</v>
      </c>
      <c r="J46" s="15" t="str">
        <f t="shared" si="1"/>
        <v>否</v>
      </c>
    </row>
    <row r="47" spans="1:10">
      <c r="A47" s="7">
        <f>IF(子基金及业绩基准周净值!A49="","",子基金及业绩基准周净值!A49)</f>
        <v>45793</v>
      </c>
      <c r="B47" s="1">
        <f>IF(A47="","",VLOOKUP($A47,子基金及业绩基准周净值!$A:$F,4))</f>
        <v>1.6685</v>
      </c>
      <c r="C47" s="8">
        <f t="shared" si="3"/>
        <v>0.00240312406127967</v>
      </c>
      <c r="D47" s="9">
        <f>IF(A47="","",C47-(子基金及业绩基准周净值!AH49/子基金及业绩基准周净值!AH48-1))</f>
        <v>-0.00752327772296009</v>
      </c>
      <c r="E47" s="12">
        <f>IF(A47="","",(MAX(B$3:B47)-B47)/MAX(B$3:B47))</f>
        <v>0</v>
      </c>
      <c r="F47" s="12">
        <f>IF(A47="","",MAX(E$4:E47))</f>
        <v>0.0054257397091804</v>
      </c>
      <c r="G47" s="17">
        <v>4</v>
      </c>
      <c r="H47" s="14" t="str">
        <f t="shared" si="4"/>
        <v>否</v>
      </c>
      <c r="I47" s="14" t="str">
        <f t="shared" si="2"/>
        <v>否</v>
      </c>
      <c r="J47" s="15" t="str">
        <f t="shared" si="1"/>
        <v>是</v>
      </c>
    </row>
    <row r="48" spans="1:10">
      <c r="A48" s="7">
        <f>IF(子基金及业绩基准周净值!A50="","",子基金及业绩基准周净值!A50)</f>
        <v>45800</v>
      </c>
      <c r="B48" s="1">
        <f>IF(A48="","",VLOOKUP($A48,子基金及业绩基准周净值!$A:$F,4))</f>
        <v>1.6695</v>
      </c>
      <c r="C48" s="8">
        <f t="shared" si="3"/>
        <v>0.000599340725202212</v>
      </c>
      <c r="D48" s="9">
        <f>IF(A48="","",C48-(子基金及业绩基准周净值!AH50/子基金及业绩基准周净值!AH49-1))</f>
        <v>0.00770767078213156</v>
      </c>
      <c r="E48" s="12">
        <f>IF(A48="","",(MAX(B$3:B48)-B48)/MAX(B$3:B48))</f>
        <v>0</v>
      </c>
      <c r="F48" s="12">
        <f>IF(A48="","",MAX(E$4:E48))</f>
        <v>0.0054257397091804</v>
      </c>
      <c r="G48" s="17">
        <v>0</v>
      </c>
      <c r="H48" s="14" t="str">
        <f t="shared" si="4"/>
        <v>否</v>
      </c>
      <c r="I48" s="14" t="str">
        <f t="shared" si="2"/>
        <v>否</v>
      </c>
      <c r="J48" s="15" t="str">
        <f t="shared" si="1"/>
        <v>否</v>
      </c>
    </row>
    <row r="49" spans="1:10">
      <c r="A49" s="7">
        <f>IF(子基金及业绩基准周净值!A51="","",子基金及业绩基准周净值!A51)</f>
        <v>45807</v>
      </c>
      <c r="B49" s="1">
        <f>IF(A49="","",VLOOKUP($A49,子基金及业绩基准周净值!$A:$F,4))</f>
        <v>1.6715</v>
      </c>
      <c r="C49" s="8">
        <f t="shared" si="3"/>
        <v>0.00119796346211441</v>
      </c>
      <c r="D49" s="9">
        <f>IF(A49="","",C49-(子基金及业绩基准周净值!AH51/子基金及业绩基准周净值!AH50-1))</f>
        <v>-0.00026502404621411</v>
      </c>
      <c r="E49" s="12">
        <f>IF(A49="","",(MAX(B$3:B49)-B49)/MAX(B$3:B49))</f>
        <v>0</v>
      </c>
      <c r="F49" s="12">
        <f>IF(A49="","",MAX(E$4:E49))</f>
        <v>0.0054257397091804</v>
      </c>
      <c r="G49" s="17">
        <v>1</v>
      </c>
      <c r="H49" s="14" t="str">
        <f t="shared" si="4"/>
        <v>否</v>
      </c>
      <c r="I49" s="14" t="str">
        <f t="shared" si="2"/>
        <v>否</v>
      </c>
      <c r="J49" s="15" t="str">
        <f t="shared" si="1"/>
        <v>否</v>
      </c>
    </row>
    <row r="50" spans="1:10">
      <c r="A50" s="7">
        <f>IF(子基金及业绩基准周净值!A52="","",子基金及业绩基准周净值!A52)</f>
        <v>45814</v>
      </c>
      <c r="B50" s="1">
        <f>IF(A50="","",VLOOKUP($A50,子基金及业绩基准周净值!$A:$F,4))</f>
        <v>1.6683</v>
      </c>
      <c r="C50" s="8">
        <f t="shared" si="3"/>
        <v>-0.00191444810050858</v>
      </c>
      <c r="D50" s="9">
        <f>IF(A50="","",C50-(子基金及业绩基准周净值!AH52/子基金及业绩基准周净值!AH51-1))</f>
        <v>-0.00537674030778103</v>
      </c>
      <c r="E50" s="12">
        <f>IF(A50="","",(MAX(B$3:B50)-B50)/MAX(B$3:B50))</f>
        <v>0.00191444810050858</v>
      </c>
      <c r="F50" s="12">
        <f>IF(A50="","",MAX(E$4:E50))</f>
        <v>0.0054257397091804</v>
      </c>
      <c r="G50" s="17">
        <v>2</v>
      </c>
      <c r="H50" s="14" t="str">
        <f t="shared" si="4"/>
        <v>否</v>
      </c>
      <c r="I50" s="14" t="str">
        <f t="shared" si="2"/>
        <v>否</v>
      </c>
      <c r="J50" s="15" t="str">
        <f t="shared" si="1"/>
        <v>否</v>
      </c>
    </row>
    <row r="51" spans="1:10">
      <c r="A51" s="7">
        <f>IF(子基金及业绩基准周净值!A53="","",子基金及业绩基准周净值!A53)</f>
        <v>45821</v>
      </c>
      <c r="B51" s="1">
        <f>IF(A51="","",VLOOKUP($A51,子基金及业绩基准周净值!$A:$F,4))</f>
        <v>1.6701</v>
      </c>
      <c r="C51" s="8">
        <f t="shared" si="3"/>
        <v>0.00107894263621652</v>
      </c>
      <c r="D51" s="9">
        <f>IF(A51="","",C51-(子基金及业绩基准周净值!AH53/子基金及业绩基准周净值!AH52-1))</f>
        <v>0.000909058034760573</v>
      </c>
      <c r="E51" s="12">
        <f>IF(A51="","",(MAX(B$3:B51)-B51)/MAX(B$3:B51))</f>
        <v>0.00083757104397252</v>
      </c>
      <c r="F51" s="12">
        <f>IF(A51="","",MAX(E$4:E51))</f>
        <v>0.0054257397091804</v>
      </c>
      <c r="G51" s="17">
        <v>0</v>
      </c>
      <c r="H51" s="14" t="str">
        <f t="shared" si="4"/>
        <v>否</v>
      </c>
      <c r="I51" s="14" t="str">
        <f t="shared" si="2"/>
        <v>否</v>
      </c>
      <c r="J51" s="15" t="str">
        <f t="shared" si="1"/>
        <v>否</v>
      </c>
    </row>
    <row r="52" spans="1:10">
      <c r="A52" s="7">
        <f>IF(子基金及业绩基准周净值!A54="","",子基金及业绩基准周净值!A54)</f>
        <v>45828</v>
      </c>
      <c r="B52" s="1">
        <f>IF(A52="","",VLOOKUP($A52,子基金及业绩基准周净值!$A:$F,4))</f>
        <v>1.6694</v>
      </c>
      <c r="C52" s="8">
        <f t="shared" si="3"/>
        <v>-0.000419136578647939</v>
      </c>
      <c r="D52" s="9">
        <f>IF(A52="","",C52-(子基金及业绩基准周净值!AH54/子基金及业绩基准周净值!AH53-1))</f>
        <v>0.000655876937988697</v>
      </c>
      <c r="E52" s="12">
        <f>IF(A52="","",(MAX(B$3:B52)-B52)/MAX(B$3:B52))</f>
        <v>0.00125635656595871</v>
      </c>
      <c r="F52" s="12">
        <f>IF(A52="","",MAX(E$4:E52))</f>
        <v>0.0054257397091804</v>
      </c>
      <c r="G52" s="17">
        <v>0</v>
      </c>
      <c r="H52" s="14" t="str">
        <f t="shared" si="4"/>
        <v>否</v>
      </c>
      <c r="I52" s="14" t="str">
        <f t="shared" si="2"/>
        <v>否</v>
      </c>
      <c r="J52" s="15" t="str">
        <f t="shared" si="1"/>
        <v>否</v>
      </c>
    </row>
    <row r="53" spans="1:10">
      <c r="A53" s="7">
        <f>IF(子基金及业绩基准周净值!A55="","",子基金及业绩基准周净值!A55)</f>
        <v>45835</v>
      </c>
      <c r="B53" s="1">
        <f>IF(A53="","",VLOOKUP($A53,子基金及业绩基准周净值!$A:$F,4))</f>
        <v>1.675</v>
      </c>
      <c r="C53" s="8">
        <f t="shared" si="3"/>
        <v>0.00335449862225952</v>
      </c>
      <c r="D53" s="9">
        <f>IF(A53="","",C53-(子基金及业绩基准周净值!AH55/子基金及业绩基准周净值!AH54-1))</f>
        <v>-0.000781838481836143</v>
      </c>
      <c r="E53" s="12">
        <f>IF(A53="","",(MAX(B$3:B53)-B53)/MAX(B$3:B53))</f>
        <v>0</v>
      </c>
      <c r="F53" s="12">
        <f>IF(A53="","",MAX(E$4:E53))</f>
        <v>0.0054257397091804</v>
      </c>
      <c r="G53" s="17">
        <v>1</v>
      </c>
      <c r="H53" s="14" t="str">
        <f t="shared" si="4"/>
        <v>否</v>
      </c>
      <c r="I53" s="14" t="str">
        <f t="shared" si="2"/>
        <v>否</v>
      </c>
      <c r="J53" s="15" t="str">
        <f t="shared" si="1"/>
        <v>否</v>
      </c>
    </row>
    <row r="54" spans="1:10">
      <c r="A54" s="7">
        <f>IF(子基金及业绩基准周净值!A56="","",子基金及业绩基准周净值!A56)</f>
        <v>45842</v>
      </c>
      <c r="B54" s="1">
        <f>IF(A54="","",VLOOKUP($A54,子基金及业绩基准周净值!$A:$F,4))</f>
        <v>1.6766</v>
      </c>
      <c r="C54" s="8">
        <f t="shared" si="3"/>
        <v>0.000955223880597042</v>
      </c>
      <c r="D54" s="9">
        <f>IF(A54="","",C54-(子基金及业绩基准周净值!AH56/子基金及业绩基准周净值!AH55-1))</f>
        <v>-0.00371377655525102</v>
      </c>
      <c r="E54" s="12">
        <f>IF(A54="","",(MAX(B$3:B54)-B54)/MAX(B$3:B54))</f>
        <v>0</v>
      </c>
      <c r="F54" s="12">
        <f>IF(A54="","",MAX(E$4:E54))</f>
        <v>0.0054257397091804</v>
      </c>
      <c r="G54" s="17">
        <v>2</v>
      </c>
      <c r="H54" s="14" t="str">
        <f t="shared" si="4"/>
        <v>否</v>
      </c>
      <c r="I54" s="14" t="str">
        <f t="shared" si="2"/>
        <v>否</v>
      </c>
      <c r="J54" s="15" t="str">
        <f t="shared" si="1"/>
        <v>否</v>
      </c>
    </row>
    <row r="55" spans="1:10">
      <c r="A55" s="7">
        <f>IF(子基金及业绩基准周净值!A57="","",子基金及业绩基准周净值!A57)</f>
        <v>45849</v>
      </c>
      <c r="B55" s="1">
        <f>IF(A55="","",VLOOKUP($A55,子基金及业绩基准周净值!$A:$F,4))</f>
        <v>1.6782</v>
      </c>
      <c r="C55" s="8">
        <f t="shared" si="3"/>
        <v>0.000954312298699644</v>
      </c>
      <c r="D55" s="9">
        <f>IF(A55="","",C55-(子基金及业绩基准周净值!AH57/子基金及业绩基准周净值!AH56-1))</f>
        <v>-0.00160175427530422</v>
      </c>
      <c r="E55" s="12">
        <f>IF(A55="","",(MAX(B$3:B55)-B55)/MAX(B$3:B55))</f>
        <v>0</v>
      </c>
      <c r="F55" s="12">
        <f>IF(A55="","",MAX(E$4:E55))</f>
        <v>0.0054257397091804</v>
      </c>
      <c r="G55" s="17">
        <v>3</v>
      </c>
      <c r="H55" s="14" t="str">
        <f t="shared" si="4"/>
        <v>否</v>
      </c>
      <c r="I55" s="14" t="str">
        <f t="shared" si="2"/>
        <v>否</v>
      </c>
      <c r="J55" s="15" t="str">
        <f t="shared" si="1"/>
        <v>否</v>
      </c>
    </row>
    <row r="56" spans="1:10">
      <c r="A56" s="7">
        <f>IF(子基金及业绩基准周净值!A58="","",子基金及业绩基准周净值!A58)</f>
        <v>45856</v>
      </c>
      <c r="B56" s="1">
        <f>IF(A56="","",VLOOKUP($A56,子基金及业绩基准周净值!$A:$F,4))</f>
        <v>1.6837</v>
      </c>
      <c r="C56" s="8">
        <f t="shared" si="3"/>
        <v>0.00327732093910145</v>
      </c>
      <c r="D56" s="9">
        <f>IF(A56="","",C56-(子基金及业绩基准周净值!AH58/子基金及业绩基准周净值!AH57-1))</f>
        <v>-0.000985898448463899</v>
      </c>
      <c r="E56" s="12">
        <f>IF(A56="","",(MAX(B$3:B56)-B56)/MAX(B$3:B56))</f>
        <v>0</v>
      </c>
      <c r="F56" s="12">
        <f>IF(A56="","",MAX(E$4:E56))</f>
        <v>0.0054257397091804</v>
      </c>
      <c r="G56" s="17">
        <v>4</v>
      </c>
      <c r="H56" s="14" t="str">
        <f t="shared" si="4"/>
        <v>否</v>
      </c>
      <c r="I56" s="14" t="str">
        <f t="shared" si="2"/>
        <v>否</v>
      </c>
      <c r="J56" s="15" t="str">
        <f t="shared" si="1"/>
        <v>是</v>
      </c>
    </row>
    <row r="57" spans="1:10">
      <c r="A57" s="7">
        <f>IF(子基金及业绩基准周净值!A59="","",子基金及业绩基准周净值!A59)</f>
        <v>45863</v>
      </c>
      <c r="B57" s="1">
        <f>IF(A57="","",VLOOKUP($A57,子基金及业绩基准周净值!$A:$F,4))</f>
        <v>1.6807</v>
      </c>
      <c r="C57" s="8">
        <f t="shared" si="3"/>
        <v>-0.00178179010512555</v>
      </c>
      <c r="D57" s="9">
        <f>IF(A57="","",C57-(子基金及业绩基准周净值!AH59/子基金及业绩基准周净值!AH58-1))</f>
        <v>-0.00174443190922099</v>
      </c>
      <c r="E57" s="12">
        <f>IF(A57="","",(MAX(B$3:B57)-B57)/MAX(B$3:B57))</f>
        <v>0.00178179010512555</v>
      </c>
      <c r="F57" s="12">
        <f>IF(A57="","",MAX(E$4:E57))</f>
        <v>0.0054257397091804</v>
      </c>
      <c r="G57" s="17">
        <v>5</v>
      </c>
      <c r="H57" s="14" t="str">
        <f t="shared" si="4"/>
        <v>否</v>
      </c>
      <c r="I57" s="14" t="str">
        <f t="shared" si="2"/>
        <v>否</v>
      </c>
      <c r="J57" s="15" t="str">
        <f t="shared" si="1"/>
        <v>是</v>
      </c>
    </row>
    <row r="58" spans="1:10">
      <c r="A58" s="7">
        <f>IF(子基金及业绩基准周净值!A60="","",子基金及业绩基准周净值!A60)</f>
        <v>45870</v>
      </c>
      <c r="B58" s="1">
        <f>IF(A58="","",VLOOKUP($A58,子基金及业绩基准周净值!$A:$F,4))</f>
        <v>1.6764</v>
      </c>
      <c r="C58" s="8">
        <f t="shared" si="3"/>
        <v>-0.00255845778544665</v>
      </c>
      <c r="D58" s="9">
        <f>IF(A58="","",C58-(子基金及业绩基准周净值!AH60/子基金及业绩基准周净值!AH59-1))</f>
        <v>-0.00630976106256857</v>
      </c>
      <c r="E58" s="12">
        <f>IF(A58="","",(MAX(B$3:B58)-B58)/MAX(B$3:B58))</f>
        <v>0.00433568925580572</v>
      </c>
      <c r="F58" s="12">
        <f>IF(A58="","",MAX(E$4:E58))</f>
        <v>0.0054257397091804</v>
      </c>
      <c r="G58" s="17">
        <v>6</v>
      </c>
      <c r="H58" s="14" t="str">
        <f t="shared" si="4"/>
        <v>否</v>
      </c>
      <c r="I58" s="14" t="str">
        <f t="shared" si="2"/>
        <v>否</v>
      </c>
      <c r="J58" s="15" t="str">
        <f t="shared" si="1"/>
        <v>是</v>
      </c>
    </row>
    <row r="59" spans="1:10">
      <c r="A59" s="7">
        <f>IF(子基金及业绩基准周净值!A61="","",子基金及业绩基准周净值!A61)</f>
        <v>45877</v>
      </c>
      <c r="B59" s="1">
        <f>IF(A59="","",VLOOKUP($A59,子基金及业绩基准周净值!$A:$F,4))</f>
        <v>1.6761</v>
      </c>
      <c r="C59" s="8">
        <f t="shared" si="3"/>
        <v>-0.000178954903364332</v>
      </c>
      <c r="D59" s="9">
        <f>IF(A59="","",C59-(子基金及业绩基准周净值!AH61/子基金及业绩基准周净值!AH60-1))</f>
        <v>-0.00624292960382949</v>
      </c>
      <c r="E59" s="12">
        <f>IF(A59="","",(MAX(B$3:B59)-B59)/MAX(B$3:B59))</f>
        <v>0.00451386826631826</v>
      </c>
      <c r="F59" s="12">
        <f>IF(A59="","",MAX(E$4:E59))</f>
        <v>0.0054257397091804</v>
      </c>
      <c r="G59" s="17">
        <v>7</v>
      </c>
      <c r="H59" s="14" t="str">
        <f t="shared" si="4"/>
        <v>否</v>
      </c>
      <c r="I59" s="14" t="str">
        <f t="shared" si="2"/>
        <v>否</v>
      </c>
      <c r="J59" s="15" t="str">
        <f t="shared" si="1"/>
        <v>是</v>
      </c>
    </row>
    <row r="60" spans="1:10">
      <c r="A60" s="7">
        <f>IF(子基金及业绩基准周净值!A62="","",子基金及业绩基准周净值!A62)</f>
        <v>45884</v>
      </c>
      <c r="B60" s="1">
        <f>IF(A60="","",VLOOKUP($A60,子基金及业绩基准周净值!$A:$F,4))</f>
        <v>1.6885</v>
      </c>
      <c r="C60" s="8">
        <f t="shared" si="3"/>
        <v>0.0073981266034246</v>
      </c>
      <c r="D60" s="9">
        <f>IF(A60="","",C60-(子基金及业绩基准周净值!AH62/子基金及业绩基准周净值!AH61-1))</f>
        <v>0.0049330359969852</v>
      </c>
      <c r="E60" s="12">
        <f>IF(A60="","",(MAX(B$3:B60)-B60)/MAX(B$3:B60))</f>
        <v>0</v>
      </c>
      <c r="F60" s="12">
        <f>IF(A60="","",MAX(E$4:E60))</f>
        <v>0.0054257397091804</v>
      </c>
      <c r="G60" s="17">
        <v>0</v>
      </c>
      <c r="H60" s="14" t="str">
        <f t="shared" si="4"/>
        <v>否</v>
      </c>
      <c r="I60" s="14" t="str">
        <f t="shared" si="2"/>
        <v>否</v>
      </c>
      <c r="J60" s="15" t="str">
        <f t="shared" si="1"/>
        <v>否</v>
      </c>
    </row>
    <row r="61" spans="1:10">
      <c r="A61" s="7">
        <f>IF(子基金及业绩基准周净值!A63="","",子基金及业绩基准周净值!A63)</f>
        <v>45891</v>
      </c>
      <c r="B61" s="1">
        <f>IF(A61="","",VLOOKUP($A61,子基金及业绩基准周净值!$A:$F,4))</f>
        <v>1.6983</v>
      </c>
      <c r="C61" s="8">
        <f t="shared" si="3"/>
        <v>0.00580396801895175</v>
      </c>
      <c r="D61" s="9">
        <f>IF(A61="","",C61-(子基金及业绩基准周净值!AH63/子基金及业绩基准周净值!AH62-1))</f>
        <v>0.000850689750682228</v>
      </c>
      <c r="E61" s="12">
        <f>IF(A61="","",(MAX(B$3:B61)-B61)/MAX(B$3:B61))</f>
        <v>0</v>
      </c>
      <c r="F61" s="12">
        <f>IF(A61="","",MAX(E$4:E61))</f>
        <v>0.0054257397091804</v>
      </c>
      <c r="G61" s="17">
        <v>0</v>
      </c>
      <c r="H61" s="14" t="str">
        <f t="shared" si="4"/>
        <v>否</v>
      </c>
      <c r="I61" s="14" t="str">
        <f t="shared" si="2"/>
        <v>否</v>
      </c>
      <c r="J61" s="15" t="str">
        <f t="shared" si="1"/>
        <v>否</v>
      </c>
    </row>
    <row r="62" spans="1:10">
      <c r="A62" s="7">
        <f>IF(子基金及业绩基准周净值!A64="","",子基金及业绩基准周净值!A64)</f>
        <v>45898</v>
      </c>
      <c r="B62" s="1">
        <f>IF(A62="","",VLOOKUP($A62,子基金及业绩基准周净值!$A:$F,4))</f>
        <v>1.7057</v>
      </c>
      <c r="C62" s="8">
        <f t="shared" si="3"/>
        <v>0.00435729847494558</v>
      </c>
      <c r="D62" s="9">
        <f>IF(A62="","",C62-(子基金及业绩基准周净值!AH64/子基金及业绩基准周净值!AH63-1))</f>
        <v>0.00464947754792898</v>
      </c>
      <c r="E62" s="12">
        <f>IF(A62="","",(MAX(B$3:B62)-B62)/MAX(B$3:B62))</f>
        <v>0</v>
      </c>
      <c r="F62" s="12">
        <f>IF(A62="","",MAX(E$4:E62))</f>
        <v>0.0054257397091804</v>
      </c>
      <c r="G62" s="17">
        <v>0</v>
      </c>
      <c r="H62" s="14" t="str">
        <f t="shared" si="4"/>
        <v>否</v>
      </c>
      <c r="I62" s="14" t="str">
        <f t="shared" si="2"/>
        <v>否</v>
      </c>
      <c r="J62" s="15" t="str">
        <f t="shared" si="1"/>
        <v>否</v>
      </c>
    </row>
    <row r="63" spans="1:10">
      <c r="A63" s="7">
        <f>IF(子基金及业绩基准周净值!A65="","",子基金及业绩基准周净值!A65)</f>
        <v>45905</v>
      </c>
      <c r="B63" s="1">
        <f>IF(A63="","",VLOOKUP($A63,子基金及业绩基准周净值!$A:$F,4))</f>
        <v>1.7169</v>
      </c>
      <c r="C63" s="8">
        <f t="shared" si="3"/>
        <v>0.00656621914756411</v>
      </c>
      <c r="D63" s="9">
        <f>IF(A63="","",C63-(子基金及业绩基准周净值!AH65/子基金及业绩基准周净值!AH64-1))</f>
        <v>0.0048425147501136</v>
      </c>
      <c r="E63" s="12">
        <f>IF(A63="","",(MAX(B$3:B63)-B63)/MAX(B$3:B63))</f>
        <v>0</v>
      </c>
      <c r="F63" s="12">
        <f>IF(A63="","",MAX(E$4:E63))</f>
        <v>0.0054257397091804</v>
      </c>
      <c r="G63" s="17">
        <v>0</v>
      </c>
      <c r="H63" s="14" t="str">
        <f t="shared" si="4"/>
        <v>否</v>
      </c>
      <c r="I63" s="14" t="str">
        <f t="shared" si="2"/>
        <v>否</v>
      </c>
      <c r="J63" s="15" t="str">
        <f t="shared" si="1"/>
        <v>否</v>
      </c>
    </row>
    <row r="64" spans="1:10">
      <c r="A64" s="7">
        <f>IF(子基金及业绩基准周净值!A66="","",子基金及业绩基准周净值!A66)</f>
        <v>45912</v>
      </c>
      <c r="B64" s="1">
        <f>IF(A64="","",VLOOKUP($A64,子基金及业绩基准周净值!$A:$F,4))</f>
        <v>1.7257</v>
      </c>
      <c r="C64" s="8">
        <f t="shared" si="3"/>
        <v>0.00512551692003024</v>
      </c>
      <c r="D64" s="9">
        <f>IF(A64="","",C64-(子基金及业绩基准周净值!AH66/子基金及业绩基准周净值!AH65-1))</f>
        <v>0.000293625417494638</v>
      </c>
      <c r="E64" s="12">
        <f>IF(A64="","",(MAX(B$3:B64)-B64)/MAX(B$3:B64))</f>
        <v>0</v>
      </c>
      <c r="F64" s="12">
        <f>IF(A64="","",MAX(E$4:E64))</f>
        <v>0.0054257397091804</v>
      </c>
      <c r="G64" s="17">
        <v>0</v>
      </c>
      <c r="H64" s="14" t="str">
        <f t="shared" si="4"/>
        <v>否</v>
      </c>
      <c r="I64" s="14" t="str">
        <f t="shared" si="2"/>
        <v>否</v>
      </c>
      <c r="J64" s="15" t="str">
        <f t="shared" si="1"/>
        <v>否</v>
      </c>
    </row>
    <row r="65" spans="1:10">
      <c r="A65" s="7">
        <f>IF(子基金及业绩基准周净值!A67="","",子基金及业绩基准周净值!A67)</f>
        <v>45919</v>
      </c>
      <c r="B65" s="1">
        <f>IF(A65="","",VLOOKUP($A65,子基金及业绩基准周净值!$A:$F,4))</f>
        <v>1.7316</v>
      </c>
      <c r="C65" s="8">
        <f t="shared" si="3"/>
        <v>0.00341890247435824</v>
      </c>
      <c r="D65" s="9">
        <f>IF(A65="","",C65-(子基金及业绩基准周净值!AH67/子基金及业绩基准周净值!AH66-1))</f>
        <v>0.00238888982457182</v>
      </c>
      <c r="E65" s="12">
        <f>IF(A65="","",(MAX(B$3:B65)-B65)/MAX(B$3:B65))</f>
        <v>0</v>
      </c>
      <c r="F65" s="12">
        <f>IF(A65="","",MAX(E$4:E65))</f>
        <v>0.0054257397091804</v>
      </c>
      <c r="G65" s="17">
        <v>0</v>
      </c>
      <c r="H65" s="14" t="str">
        <f t="shared" si="4"/>
        <v>否</v>
      </c>
      <c r="I65" s="14" t="str">
        <f t="shared" si="2"/>
        <v>否</v>
      </c>
      <c r="J65" s="15" t="str">
        <f t="shared" si="1"/>
        <v>否</v>
      </c>
    </row>
    <row r="66" spans="1:10">
      <c r="A66" s="7">
        <f>IF(子基金及业绩基准周净值!A68="","",子基金及业绩基准周净值!A68)</f>
        <v>45926</v>
      </c>
      <c r="B66" s="1">
        <f>IF(A66="","",VLOOKUP($A66,子基金及业绩基准周净值!$A:$F,4))</f>
        <v>1.7439</v>
      </c>
      <c r="C66" s="8">
        <f t="shared" si="3"/>
        <v>0.00710325710325709</v>
      </c>
      <c r="D66" s="9">
        <f>IF(A66="","",C66-(子基金及业绩基准周净值!AH68/子基金及业绩基准周净值!AH67-1))</f>
        <v>0.00718824969081854</v>
      </c>
      <c r="E66" s="12">
        <f>IF(A66="","",(MAX(B$3:B66)-B66)/MAX(B$3:B66))</f>
        <v>0</v>
      </c>
      <c r="F66" s="12">
        <f>IF(A66="","",MAX(E$4:E66))</f>
        <v>0.0054257397091804</v>
      </c>
      <c r="G66" s="17">
        <v>0</v>
      </c>
      <c r="H66" s="14" t="str">
        <f t="shared" si="4"/>
        <v>否</v>
      </c>
      <c r="I66" s="14" t="str">
        <f t="shared" si="2"/>
        <v>否</v>
      </c>
      <c r="J66" s="15" t="str">
        <f t="shared" si="1"/>
        <v>否</v>
      </c>
    </row>
    <row r="67" spans="1:10">
      <c r="A67" s="7">
        <f>IF(子基金及业绩基准周净值!A69="","",子基金及业绩基准周净值!A69)</f>
        <v>45940</v>
      </c>
      <c r="B67" s="1">
        <f>IF(A67="","",VLOOKUP($A67,子基金及业绩基准周净值!$A:$F,4))</f>
        <v>1.747</v>
      </c>
      <c r="C67" s="8">
        <f t="shared" si="3"/>
        <v>0.00177762486381106</v>
      </c>
      <c r="D67" s="9">
        <f>IF(A67="","",C67-(子基金及业绩基准周净值!AH69/子基金及业绩基准周净值!AH68-1))</f>
        <v>-0.00441180824893261</v>
      </c>
      <c r="E67" s="12">
        <f>IF(A67="","",(MAX(B$3:B67)-B67)/MAX(B$3:B67))</f>
        <v>0</v>
      </c>
      <c r="F67" s="12">
        <f>IF(A67="","",MAX(E$4:E67))</f>
        <v>0.0054257397091804</v>
      </c>
      <c r="G67" s="17">
        <v>1</v>
      </c>
      <c r="H67" s="14" t="str">
        <f t="shared" si="4"/>
        <v>否</v>
      </c>
      <c r="I67" s="14" t="str">
        <f t="shared" si="2"/>
        <v>否</v>
      </c>
      <c r="J67" s="15" t="str">
        <f t="shared" si="1"/>
        <v>否</v>
      </c>
    </row>
    <row r="68" spans="1:10">
      <c r="A68" s="7">
        <f>IF(子基金及业绩基准周净值!A70="","",子基金及业绩基准周净值!A70)</f>
        <v>45947</v>
      </c>
      <c r="B68" s="1">
        <f>IF(A68="","",VLOOKUP($A68,子基金及业绩基准周净值!$A:$F,4))</f>
        <v>1.7406</v>
      </c>
      <c r="C68" s="8">
        <f t="shared" si="3"/>
        <v>-0.00366342301087589</v>
      </c>
      <c r="D68" s="9">
        <f>IF(A68="","",C68-(子基金及业绩基准周净值!AH70/子基金及业绩基准周净值!AH69-1))</f>
        <v>0.00169349388969005</v>
      </c>
      <c r="E68" s="12">
        <f>IF(A68="","",(MAX(B$3:B68)-B68)/MAX(B$3:B68))</f>
        <v>0.00366342301087589</v>
      </c>
      <c r="F68" s="12">
        <f>IF(A68="","",MAX(E$4:E68))</f>
        <v>0.0054257397091804</v>
      </c>
      <c r="G68" s="17">
        <v>0</v>
      </c>
      <c r="H68" s="14" t="str">
        <f t="shared" si="4"/>
        <v>否</v>
      </c>
      <c r="I68" s="14" t="str">
        <f t="shared" si="2"/>
        <v>否</v>
      </c>
      <c r="J68" s="15" t="str">
        <f t="shared" si="1"/>
        <v>否</v>
      </c>
    </row>
    <row r="69" spans="1:10">
      <c r="A69" s="7">
        <f>IF(子基金及业绩基准周净值!A71="","",子基金及业绩基准周净值!A71)</f>
        <v>45954</v>
      </c>
      <c r="B69" s="1">
        <f>IF(A69="","",VLOOKUP($A69,子基金及业绩基准周净值!$A:$F,4))</f>
        <v>1.7553</v>
      </c>
      <c r="C69" s="8">
        <f t="shared" si="3"/>
        <v>0.00844536366770088</v>
      </c>
      <c r="D69" s="9">
        <f>IF(A69="","",C69-(子基金及业绩基准周净值!AH71/子基金及业绩基准周净值!AH70-1))</f>
        <v>-0.000638376314850081</v>
      </c>
      <c r="E69" s="12">
        <f>IF(A69="","",(MAX(B$3:B69)-B69)/MAX(B$3:B69))</f>
        <v>0</v>
      </c>
      <c r="F69" s="12">
        <f>IF(A69="","",MAX(E$4:E69))</f>
        <v>0.0054257397091804</v>
      </c>
      <c r="G69" s="17">
        <v>1</v>
      </c>
      <c r="H69" s="14" t="str">
        <f t="shared" ref="H69:H100" si="5">IF(B69="","",IF(C69&lt;-3%,"是","否"))</f>
        <v>否</v>
      </c>
      <c r="I69" s="14" t="str">
        <f t="shared" ref="I69:I127" si="6">IF(A69="","",IF(F69&gt;5%,"是","否"))</f>
        <v>否</v>
      </c>
      <c r="J69" s="15" t="str">
        <f t="shared" ref="J69:J127" si="7">IF(A69="","",IF(G69&gt;=4,"是","否"))</f>
        <v>否</v>
      </c>
    </row>
    <row r="70" spans="1:10">
      <c r="A70" s="7">
        <f>IF(子基金及业绩基准周净值!A72="","",子基金及业绩基准周净值!A72)</f>
        <v>45961</v>
      </c>
      <c r="B70" s="1">
        <f>IF(A70="","",VLOOKUP($A70,子基金及业绩基准周净值!$A:$F,4))</f>
        <v>1.7657</v>
      </c>
      <c r="C70" s="8">
        <f t="shared" ref="C70:C127" si="8">IF(A70="","",(B70-B69)/B69)</f>
        <v>0.00592491312026432</v>
      </c>
      <c r="D70" s="9">
        <f>IF(A70="","",C70-(子基金及业绩基准周净值!AH72/子基金及业绩基准周净值!AH71-1))</f>
        <v>0.00296078919151798</v>
      </c>
      <c r="E70" s="12">
        <f>IF(A70="","",(MAX(B$3:B70)-B70)/MAX(B$3:B70))</f>
        <v>0</v>
      </c>
      <c r="F70" s="12">
        <f>IF(A70="","",MAX(E$4:E70))</f>
        <v>0.0054257397091804</v>
      </c>
      <c r="G70" s="17">
        <v>0</v>
      </c>
      <c r="H70" s="14" t="str">
        <f t="shared" si="5"/>
        <v>否</v>
      </c>
      <c r="I70" s="14" t="str">
        <f t="shared" si="6"/>
        <v>否</v>
      </c>
      <c r="J70" s="15" t="str">
        <f t="shared" si="7"/>
        <v>否</v>
      </c>
    </row>
    <row r="71" spans="1:10">
      <c r="A71" s="7" t="str">
        <f>IF(子基金及业绩基准周净值!A73="","",子基金及业绩基准周净值!A73)</f>
        <v/>
      </c>
      <c r="B71" s="1" t="str">
        <f>IF(A71="","",VLOOKUP($A71,子基金及业绩基准周净值!$A:$F,4))</f>
        <v/>
      </c>
      <c r="C71" s="8" t="str">
        <f t="shared" si="8"/>
        <v/>
      </c>
      <c r="D71" s="9" t="str">
        <f>IF(A71="","",C71-(子基金及业绩基准周净值!AH73/子基金及业绩基准周净值!AH72-1))</f>
        <v/>
      </c>
      <c r="E71" s="12" t="str">
        <f>IF(A71="","",(MAX(B$3:B71)-B71)/MAX(B$3:B71))</f>
        <v/>
      </c>
      <c r="F71" s="12" t="str">
        <f>IF(A71="","",MAX(E$4:E71))</f>
        <v/>
      </c>
      <c r="G71" s="17" t="str">
        <f>IF(A71="","",MAX(FREQUENCY(IF($D$3:D71&lt;0,ROW($D$3:D71)),IF($D$3:D71&gt;=0,ROW($D$3:D71)))))</f>
        <v/>
      </c>
      <c r="H71" s="14" t="str">
        <f t="shared" si="5"/>
        <v/>
      </c>
      <c r="I71" s="14" t="str">
        <f t="shared" si="6"/>
        <v/>
      </c>
      <c r="J71" s="15" t="str">
        <f t="shared" si="7"/>
        <v/>
      </c>
    </row>
    <row r="72" spans="1:10">
      <c r="A72" s="7" t="str">
        <f>IF(子基金及业绩基准周净值!A74="","",子基金及业绩基准周净值!A74)</f>
        <v/>
      </c>
      <c r="B72" s="1" t="str">
        <f>IF(A72="","",VLOOKUP($A72,子基金及业绩基准周净值!$A:$F,4))</f>
        <v/>
      </c>
      <c r="C72" s="8" t="str">
        <f t="shared" si="8"/>
        <v/>
      </c>
      <c r="D72" s="9" t="str">
        <f>IF(A72="","",C72-(子基金及业绩基准周净值!AH74/子基金及业绩基准周净值!AH73-1))</f>
        <v/>
      </c>
      <c r="E72" s="12" t="str">
        <f>IF(A72="","",(MAX(B$3:B72)-B72)/MAX(B$3:B72))</f>
        <v/>
      </c>
      <c r="F72" s="12" t="str">
        <f>IF(A72="","",MAX(E$4:E72))</f>
        <v/>
      </c>
      <c r="G72" s="17" t="str">
        <f>IF(A72="","",MAX(FREQUENCY(IF($D$3:D72&lt;0,ROW($D$3:D72)),IF($D$3:D72&gt;=0,ROW($D$3:D72)))))</f>
        <v/>
      </c>
      <c r="H72" s="14" t="str">
        <f t="shared" si="5"/>
        <v/>
      </c>
      <c r="I72" s="14" t="str">
        <f t="shared" si="6"/>
        <v/>
      </c>
      <c r="J72" s="15" t="str">
        <f t="shared" si="7"/>
        <v/>
      </c>
    </row>
    <row r="73" spans="1:10">
      <c r="A73" s="7" t="str">
        <f>IF(子基金及业绩基准周净值!A75="","",子基金及业绩基准周净值!A75)</f>
        <v/>
      </c>
      <c r="B73" s="1" t="str">
        <f>IF(A73="","",VLOOKUP($A73,子基金及业绩基准周净值!$A:$F,4))</f>
        <v/>
      </c>
      <c r="C73" s="8" t="str">
        <f t="shared" si="8"/>
        <v/>
      </c>
      <c r="D73" s="9" t="str">
        <f>IF(A73="","",C73-(子基金及业绩基准周净值!AH75/子基金及业绩基准周净值!AH74-1))</f>
        <v/>
      </c>
      <c r="E73" s="12" t="str">
        <f>IF(A73="","",(MAX(B$3:B73)-B73)/MAX(B$3:B73))</f>
        <v/>
      </c>
      <c r="F73" s="12" t="str">
        <f>IF(A73="","",MAX(E$4:E73))</f>
        <v/>
      </c>
      <c r="G73" s="17" t="str">
        <f>IF(A73="","",MAX(FREQUENCY(IF($D$3:D73&lt;0,ROW($D$3:D73)),IF($D$3:D73&gt;=0,ROW($D$3:D73)))))</f>
        <v/>
      </c>
      <c r="H73" s="14" t="str">
        <f t="shared" si="5"/>
        <v/>
      </c>
      <c r="I73" s="14" t="str">
        <f t="shared" si="6"/>
        <v/>
      </c>
      <c r="J73" s="15" t="str">
        <f t="shared" si="7"/>
        <v/>
      </c>
    </row>
    <row r="74" spans="1:10">
      <c r="A74" s="7" t="str">
        <f>IF(子基金及业绩基准周净值!A76="","",子基金及业绩基准周净值!A76)</f>
        <v/>
      </c>
      <c r="B74" s="1" t="str">
        <f>IF(A74="","",VLOOKUP($A74,子基金及业绩基准周净值!$A:$F,4))</f>
        <v/>
      </c>
      <c r="C74" s="8" t="str">
        <f t="shared" si="8"/>
        <v/>
      </c>
      <c r="D74" s="9" t="str">
        <f>IF(A74="","",C74-(子基金及业绩基准周净值!AH76/子基金及业绩基准周净值!AH75-1))</f>
        <v/>
      </c>
      <c r="E74" s="12" t="str">
        <f>IF(A74="","",(MAX(B$3:B74)-B74)/MAX(B$3:B74))</f>
        <v/>
      </c>
      <c r="F74" s="12" t="str">
        <f>IF(A74="","",MAX(E$4:E74))</f>
        <v/>
      </c>
      <c r="G74" s="17" t="str">
        <f>IF(A74="","",MAX(FREQUENCY(IF($D$3:D74&lt;0,ROW($D$3:D74)),IF($D$3:D74&gt;=0,ROW($D$3:D74)))))</f>
        <v/>
      </c>
      <c r="H74" s="14" t="str">
        <f t="shared" si="5"/>
        <v/>
      </c>
      <c r="I74" s="14" t="str">
        <f t="shared" si="6"/>
        <v/>
      </c>
      <c r="J74" s="15" t="str">
        <f t="shared" si="7"/>
        <v/>
      </c>
    </row>
    <row r="75" spans="1:10">
      <c r="A75" s="7" t="str">
        <f>IF(子基金及业绩基准周净值!A77="","",子基金及业绩基准周净值!A77)</f>
        <v/>
      </c>
      <c r="B75" s="1" t="str">
        <f>IF(A75="","",VLOOKUP($A75,子基金及业绩基准周净值!$A:$F,4))</f>
        <v/>
      </c>
      <c r="C75" s="8" t="str">
        <f t="shared" si="8"/>
        <v/>
      </c>
      <c r="D75" s="9" t="str">
        <f>IF(A75="","",C75-(子基金及业绩基准周净值!AH77/子基金及业绩基准周净值!AH76-1))</f>
        <v/>
      </c>
      <c r="E75" s="12" t="str">
        <f>IF(A75="","",(MAX(B$3:B75)-B75)/MAX(B$3:B75))</f>
        <v/>
      </c>
      <c r="F75" s="12" t="str">
        <f>IF(A75="","",MAX(E$4:E75))</f>
        <v/>
      </c>
      <c r="G75" s="17" t="str">
        <f>IF(A75="","",MAX(FREQUENCY(IF($D$3:D75&lt;0,ROW($D$3:D75)),IF($D$3:D75&gt;=0,ROW($D$3:D75)))))</f>
        <v/>
      </c>
      <c r="H75" s="14" t="str">
        <f t="shared" si="5"/>
        <v/>
      </c>
      <c r="I75" s="14" t="str">
        <f t="shared" si="6"/>
        <v/>
      </c>
      <c r="J75" s="15" t="str">
        <f t="shared" si="7"/>
        <v/>
      </c>
    </row>
    <row r="76" spans="1:10">
      <c r="A76" s="7" t="str">
        <f>IF(子基金及业绩基准周净值!A78="","",子基金及业绩基准周净值!A78)</f>
        <v/>
      </c>
      <c r="B76" s="1" t="str">
        <f>IF(A76="","",VLOOKUP($A76,子基金及业绩基准周净值!$A:$F,4))</f>
        <v/>
      </c>
      <c r="C76" s="8" t="str">
        <f t="shared" si="8"/>
        <v/>
      </c>
      <c r="D76" s="9" t="str">
        <f>IF(A76="","",C76-(子基金及业绩基准周净值!AH78/子基金及业绩基准周净值!AH77-1))</f>
        <v/>
      </c>
      <c r="E76" s="12" t="str">
        <f>IF(A76="","",(MAX(B$3:B76)-B76)/MAX(B$3:B76))</f>
        <v/>
      </c>
      <c r="F76" s="12" t="str">
        <f>IF(A76="","",MAX(E$4:E76))</f>
        <v/>
      </c>
      <c r="G76" s="17" t="str">
        <f>IF(A76="","",MAX(FREQUENCY(IF($D$3:D76&lt;0,ROW($D$3:D76)),IF($D$3:D76&gt;=0,ROW($D$3:D76)))))</f>
        <v/>
      </c>
      <c r="H76" s="14" t="str">
        <f t="shared" si="5"/>
        <v/>
      </c>
      <c r="I76" s="14" t="str">
        <f t="shared" si="6"/>
        <v/>
      </c>
      <c r="J76" s="15" t="str">
        <f t="shared" si="7"/>
        <v/>
      </c>
    </row>
    <row r="77" spans="1:10">
      <c r="A77" s="7" t="str">
        <f>IF(子基金及业绩基准周净值!A79="","",子基金及业绩基准周净值!A79)</f>
        <v/>
      </c>
      <c r="B77" s="1" t="str">
        <f>IF(A77="","",VLOOKUP($A77,子基金及业绩基准周净值!$A:$F,4))</f>
        <v/>
      </c>
      <c r="C77" s="8" t="str">
        <f t="shared" si="8"/>
        <v/>
      </c>
      <c r="D77" s="9" t="str">
        <f>IF(A77="","",C77-(子基金及业绩基准周净值!AH79/子基金及业绩基准周净值!AH78-1))</f>
        <v/>
      </c>
      <c r="E77" s="12" t="str">
        <f>IF(A77="","",(MAX(B$3:B77)-B77)/MAX(B$3:B77))</f>
        <v/>
      </c>
      <c r="F77" s="12" t="str">
        <f>IF(A77="","",MAX(E$4:E77))</f>
        <v/>
      </c>
      <c r="G77" s="17" t="str">
        <f>IF(A77="","",MAX(FREQUENCY(IF($D$3:D77&lt;0,ROW($D$3:D77)),IF($D$3:D77&gt;=0,ROW($D$3:D77)))))</f>
        <v/>
      </c>
      <c r="H77" s="14" t="str">
        <f t="shared" si="5"/>
        <v/>
      </c>
      <c r="I77" s="14" t="str">
        <f t="shared" si="6"/>
        <v/>
      </c>
      <c r="J77" s="15" t="str">
        <f t="shared" si="7"/>
        <v/>
      </c>
    </row>
    <row r="78" spans="1:10">
      <c r="A78" s="7" t="str">
        <f>IF(子基金及业绩基准周净值!A80="","",子基金及业绩基准周净值!A80)</f>
        <v/>
      </c>
      <c r="B78" s="1" t="str">
        <f>IF(A78="","",VLOOKUP($A78,子基金及业绩基准周净值!$A:$F,4))</f>
        <v/>
      </c>
      <c r="C78" s="8" t="str">
        <f t="shared" si="8"/>
        <v/>
      </c>
      <c r="D78" s="9" t="str">
        <f>IF(A78="","",C78-(子基金及业绩基准周净值!AH80/子基金及业绩基准周净值!AH79-1))</f>
        <v/>
      </c>
      <c r="E78" s="12" t="str">
        <f>IF(A78="","",(MAX(B$3:B78)-B78)/MAX(B$3:B78))</f>
        <v/>
      </c>
      <c r="F78" s="12" t="str">
        <f>IF(A78="","",MAX(E$4:E78))</f>
        <v/>
      </c>
      <c r="G78" s="17" t="str">
        <f>IF(A78="","",MAX(FREQUENCY(IF($D$3:D78&lt;0,ROW($D$3:D78)),IF($D$3:D78&gt;=0,ROW($D$3:D78)))))</f>
        <v/>
      </c>
      <c r="H78" s="14" t="str">
        <f t="shared" si="5"/>
        <v/>
      </c>
      <c r="I78" s="14" t="str">
        <f t="shared" si="6"/>
        <v/>
      </c>
      <c r="J78" s="15" t="str">
        <f t="shared" si="7"/>
        <v/>
      </c>
    </row>
    <row r="79" spans="1:10">
      <c r="A79" s="7" t="str">
        <f>IF(子基金及业绩基准周净值!A81="","",子基金及业绩基准周净值!A81)</f>
        <v/>
      </c>
      <c r="B79" s="1" t="str">
        <f>IF(A79="","",VLOOKUP($A79,子基金及业绩基准周净值!$A:$F,4))</f>
        <v/>
      </c>
      <c r="C79" s="8" t="str">
        <f t="shared" si="8"/>
        <v/>
      </c>
      <c r="D79" s="9" t="str">
        <f>IF(A79="","",C79-(子基金及业绩基准周净值!AH81/子基金及业绩基准周净值!AH80-1))</f>
        <v/>
      </c>
      <c r="E79" s="12" t="str">
        <f>IF(A79="","",(MAX(B$3:B79)-B79)/MAX(B$3:B79))</f>
        <v/>
      </c>
      <c r="F79" s="12" t="str">
        <f>IF(A79="","",MAX(E$4:E79))</f>
        <v/>
      </c>
      <c r="G79" s="17" t="str">
        <f>IF(A79="","",MAX(FREQUENCY(IF($D$3:D79&lt;0,ROW($D$3:D79)),IF($D$3:D79&gt;=0,ROW($D$3:D79)))))</f>
        <v/>
      </c>
      <c r="H79" s="14" t="str">
        <f t="shared" si="5"/>
        <v/>
      </c>
      <c r="I79" s="14" t="str">
        <f t="shared" si="6"/>
        <v/>
      </c>
      <c r="J79" s="15" t="str">
        <f t="shared" si="7"/>
        <v/>
      </c>
    </row>
    <row r="80" spans="1:10">
      <c r="A80" s="7" t="str">
        <f>IF(子基金及业绩基准周净值!A82="","",子基金及业绩基准周净值!A82)</f>
        <v/>
      </c>
      <c r="B80" s="1" t="str">
        <f>IF(A80="","",VLOOKUP($A80,子基金及业绩基准周净值!$A:$F,4))</f>
        <v/>
      </c>
      <c r="C80" s="8" t="str">
        <f t="shared" si="8"/>
        <v/>
      </c>
      <c r="D80" s="9" t="str">
        <f>IF(A80="","",C80-(子基金及业绩基准周净值!AH82/子基金及业绩基准周净值!AH81-1))</f>
        <v/>
      </c>
      <c r="E80" s="12" t="str">
        <f>IF(A80="","",(MAX(B$3:B80)-B80)/MAX(B$3:B80))</f>
        <v/>
      </c>
      <c r="F80" s="12" t="str">
        <f>IF(A80="","",MAX(E$4:E80))</f>
        <v/>
      </c>
      <c r="G80" s="17" t="str">
        <f>IF(A80="","",MAX(FREQUENCY(IF($D$3:D80&lt;0,ROW($D$3:D80)),IF($D$3:D80&gt;=0,ROW($D$3:D80)))))</f>
        <v/>
      </c>
      <c r="H80" s="14" t="str">
        <f t="shared" si="5"/>
        <v/>
      </c>
      <c r="I80" s="14" t="str">
        <f t="shared" si="6"/>
        <v/>
      </c>
      <c r="J80" s="15" t="str">
        <f t="shared" si="7"/>
        <v/>
      </c>
    </row>
    <row r="81" spans="1:10">
      <c r="A81" s="7" t="str">
        <f>IF(子基金及业绩基准周净值!A83="","",子基金及业绩基准周净值!A83)</f>
        <v/>
      </c>
      <c r="B81" s="1" t="str">
        <f>IF(A81="","",VLOOKUP($A81,子基金及业绩基准周净值!$A:$F,4))</f>
        <v/>
      </c>
      <c r="C81" s="8" t="str">
        <f t="shared" si="8"/>
        <v/>
      </c>
      <c r="D81" s="9" t="str">
        <f>IF(A81="","",C81-(子基金及业绩基准周净值!AH83/子基金及业绩基准周净值!AH82-1))</f>
        <v/>
      </c>
      <c r="E81" s="12" t="str">
        <f>IF(A81="","",(MAX(B$3:B81)-B81)/MAX(B$3:B81))</f>
        <v/>
      </c>
      <c r="F81" s="12" t="str">
        <f>IF(A81="","",MAX(E$4:E81))</f>
        <v/>
      </c>
      <c r="G81" s="17" t="str">
        <f>IF(A81="","",MAX(FREQUENCY(IF($D$3:D81&lt;0,ROW($D$3:D81)),IF($D$3:D81&gt;=0,ROW($D$3:D81)))))</f>
        <v/>
      </c>
      <c r="H81" s="14" t="str">
        <f t="shared" si="5"/>
        <v/>
      </c>
      <c r="I81" s="14" t="str">
        <f t="shared" si="6"/>
        <v/>
      </c>
      <c r="J81" s="15" t="str">
        <f t="shared" si="7"/>
        <v/>
      </c>
    </row>
    <row r="82" spans="1:10">
      <c r="A82" s="7" t="str">
        <f>IF(子基金及业绩基准周净值!A84="","",子基金及业绩基准周净值!A84)</f>
        <v/>
      </c>
      <c r="B82" s="1" t="str">
        <f>IF(A82="","",VLOOKUP($A82,子基金及业绩基准周净值!$A:$F,4))</f>
        <v/>
      </c>
      <c r="C82" s="8" t="str">
        <f t="shared" si="8"/>
        <v/>
      </c>
      <c r="D82" s="9" t="str">
        <f>IF(A82="","",C82-(子基金及业绩基准周净值!AH84/子基金及业绩基准周净值!AH83-1))</f>
        <v/>
      </c>
      <c r="E82" s="12" t="str">
        <f>IF(A82="","",(MAX(B$3:B82)-B82)/MAX(B$3:B82))</f>
        <v/>
      </c>
      <c r="F82" s="12" t="str">
        <f>IF(A82="","",MAX(E$4:E82))</f>
        <v/>
      </c>
      <c r="G82" s="17" t="str">
        <f>IF(A82="","",MAX(FREQUENCY(IF($D$3:D82&lt;0,ROW($D$3:D82)),IF($D$3:D82&gt;=0,ROW($D$3:D82)))))</f>
        <v/>
      </c>
      <c r="H82" s="14" t="str">
        <f t="shared" si="5"/>
        <v/>
      </c>
      <c r="I82" s="14" t="str">
        <f t="shared" si="6"/>
        <v/>
      </c>
      <c r="J82" s="15" t="str">
        <f t="shared" si="7"/>
        <v/>
      </c>
    </row>
    <row r="83" spans="1:10">
      <c r="A83" s="7" t="str">
        <f>IF(子基金及业绩基准周净值!A85="","",子基金及业绩基准周净值!A85)</f>
        <v/>
      </c>
      <c r="B83" s="1" t="str">
        <f>IF(A83="","",VLOOKUP($A83,子基金及业绩基准周净值!$A:$F,4))</f>
        <v/>
      </c>
      <c r="C83" s="8" t="str">
        <f t="shared" si="8"/>
        <v/>
      </c>
      <c r="D83" s="9" t="str">
        <f>IF(A83="","",C83-(子基金及业绩基准周净值!AH85/子基金及业绩基准周净值!AH84-1))</f>
        <v/>
      </c>
      <c r="E83" s="12" t="str">
        <f>IF(A83="","",(MAX(B$3:B83)-B83)/MAX(B$3:B83))</f>
        <v/>
      </c>
      <c r="F83" s="12" t="str">
        <f>IF(A83="","",MAX(E$4:E83))</f>
        <v/>
      </c>
      <c r="G83" s="17" t="str">
        <f>IF(A83="","",MAX(FREQUENCY(IF($D$3:D83&lt;0,ROW($D$3:D83)),IF($D$3:D83&gt;=0,ROW($D$3:D83)))))</f>
        <v/>
      </c>
      <c r="H83" s="14" t="str">
        <f t="shared" si="5"/>
        <v/>
      </c>
      <c r="I83" s="14" t="str">
        <f t="shared" si="6"/>
        <v/>
      </c>
      <c r="J83" s="15" t="str">
        <f t="shared" si="7"/>
        <v/>
      </c>
    </row>
    <row r="84" spans="1:10">
      <c r="A84" s="7" t="str">
        <f>IF(子基金及业绩基准周净值!A86="","",子基金及业绩基准周净值!A86)</f>
        <v/>
      </c>
      <c r="B84" s="1" t="str">
        <f>IF(A84="","",VLOOKUP($A84,子基金及业绩基准周净值!$A:$F,4))</f>
        <v/>
      </c>
      <c r="C84" s="8" t="str">
        <f t="shared" si="8"/>
        <v/>
      </c>
      <c r="D84" s="9" t="str">
        <f>IF(A84="","",C84-(子基金及业绩基准周净值!AH86/子基金及业绩基准周净值!AH85-1))</f>
        <v/>
      </c>
      <c r="E84" s="12" t="str">
        <f>IF(A84="","",(MAX(B$3:B84)-B84)/MAX(B$3:B84))</f>
        <v/>
      </c>
      <c r="F84" s="12" t="str">
        <f>IF(A84="","",MAX(E$4:E84))</f>
        <v/>
      </c>
      <c r="G84" s="17" t="str">
        <f>IF(A84="","",MAX(FREQUENCY(IF($D$3:D84&lt;0,ROW($D$3:D84)),IF($D$3:D84&gt;=0,ROW($D$3:D84)))))</f>
        <v/>
      </c>
      <c r="H84" s="14" t="str">
        <f t="shared" si="5"/>
        <v/>
      </c>
      <c r="I84" s="14" t="str">
        <f t="shared" si="6"/>
        <v/>
      </c>
      <c r="J84" s="15" t="str">
        <f t="shared" si="7"/>
        <v/>
      </c>
    </row>
    <row r="85" spans="1:10">
      <c r="A85" s="7" t="str">
        <f>IF(子基金及业绩基准周净值!A87="","",子基金及业绩基准周净值!A87)</f>
        <v/>
      </c>
      <c r="B85" s="1" t="str">
        <f>IF(A85="","",VLOOKUP($A85,子基金及业绩基准周净值!$A:$F,4))</f>
        <v/>
      </c>
      <c r="C85" s="8" t="str">
        <f t="shared" si="8"/>
        <v/>
      </c>
      <c r="D85" s="9" t="str">
        <f>IF(A85="","",C85-(子基金及业绩基准周净值!AH87/子基金及业绩基准周净值!AH86-1))</f>
        <v/>
      </c>
      <c r="E85" s="12" t="str">
        <f>IF(A85="","",(MAX(B$3:B85)-B85)/MAX(B$3:B85))</f>
        <v/>
      </c>
      <c r="F85" s="12" t="str">
        <f>IF(A85="","",MAX(E$4:E85))</f>
        <v/>
      </c>
      <c r="G85" s="17" t="str">
        <f>IF(A85="","",MAX(FREQUENCY(IF($D$3:D85&lt;0,ROW($D$3:D85)),IF($D$3:D85&gt;=0,ROW($D$3:D85)))))</f>
        <v/>
      </c>
      <c r="H85" s="14" t="str">
        <f t="shared" si="5"/>
        <v/>
      </c>
      <c r="I85" s="14" t="str">
        <f t="shared" si="6"/>
        <v/>
      </c>
      <c r="J85" s="15" t="str">
        <f t="shared" si="7"/>
        <v/>
      </c>
    </row>
    <row r="86" spans="1:10">
      <c r="A86" s="7" t="str">
        <f>IF(子基金及业绩基准周净值!A88="","",子基金及业绩基准周净值!A88)</f>
        <v/>
      </c>
      <c r="B86" s="1" t="str">
        <f>IF(A86="","",VLOOKUP($A86,子基金及业绩基准周净值!$A:$F,4))</f>
        <v/>
      </c>
      <c r="C86" s="8" t="str">
        <f t="shared" si="8"/>
        <v/>
      </c>
      <c r="D86" s="9" t="str">
        <f>IF(A86="","",C86-(子基金及业绩基准周净值!AH88/子基金及业绩基准周净值!AH87-1))</f>
        <v/>
      </c>
      <c r="E86" s="12" t="str">
        <f>IF(A86="","",(MAX(B$3:B86)-B86)/MAX(B$3:B86))</f>
        <v/>
      </c>
      <c r="F86" s="12" t="str">
        <f>IF(A86="","",MAX(E$4:E86))</f>
        <v/>
      </c>
      <c r="G86" s="17" t="str">
        <f>IF(A86="","",MAX(FREQUENCY(IF($D$3:D86&lt;0,ROW($D$3:D86)),IF($D$3:D86&gt;=0,ROW($D$3:D86)))))</f>
        <v/>
      </c>
      <c r="H86" s="14" t="str">
        <f t="shared" si="5"/>
        <v/>
      </c>
      <c r="I86" s="14" t="str">
        <f t="shared" si="6"/>
        <v/>
      </c>
      <c r="J86" s="15" t="str">
        <f t="shared" si="7"/>
        <v/>
      </c>
    </row>
    <row r="87" spans="1:10">
      <c r="A87" s="7" t="str">
        <f>IF(子基金及业绩基准周净值!A89="","",子基金及业绩基准周净值!A89)</f>
        <v/>
      </c>
      <c r="B87" s="1" t="str">
        <f>IF(A87="","",VLOOKUP($A87,子基金及业绩基准周净值!$A:$F,4))</f>
        <v/>
      </c>
      <c r="C87" s="8" t="str">
        <f t="shared" si="8"/>
        <v/>
      </c>
      <c r="D87" s="9" t="str">
        <f>IF(A87="","",C87-(子基金及业绩基准周净值!AH89/子基金及业绩基准周净值!AH88-1))</f>
        <v/>
      </c>
      <c r="E87" s="12" t="str">
        <f>IF(A87="","",(MAX(B$3:B87)-B87)/MAX(B$3:B87))</f>
        <v/>
      </c>
      <c r="F87" s="12" t="str">
        <f>IF(A87="","",MAX(E$4:E87))</f>
        <v/>
      </c>
      <c r="G87" s="17" t="str">
        <f>IF(A87="","",MAX(FREQUENCY(IF($D$3:D87&lt;0,ROW($D$3:D87)),IF($D$3:D87&gt;=0,ROW($D$3:D87)))))</f>
        <v/>
      </c>
      <c r="H87" s="14" t="str">
        <f t="shared" si="5"/>
        <v/>
      </c>
      <c r="I87" s="14" t="str">
        <f t="shared" si="6"/>
        <v/>
      </c>
      <c r="J87" s="15" t="str">
        <f t="shared" si="7"/>
        <v/>
      </c>
    </row>
    <row r="88" spans="1:10">
      <c r="A88" s="7" t="str">
        <f>IF(子基金及业绩基准周净值!A90="","",子基金及业绩基准周净值!A90)</f>
        <v/>
      </c>
      <c r="B88" s="1" t="str">
        <f>IF(A88="","",VLOOKUP($A88,子基金及业绩基准周净值!$A:$F,4))</f>
        <v/>
      </c>
      <c r="C88" s="8" t="str">
        <f t="shared" si="8"/>
        <v/>
      </c>
      <c r="D88" s="9" t="str">
        <f>IF(A88="","",C88-(子基金及业绩基准周净值!AH90/子基金及业绩基准周净值!AH89-1))</f>
        <v/>
      </c>
      <c r="E88" s="12" t="str">
        <f>IF(A88="","",(MAX(B$3:B88)-B88)/MAX(B$3:B88))</f>
        <v/>
      </c>
      <c r="F88" s="12" t="str">
        <f>IF(A88="","",MAX(E$4:E88))</f>
        <v/>
      </c>
      <c r="G88" s="17" t="str">
        <f>IF(A88="","",MAX(FREQUENCY(IF($D$3:D88&lt;0,ROW($D$3:D88)),IF($D$3:D88&gt;=0,ROW($D$3:D88)))))</f>
        <v/>
      </c>
      <c r="H88" s="14" t="str">
        <f t="shared" si="5"/>
        <v/>
      </c>
      <c r="I88" s="14" t="str">
        <f t="shared" si="6"/>
        <v/>
      </c>
      <c r="J88" s="15" t="str">
        <f t="shared" si="7"/>
        <v/>
      </c>
    </row>
    <row r="89" spans="1:10">
      <c r="A89" s="7" t="str">
        <f>IF(子基金及业绩基准周净值!A91="","",子基金及业绩基准周净值!A91)</f>
        <v/>
      </c>
      <c r="B89" s="1" t="str">
        <f>IF(A89="","",VLOOKUP($A89,子基金及业绩基准周净值!$A:$F,4))</f>
        <v/>
      </c>
      <c r="C89" s="8" t="str">
        <f t="shared" si="8"/>
        <v/>
      </c>
      <c r="D89" s="9" t="str">
        <f>IF(A89="","",C89-(子基金及业绩基准周净值!AH91/子基金及业绩基准周净值!AH90-1))</f>
        <v/>
      </c>
      <c r="E89" s="12" t="str">
        <f>IF(A89="","",(MAX(B$3:B89)-B89)/MAX(B$3:B89))</f>
        <v/>
      </c>
      <c r="F89" s="12" t="str">
        <f>IF(A89="","",MAX(E$4:E89))</f>
        <v/>
      </c>
      <c r="G89" s="17" t="str">
        <f>IF(A89="","",MAX(FREQUENCY(IF($D$3:D89&lt;0,ROW($D$3:D89)),IF($D$3:D89&gt;=0,ROW($D$3:D89)))))</f>
        <v/>
      </c>
      <c r="H89" s="14" t="str">
        <f t="shared" si="5"/>
        <v/>
      </c>
      <c r="I89" s="14" t="str">
        <f t="shared" si="6"/>
        <v/>
      </c>
      <c r="J89" s="15" t="str">
        <f t="shared" si="7"/>
        <v/>
      </c>
    </row>
    <row r="90" spans="1:10">
      <c r="A90" s="7" t="str">
        <f>IF(子基金及业绩基准周净值!A92="","",子基金及业绩基准周净值!A92)</f>
        <v/>
      </c>
      <c r="B90" s="1" t="str">
        <f>IF(A90="","",VLOOKUP($A90,子基金及业绩基准周净值!$A:$F,4))</f>
        <v/>
      </c>
      <c r="C90" s="8" t="str">
        <f t="shared" si="8"/>
        <v/>
      </c>
      <c r="D90" s="9" t="str">
        <f>IF(A90="","",C90-(子基金及业绩基准周净值!AH92/子基金及业绩基准周净值!AH91-1))</f>
        <v/>
      </c>
      <c r="E90" s="12" t="str">
        <f>IF(A90="","",(MAX(B$3:B90)-B90)/MAX(B$3:B90))</f>
        <v/>
      </c>
      <c r="F90" s="12" t="str">
        <f>IF(A90="","",MAX(E$4:E90))</f>
        <v/>
      </c>
      <c r="G90" s="17" t="str">
        <f>IF(A90="","",MAX(FREQUENCY(IF($D$3:D90&lt;0,ROW($D$3:D90)),IF($D$3:D90&gt;=0,ROW($D$3:D90)))))</f>
        <v/>
      </c>
      <c r="H90" s="14" t="str">
        <f t="shared" si="5"/>
        <v/>
      </c>
      <c r="I90" s="14" t="str">
        <f t="shared" si="6"/>
        <v/>
      </c>
      <c r="J90" s="15" t="str">
        <f t="shared" si="7"/>
        <v/>
      </c>
    </row>
    <row r="91" spans="1:10">
      <c r="A91" s="7" t="str">
        <f>IF(子基金及业绩基准周净值!A93="","",子基金及业绩基准周净值!A93)</f>
        <v/>
      </c>
      <c r="B91" s="1" t="str">
        <f>IF(A91="","",VLOOKUP($A91,子基金及业绩基准周净值!$A:$F,4))</f>
        <v/>
      </c>
      <c r="C91" s="8" t="str">
        <f t="shared" si="8"/>
        <v/>
      </c>
      <c r="D91" s="9" t="str">
        <f>IF(A91="","",C91-(子基金及业绩基准周净值!AH93/子基金及业绩基准周净值!AH92-1))</f>
        <v/>
      </c>
      <c r="E91" s="12" t="str">
        <f>IF(A91="","",(MAX(B$3:B91)-B91)/MAX(B$3:B91))</f>
        <v/>
      </c>
      <c r="F91" s="12" t="str">
        <f>IF(A91="","",MAX(E$4:E91))</f>
        <v/>
      </c>
      <c r="G91" s="17" t="str">
        <f>IF(A91="","",MAX(FREQUENCY(IF($D$3:D91&lt;0,ROW($D$3:D91)),IF($D$3:D91&gt;=0,ROW($D$3:D91)))))</f>
        <v/>
      </c>
      <c r="H91" s="14" t="str">
        <f t="shared" si="5"/>
        <v/>
      </c>
      <c r="I91" s="14" t="str">
        <f t="shared" si="6"/>
        <v/>
      </c>
      <c r="J91" s="15" t="str">
        <f t="shared" si="7"/>
        <v/>
      </c>
    </row>
    <row r="92" spans="1:10">
      <c r="A92" s="7" t="str">
        <f>IF(子基金及业绩基准周净值!A94="","",子基金及业绩基准周净值!A94)</f>
        <v/>
      </c>
      <c r="B92" s="1" t="str">
        <f>IF(A92="","",VLOOKUP($A92,子基金及业绩基准周净值!$A:$F,4))</f>
        <v/>
      </c>
      <c r="C92" s="8" t="str">
        <f t="shared" si="8"/>
        <v/>
      </c>
      <c r="D92" s="9" t="str">
        <f>IF(A92="","",C92-(子基金及业绩基准周净值!AH94/子基金及业绩基准周净值!AH93-1))</f>
        <v/>
      </c>
      <c r="E92" s="12" t="str">
        <f>IF(A92="","",(MAX(B$3:B92)-B92)/MAX(B$3:B92))</f>
        <v/>
      </c>
      <c r="F92" s="12" t="str">
        <f>IF(A92="","",MAX(E$4:E92))</f>
        <v/>
      </c>
      <c r="G92" s="17" t="str">
        <f>IF(A92="","",MAX(FREQUENCY(IF($D$3:D92&lt;0,ROW($D$3:D92)),IF($D$3:D92&gt;=0,ROW($D$3:D92)))))</f>
        <v/>
      </c>
      <c r="H92" s="14" t="str">
        <f t="shared" si="5"/>
        <v/>
      </c>
      <c r="I92" s="14" t="str">
        <f t="shared" si="6"/>
        <v/>
      </c>
      <c r="J92" s="15" t="str">
        <f t="shared" si="7"/>
        <v/>
      </c>
    </row>
    <row r="93" spans="1:10">
      <c r="A93" s="7" t="str">
        <f>IF(子基金及业绩基准周净值!A95="","",子基金及业绩基准周净值!A95)</f>
        <v/>
      </c>
      <c r="B93" s="1" t="str">
        <f>IF(A93="","",VLOOKUP($A93,子基金及业绩基准周净值!$A:$F,4))</f>
        <v/>
      </c>
      <c r="C93" s="8" t="str">
        <f t="shared" si="8"/>
        <v/>
      </c>
      <c r="D93" s="9" t="str">
        <f>IF(A93="","",C93-(子基金及业绩基准周净值!AH95/子基金及业绩基准周净值!AH94-1))</f>
        <v/>
      </c>
      <c r="E93" s="12" t="str">
        <f>IF(A93="","",(MAX(B$3:B93)-B93)/MAX(B$3:B93))</f>
        <v/>
      </c>
      <c r="F93" s="12" t="str">
        <f>IF(A93="","",MAX(E$4:E93))</f>
        <v/>
      </c>
      <c r="G93" s="17" t="str">
        <f>IF(A93="","",MAX(FREQUENCY(IF($D$3:D93&lt;0,ROW($D$3:D93)),IF($D$3:D93&gt;=0,ROW($D$3:D93)))))</f>
        <v/>
      </c>
      <c r="H93" s="14" t="str">
        <f t="shared" si="5"/>
        <v/>
      </c>
      <c r="I93" s="14" t="str">
        <f t="shared" si="6"/>
        <v/>
      </c>
      <c r="J93" s="15" t="str">
        <f t="shared" si="7"/>
        <v/>
      </c>
    </row>
    <row r="94" spans="1:10">
      <c r="A94" s="7" t="str">
        <f>IF(子基金及业绩基准周净值!A96="","",子基金及业绩基准周净值!A96)</f>
        <v/>
      </c>
      <c r="B94" s="1" t="str">
        <f>IF(A94="","",VLOOKUP($A94,子基金及业绩基准周净值!$A:$F,4))</f>
        <v/>
      </c>
      <c r="C94" s="8" t="str">
        <f t="shared" si="8"/>
        <v/>
      </c>
      <c r="D94" s="9" t="str">
        <f>IF(A94="","",C94-(子基金及业绩基准周净值!AH96/子基金及业绩基准周净值!AH95-1))</f>
        <v/>
      </c>
      <c r="E94" s="12" t="str">
        <f>IF(A94="","",(MAX(B$3:B94)-B94)/MAX(B$3:B94))</f>
        <v/>
      </c>
      <c r="F94" s="12" t="str">
        <f>IF(A94="","",MAX(E$4:E94))</f>
        <v/>
      </c>
      <c r="G94" s="17" t="str">
        <f>IF(A94="","",MAX(FREQUENCY(IF($D$3:D94&lt;0,ROW($D$3:D94)),IF($D$3:D94&gt;=0,ROW($D$3:D94)))))</f>
        <v/>
      </c>
      <c r="H94" s="14" t="str">
        <f t="shared" si="5"/>
        <v/>
      </c>
      <c r="I94" s="14" t="str">
        <f t="shared" si="6"/>
        <v/>
      </c>
      <c r="J94" s="15" t="str">
        <f t="shared" si="7"/>
        <v/>
      </c>
    </row>
    <row r="95" spans="1:10">
      <c r="A95" s="7" t="str">
        <f>IF(子基金及业绩基准周净值!A97="","",子基金及业绩基准周净值!A97)</f>
        <v/>
      </c>
      <c r="B95" s="1" t="str">
        <f>IF(A95="","",VLOOKUP($A95,子基金及业绩基准周净值!$A:$F,4))</f>
        <v/>
      </c>
      <c r="C95" s="8" t="str">
        <f t="shared" si="8"/>
        <v/>
      </c>
      <c r="D95" s="9" t="str">
        <f>IF(A95="","",C95-(子基金及业绩基准周净值!AH97/子基金及业绩基准周净值!AH96-1))</f>
        <v/>
      </c>
      <c r="E95" s="12" t="str">
        <f>IF(A95="","",(MAX(B$3:B95)-B95)/MAX(B$3:B95))</f>
        <v/>
      </c>
      <c r="F95" s="12" t="str">
        <f>IF(A95="","",MAX(E$4:E95))</f>
        <v/>
      </c>
      <c r="G95" s="17" t="str">
        <f>IF(A95="","",MAX(FREQUENCY(IF($D$3:D95&lt;0,ROW($D$3:D95)),IF($D$3:D95&gt;=0,ROW($D$3:D95)))))</f>
        <v/>
      </c>
      <c r="H95" s="14" t="str">
        <f t="shared" si="5"/>
        <v/>
      </c>
      <c r="I95" s="14" t="str">
        <f t="shared" si="6"/>
        <v/>
      </c>
      <c r="J95" s="15" t="str">
        <f t="shared" si="7"/>
        <v/>
      </c>
    </row>
    <row r="96" spans="1:10">
      <c r="A96" s="7" t="str">
        <f>IF(子基金及业绩基准周净值!A98="","",子基金及业绩基准周净值!A98)</f>
        <v/>
      </c>
      <c r="B96" s="1" t="str">
        <f>IF(A96="","",VLOOKUP($A96,子基金及业绩基准周净值!$A:$F,4))</f>
        <v/>
      </c>
      <c r="C96" s="8" t="str">
        <f t="shared" si="8"/>
        <v/>
      </c>
      <c r="D96" s="9" t="str">
        <f>IF(A96="","",C96-(子基金及业绩基准周净值!AH98/子基金及业绩基准周净值!AH97-1))</f>
        <v/>
      </c>
      <c r="E96" s="12" t="str">
        <f>IF(A96="","",(MAX(B$3:B96)-B96)/MAX(B$3:B96))</f>
        <v/>
      </c>
      <c r="F96" s="12" t="str">
        <f>IF(A96="","",MAX(E$4:E96))</f>
        <v/>
      </c>
      <c r="G96" s="17" t="str">
        <f>IF(A96="","",MAX(FREQUENCY(IF($D$3:D96&lt;0,ROW($D$3:D96)),IF($D$3:D96&gt;=0,ROW($D$3:D96)))))</f>
        <v/>
      </c>
      <c r="H96" s="14" t="str">
        <f t="shared" si="5"/>
        <v/>
      </c>
      <c r="I96" s="14" t="str">
        <f t="shared" si="6"/>
        <v/>
      </c>
      <c r="J96" s="15" t="str">
        <f t="shared" si="7"/>
        <v/>
      </c>
    </row>
    <row r="97" spans="1:10">
      <c r="A97" s="7" t="str">
        <f>IF(子基金及业绩基准周净值!A99="","",子基金及业绩基准周净值!A99)</f>
        <v/>
      </c>
      <c r="B97" s="1" t="str">
        <f>IF(A97="","",VLOOKUP($A97,子基金及业绩基准周净值!$A:$F,4))</f>
        <v/>
      </c>
      <c r="C97" s="8" t="str">
        <f t="shared" si="8"/>
        <v/>
      </c>
      <c r="D97" s="9" t="str">
        <f>IF(A97="","",C97-(子基金及业绩基准周净值!AH99/子基金及业绩基准周净值!AH98-1))</f>
        <v/>
      </c>
      <c r="E97" s="12" t="str">
        <f>IF(A97="","",(MAX(B$3:B97)-B97)/MAX(B$3:B97))</f>
        <v/>
      </c>
      <c r="F97" s="12" t="str">
        <f>IF(A97="","",MAX(E$4:E97))</f>
        <v/>
      </c>
      <c r="G97" s="17" t="str">
        <f>IF(A97="","",MAX(FREQUENCY(IF($D$3:D97&lt;0,ROW($D$3:D97)),IF($D$3:D97&gt;=0,ROW($D$3:D97)))))</f>
        <v/>
      </c>
      <c r="H97" s="14" t="str">
        <f t="shared" si="5"/>
        <v/>
      </c>
      <c r="I97" s="14" t="str">
        <f t="shared" si="6"/>
        <v/>
      </c>
      <c r="J97" s="15" t="str">
        <f t="shared" si="7"/>
        <v/>
      </c>
    </row>
    <row r="98" spans="1:10">
      <c r="A98" s="7" t="str">
        <f>IF(子基金及业绩基准周净值!A100="","",子基金及业绩基准周净值!A100)</f>
        <v/>
      </c>
      <c r="B98" s="1" t="str">
        <f>IF(A98="","",VLOOKUP($A98,子基金及业绩基准周净值!$A:$F,4))</f>
        <v/>
      </c>
      <c r="C98" s="8" t="str">
        <f t="shared" si="8"/>
        <v/>
      </c>
      <c r="D98" s="9" t="str">
        <f>IF(A98="","",C98-(子基金及业绩基准周净值!AH100/子基金及业绩基准周净值!AH99-1))</f>
        <v/>
      </c>
      <c r="E98" s="12" t="str">
        <f>IF(A98="","",(MAX(B$3:B98)-B98)/MAX(B$3:B98))</f>
        <v/>
      </c>
      <c r="F98" s="12" t="str">
        <f>IF(A98="","",MAX(E$4:E98))</f>
        <v/>
      </c>
      <c r="G98" s="17" t="str">
        <f>IF(A98="","",MAX(FREQUENCY(IF($D$3:D98&lt;0,ROW($D$3:D98)),IF($D$3:D98&gt;=0,ROW($D$3:D98)))))</f>
        <v/>
      </c>
      <c r="H98" s="14" t="str">
        <f t="shared" si="5"/>
        <v/>
      </c>
      <c r="I98" s="14" t="str">
        <f t="shared" si="6"/>
        <v/>
      </c>
      <c r="J98" s="15" t="str">
        <f t="shared" si="7"/>
        <v/>
      </c>
    </row>
    <row r="99" spans="1:10">
      <c r="A99" s="7" t="str">
        <f>IF(子基金及业绩基准周净值!A101="","",子基金及业绩基准周净值!A101)</f>
        <v/>
      </c>
      <c r="B99" s="1" t="str">
        <f>IF(A99="","",VLOOKUP($A99,子基金及业绩基准周净值!$A:$F,4))</f>
        <v/>
      </c>
      <c r="C99" s="8" t="str">
        <f t="shared" si="8"/>
        <v/>
      </c>
      <c r="D99" s="9" t="str">
        <f>IF(A99="","",C99-(子基金及业绩基准周净值!AH101/子基金及业绩基准周净值!AH100-1))</f>
        <v/>
      </c>
      <c r="E99" s="12" t="str">
        <f>IF(A99="","",(MAX(B$3:B99)-B99)/MAX(B$3:B99))</f>
        <v/>
      </c>
      <c r="F99" s="12" t="str">
        <f>IF(A99="","",MAX(E$4:E99))</f>
        <v/>
      </c>
      <c r="G99" s="17" t="str">
        <f>IF(A99="","",MAX(FREQUENCY(IF($D$3:D99&lt;0,ROW($D$3:D99)),IF($D$3:D99&gt;=0,ROW($D$3:D99)))))</f>
        <v/>
      </c>
      <c r="H99" s="14" t="str">
        <f t="shared" si="5"/>
        <v/>
      </c>
      <c r="I99" s="14" t="str">
        <f t="shared" si="6"/>
        <v/>
      </c>
      <c r="J99" s="15" t="str">
        <f t="shared" si="7"/>
        <v/>
      </c>
    </row>
    <row r="100" spans="1:10">
      <c r="A100" s="7" t="str">
        <f>IF(子基金及业绩基准周净值!A102="","",子基金及业绩基准周净值!A102)</f>
        <v/>
      </c>
      <c r="B100" s="1" t="str">
        <f>IF(A100="","",VLOOKUP($A100,子基金及业绩基准周净值!$A:$F,4))</f>
        <v/>
      </c>
      <c r="C100" s="8" t="str">
        <f t="shared" si="8"/>
        <v/>
      </c>
      <c r="D100" s="9" t="str">
        <f>IF(A100="","",C100-(子基金及业绩基准周净值!AH102/子基金及业绩基准周净值!AH101-1))</f>
        <v/>
      </c>
      <c r="E100" s="12" t="str">
        <f>IF(A100="","",(MAX(B$3:B100)-B100)/MAX(B$3:B100))</f>
        <v/>
      </c>
      <c r="F100" s="12" t="str">
        <f>IF(A100="","",MAX(E$4:E100))</f>
        <v/>
      </c>
      <c r="G100" s="17" t="str">
        <f>IF(A100="","",MAX(FREQUENCY(IF($D$3:D100&lt;0,ROW($D$3:D100)),IF($D$3:D100&gt;=0,ROW($D$3:D100)))))</f>
        <v/>
      </c>
      <c r="H100" s="14" t="str">
        <f t="shared" si="5"/>
        <v/>
      </c>
      <c r="I100" s="14" t="str">
        <f t="shared" si="6"/>
        <v/>
      </c>
      <c r="J100" s="15" t="str">
        <f t="shared" si="7"/>
        <v/>
      </c>
    </row>
    <row r="101" spans="1:10">
      <c r="A101" s="7" t="str">
        <f>IF(子基金及业绩基准周净值!A103="","",子基金及业绩基准周净值!A103)</f>
        <v/>
      </c>
      <c r="B101" s="1" t="str">
        <f>IF(A101="","",VLOOKUP($A101,子基金及业绩基准周净值!$A:$F,4))</f>
        <v/>
      </c>
      <c r="C101" s="8" t="str">
        <f t="shared" si="8"/>
        <v/>
      </c>
      <c r="D101" s="9" t="str">
        <f>IF(A101="","",C101-(子基金及业绩基准周净值!AH103/子基金及业绩基准周净值!AH102-1))</f>
        <v/>
      </c>
      <c r="E101" s="12" t="str">
        <f>IF(A101="","",(MAX(B$3:B101)-B101)/MAX(B$3:B101))</f>
        <v/>
      </c>
      <c r="F101" s="12" t="str">
        <f>IF(A101="","",MAX(E$4:E101))</f>
        <v/>
      </c>
      <c r="G101" s="17" t="str">
        <f>IF(A101="","",MAX(FREQUENCY(IF($D$3:D101&lt;0,ROW($D$3:D101)),IF($D$3:D101&gt;=0,ROW($D$3:D101)))))</f>
        <v/>
      </c>
      <c r="H101" s="14" t="str">
        <f t="shared" ref="H101:H127" si="9">IF(B101="","",IF(C101&lt;-3%,"是","否"))</f>
        <v/>
      </c>
      <c r="I101" s="14" t="str">
        <f t="shared" si="6"/>
        <v/>
      </c>
      <c r="J101" s="15" t="str">
        <f t="shared" si="7"/>
        <v/>
      </c>
    </row>
    <row r="102" spans="1:10">
      <c r="A102" s="7" t="str">
        <f>IF(子基金及业绩基准周净值!A104="","",子基金及业绩基准周净值!A104)</f>
        <v/>
      </c>
      <c r="B102" s="1" t="str">
        <f>IF(A102="","",VLOOKUP($A102,子基金及业绩基准周净值!$A:$F,4))</f>
        <v/>
      </c>
      <c r="C102" s="8" t="str">
        <f t="shared" si="8"/>
        <v/>
      </c>
      <c r="D102" s="9" t="str">
        <f>IF(A102="","",C102-(子基金及业绩基准周净值!AH104/子基金及业绩基准周净值!AH103-1))</f>
        <v/>
      </c>
      <c r="E102" s="12" t="str">
        <f>IF(A102="","",(MAX(B$3:B102)-B102)/MAX(B$3:B102))</f>
        <v/>
      </c>
      <c r="F102" s="12" t="str">
        <f>IF(A102="","",MAX(E$4:E102))</f>
        <v/>
      </c>
      <c r="G102" s="17" t="str">
        <f>IF(A102="","",MAX(FREQUENCY(IF($D$3:D102&lt;0,ROW($D$3:D102)),IF($D$3:D102&gt;=0,ROW($D$3:D102)))))</f>
        <v/>
      </c>
      <c r="H102" s="14" t="str">
        <f t="shared" si="9"/>
        <v/>
      </c>
      <c r="I102" s="14" t="str">
        <f t="shared" si="6"/>
        <v/>
      </c>
      <c r="J102" s="15" t="str">
        <f t="shared" si="7"/>
        <v/>
      </c>
    </row>
    <row r="103" spans="1:10">
      <c r="A103" s="7" t="str">
        <f>IF(子基金及业绩基准周净值!A105="","",子基金及业绩基准周净值!A105)</f>
        <v/>
      </c>
      <c r="B103" s="1" t="str">
        <f>IF(A103="","",VLOOKUP($A103,子基金及业绩基准周净值!$A:$F,4))</f>
        <v/>
      </c>
      <c r="C103" s="8" t="str">
        <f t="shared" si="8"/>
        <v/>
      </c>
      <c r="D103" s="9" t="str">
        <f>IF(A103="","",C103-(子基金及业绩基准周净值!AH105/子基金及业绩基准周净值!AH104-1))</f>
        <v/>
      </c>
      <c r="E103" s="12" t="str">
        <f>IF(A103="","",(MAX(B$3:B103)-B103)/MAX(B$3:B103))</f>
        <v/>
      </c>
      <c r="F103" s="12" t="str">
        <f>IF(A103="","",MAX(E$4:E103))</f>
        <v/>
      </c>
      <c r="G103" s="17" t="str">
        <f>IF(A103="","",MAX(FREQUENCY(IF($D$3:D103&lt;0,ROW($D$3:D103)),IF($D$3:D103&gt;=0,ROW($D$3:D103)))))</f>
        <v/>
      </c>
      <c r="H103" s="14" t="str">
        <f t="shared" si="9"/>
        <v/>
      </c>
      <c r="I103" s="14" t="str">
        <f t="shared" si="6"/>
        <v/>
      </c>
      <c r="J103" s="15" t="str">
        <f t="shared" si="7"/>
        <v/>
      </c>
    </row>
    <row r="104" spans="1:10">
      <c r="A104" s="7" t="str">
        <f>IF(子基金及业绩基准周净值!A106="","",子基金及业绩基准周净值!A106)</f>
        <v/>
      </c>
      <c r="B104" s="1" t="str">
        <f>IF(A104="","",VLOOKUP($A104,子基金及业绩基准周净值!$A:$F,4))</f>
        <v/>
      </c>
      <c r="C104" s="8" t="str">
        <f t="shared" si="8"/>
        <v/>
      </c>
      <c r="D104" s="9" t="str">
        <f>IF(A104="","",C104-(子基金及业绩基准周净值!AH106/子基金及业绩基准周净值!AH105-1))</f>
        <v/>
      </c>
      <c r="E104" s="12" t="str">
        <f>IF(A104="","",(MAX(B$3:B104)-B104)/MAX(B$3:B104))</f>
        <v/>
      </c>
      <c r="F104" s="12" t="str">
        <f>IF(A104="","",MAX(E$4:E104))</f>
        <v/>
      </c>
      <c r="G104" s="17" t="str">
        <f>IF(A104="","",MAX(FREQUENCY(IF($D$3:D104&lt;0,ROW($D$3:D104)),IF($D$3:D104&gt;=0,ROW($D$3:D104)))))</f>
        <v/>
      </c>
      <c r="H104" s="14" t="str">
        <f t="shared" si="9"/>
        <v/>
      </c>
      <c r="I104" s="14" t="str">
        <f t="shared" si="6"/>
        <v/>
      </c>
      <c r="J104" s="15" t="str">
        <f t="shared" si="7"/>
        <v/>
      </c>
    </row>
    <row r="105" spans="1:10">
      <c r="A105" s="7" t="str">
        <f>IF(子基金及业绩基准周净值!A107="","",子基金及业绩基准周净值!A107)</f>
        <v/>
      </c>
      <c r="B105" s="1" t="str">
        <f>IF(A105="","",VLOOKUP($A105,子基金及业绩基准周净值!$A:$F,4))</f>
        <v/>
      </c>
      <c r="C105" s="8" t="str">
        <f t="shared" si="8"/>
        <v/>
      </c>
      <c r="D105" s="9" t="str">
        <f>IF(A105="","",C105-(子基金及业绩基准周净值!AH107/子基金及业绩基准周净值!AH106-1))</f>
        <v/>
      </c>
      <c r="E105" s="12" t="str">
        <f>IF(A105="","",(MAX(B$3:B105)-B105)/MAX(B$3:B105))</f>
        <v/>
      </c>
      <c r="F105" s="12" t="str">
        <f>IF(A105="","",MAX(E$4:E105))</f>
        <v/>
      </c>
      <c r="G105" s="17" t="str">
        <f>IF(A105="","",MAX(FREQUENCY(IF($D$3:D105&lt;0,ROW($D$3:D105)),IF($D$3:D105&gt;=0,ROW($D$3:D105)))))</f>
        <v/>
      </c>
      <c r="H105" s="14" t="str">
        <f t="shared" si="9"/>
        <v/>
      </c>
      <c r="I105" s="14" t="str">
        <f t="shared" si="6"/>
        <v/>
      </c>
      <c r="J105" s="15" t="str">
        <f t="shared" si="7"/>
        <v/>
      </c>
    </row>
    <row r="106" spans="1:10">
      <c r="A106" s="7" t="str">
        <f>IF(子基金及业绩基准周净值!A108="","",子基金及业绩基准周净值!A108)</f>
        <v/>
      </c>
      <c r="B106" s="1" t="str">
        <f>IF(A106="","",VLOOKUP($A106,子基金及业绩基准周净值!$A:$F,4))</f>
        <v/>
      </c>
      <c r="C106" s="8" t="str">
        <f t="shared" si="8"/>
        <v/>
      </c>
      <c r="D106" s="9" t="str">
        <f>IF(A106="","",C106-(子基金及业绩基准周净值!AH108/子基金及业绩基准周净值!AH107-1))</f>
        <v/>
      </c>
      <c r="E106" s="12" t="str">
        <f>IF(A106="","",(MAX(B$3:B106)-B106)/MAX(B$3:B106))</f>
        <v/>
      </c>
      <c r="F106" s="12" t="str">
        <f>IF(A106="","",MAX(E$4:E106))</f>
        <v/>
      </c>
      <c r="G106" s="17" t="str">
        <f>IF(A106="","",MAX(FREQUENCY(IF($D$3:D106&lt;0,ROW($D$3:D106)),IF($D$3:D106&gt;=0,ROW($D$3:D106)))))</f>
        <v/>
      </c>
      <c r="H106" s="14" t="str">
        <f t="shared" si="9"/>
        <v/>
      </c>
      <c r="I106" s="14" t="str">
        <f t="shared" si="6"/>
        <v/>
      </c>
      <c r="J106" s="15" t="str">
        <f t="shared" si="7"/>
        <v/>
      </c>
    </row>
    <row r="107" spans="1:10">
      <c r="A107" s="7" t="str">
        <f>IF(子基金及业绩基准周净值!A109="","",子基金及业绩基准周净值!A109)</f>
        <v/>
      </c>
      <c r="B107" s="1" t="str">
        <f>IF(A107="","",VLOOKUP($A107,子基金及业绩基准周净值!$A:$F,4))</f>
        <v/>
      </c>
      <c r="C107" s="8" t="str">
        <f t="shared" si="8"/>
        <v/>
      </c>
      <c r="D107" s="9" t="str">
        <f>IF(A107="","",C107-(子基金及业绩基准周净值!AH109/子基金及业绩基准周净值!AH108-1))</f>
        <v/>
      </c>
      <c r="E107" s="12" t="str">
        <f>IF(A107="","",(MAX(B$3:B107)-B107)/MAX(B$3:B107))</f>
        <v/>
      </c>
      <c r="F107" s="12" t="str">
        <f>IF(A107="","",MAX(E$4:E107))</f>
        <v/>
      </c>
      <c r="G107" s="17" t="str">
        <f>IF(A107="","",MAX(FREQUENCY(IF($D$3:D107&lt;0,ROW($D$3:D107)),IF($D$3:D107&gt;=0,ROW($D$3:D107)))))</f>
        <v/>
      </c>
      <c r="H107" s="14" t="str">
        <f t="shared" si="9"/>
        <v/>
      </c>
      <c r="I107" s="14" t="str">
        <f t="shared" si="6"/>
        <v/>
      </c>
      <c r="J107" s="15" t="str">
        <f t="shared" si="7"/>
        <v/>
      </c>
    </row>
    <row r="108" spans="1:10">
      <c r="A108" s="7" t="str">
        <f>IF(子基金及业绩基准周净值!A110="","",子基金及业绩基准周净值!A110)</f>
        <v/>
      </c>
      <c r="B108" s="1" t="str">
        <f>IF(A108="","",VLOOKUP($A108,子基金及业绩基准周净值!$A:$F,4))</f>
        <v/>
      </c>
      <c r="C108" s="8" t="str">
        <f t="shared" si="8"/>
        <v/>
      </c>
      <c r="D108" s="9" t="str">
        <f>IF(A108="","",C108-(子基金及业绩基准周净值!AH110/子基金及业绩基准周净值!AH109-1))</f>
        <v/>
      </c>
      <c r="E108" s="12" t="str">
        <f>IF(A108="","",(MAX(B$3:B108)-B108)/MAX(B$3:B108))</f>
        <v/>
      </c>
      <c r="F108" s="12" t="str">
        <f>IF(A108="","",MAX(E$4:E108))</f>
        <v/>
      </c>
      <c r="G108" s="17" t="str">
        <f>IF(A108="","",MAX(FREQUENCY(IF($D$3:D108&lt;0,ROW($D$3:D108)),IF($D$3:D108&gt;=0,ROW($D$3:D108)))))</f>
        <v/>
      </c>
      <c r="H108" s="14" t="str">
        <f t="shared" si="9"/>
        <v/>
      </c>
      <c r="I108" s="14" t="str">
        <f t="shared" si="6"/>
        <v/>
      </c>
      <c r="J108" s="15" t="str">
        <f t="shared" si="7"/>
        <v/>
      </c>
    </row>
    <row r="109" spans="1:10">
      <c r="A109" s="7" t="str">
        <f>IF(子基金及业绩基准周净值!A111="","",子基金及业绩基准周净值!A111)</f>
        <v/>
      </c>
      <c r="B109" s="1" t="str">
        <f>IF(A109="","",VLOOKUP($A109,子基金及业绩基准周净值!$A:$F,4))</f>
        <v/>
      </c>
      <c r="C109" s="8" t="str">
        <f t="shared" si="8"/>
        <v/>
      </c>
      <c r="D109" s="9" t="str">
        <f>IF(A109="","",C109-(子基金及业绩基准周净值!AH111/子基金及业绩基准周净值!AH110-1))</f>
        <v/>
      </c>
      <c r="E109" s="12" t="str">
        <f>IF(A109="","",(MAX(B$3:B109)-B109)/MAX(B$3:B109))</f>
        <v/>
      </c>
      <c r="F109" s="12" t="str">
        <f>IF(A109="","",MAX(E$4:E109))</f>
        <v/>
      </c>
      <c r="G109" s="17" t="str">
        <f>IF(A109="","",MAX(FREQUENCY(IF($D$3:D109&lt;0,ROW($D$3:D109)),IF($D$3:D109&gt;=0,ROW($D$3:D109)))))</f>
        <v/>
      </c>
      <c r="H109" s="14" t="str">
        <f t="shared" si="9"/>
        <v/>
      </c>
      <c r="I109" s="14" t="str">
        <f t="shared" si="6"/>
        <v/>
      </c>
      <c r="J109" s="15" t="str">
        <f t="shared" si="7"/>
        <v/>
      </c>
    </row>
    <row r="110" spans="1:10">
      <c r="A110" s="7" t="str">
        <f>IF(子基金及业绩基准周净值!A112="","",子基金及业绩基准周净值!A112)</f>
        <v/>
      </c>
      <c r="B110" s="1" t="str">
        <f>IF(A110="","",VLOOKUP($A110,子基金及业绩基准周净值!$A:$F,4))</f>
        <v/>
      </c>
      <c r="C110" s="8" t="str">
        <f t="shared" si="8"/>
        <v/>
      </c>
      <c r="D110" s="9" t="str">
        <f>IF(A110="","",C110-(子基金及业绩基准周净值!AH112/子基金及业绩基准周净值!AH111-1))</f>
        <v/>
      </c>
      <c r="E110" s="12" t="str">
        <f>IF(A110="","",(MAX(B$3:B110)-B110)/MAX(B$3:B110))</f>
        <v/>
      </c>
      <c r="F110" s="12" t="str">
        <f>IF(A110="","",MAX(E$4:E110))</f>
        <v/>
      </c>
      <c r="G110" s="17" t="str">
        <f>IF(A110="","",MAX(FREQUENCY(IF($D$3:D110&lt;0,ROW($D$3:D110)),IF($D$3:D110&gt;=0,ROW($D$3:D110)))))</f>
        <v/>
      </c>
      <c r="H110" s="14" t="str">
        <f t="shared" si="9"/>
        <v/>
      </c>
      <c r="I110" s="14" t="str">
        <f t="shared" si="6"/>
        <v/>
      </c>
      <c r="J110" s="15" t="str">
        <f t="shared" si="7"/>
        <v/>
      </c>
    </row>
    <row r="111" spans="1:10">
      <c r="A111" s="7" t="str">
        <f>IF(子基金及业绩基准周净值!A113="","",子基金及业绩基准周净值!A113)</f>
        <v/>
      </c>
      <c r="B111" s="1" t="str">
        <f>IF(A111="","",VLOOKUP($A111,子基金及业绩基准周净值!$A:$F,4))</f>
        <v/>
      </c>
      <c r="C111" s="8" t="str">
        <f t="shared" si="8"/>
        <v/>
      </c>
      <c r="D111" s="9" t="str">
        <f>IF(A111="","",C111-(子基金及业绩基准周净值!AH113/子基金及业绩基准周净值!AH112-1))</f>
        <v/>
      </c>
      <c r="E111" s="12" t="str">
        <f>IF(A111="","",(MAX(B$3:B111)-B111)/MAX(B$3:B111))</f>
        <v/>
      </c>
      <c r="F111" s="12" t="str">
        <f>IF(A111="","",MAX(E$4:E111))</f>
        <v/>
      </c>
      <c r="G111" s="17" t="str">
        <f>IF(A111="","",MAX(FREQUENCY(IF($D$3:D111&lt;0,ROW($D$3:D111)),IF($D$3:D111&gt;=0,ROW($D$3:D111)))))</f>
        <v/>
      </c>
      <c r="H111" s="14" t="str">
        <f t="shared" si="9"/>
        <v/>
      </c>
      <c r="I111" s="14" t="str">
        <f t="shared" si="6"/>
        <v/>
      </c>
      <c r="J111" s="15" t="str">
        <f t="shared" si="7"/>
        <v/>
      </c>
    </row>
    <row r="112" spans="1:10">
      <c r="A112" s="7" t="str">
        <f>IF(子基金及业绩基准周净值!A114="","",子基金及业绩基准周净值!A114)</f>
        <v/>
      </c>
      <c r="B112" s="1" t="str">
        <f>IF(A112="","",VLOOKUP($A112,子基金及业绩基准周净值!$A:$F,4))</f>
        <v/>
      </c>
      <c r="C112" s="8" t="str">
        <f t="shared" si="8"/>
        <v/>
      </c>
      <c r="D112" s="9" t="str">
        <f>IF(A112="","",C112-(子基金及业绩基准周净值!AH114/子基金及业绩基准周净值!AH113-1))</f>
        <v/>
      </c>
      <c r="E112" s="12" t="str">
        <f>IF(A112="","",(MAX(B$3:B112)-B112)/MAX(B$3:B112))</f>
        <v/>
      </c>
      <c r="F112" s="12" t="str">
        <f>IF(A112="","",MAX(E$4:E112))</f>
        <v/>
      </c>
      <c r="G112" s="17" t="str">
        <f>IF(A112="","",MAX(FREQUENCY(IF($D$3:D112&lt;0,ROW($D$3:D112)),IF($D$3:D112&gt;=0,ROW($D$3:D112)))))</f>
        <v/>
      </c>
      <c r="H112" s="14" t="str">
        <f t="shared" si="9"/>
        <v/>
      </c>
      <c r="I112" s="14" t="str">
        <f t="shared" si="6"/>
        <v/>
      </c>
      <c r="J112" s="15" t="str">
        <f t="shared" si="7"/>
        <v/>
      </c>
    </row>
    <row r="113" spans="1:10">
      <c r="A113" s="7" t="str">
        <f>IF(子基金及业绩基准周净值!A115="","",子基金及业绩基准周净值!A115)</f>
        <v/>
      </c>
      <c r="B113" s="1" t="str">
        <f>IF(A113="","",VLOOKUP($A113,子基金及业绩基准周净值!$A:$F,4))</f>
        <v/>
      </c>
      <c r="C113" s="8" t="str">
        <f t="shared" si="8"/>
        <v/>
      </c>
      <c r="D113" s="9" t="str">
        <f>IF(A113="","",C113-(子基金及业绩基准周净值!AH115/子基金及业绩基准周净值!AH114-1))</f>
        <v/>
      </c>
      <c r="E113" s="12" t="str">
        <f>IF(A113="","",(MAX(B$3:B113)-B113)/MAX(B$3:B113))</f>
        <v/>
      </c>
      <c r="F113" s="12" t="str">
        <f>IF(A113="","",MAX(E$4:E113))</f>
        <v/>
      </c>
      <c r="G113" s="17" t="str">
        <f>IF(A113="","",MAX(FREQUENCY(IF($D$3:D113&lt;0,ROW($D$3:D113)),IF($D$3:D113&gt;=0,ROW($D$3:D113)))))</f>
        <v/>
      </c>
      <c r="H113" s="14" t="str">
        <f t="shared" si="9"/>
        <v/>
      </c>
      <c r="I113" s="14" t="str">
        <f t="shared" si="6"/>
        <v/>
      </c>
      <c r="J113" s="15" t="str">
        <f t="shared" si="7"/>
        <v/>
      </c>
    </row>
    <row r="114" spans="1:10">
      <c r="A114" s="7" t="str">
        <f>IF(子基金及业绩基准周净值!A116="","",子基金及业绩基准周净值!A116)</f>
        <v/>
      </c>
      <c r="B114" s="1" t="str">
        <f>IF(A114="","",VLOOKUP($A114,子基金及业绩基准周净值!$A:$F,4))</f>
        <v/>
      </c>
      <c r="C114" s="8" t="str">
        <f t="shared" si="8"/>
        <v/>
      </c>
      <c r="D114" s="9" t="str">
        <f>IF(A114="","",C114-(子基金及业绩基准周净值!AH116/子基金及业绩基准周净值!AH115-1))</f>
        <v/>
      </c>
      <c r="E114" s="12" t="str">
        <f>IF(A114="","",(MAX(B$3:B114)-B114)/MAX(B$3:B114))</f>
        <v/>
      </c>
      <c r="F114" s="12" t="str">
        <f>IF(A114="","",MAX(E$4:E114))</f>
        <v/>
      </c>
      <c r="G114" s="17" t="str">
        <f>IF(A114="","",MAX(FREQUENCY(IF($D$3:D114&lt;0,ROW($D$3:D114)),IF($D$3:D114&gt;=0,ROW($D$3:D114)))))</f>
        <v/>
      </c>
      <c r="H114" s="14" t="str">
        <f t="shared" si="9"/>
        <v/>
      </c>
      <c r="I114" s="14" t="str">
        <f t="shared" si="6"/>
        <v/>
      </c>
      <c r="J114" s="15" t="str">
        <f t="shared" si="7"/>
        <v/>
      </c>
    </row>
    <row r="115" spans="1:10">
      <c r="A115" s="7" t="str">
        <f>IF(子基金及业绩基准周净值!A117="","",子基金及业绩基准周净值!A117)</f>
        <v/>
      </c>
      <c r="B115" s="1" t="str">
        <f>IF(A115="","",VLOOKUP($A115,子基金及业绩基准周净值!$A:$F,4))</f>
        <v/>
      </c>
      <c r="C115" s="8" t="str">
        <f t="shared" si="8"/>
        <v/>
      </c>
      <c r="D115" s="9" t="str">
        <f>IF(A115="","",C115-(子基金及业绩基准周净值!AH117/子基金及业绩基准周净值!AH116-1))</f>
        <v/>
      </c>
      <c r="E115" s="12" t="str">
        <f>IF(A115="","",(MAX(B$3:B115)-B115)/MAX(B$3:B115))</f>
        <v/>
      </c>
      <c r="F115" s="12" t="str">
        <f>IF(A115="","",MAX(E$4:E115))</f>
        <v/>
      </c>
      <c r="G115" s="17" t="str">
        <f>IF(A115="","",MAX(FREQUENCY(IF($D$3:D115&lt;0,ROW($D$3:D115)),IF($D$3:D115&gt;=0,ROW($D$3:D115)))))</f>
        <v/>
      </c>
      <c r="H115" s="14" t="str">
        <f t="shared" si="9"/>
        <v/>
      </c>
      <c r="I115" s="14" t="str">
        <f t="shared" si="6"/>
        <v/>
      </c>
      <c r="J115" s="15" t="str">
        <f t="shared" si="7"/>
        <v/>
      </c>
    </row>
    <row r="116" spans="1:10">
      <c r="A116" s="7" t="str">
        <f>IF(子基金及业绩基准周净值!A118="","",子基金及业绩基准周净值!A118)</f>
        <v/>
      </c>
      <c r="B116" s="1" t="str">
        <f>IF(A116="","",VLOOKUP($A116,子基金及业绩基准周净值!$A:$F,4))</f>
        <v/>
      </c>
      <c r="C116" s="8" t="str">
        <f t="shared" si="8"/>
        <v/>
      </c>
      <c r="D116" s="9" t="str">
        <f>IF(A116="","",C116-(子基金及业绩基准周净值!AH118/子基金及业绩基准周净值!AH117-1))</f>
        <v/>
      </c>
      <c r="E116" s="12" t="str">
        <f>IF(A116="","",(MAX(B$3:B116)-B116)/MAX(B$3:B116))</f>
        <v/>
      </c>
      <c r="F116" s="12" t="str">
        <f>IF(A116="","",MAX(E$4:E116))</f>
        <v/>
      </c>
      <c r="G116" s="17" t="str">
        <f>IF(A116="","",MAX(FREQUENCY(IF($D$3:D116&lt;0,ROW($D$3:D116)),IF($D$3:D116&gt;=0,ROW($D$3:D116)))))</f>
        <v/>
      </c>
      <c r="H116" s="14" t="str">
        <f t="shared" si="9"/>
        <v/>
      </c>
      <c r="I116" s="14" t="str">
        <f t="shared" si="6"/>
        <v/>
      </c>
      <c r="J116" s="15" t="str">
        <f t="shared" si="7"/>
        <v/>
      </c>
    </row>
    <row r="117" spans="1:10">
      <c r="A117" s="7" t="str">
        <f>IF(子基金及业绩基准周净值!A119="","",子基金及业绩基准周净值!A119)</f>
        <v/>
      </c>
      <c r="B117" s="1" t="str">
        <f>IF(A117="","",VLOOKUP($A117,子基金及业绩基准周净值!$A:$F,4))</f>
        <v/>
      </c>
      <c r="C117" s="8" t="str">
        <f t="shared" si="8"/>
        <v/>
      </c>
      <c r="D117" s="9" t="str">
        <f>IF(A117="","",C117-(子基金及业绩基准周净值!AH119/子基金及业绩基准周净值!AH118-1))</f>
        <v/>
      </c>
      <c r="E117" s="12" t="str">
        <f>IF(A117="","",(MAX(B$3:B117)-B117)/MAX(B$3:B117))</f>
        <v/>
      </c>
      <c r="F117" s="12" t="str">
        <f>IF(A117="","",MAX(E$4:E117))</f>
        <v/>
      </c>
      <c r="G117" s="17" t="str">
        <f>IF(A117="","",MAX(FREQUENCY(IF($D$3:D117&lt;0,ROW($D$3:D117)),IF($D$3:D117&gt;=0,ROW($D$3:D117)))))</f>
        <v/>
      </c>
      <c r="H117" s="14" t="str">
        <f t="shared" si="9"/>
        <v/>
      </c>
      <c r="I117" s="14" t="str">
        <f t="shared" si="6"/>
        <v/>
      </c>
      <c r="J117" s="15" t="str">
        <f t="shared" si="7"/>
        <v/>
      </c>
    </row>
    <row r="118" spans="1:10">
      <c r="A118" s="7" t="str">
        <f>IF(子基金及业绩基准周净值!A120="","",子基金及业绩基准周净值!A120)</f>
        <v/>
      </c>
      <c r="B118" s="1" t="str">
        <f>IF(A118="","",VLOOKUP($A118,子基金及业绩基准周净值!$A:$F,4))</f>
        <v/>
      </c>
      <c r="C118" s="8" t="str">
        <f t="shared" si="8"/>
        <v/>
      </c>
      <c r="D118" s="9" t="str">
        <f>IF(A118="","",C118-(子基金及业绩基准周净值!AH120/子基金及业绩基准周净值!AH119-1))</f>
        <v/>
      </c>
      <c r="E118" s="12" t="str">
        <f>IF(A118="","",(MAX(B$3:B118)-B118)/MAX(B$3:B118))</f>
        <v/>
      </c>
      <c r="F118" s="12" t="str">
        <f>IF(A118="","",MAX(E$4:E118))</f>
        <v/>
      </c>
      <c r="G118" s="17" t="str">
        <f>IF(A118="","",MAX(FREQUENCY(IF($D$3:D118&lt;0,ROW($D$3:D118)),IF($D$3:D118&gt;=0,ROW($D$3:D118)))))</f>
        <v/>
      </c>
      <c r="H118" s="14" t="str">
        <f t="shared" si="9"/>
        <v/>
      </c>
      <c r="I118" s="14" t="str">
        <f t="shared" si="6"/>
        <v/>
      </c>
      <c r="J118" s="15" t="str">
        <f t="shared" si="7"/>
        <v/>
      </c>
    </row>
    <row r="119" spans="1:10">
      <c r="A119" s="7" t="str">
        <f>IF(子基金及业绩基准周净值!A121="","",子基金及业绩基准周净值!A121)</f>
        <v/>
      </c>
      <c r="B119" s="1" t="str">
        <f>IF(A119="","",VLOOKUP($A119,子基金及业绩基准周净值!$A:$F,4))</f>
        <v/>
      </c>
      <c r="C119" s="8" t="str">
        <f t="shared" si="8"/>
        <v/>
      </c>
      <c r="D119" s="9" t="str">
        <f>IF(A119="","",C119-(子基金及业绩基准周净值!AH121/子基金及业绩基准周净值!AH120-1))</f>
        <v/>
      </c>
      <c r="E119" s="12" t="str">
        <f>IF(A119="","",(MAX(B$3:B119)-B119)/MAX(B$3:B119))</f>
        <v/>
      </c>
      <c r="F119" s="12" t="str">
        <f>IF(A119="","",MAX(E$4:E119))</f>
        <v/>
      </c>
      <c r="G119" s="17" t="str">
        <f>IF(A119="","",MAX(FREQUENCY(IF($D$3:D119&lt;0,ROW($D$3:D119)),IF($D$3:D119&gt;=0,ROW($D$3:D119)))))</f>
        <v/>
      </c>
      <c r="H119" s="14" t="str">
        <f t="shared" si="9"/>
        <v/>
      </c>
      <c r="I119" s="14" t="str">
        <f t="shared" si="6"/>
        <v/>
      </c>
      <c r="J119" s="15" t="str">
        <f t="shared" si="7"/>
        <v/>
      </c>
    </row>
    <row r="120" spans="1:10">
      <c r="A120" s="7" t="str">
        <f>IF(子基金及业绩基准周净值!A122="","",子基金及业绩基准周净值!A122)</f>
        <v/>
      </c>
      <c r="B120" s="1" t="str">
        <f>IF(A120="","",VLOOKUP($A120,子基金及业绩基准周净值!$A:$F,4))</f>
        <v/>
      </c>
      <c r="C120" s="8" t="str">
        <f t="shared" si="8"/>
        <v/>
      </c>
      <c r="D120" s="9" t="str">
        <f>IF(A120="","",C120-(子基金及业绩基准周净值!AH122/子基金及业绩基准周净值!AH121-1))</f>
        <v/>
      </c>
      <c r="E120" s="12" t="str">
        <f>IF(A120="","",(MAX(B$3:B120)-B120)/MAX(B$3:B120))</f>
        <v/>
      </c>
      <c r="F120" s="12" t="str">
        <f>IF(A120="","",MAX(E$4:E120))</f>
        <v/>
      </c>
      <c r="G120" s="17" t="str">
        <f>IF(A120="","",MAX(FREQUENCY(IF($D$3:D120&lt;0,ROW($D$3:D120)),IF($D$3:D120&gt;=0,ROW($D$3:D120)))))</f>
        <v/>
      </c>
      <c r="H120" s="14" t="str">
        <f t="shared" si="9"/>
        <v/>
      </c>
      <c r="I120" s="14" t="str">
        <f t="shared" si="6"/>
        <v/>
      </c>
      <c r="J120" s="15" t="str">
        <f t="shared" si="7"/>
        <v/>
      </c>
    </row>
    <row r="121" spans="1:10">
      <c r="A121" s="7" t="str">
        <f>IF(子基金及业绩基准周净值!A123="","",子基金及业绩基准周净值!A123)</f>
        <v/>
      </c>
      <c r="B121" s="1" t="str">
        <f>IF(A121="","",VLOOKUP($A121,子基金及业绩基准周净值!$A:$F,4))</f>
        <v/>
      </c>
      <c r="C121" s="8" t="str">
        <f t="shared" si="8"/>
        <v/>
      </c>
      <c r="D121" s="9" t="str">
        <f>IF(A121="","",C121-(子基金及业绩基准周净值!AH123/子基金及业绩基准周净值!AH122-1))</f>
        <v/>
      </c>
      <c r="E121" s="12" t="str">
        <f>IF(A121="","",(MAX(B$3:B121)-B121)/MAX(B$3:B121))</f>
        <v/>
      </c>
      <c r="F121" s="12" t="str">
        <f>IF(A121="","",MAX(E$4:E121))</f>
        <v/>
      </c>
      <c r="G121" s="17" t="str">
        <f>IF(A121="","",MAX(FREQUENCY(IF($D$3:D121&lt;0,ROW($D$3:D121)),IF($D$3:D121&gt;=0,ROW($D$3:D121)))))</f>
        <v/>
      </c>
      <c r="H121" s="14" t="str">
        <f t="shared" si="9"/>
        <v/>
      </c>
      <c r="I121" s="14" t="str">
        <f t="shared" si="6"/>
        <v/>
      </c>
      <c r="J121" s="15" t="str">
        <f t="shared" si="7"/>
        <v/>
      </c>
    </row>
    <row r="122" spans="1:10">
      <c r="A122" s="7" t="str">
        <f>IF(子基金及业绩基准周净值!A124="","",子基金及业绩基准周净值!A124)</f>
        <v/>
      </c>
      <c r="B122" s="1" t="str">
        <f>IF(A122="","",VLOOKUP($A122,子基金及业绩基准周净值!$A:$F,4))</f>
        <v/>
      </c>
      <c r="C122" s="8" t="str">
        <f t="shared" si="8"/>
        <v/>
      </c>
      <c r="D122" s="9" t="str">
        <f>IF(A122="","",C122-(子基金及业绩基准周净值!AH124/子基金及业绩基准周净值!AH123-1))</f>
        <v/>
      </c>
      <c r="E122" s="12" t="str">
        <f>IF(A122="","",(MAX(B$3:B122)-B122)/MAX(B$3:B122))</f>
        <v/>
      </c>
      <c r="F122" s="12" t="str">
        <f>IF(A122="","",MAX(E$4:E122))</f>
        <v/>
      </c>
      <c r="G122" s="17" t="str">
        <f>IF(A122="","",MAX(FREQUENCY(IF($D$3:D122&lt;0,ROW($D$3:D122)),IF($D$3:D122&gt;=0,ROW($D$3:D122)))))</f>
        <v/>
      </c>
      <c r="H122" s="14" t="str">
        <f t="shared" si="9"/>
        <v/>
      </c>
      <c r="I122" s="14" t="str">
        <f t="shared" si="6"/>
        <v/>
      </c>
      <c r="J122" s="15" t="str">
        <f t="shared" si="7"/>
        <v/>
      </c>
    </row>
    <row r="123" spans="1:10">
      <c r="A123" s="7" t="str">
        <f>IF(子基金及业绩基准周净值!A125="","",子基金及业绩基准周净值!A125)</f>
        <v/>
      </c>
      <c r="B123" s="1" t="str">
        <f>IF(A123="","",VLOOKUP($A123,子基金及业绩基准周净值!$A:$F,4))</f>
        <v/>
      </c>
      <c r="C123" s="8" t="str">
        <f t="shared" si="8"/>
        <v/>
      </c>
      <c r="D123" s="9" t="str">
        <f>IF(A123="","",C123-(子基金及业绩基准周净值!AH125/子基金及业绩基准周净值!AH124-1))</f>
        <v/>
      </c>
      <c r="E123" s="12" t="str">
        <f>IF(A123="","",(MAX(B$3:B123)-B123)/MAX(B$3:B123))</f>
        <v/>
      </c>
      <c r="F123" s="12" t="str">
        <f>IF(A123="","",MAX(E$4:E123))</f>
        <v/>
      </c>
      <c r="G123" s="17" t="str">
        <f>IF(A123="","",MAX(FREQUENCY(IF($D$3:D123&lt;0,ROW($D$3:D123)),IF($D$3:D123&gt;=0,ROW($D$3:D123)))))</f>
        <v/>
      </c>
      <c r="H123" s="14" t="str">
        <f t="shared" si="9"/>
        <v/>
      </c>
      <c r="I123" s="14" t="str">
        <f t="shared" si="6"/>
        <v/>
      </c>
      <c r="J123" s="15" t="str">
        <f t="shared" si="7"/>
        <v/>
      </c>
    </row>
    <row r="124" spans="1:10">
      <c r="A124" s="7" t="str">
        <f>IF(子基金及业绩基准周净值!A126="","",子基金及业绩基准周净值!A126)</f>
        <v/>
      </c>
      <c r="B124" s="1" t="str">
        <f>IF(A124="","",VLOOKUP($A124,子基金及业绩基准周净值!$A:$F,4))</f>
        <v/>
      </c>
      <c r="C124" s="8" t="str">
        <f t="shared" si="8"/>
        <v/>
      </c>
      <c r="D124" s="9" t="str">
        <f>IF(A124="","",C124-(子基金及业绩基准周净值!AH126/子基金及业绩基准周净值!AH125-1))</f>
        <v/>
      </c>
      <c r="E124" s="12" t="str">
        <f>IF(A124="","",(MAX(B$3:B124)-B124)/MAX(B$3:B124))</f>
        <v/>
      </c>
      <c r="F124" s="12" t="str">
        <f>IF(A124="","",MAX(E$4:E124))</f>
        <v/>
      </c>
      <c r="G124" s="17" t="str">
        <f>IF(A124="","",MAX(FREQUENCY(IF($D$3:D124&lt;0,ROW($D$3:D124)),IF($D$3:D124&gt;=0,ROW($D$3:D124)))))</f>
        <v/>
      </c>
      <c r="H124" s="14" t="str">
        <f t="shared" si="9"/>
        <v/>
      </c>
      <c r="I124" s="14" t="str">
        <f t="shared" si="6"/>
        <v/>
      </c>
      <c r="J124" s="15" t="str">
        <f t="shared" si="7"/>
        <v/>
      </c>
    </row>
    <row r="125" spans="1:10">
      <c r="A125" s="7" t="str">
        <f>IF(子基金及业绩基准周净值!A127="","",子基金及业绩基准周净值!A127)</f>
        <v/>
      </c>
      <c r="B125" s="1" t="str">
        <f>IF(A125="","",VLOOKUP($A125,子基金及业绩基准周净值!$A:$F,4))</f>
        <v/>
      </c>
      <c r="C125" s="8" t="str">
        <f t="shared" si="8"/>
        <v/>
      </c>
      <c r="D125" s="9" t="str">
        <f>IF(A125="","",C125-(子基金及业绩基准周净值!AH127/子基金及业绩基准周净值!AH126-1))</f>
        <v/>
      </c>
      <c r="E125" s="12" t="str">
        <f>IF(A125="","",(MAX(B$3:B125)-B125)/MAX(B$3:B125))</f>
        <v/>
      </c>
      <c r="F125" s="12" t="str">
        <f>IF(A125="","",MAX(E$4:E125))</f>
        <v/>
      </c>
      <c r="G125" s="17" t="str">
        <f>IF(A125="","",MAX(FREQUENCY(IF($D$3:D125&lt;0,ROW($D$3:D125)),IF($D$3:D125&gt;=0,ROW($D$3:D125)))))</f>
        <v/>
      </c>
      <c r="H125" s="14" t="str">
        <f t="shared" si="9"/>
        <v/>
      </c>
      <c r="I125" s="14" t="str">
        <f t="shared" si="6"/>
        <v/>
      </c>
      <c r="J125" s="15" t="str">
        <f t="shared" si="7"/>
        <v/>
      </c>
    </row>
    <row r="126" spans="1:10">
      <c r="A126" s="7" t="str">
        <f>IF(子基金及业绩基准周净值!A128="","",子基金及业绩基准周净值!A128)</f>
        <v/>
      </c>
      <c r="B126" s="1" t="str">
        <f>IF(A126="","",VLOOKUP($A126,子基金及业绩基准周净值!$A:$F,4))</f>
        <v/>
      </c>
      <c r="C126" s="8" t="str">
        <f t="shared" si="8"/>
        <v/>
      </c>
      <c r="D126" s="9" t="str">
        <f>IF(A126="","",C126-(子基金及业绩基准周净值!AH128/子基金及业绩基准周净值!AH127-1))</f>
        <v/>
      </c>
      <c r="E126" s="12" t="str">
        <f>IF(A126="","",(MAX(B$3:B126)-B126)/MAX(B$3:B126))</f>
        <v/>
      </c>
      <c r="F126" s="12" t="str">
        <f>IF(A126="","",MAX(E$4:E126))</f>
        <v/>
      </c>
      <c r="G126" s="17" t="str">
        <f>IF(A126="","",MAX(FREQUENCY(IF($D$3:D126&lt;0,ROW($D$3:D126)),IF($D$3:D126&gt;=0,ROW($D$3:D126)))))</f>
        <v/>
      </c>
      <c r="H126" s="14" t="str">
        <f t="shared" si="9"/>
        <v/>
      </c>
      <c r="I126" s="14" t="str">
        <f t="shared" si="6"/>
        <v/>
      </c>
      <c r="J126" s="15" t="str">
        <f t="shared" si="7"/>
        <v/>
      </c>
    </row>
    <row r="127" spans="1:10">
      <c r="A127" s="7" t="str">
        <f>IF(子基金及业绩基准周净值!A129="","",子基金及业绩基准周净值!A129)</f>
        <v/>
      </c>
      <c r="B127" s="1" t="str">
        <f>IF(A127="","",VLOOKUP($A127,子基金及业绩基准周净值!$A:$F,4))</f>
        <v/>
      </c>
      <c r="C127" s="8" t="str">
        <f t="shared" si="8"/>
        <v/>
      </c>
      <c r="D127" s="9" t="str">
        <f>IF(A127="","",C127-(子基金及业绩基准周净值!AH129/子基金及业绩基准周净值!AH128-1))</f>
        <v/>
      </c>
      <c r="E127" s="12" t="str">
        <f>IF(A127="","",(MAX(B$3:B127)-B127)/MAX(B$3:B127))</f>
        <v/>
      </c>
      <c r="F127" s="12" t="str">
        <f>IF(A127="","",MAX(E$4:E127))</f>
        <v/>
      </c>
      <c r="G127" s="17" t="str">
        <f>IF(A127="","",MAX(FREQUENCY(IF($D$3:D127&lt;0,ROW($D$3:D127)),IF($D$3:D127&gt;=0,ROW($D$3:D127)))))</f>
        <v/>
      </c>
      <c r="H127" s="14" t="str">
        <f t="shared" si="9"/>
        <v/>
      </c>
      <c r="I127" s="14" t="str">
        <f t="shared" si="6"/>
        <v/>
      </c>
      <c r="J127" s="15" t="str">
        <f t="shared" si="7"/>
        <v/>
      </c>
    </row>
  </sheetData>
  <conditionalFormatting sqref="H4:H127">
    <cfRule type="containsText" dxfId="0" priority="1" operator="between" text="是">
      <formula>NOT(ISERROR(SEARCH("是",H4)))</formula>
    </cfRule>
  </conditionalFormatting>
  <conditionalFormatting sqref="J3:J127">
    <cfRule type="containsText" dxfId="0" priority="2" operator="between" text="是">
      <formula>NOT(ISERROR(SEARCH("是",J3)))</formula>
    </cfRule>
  </conditionalFormatting>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127"/>
  <sheetViews>
    <sheetView topLeftCell="A29" workbookViewId="0">
      <selection activeCell="G57" sqref="G57"/>
    </sheetView>
  </sheetViews>
  <sheetFormatPr defaultColWidth="9" defaultRowHeight="16.8"/>
  <cols>
    <col min="1" max="1" width="11.625" style="1" customWidth="1"/>
    <col min="2" max="2" width="23.25" style="1" customWidth="1"/>
    <col min="3" max="3" width="10.25" style="1" customWidth="1"/>
    <col min="4" max="4" width="10.25" style="3" customWidth="1"/>
    <col min="5"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3">
        <v>4</v>
      </c>
      <c r="F1" s="1">
        <v>5</v>
      </c>
      <c r="G1" s="1">
        <v>6</v>
      </c>
      <c r="H1" s="1">
        <v>7</v>
      </c>
      <c r="I1" s="1">
        <v>8</v>
      </c>
      <c r="J1" s="1">
        <v>9</v>
      </c>
      <c r="K1" s="1">
        <v>10</v>
      </c>
    </row>
    <row r="2" ht="16.5" customHeight="1" spans="1:11">
      <c r="A2" s="4" t="s">
        <v>2</v>
      </c>
      <c r="B2" s="4" t="s">
        <v>43</v>
      </c>
      <c r="C2" s="5" t="s">
        <v>310</v>
      </c>
      <c r="D2" s="6" t="s">
        <v>311</v>
      </c>
      <c r="F2" s="5" t="s">
        <v>22</v>
      </c>
      <c r="G2" s="10" t="s">
        <v>312</v>
      </c>
      <c r="H2" s="11" t="s">
        <v>313</v>
      </c>
      <c r="I2" s="11" t="s">
        <v>314</v>
      </c>
      <c r="J2" s="11" t="s">
        <v>315</v>
      </c>
      <c r="K2" s="5" t="s">
        <v>316</v>
      </c>
    </row>
    <row r="3" spans="1:9">
      <c r="A3" s="7">
        <f>IF(子基金及业绩基准周净值!A19="","",子基金及业绩基准周净值!A19)</f>
        <v>45576</v>
      </c>
      <c r="B3" s="1">
        <f>IF(A3="","",VLOOKUP($A3,子基金及业绩基准周净值!$A:$F,6))</f>
        <v>1.0314</v>
      </c>
      <c r="C3" s="8"/>
      <c r="F3" s="12"/>
      <c r="H3" s="14"/>
      <c r="I3" s="14"/>
    </row>
    <row r="4" spans="1:10">
      <c r="A4" s="7">
        <f>IF(子基金及业绩基准周净值!A20="","",子基金及业绩基准周净值!A20)</f>
        <v>45583</v>
      </c>
      <c r="B4" s="1">
        <f>IF(A4="","",VLOOKUP($A4,子基金及业绩基准周净值!$A:$F,6))</f>
        <v>1.0153</v>
      </c>
      <c r="C4" s="8">
        <f>IF(A4="","",(B4-B3)/B3)</f>
        <v>-0.0156098506883847</v>
      </c>
      <c r="D4" s="9">
        <f>IF(A4="","",C4-(子基金及业绩基准周净值!AG20/子基金及业绩基准周净值!AG19-1))</f>
        <v>-0.0128388323317725</v>
      </c>
      <c r="E4" s="12">
        <f>IF(A4="","",(MAX(B$3:B4)-B4)/MAX(B$3:B4))</f>
        <v>0.0156098506883847</v>
      </c>
      <c r="F4" s="12">
        <f>IF(A4="","",MAX(E$4:E4))</f>
        <v>0.0156098506883847</v>
      </c>
      <c r="G4" s="17">
        <v>1</v>
      </c>
      <c r="H4" s="14" t="str">
        <f>IF(B4="","",IF(C4&lt;-3%,"是","否"))</f>
        <v>否</v>
      </c>
      <c r="I4" s="14" t="str">
        <f>IF(A4="","",IF(F4&gt;5%,"是","否"))</f>
        <v>否</v>
      </c>
      <c r="J4" s="15" t="str">
        <f>IF(A4="","",IF(G4&gt;=4,"是","否"))</f>
        <v>否</v>
      </c>
    </row>
    <row r="5" spans="1:10">
      <c r="A5" s="7">
        <f>IF(子基金及业绩基准周净值!A21="","",子基金及业绩基准周净值!A21)</f>
        <v>45590</v>
      </c>
      <c r="B5" s="1">
        <f>IF(A5="","",VLOOKUP($A5,子基金及业绩基准周净值!$A:$F,6))</f>
        <v>1.0287</v>
      </c>
      <c r="C5" s="8">
        <f>IF(A5="","",(B5-B4)/B4)</f>
        <v>0.0131980695360976</v>
      </c>
      <c r="D5" s="9">
        <f>IF(A5="","",C5-(子基金及业绩基准周净值!AG21/子基金及业绩基准周净值!AG20-1))</f>
        <v>0.00077993056717493</v>
      </c>
      <c r="E5" s="12">
        <f>IF(A5="","",(MAX(B$3:B5)-B5)/MAX(B$3:B5))</f>
        <v>0.00261780104712056</v>
      </c>
      <c r="F5" s="12">
        <f>IF(A5="","",MAX(E$4:E5))</f>
        <v>0.0156098506883847</v>
      </c>
      <c r="G5" s="17">
        <v>0</v>
      </c>
      <c r="H5" s="14" t="str">
        <f t="shared" ref="H5:H36" si="0">IF(B5="","",IF(C5&lt;-3%,"是","否"))</f>
        <v>否</v>
      </c>
      <c r="I5" s="14" t="str">
        <f>IF(A5="","",IF(F5&gt;5%,"是","否"))</f>
        <v>否</v>
      </c>
      <c r="J5" s="15" t="str">
        <f t="shared" ref="J5:J68" si="1">IF(A5="","",IF(G5&gt;=4,"是","否"))</f>
        <v>否</v>
      </c>
    </row>
    <row r="6" spans="1:10">
      <c r="A6" s="7">
        <f>IF(子基金及业绩基准周净值!A22="","",子基金及业绩基准周净值!A22)</f>
        <v>45597</v>
      </c>
      <c r="B6" s="1">
        <f>IF(A6="","",VLOOKUP($A6,子基金及业绩基准周净值!$A:$F,6))</f>
        <v>1.0225</v>
      </c>
      <c r="C6" s="8">
        <f t="shared" ref="C6:C69" si="2">IF(A6="","",(B6-B5)/B5)</f>
        <v>-0.0060270243997278</v>
      </c>
      <c r="D6" s="9">
        <f>IF(A6="","",C6-(子基金及业绩基准周净值!AG22/子基金及业绩基准周净值!AG21-1))</f>
        <v>-0.00335404197639122</v>
      </c>
      <c r="E6" s="12">
        <f>IF(A6="","",(MAX(B$3:B6)-B6)/MAX(B$3:B6))</f>
        <v>0.00862904789606373</v>
      </c>
      <c r="F6" s="12">
        <f>IF(A6="","",MAX(E$4:E6))</f>
        <v>0.0156098506883847</v>
      </c>
      <c r="G6" s="17">
        <v>1</v>
      </c>
      <c r="H6" s="14" t="str">
        <f t="shared" si="0"/>
        <v>否</v>
      </c>
      <c r="I6" s="14" t="str">
        <f t="shared" ref="I6:I69" si="3">IF(A6="","",IF(F6&gt;5%,"是","否"))</f>
        <v>否</v>
      </c>
      <c r="J6" s="15" t="str">
        <f t="shared" si="1"/>
        <v>否</v>
      </c>
    </row>
    <row r="7" spans="1:10">
      <c r="A7" s="7">
        <f>IF(子基金及业绩基准周净值!A23="","",子基金及业绩基准周净值!A23)</f>
        <v>45604</v>
      </c>
      <c r="B7" s="1">
        <f>IF(A7="","",VLOOKUP($A7,子基金及业绩基准周净值!$A:$F,6))</f>
        <v>1.0179</v>
      </c>
      <c r="C7" s="8">
        <f t="shared" si="2"/>
        <v>-0.00449877750611241</v>
      </c>
      <c r="D7" s="9">
        <f>IF(A7="","",C7-(子基金及业绩基准周净值!AG23/子基金及业绩基准周净值!AG22-1))</f>
        <v>-0.0151150270276318</v>
      </c>
      <c r="E7" s="12">
        <f>IF(A7="","",(MAX(B$3:B7)-B7)/MAX(B$3:B7))</f>
        <v>0.0130890052356022</v>
      </c>
      <c r="F7" s="12">
        <f>IF(A7="","",MAX(E$4:E7))</f>
        <v>0.0156098506883847</v>
      </c>
      <c r="G7" s="17">
        <v>2</v>
      </c>
      <c r="H7" s="14" t="str">
        <f t="shared" si="0"/>
        <v>否</v>
      </c>
      <c r="I7" s="14" t="str">
        <f t="shared" si="3"/>
        <v>否</v>
      </c>
      <c r="J7" s="15" t="str">
        <f t="shared" si="1"/>
        <v>否</v>
      </c>
    </row>
    <row r="8" spans="1:10">
      <c r="A8" s="7">
        <f>IF(子基金及业绩基准周净值!A24="","",子基金及业绩基准周净值!A24)</f>
        <v>45611</v>
      </c>
      <c r="B8" s="1">
        <f>IF(A8="","",VLOOKUP($A8,子基金及业绩基准周净值!$A:$F,6))</f>
        <v>1.0189</v>
      </c>
      <c r="C8" s="8">
        <f t="shared" si="2"/>
        <v>0.000982414775518115</v>
      </c>
      <c r="D8" s="9">
        <f>IF(A8="","",C8-(子基金及业绩基准周净值!AG24/子基金及业绩基准周净值!AG23-1))</f>
        <v>-2.45970315811877e-6</v>
      </c>
      <c r="E8" s="12">
        <f>IF(A8="","",(MAX(B$3:B8)-B8)/MAX(B$3:B8))</f>
        <v>0.0121194492922243</v>
      </c>
      <c r="F8" s="12">
        <f>IF(A8="","",MAX(E$4:E8))</f>
        <v>0.0156098506883847</v>
      </c>
      <c r="G8" s="17">
        <v>0</v>
      </c>
      <c r="H8" s="14" t="str">
        <f t="shared" si="0"/>
        <v>否</v>
      </c>
      <c r="I8" s="14" t="str">
        <f t="shared" si="3"/>
        <v>否</v>
      </c>
      <c r="J8" s="15" t="str">
        <f t="shared" si="1"/>
        <v>否</v>
      </c>
    </row>
    <row r="9" spans="1:10">
      <c r="A9" s="7">
        <f>IF(子基金及业绩基准周净值!A25="","",子基金及业绩基准周净值!A25)</f>
        <v>45618</v>
      </c>
      <c r="B9" s="1">
        <f>IF(A9="","",VLOOKUP($A9,子基金及业绩基准周净值!$A:$F,6))</f>
        <v>1.0289</v>
      </c>
      <c r="C9" s="8">
        <f t="shared" si="2"/>
        <v>0.00981450583963098</v>
      </c>
      <c r="D9" s="9">
        <f>IF(A9="","",C9-(子基金及业绩基准周净值!AG25/子基金及业绩基准周净值!AG24-1))</f>
        <v>0.00126034363477704</v>
      </c>
      <c r="E9" s="12">
        <f>IF(A9="","",(MAX(B$3:B9)-B9)/MAX(B$3:B9))</f>
        <v>0.002423889858445</v>
      </c>
      <c r="F9" s="12">
        <f>IF(A9="","",MAX(E$4:E9))</f>
        <v>0.0156098506883847</v>
      </c>
      <c r="G9" s="17">
        <v>0</v>
      </c>
      <c r="H9" s="14" t="str">
        <f t="shared" si="0"/>
        <v>否</v>
      </c>
      <c r="I9" s="14" t="str">
        <f t="shared" si="3"/>
        <v>否</v>
      </c>
      <c r="J9" s="15" t="str">
        <f t="shared" si="1"/>
        <v>否</v>
      </c>
    </row>
    <row r="10" spans="1:10">
      <c r="A10" s="7">
        <f>IF(子基金及业绩基准周净值!A26="","",子基金及业绩基准周净值!A26)</f>
        <v>45625</v>
      </c>
      <c r="B10" s="1">
        <f>IF(A10="","",VLOOKUP($A10,子基金及业绩基准周净值!$A:$F,6))</f>
        <v>1.0351</v>
      </c>
      <c r="C10" s="8">
        <f t="shared" si="2"/>
        <v>0.00602585285256097</v>
      </c>
      <c r="D10" s="9">
        <f>IF(A10="","",C10-(子基金及业绩基准周净值!AG26/子基金及业绩基准周净值!AG25-1))</f>
        <v>-0.00363797047369618</v>
      </c>
      <c r="E10" s="12">
        <f>IF(A10="","",(MAX(B$3:B10)-B10)/MAX(B$3:B10))</f>
        <v>0</v>
      </c>
      <c r="F10" s="12">
        <f>IF(A10="","",MAX(E$4:E10))</f>
        <v>0.0156098506883847</v>
      </c>
      <c r="G10" s="17">
        <v>1</v>
      </c>
      <c r="H10" s="14" t="str">
        <f t="shared" si="0"/>
        <v>否</v>
      </c>
      <c r="I10" s="14" t="str">
        <f t="shared" si="3"/>
        <v>否</v>
      </c>
      <c r="J10" s="15" t="str">
        <f t="shared" si="1"/>
        <v>否</v>
      </c>
    </row>
    <row r="11" spans="1:10">
      <c r="A11" s="7">
        <f>IF(子基金及业绩基准周净值!A27="","",子基金及业绩基准周净值!A27)</f>
        <v>45632</v>
      </c>
      <c r="B11" s="1">
        <f>IF(A11="","",VLOOKUP($A11,子基金及业绩基准周净值!$A:$F,6))</f>
        <v>1.0378</v>
      </c>
      <c r="C11" s="8">
        <f t="shared" si="2"/>
        <v>0.00260844362863506</v>
      </c>
      <c r="D11" s="9">
        <f>IF(A11="","",C11-(子基金及业绩基准周净值!AG27/子基金及业绩基准周净值!AG26-1))</f>
        <v>-0.00628650842460825</v>
      </c>
      <c r="E11" s="12">
        <f>IF(A11="","",(MAX(B$3:B11)-B11)/MAX(B$3:B11))</f>
        <v>0</v>
      </c>
      <c r="F11" s="12">
        <f>IF(A11="","",MAX(E$4:E11))</f>
        <v>0.0156098506883847</v>
      </c>
      <c r="G11" s="17">
        <v>2</v>
      </c>
      <c r="H11" s="14" t="str">
        <f t="shared" si="0"/>
        <v>否</v>
      </c>
      <c r="I11" s="14" t="str">
        <f t="shared" si="3"/>
        <v>否</v>
      </c>
      <c r="J11" s="15" t="str">
        <f t="shared" si="1"/>
        <v>否</v>
      </c>
    </row>
    <row r="12" spans="1:10">
      <c r="A12" s="7">
        <f>IF(子基金及业绩基准周净值!A28="","",子基金及业绩基准周净值!A28)</f>
        <v>45639</v>
      </c>
      <c r="B12" s="1">
        <f>IF(A12="","",VLOOKUP($A12,子基金及业绩基准周净值!$A:$F,6))</f>
        <v>1.0407</v>
      </c>
      <c r="C12" s="8">
        <f t="shared" si="2"/>
        <v>0.00279437271150501</v>
      </c>
      <c r="D12" s="9">
        <f>IF(A12="","",C12-(子基金及业绩基准周净值!AG28/子基金及业绩基准周净值!AG27-1))</f>
        <v>-0.000345545602073503</v>
      </c>
      <c r="E12" s="12">
        <f>IF(A12="","",(MAX(B$3:B12)-B12)/MAX(B$3:B12))</f>
        <v>0</v>
      </c>
      <c r="F12" s="12">
        <f>IF(A12="","",MAX(E$4:E12))</f>
        <v>0.0156098506883847</v>
      </c>
      <c r="G12" s="17">
        <v>3</v>
      </c>
      <c r="H12" s="14" t="str">
        <f t="shared" si="0"/>
        <v>否</v>
      </c>
      <c r="I12" s="14" t="str">
        <f t="shared" si="3"/>
        <v>否</v>
      </c>
      <c r="J12" s="15" t="str">
        <f t="shared" si="1"/>
        <v>否</v>
      </c>
    </row>
    <row r="13" spans="1:10">
      <c r="A13" s="7">
        <f>IF(子基金及业绩基准周净值!A29="","",子基金及业绩基准周净值!A29)</f>
        <v>45646</v>
      </c>
      <c r="B13" s="1">
        <f>IF(A13="","",VLOOKUP($A13,子基金及业绩基准周净值!$A:$F,6))</f>
        <v>1.0376</v>
      </c>
      <c r="C13" s="8">
        <f t="shared" si="2"/>
        <v>-0.00297876429326403</v>
      </c>
      <c r="D13" s="9">
        <f>IF(A13="","",C13-(子基金及业绩基准周净值!AG29/子基金及业绩基准周净值!AG28-1))</f>
        <v>-0.00386842997273594</v>
      </c>
      <c r="E13" s="12">
        <f>IF(A13="","",(MAX(B$3:B13)-B13)/MAX(B$3:B13))</f>
        <v>0.00297876429326403</v>
      </c>
      <c r="F13" s="12">
        <f>IF(A13="","",MAX(E$4:E13))</f>
        <v>0.0156098506883847</v>
      </c>
      <c r="G13" s="17">
        <v>4</v>
      </c>
      <c r="H13" s="14" t="str">
        <f t="shared" si="0"/>
        <v>否</v>
      </c>
      <c r="I13" s="14" t="str">
        <f t="shared" si="3"/>
        <v>否</v>
      </c>
      <c r="J13" s="15" t="str">
        <f t="shared" si="1"/>
        <v>是</v>
      </c>
    </row>
    <row r="14" spans="1:10">
      <c r="A14" s="7">
        <f>IF(子基金及业绩基准周净值!A30="","",子基金及业绩基准周净值!A30)</f>
        <v>45653</v>
      </c>
      <c r="B14" s="1">
        <f>IF(A14="","",VLOOKUP($A14,子基金及业绩基准周净值!$A:$F,6))</f>
        <v>1.0375</v>
      </c>
      <c r="C14" s="8">
        <f t="shared" si="2"/>
        <v>-9.6376252891277e-5</v>
      </c>
      <c r="D14" s="9">
        <f>IF(A14="","",C14-(子基金及业绩基准周净值!AG30/子基金及业绩基准周净值!AG29-1))</f>
        <v>0.00540455241441617</v>
      </c>
      <c r="E14" s="12">
        <f>IF(A14="","",(MAX(B$3:B14)-B14)/MAX(B$3:B14))</f>
        <v>0.00307485346401448</v>
      </c>
      <c r="F14" s="12">
        <f>IF(A14="","",MAX(E$4:E14))</f>
        <v>0.0156098506883847</v>
      </c>
      <c r="G14" s="17">
        <v>0</v>
      </c>
      <c r="H14" s="14" t="str">
        <f t="shared" si="0"/>
        <v>否</v>
      </c>
      <c r="I14" s="14" t="str">
        <f t="shared" si="3"/>
        <v>否</v>
      </c>
      <c r="J14" s="15" t="str">
        <f t="shared" si="1"/>
        <v>否</v>
      </c>
    </row>
    <row r="15" spans="1:10">
      <c r="A15" s="7">
        <f>IF(子基金及业绩基准周净值!A31="","",子基金及业绩基准周净值!A31)</f>
        <v>45660</v>
      </c>
      <c r="B15" s="1">
        <f>IF(A15="","",VLOOKUP($A15,子基金及业绩基准周净值!$A:$F,6))</f>
        <v>1.0458</v>
      </c>
      <c r="C15" s="8">
        <f t="shared" si="2"/>
        <v>0.00799999999999997</v>
      </c>
      <c r="D15" s="9">
        <f>IF(A15="","",C15-(子基金及业绩基准周净值!AG31/子基金及业绩基准周净值!AG30-1))</f>
        <v>0.0137520329333796</v>
      </c>
      <c r="E15" s="12">
        <f>IF(A15="","",(MAX(B$3:B15)-B15)/MAX(B$3:B15))</f>
        <v>0</v>
      </c>
      <c r="F15" s="12">
        <f>IF(A15="","",MAX(E$4:E15))</f>
        <v>0.0156098506883847</v>
      </c>
      <c r="G15" s="17">
        <v>0</v>
      </c>
      <c r="H15" s="14" t="str">
        <f t="shared" si="0"/>
        <v>否</v>
      </c>
      <c r="I15" s="14" t="str">
        <f t="shared" si="3"/>
        <v>否</v>
      </c>
      <c r="J15" s="15" t="str">
        <f t="shared" si="1"/>
        <v>否</v>
      </c>
    </row>
    <row r="16" spans="1:10">
      <c r="A16" s="7">
        <f>IF(子基金及业绩基准周净值!A32="","",子基金及业绩基准周净值!A32)</f>
        <v>45667</v>
      </c>
      <c r="B16" s="1">
        <f>IF(A16="","",VLOOKUP($A16,子基金及业绩基准周净值!$A:$F,6))</f>
        <v>1.0454</v>
      </c>
      <c r="C16" s="8">
        <f t="shared" si="2"/>
        <v>-0.000382482310193111</v>
      </c>
      <c r="D16" s="9">
        <f>IF(A16="","",C16-(子基金及业绩基准周净值!AG32/子基金及业绩基准周净值!AG31-1))</f>
        <v>-0.00381549775162327</v>
      </c>
      <c r="E16" s="12">
        <f>IF(A16="","",(MAX(B$3:B16)-B16)/MAX(B$3:B16))</f>
        <v>0.000382482310193111</v>
      </c>
      <c r="F16" s="12">
        <f>IF(A16="","",MAX(E$4:E16))</f>
        <v>0.0156098506883847</v>
      </c>
      <c r="G16" s="17">
        <v>1</v>
      </c>
      <c r="H16" s="14" t="str">
        <f t="shared" si="0"/>
        <v>否</v>
      </c>
      <c r="I16" s="14" t="str">
        <f t="shared" si="3"/>
        <v>否</v>
      </c>
      <c r="J16" s="15" t="str">
        <f t="shared" si="1"/>
        <v>否</v>
      </c>
    </row>
    <row r="17" spans="1:10">
      <c r="A17" s="7">
        <f>IF(子基金及业绩基准周净值!A33="","",子基金及业绩基准周净值!A33)</f>
        <v>45674</v>
      </c>
      <c r="B17" s="1">
        <f>IF(A17="","",VLOOKUP($A17,子基金及业绩基准周净值!$A:$F,6))</f>
        <v>1.0472</v>
      </c>
      <c r="C17" s="8">
        <f t="shared" si="2"/>
        <v>0.00172182896498929</v>
      </c>
      <c r="D17" s="9">
        <f>IF(A17="","",C17-(子基金及业绩基准周净值!AG33/子基金及业绩基准周净值!AG32-1))</f>
        <v>-0.00666278289218803</v>
      </c>
      <c r="E17" s="12">
        <f>IF(A17="","",(MAX(B$3:B17)-B17)/MAX(B$3:B17))</f>
        <v>0</v>
      </c>
      <c r="F17" s="12">
        <f>IF(A17="","",MAX(E$4:E17))</f>
        <v>0.0156098506883847</v>
      </c>
      <c r="G17" s="17">
        <v>2</v>
      </c>
      <c r="H17" s="14" t="str">
        <f t="shared" si="0"/>
        <v>否</v>
      </c>
      <c r="I17" s="14" t="str">
        <f t="shared" si="3"/>
        <v>否</v>
      </c>
      <c r="J17" s="15" t="str">
        <f t="shared" si="1"/>
        <v>否</v>
      </c>
    </row>
    <row r="18" spans="1:10">
      <c r="A18" s="7">
        <f>IF(子基金及业绩基准周净值!A34="","",子基金及业绩基准周净值!A34)</f>
        <v>45681</v>
      </c>
      <c r="B18" s="1">
        <f>IF(A18="","",VLOOKUP($A18,子基金及业绩基准周净值!$A:$F,6))</f>
        <v>1.0444</v>
      </c>
      <c r="C18" s="8">
        <f t="shared" si="2"/>
        <v>-0.00267379679144377</v>
      </c>
      <c r="D18" s="9">
        <f>IF(A18="","",C18-(子基金及业绩基准周净值!AG34/子基金及业绩基准周净值!AG33-1))</f>
        <v>-0.007130772880129</v>
      </c>
      <c r="E18" s="12">
        <f>IF(A18="","",(MAX(B$3:B18)-B18)/MAX(B$3:B18))</f>
        <v>0.00267379679144377</v>
      </c>
      <c r="F18" s="12">
        <f>IF(A18="","",MAX(E$4:E18))</f>
        <v>0.0156098506883847</v>
      </c>
      <c r="G18" s="17">
        <v>3</v>
      </c>
      <c r="H18" s="14" t="str">
        <f t="shared" si="0"/>
        <v>否</v>
      </c>
      <c r="I18" s="14" t="str">
        <f t="shared" si="3"/>
        <v>否</v>
      </c>
      <c r="J18" s="15" t="str">
        <f t="shared" si="1"/>
        <v>否</v>
      </c>
    </row>
    <row r="19" spans="1:10">
      <c r="A19" s="7">
        <f>IF(子基金及业绩基准周净值!A35="","",子基金及业绩基准周净值!A35)</f>
        <v>45684</v>
      </c>
      <c r="B19" s="1">
        <f>IF(A19="","",VLOOKUP($A19,子基金及业绩基准周净值!$A:$F,6))</f>
        <v>1.0502</v>
      </c>
      <c r="C19" s="8">
        <f t="shared" si="2"/>
        <v>0.00555342780543856</v>
      </c>
      <c r="D19" s="9">
        <f>IF(A19="","",C19-(子基金及业绩基准周净值!AG35/子基金及业绩基准周净值!AG34-1))</f>
        <v>0.00545643352632098</v>
      </c>
      <c r="E19" s="12">
        <f>IF(A19="","",(MAX(B$3:B19)-B19)/MAX(B$3:B19))</f>
        <v>0</v>
      </c>
      <c r="F19" s="12">
        <f>IF(A19="","",MAX(E$4:E19))</f>
        <v>0.0156098506883847</v>
      </c>
      <c r="G19" s="17">
        <v>0</v>
      </c>
      <c r="H19" s="14" t="str">
        <f t="shared" si="0"/>
        <v>否</v>
      </c>
      <c r="I19" s="14" t="str">
        <f t="shared" si="3"/>
        <v>否</v>
      </c>
      <c r="J19" s="15" t="str">
        <f t="shared" si="1"/>
        <v>否</v>
      </c>
    </row>
    <row r="20" spans="1:10">
      <c r="A20" s="7">
        <f>IF(子基金及业绩基准周净值!A36="","",子基金及业绩基准周净值!A36)</f>
        <v>45695</v>
      </c>
      <c r="B20" s="1">
        <f>IF(A20="","",VLOOKUP($A20,子基金及业绩基准周净值!$A:$F,6))</f>
        <v>1.0471</v>
      </c>
      <c r="C20" s="8">
        <f t="shared" si="2"/>
        <v>-0.00295181870119987</v>
      </c>
      <c r="D20" s="9">
        <f>IF(A20="","",C20-(子基金及业绩基准周净值!AG36/子基金及业绩基准周净值!AG35-1))</f>
        <v>-0.00975182449335188</v>
      </c>
      <c r="E20" s="12">
        <f>IF(A20="","",(MAX(B$3:B20)-B20)/MAX(B$3:B20))</f>
        <v>0.00295181870119987</v>
      </c>
      <c r="F20" s="12">
        <f>IF(A20="","",MAX(E$4:E20))</f>
        <v>0.0156098506883847</v>
      </c>
      <c r="G20" s="17">
        <v>1</v>
      </c>
      <c r="H20" s="14" t="str">
        <f t="shared" si="0"/>
        <v>否</v>
      </c>
      <c r="I20" s="14" t="str">
        <f t="shared" si="3"/>
        <v>否</v>
      </c>
      <c r="J20" s="15" t="str">
        <f t="shared" si="1"/>
        <v>否</v>
      </c>
    </row>
    <row r="21" spans="1:10">
      <c r="A21" s="7">
        <f>IF(子基金及业绩基准周净值!A37="","",子基金及业绩基准周净值!A37)</f>
        <v>45702</v>
      </c>
      <c r="B21" s="1">
        <f>IF(A21="","",VLOOKUP($A21,子基金及业绩基准周净值!$A:$F,6))</f>
        <v>1.043</v>
      </c>
      <c r="C21" s="8">
        <f t="shared" si="2"/>
        <v>-0.00391557635373889</v>
      </c>
      <c r="D21" s="9">
        <f>IF(A21="","",C21-(子基金及业绩基准周净值!AG37/子基金及业绩基准周净值!AG36-1))</f>
        <v>-0.00746444178569887</v>
      </c>
      <c r="E21" s="12">
        <f>IF(A21="","",(MAX(B$3:B21)-B21)/MAX(B$3:B21))</f>
        <v>0.00685583698343182</v>
      </c>
      <c r="F21" s="12">
        <f>IF(A21="","",MAX(E$4:E21))</f>
        <v>0.0156098506883847</v>
      </c>
      <c r="G21" s="17">
        <v>2</v>
      </c>
      <c r="H21" s="14" t="str">
        <f t="shared" si="0"/>
        <v>否</v>
      </c>
      <c r="I21" s="14" t="str">
        <f t="shared" si="3"/>
        <v>否</v>
      </c>
      <c r="J21" s="15" t="str">
        <f t="shared" si="1"/>
        <v>否</v>
      </c>
    </row>
    <row r="22" spans="1:10">
      <c r="A22" s="7">
        <f>IF(子基金及业绩基准周净值!A38="","",子基金及业绩基准周净值!A38)</f>
        <v>45709</v>
      </c>
      <c r="B22" s="1">
        <f>IF(A22="","",VLOOKUP($A22,子基金及业绩基准周净值!$A:$F,6))</f>
        <v>1.0368</v>
      </c>
      <c r="C22" s="8">
        <f t="shared" si="2"/>
        <v>-0.00594439117929049</v>
      </c>
      <c r="D22" s="9">
        <f>IF(A22="","",C22-(子基金及业绩基准周净值!AG38/子基金及业绩基准周净值!AG37-1))</f>
        <v>-0.00932539088370479</v>
      </c>
      <c r="E22" s="12">
        <f>IF(A22="","",(MAX(B$3:B22)-B22)/MAX(B$3:B22))</f>
        <v>0.0127594743858313</v>
      </c>
      <c r="F22" s="12">
        <f>IF(A22="","",MAX(E$4:E22))</f>
        <v>0.0156098506883847</v>
      </c>
      <c r="G22" s="17">
        <v>3</v>
      </c>
      <c r="H22" s="14" t="str">
        <f t="shared" si="0"/>
        <v>否</v>
      </c>
      <c r="I22" s="14" t="str">
        <f t="shared" si="3"/>
        <v>否</v>
      </c>
      <c r="J22" s="15" t="str">
        <f t="shared" si="1"/>
        <v>否</v>
      </c>
    </row>
    <row r="23" spans="1:10">
      <c r="A23" s="7">
        <f>IF(子基金及业绩基准周净值!A39="","",子基金及业绩基准周净值!A39)</f>
        <v>45716</v>
      </c>
      <c r="B23" s="1">
        <f>IF(A23="","",VLOOKUP($A23,子基金及业绩基准周净值!$A:$F,6))</f>
        <v>1.0488</v>
      </c>
      <c r="C23" s="8">
        <f t="shared" si="2"/>
        <v>0.0115740740740741</v>
      </c>
      <c r="D23" s="9">
        <f>IF(A23="","",C23-(子基金及业绩基准周净值!AG39/子基金及业绩基准周净值!AG38-1))</f>
        <v>0.011177839526569</v>
      </c>
      <c r="E23" s="12">
        <f>IF(A23="","",(MAX(B$3:B23)-B23)/MAX(B$3:B23))</f>
        <v>0.00133307941344512</v>
      </c>
      <c r="F23" s="12">
        <f>IF(A23="","",MAX(E$4:E23))</f>
        <v>0.0156098506883847</v>
      </c>
      <c r="G23" s="17">
        <v>0</v>
      </c>
      <c r="H23" s="14" t="str">
        <f t="shared" si="0"/>
        <v>否</v>
      </c>
      <c r="I23" s="14" t="str">
        <f t="shared" si="3"/>
        <v>否</v>
      </c>
      <c r="J23" s="15" t="str">
        <f t="shared" si="1"/>
        <v>否</v>
      </c>
    </row>
    <row r="24" spans="1:10">
      <c r="A24" s="7">
        <f>IF(子基金及业绩基准周净值!A40="","",子基金及业绩基准周净值!A40)</f>
        <v>45723</v>
      </c>
      <c r="B24" s="1">
        <f>IF(A24="","",VLOOKUP($A24,子基金及业绩基准周净值!$A:$F,6))</f>
        <v>1.05</v>
      </c>
      <c r="C24" s="8">
        <f t="shared" si="2"/>
        <v>0.00114416475972549</v>
      </c>
      <c r="D24" s="9">
        <f>IF(A24="","",C24-(子基金及业绩基准周净值!AG40/子基金及业绩基准周净值!AG39-1))</f>
        <v>-0.00923083914768693</v>
      </c>
      <c r="E24" s="12">
        <f>IF(A24="","",(MAX(B$3:B24)-B24)/MAX(B$3:B24))</f>
        <v>0.000190439916206416</v>
      </c>
      <c r="F24" s="12">
        <f>IF(A24="","",MAX(E$4:E24))</f>
        <v>0.0156098506883847</v>
      </c>
      <c r="G24" s="17">
        <v>1</v>
      </c>
      <c r="H24" s="14" t="str">
        <f t="shared" si="0"/>
        <v>否</v>
      </c>
      <c r="I24" s="14" t="str">
        <f t="shared" si="3"/>
        <v>否</v>
      </c>
      <c r="J24" s="15" t="str">
        <f t="shared" si="1"/>
        <v>否</v>
      </c>
    </row>
    <row r="25" spans="1:10">
      <c r="A25" s="7">
        <f>IF(子基金及业绩基准周净值!A41="","",子基金及业绩基准周净值!A41)</f>
        <v>45730</v>
      </c>
      <c r="B25" s="1">
        <f>IF(A25="","",VLOOKUP($A25,子基金及业绩基准周净值!$A:$F,6))</f>
        <v>1.0542</v>
      </c>
      <c r="C25" s="8">
        <f t="shared" si="2"/>
        <v>0.00399999999999998</v>
      </c>
      <c r="D25" s="9">
        <f>IF(A25="","",C25-(子基金及业绩基准周净值!AG41/子基金及业绩基准周净值!AG40-1))</f>
        <v>0.00134160545903959</v>
      </c>
      <c r="E25" s="12">
        <f>IF(A25="","",(MAX(B$3:B25)-B25)/MAX(B$3:B25))</f>
        <v>0</v>
      </c>
      <c r="F25" s="12">
        <f>IF(A25="","",MAX(E$4:E25))</f>
        <v>0.0156098506883847</v>
      </c>
      <c r="G25" s="17">
        <v>0</v>
      </c>
      <c r="H25" s="14" t="str">
        <f t="shared" si="0"/>
        <v>否</v>
      </c>
      <c r="I25" s="14" t="str">
        <f t="shared" si="3"/>
        <v>否</v>
      </c>
      <c r="J25" s="15" t="str">
        <f t="shared" si="1"/>
        <v>否</v>
      </c>
    </row>
    <row r="26" spans="1:10">
      <c r="A26" s="7">
        <f>IF(子基金及业绩基准周净值!A42="","",子基金及业绩基准周净值!A42)</f>
        <v>45737</v>
      </c>
      <c r="B26" s="1">
        <f>IF(A26="","",VLOOKUP($A26,子基金及业绩基准周净值!$A:$F,6))</f>
        <v>1.0629</v>
      </c>
      <c r="C26" s="8">
        <f t="shared" si="2"/>
        <v>0.00825270347182691</v>
      </c>
      <c r="D26" s="9">
        <f>IF(A26="","",C26-(子基金及业绩基准周净值!AG42/子基金及业绩基准周净值!AG41-1))</f>
        <v>0.00400436890353981</v>
      </c>
      <c r="E26" s="12">
        <f>IF(A26="","",(MAX(B$3:B26)-B26)/MAX(B$3:B26))</f>
        <v>0</v>
      </c>
      <c r="F26" s="12">
        <f>IF(A26="","",MAX(E$4:E26))</f>
        <v>0.0156098506883847</v>
      </c>
      <c r="G26" s="17">
        <v>0</v>
      </c>
      <c r="H26" s="14" t="str">
        <f t="shared" si="0"/>
        <v>否</v>
      </c>
      <c r="I26" s="14" t="str">
        <f t="shared" si="3"/>
        <v>否</v>
      </c>
      <c r="J26" s="15" t="str">
        <f t="shared" si="1"/>
        <v>否</v>
      </c>
    </row>
    <row r="27" spans="1:10">
      <c r="A27" s="7">
        <f>IF(子基金及业绩基准周净值!A43="","",子基金及业绩基准周净值!A43)</f>
        <v>45744</v>
      </c>
      <c r="B27" s="1">
        <f>IF(A27="","",VLOOKUP($A27,子基金及业绩基准周净值!$A:$F,6))</f>
        <v>1.0628</v>
      </c>
      <c r="C27" s="8">
        <f t="shared" si="2"/>
        <v>-9.40822278671455e-5</v>
      </c>
      <c r="D27" s="9">
        <f>IF(A27="","",C27-(子基金及业绩基准周净值!AG43/子基金及业绩基准周净值!AG42-1))</f>
        <v>0.00354960031739256</v>
      </c>
      <c r="E27" s="12">
        <f>IF(A27="","",(MAX(B$3:B27)-B27)/MAX(B$3:B27))</f>
        <v>9.40822278671455e-5</v>
      </c>
      <c r="F27" s="12">
        <f>IF(A27="","",MAX(E$4:E27))</f>
        <v>0.0156098506883847</v>
      </c>
      <c r="G27" s="17">
        <v>0</v>
      </c>
      <c r="H27" s="14" t="str">
        <f t="shared" si="0"/>
        <v>否</v>
      </c>
      <c r="I27" s="14" t="str">
        <f t="shared" si="3"/>
        <v>否</v>
      </c>
      <c r="J27" s="15" t="str">
        <f t="shared" si="1"/>
        <v>否</v>
      </c>
    </row>
    <row r="28" spans="1:10">
      <c r="A28" s="7">
        <f>IF(子基金及业绩基准周净值!A44="","",子基金及业绩基准周净值!A44)</f>
        <v>45750</v>
      </c>
      <c r="B28" s="1">
        <f>IF(A28="","",VLOOKUP($A28,子基金及业绩基准周净值!$A:$F,6))</f>
        <v>1.0691</v>
      </c>
      <c r="C28" s="8">
        <f t="shared" si="2"/>
        <v>0.00592773805043279</v>
      </c>
      <c r="D28" s="9">
        <f>IF(A28="","",C28-(子基金及业绩基准周净值!AG44/子基金及业绩基准周净值!AG43-1))</f>
        <v>0.00422410760393711</v>
      </c>
      <c r="E28" s="12">
        <f>IF(A28="","",(MAX(B$3:B28)-B28)/MAX(B$3:B28))</f>
        <v>0</v>
      </c>
      <c r="F28" s="12">
        <f>IF(A28="","",MAX(E$4:E28))</f>
        <v>0.0156098506883847</v>
      </c>
      <c r="G28" s="17">
        <v>0</v>
      </c>
      <c r="H28" s="14" t="str">
        <f t="shared" si="0"/>
        <v>否</v>
      </c>
      <c r="I28" s="14" t="str">
        <f t="shared" si="3"/>
        <v>否</v>
      </c>
      <c r="J28" s="15" t="str">
        <f t="shared" si="1"/>
        <v>否</v>
      </c>
    </row>
    <row r="29" spans="1:10">
      <c r="A29" s="7">
        <f>IF(子基金及业绩基准周净值!A45="","",子基金及业绩基准周净值!A45)</f>
        <v>45758</v>
      </c>
      <c r="B29" s="1">
        <f>IF(A29="","",VLOOKUP($A29,子基金及业绩基准周净值!$A:$F,6))</f>
        <v>1.0808</v>
      </c>
      <c r="C29" s="8">
        <f t="shared" si="2"/>
        <v>0.0109437844916285</v>
      </c>
      <c r="D29" s="9">
        <f>IF(A29="","",C29-(子基金及业绩基准周净值!AG45/子基金及业绩基准周净值!AG44-1))</f>
        <v>0.0131418065100622</v>
      </c>
      <c r="E29" s="12">
        <f>IF(A29="","",(MAX(B$3:B29)-B29)/MAX(B$3:B29))</f>
        <v>0</v>
      </c>
      <c r="F29" s="12">
        <f>IF(A29="","",MAX(E$4:E29))</f>
        <v>0.0156098506883847</v>
      </c>
      <c r="G29" s="17">
        <v>0</v>
      </c>
      <c r="H29" s="14" t="str">
        <f t="shared" si="0"/>
        <v>否</v>
      </c>
      <c r="I29" s="14" t="str">
        <f t="shared" si="3"/>
        <v>否</v>
      </c>
      <c r="J29" s="15" t="str">
        <f t="shared" si="1"/>
        <v>否</v>
      </c>
    </row>
    <row r="30" spans="1:10">
      <c r="A30" s="7">
        <f>IF(子基金及业绩基准周净值!A46="","",子基金及业绩基准周净值!A46)</f>
        <v>45765</v>
      </c>
      <c r="B30" s="1">
        <f>IF(A30="","",VLOOKUP($A30,子基金及业绩基准周净值!$A:$F,6))</f>
        <v>1.0856</v>
      </c>
      <c r="C30" s="8">
        <f t="shared" si="2"/>
        <v>0.00444115470022198</v>
      </c>
      <c r="D30" s="9">
        <f>IF(A30="","",C30-(子基金及业绩基准周净值!AG46/子基金及业绩基准周净值!AG45-1))</f>
        <v>0.000938464758509657</v>
      </c>
      <c r="E30" s="12">
        <f>IF(A30="","",(MAX(B$3:B30)-B30)/MAX(B$3:B30))</f>
        <v>0</v>
      </c>
      <c r="F30" s="12">
        <f>IF(A30="","",MAX(E$4:E30))</f>
        <v>0.0156098506883847</v>
      </c>
      <c r="G30" s="17">
        <v>0</v>
      </c>
      <c r="H30" s="14" t="str">
        <f t="shared" si="0"/>
        <v>否</v>
      </c>
      <c r="I30" s="14" t="str">
        <f t="shared" si="3"/>
        <v>否</v>
      </c>
      <c r="J30" s="15" t="str">
        <f t="shared" si="1"/>
        <v>否</v>
      </c>
    </row>
    <row r="31" spans="1:10">
      <c r="A31" s="7">
        <f>IF(子基金及业绩基准周净值!A47="","",子基金及业绩基准周净值!A47)</f>
        <v>45772</v>
      </c>
      <c r="B31" s="1">
        <f>IF(A31="","",VLOOKUP($A31,子基金及业绩基准周净值!$A:$F,6))</f>
        <v>1.0907</v>
      </c>
      <c r="C31" s="8">
        <f t="shared" si="2"/>
        <v>0.00469786293294041</v>
      </c>
      <c r="D31" s="9">
        <f>IF(A31="","",C31-(子基金及业绩基准周净值!AG47/子基金及业绩基准周净值!AG46-1))</f>
        <v>-0.00223487007829458</v>
      </c>
      <c r="E31" s="12">
        <f>IF(A31="","",(MAX(B$3:B31)-B31)/MAX(B$3:B31))</f>
        <v>0</v>
      </c>
      <c r="F31" s="12">
        <f>IF(A31="","",MAX(E$4:E31))</f>
        <v>0.0156098506883847</v>
      </c>
      <c r="G31" s="17">
        <v>1</v>
      </c>
      <c r="H31" s="14" t="str">
        <f t="shared" si="0"/>
        <v>否</v>
      </c>
      <c r="I31" s="14" t="str">
        <f t="shared" si="3"/>
        <v>否</v>
      </c>
      <c r="J31" s="15" t="str">
        <f t="shared" si="1"/>
        <v>否</v>
      </c>
    </row>
    <row r="32" spans="1:10">
      <c r="A32" s="7">
        <f>IF(子基金及业绩基准周净值!A48="","",子基金及业绩基准周净值!A48)</f>
        <v>45786</v>
      </c>
      <c r="B32" s="1">
        <f>IF(A32="","",VLOOKUP($A32,子基金及业绩基准周净值!$A:$F,6))</f>
        <v>1.0964</v>
      </c>
      <c r="C32" s="8">
        <f t="shared" si="2"/>
        <v>0.00522600165031635</v>
      </c>
      <c r="D32" s="9">
        <f>IF(A32="","",C32-(子基金及业绩基准周净值!AG48/子基金及业绩基准周净值!AG47-1))</f>
        <v>-0.00414449439503011</v>
      </c>
      <c r="E32" s="12">
        <f>IF(A32="","",(MAX(B$3:B32)-B32)/MAX(B$3:B32))</f>
        <v>0</v>
      </c>
      <c r="F32" s="12">
        <f>IF(A32="","",MAX(E$4:E32))</f>
        <v>0.0156098506883847</v>
      </c>
      <c r="G32" s="17">
        <v>2</v>
      </c>
      <c r="H32" s="14" t="str">
        <f t="shared" si="0"/>
        <v>否</v>
      </c>
      <c r="I32" s="14" t="str">
        <f t="shared" si="3"/>
        <v>否</v>
      </c>
      <c r="J32" s="15" t="str">
        <f t="shared" si="1"/>
        <v>否</v>
      </c>
    </row>
    <row r="33" spans="1:10">
      <c r="A33" s="7">
        <f>IF(子基金及业绩基准周净值!A49="","",子基金及业绩基准周净值!A49)</f>
        <v>45793</v>
      </c>
      <c r="B33" s="1">
        <f>IF(A33="","",VLOOKUP($A33,子基金及业绩基准周净值!$A:$F,6))</f>
        <v>1.1</v>
      </c>
      <c r="C33" s="8">
        <f t="shared" si="2"/>
        <v>0.00328347318496903</v>
      </c>
      <c r="D33" s="9">
        <f>IF(A33="","",C33-(子基金及业绩基准周净值!AG49/子基金及业绩基准周净值!AG48-1))</f>
        <v>0.00311280263055148</v>
      </c>
      <c r="E33" s="12">
        <f>IF(A33="","",(MAX(B$3:B33)-B33)/MAX(B$3:B33))</f>
        <v>0</v>
      </c>
      <c r="F33" s="12">
        <f>IF(A33="","",MAX(E$4:E33))</f>
        <v>0.0156098506883847</v>
      </c>
      <c r="G33" s="17">
        <v>0</v>
      </c>
      <c r="H33" s="14" t="str">
        <f t="shared" si="0"/>
        <v>否</v>
      </c>
      <c r="I33" s="14" t="str">
        <f t="shared" si="3"/>
        <v>否</v>
      </c>
      <c r="J33" s="15" t="str">
        <f t="shared" si="1"/>
        <v>否</v>
      </c>
    </row>
    <row r="34" spans="1:10">
      <c r="A34" s="7">
        <f>IF(子基金及业绩基准周净值!A50="","",子基金及业绩基准周净值!A50)</f>
        <v>45800</v>
      </c>
      <c r="B34" s="1">
        <f>IF(A34="","",VLOOKUP($A34,子基金及业绩基准周净值!$A:$F,6))</f>
        <v>1.0988</v>
      </c>
      <c r="C34" s="8">
        <f t="shared" si="2"/>
        <v>-0.00109090909090917</v>
      </c>
      <c r="D34" s="9">
        <f>IF(A34="","",C34-(子基金及业绩基准周净值!AG50/子基金及业绩基准周净值!AG49-1))</f>
        <v>-0.00712476805920873</v>
      </c>
      <c r="E34" s="12">
        <f>IF(A34="","",(MAX(B$3:B34)-B34)/MAX(B$3:B34))</f>
        <v>0.00109090909090917</v>
      </c>
      <c r="F34" s="12">
        <f>IF(A34="","",MAX(E$4:E34))</f>
        <v>0.0156098506883847</v>
      </c>
      <c r="G34" s="17">
        <v>1</v>
      </c>
      <c r="H34" s="14" t="str">
        <f t="shared" si="0"/>
        <v>否</v>
      </c>
      <c r="I34" s="14" t="str">
        <f t="shared" si="3"/>
        <v>否</v>
      </c>
      <c r="J34" s="15" t="str">
        <f t="shared" si="1"/>
        <v>否</v>
      </c>
    </row>
    <row r="35" spans="1:10">
      <c r="A35" s="7">
        <f>IF(子基金及业绩基准周净值!A51="","",子基金及业绩基准周净值!A51)</f>
        <v>45807</v>
      </c>
      <c r="B35" s="1">
        <f>IF(A35="","",VLOOKUP($A35,子基金及业绩基准周净值!$A:$F,6))</f>
        <v>1.0967</v>
      </c>
      <c r="C35" s="8">
        <f t="shared" si="2"/>
        <v>-0.00191117582817618</v>
      </c>
      <c r="D35" s="9">
        <f>IF(A35="","",C35-(子基金及业绩基准周净值!AG51/子基金及业绩基准周净值!AG50-1))</f>
        <v>-0.00399221234640751</v>
      </c>
      <c r="E35" s="12">
        <f>IF(A35="","",(MAX(B$3:B35)-B35)/MAX(B$3:B35))</f>
        <v>0.00300000000000007</v>
      </c>
      <c r="F35" s="12">
        <f>IF(A35="","",MAX(E$4:E35))</f>
        <v>0.0156098506883847</v>
      </c>
      <c r="G35" s="17">
        <v>2</v>
      </c>
      <c r="H35" s="14" t="str">
        <f t="shared" si="0"/>
        <v>否</v>
      </c>
      <c r="I35" s="14" t="str">
        <f t="shared" si="3"/>
        <v>否</v>
      </c>
      <c r="J35" s="15" t="str">
        <f t="shared" si="1"/>
        <v>否</v>
      </c>
    </row>
    <row r="36" spans="1:10">
      <c r="A36" s="7">
        <f>IF(子基金及业绩基准周净值!A52="","",子基金及业绩基准周净值!A52)</f>
        <v>45814</v>
      </c>
      <c r="B36" s="1">
        <f>IF(A36="","",VLOOKUP($A36,子基金及业绩基准周净值!$A:$F,6))</f>
        <v>1.0969</v>
      </c>
      <c r="C36" s="8">
        <f t="shared" si="2"/>
        <v>0.000182365277651115</v>
      </c>
      <c r="D36" s="9">
        <f>IF(A36="","",C36-(子基金及业绩基准周净值!AG52/子基金及业绩基准周净值!AG51-1))</f>
        <v>-0.00259772648640991</v>
      </c>
      <c r="E36" s="12">
        <f>IF(A36="","",(MAX(B$3:B36)-B36)/MAX(B$3:B36))</f>
        <v>0.00281818181818191</v>
      </c>
      <c r="F36" s="12">
        <f>IF(A36="","",MAX(E$4:E36))</f>
        <v>0.0156098506883847</v>
      </c>
      <c r="G36" s="17">
        <v>3</v>
      </c>
      <c r="H36" s="14" t="str">
        <f t="shared" si="0"/>
        <v>否</v>
      </c>
      <c r="I36" s="14" t="str">
        <f t="shared" si="3"/>
        <v>否</v>
      </c>
      <c r="J36" s="15" t="str">
        <f t="shared" si="1"/>
        <v>否</v>
      </c>
    </row>
    <row r="37" spans="1:10">
      <c r="A37" s="7">
        <f>IF(子基金及业绩基准周净值!A53="","",子基金及业绩基准周净值!A53)</f>
        <v>45821</v>
      </c>
      <c r="B37" s="1">
        <f>IF(A37="","",VLOOKUP($A37,子基金及业绩基准周净值!$A:$F,6))</f>
        <v>1.0957</v>
      </c>
      <c r="C37" s="8">
        <f t="shared" si="2"/>
        <v>-0.00109399215972294</v>
      </c>
      <c r="D37" s="9">
        <f>IF(A37="","",C37-(子基金及业绩基准周净值!AG53/子基金及业绩基准周净值!AG52-1))</f>
        <v>-0.00255173438764011</v>
      </c>
      <c r="E37" s="12">
        <f>IF(A37="","",(MAX(B$3:B37)-B37)/MAX(B$3:B37))</f>
        <v>0.00390909090909108</v>
      </c>
      <c r="F37" s="12">
        <f>IF(A37="","",MAX(E$4:E37))</f>
        <v>0.0156098506883847</v>
      </c>
      <c r="G37" s="17">
        <v>4</v>
      </c>
      <c r="H37" s="14" t="str">
        <f t="shared" ref="H37:H68" si="4">IF(B37="","",IF(C37&lt;-3%,"是","否"))</f>
        <v>否</v>
      </c>
      <c r="I37" s="14" t="str">
        <f t="shared" si="3"/>
        <v>否</v>
      </c>
      <c r="J37" s="15" t="str">
        <f t="shared" si="1"/>
        <v>是</v>
      </c>
    </row>
    <row r="38" spans="1:10">
      <c r="A38" s="7">
        <f>IF(子基金及业绩基准周净值!A54="","",子基金及业绩基准周净值!A54)</f>
        <v>45828</v>
      </c>
      <c r="B38" s="1">
        <f>IF(A38="","",VLOOKUP($A38,子基金及业绩基准周净值!$A:$F,6))</f>
        <v>1.0962</v>
      </c>
      <c r="C38" s="8">
        <f t="shared" si="2"/>
        <v>0.000456329287213806</v>
      </c>
      <c r="D38" s="9">
        <f>IF(A38="","",C38-(子基金及业绩基准周净值!AG54/子基金及业绩基准周净值!AG53-1))</f>
        <v>0.00384942197920564</v>
      </c>
      <c r="E38" s="12">
        <f>IF(A38="","",(MAX(B$3:B38)-B38)/MAX(B$3:B38))</f>
        <v>0.00345454545454548</v>
      </c>
      <c r="F38" s="12">
        <f>IF(A38="","",MAX(E$4:E38))</f>
        <v>0.0156098506883847</v>
      </c>
      <c r="G38" s="17">
        <v>0</v>
      </c>
      <c r="H38" s="14" t="str">
        <f t="shared" si="4"/>
        <v>否</v>
      </c>
      <c r="I38" s="14" t="str">
        <f t="shared" si="3"/>
        <v>否</v>
      </c>
      <c r="J38" s="15" t="str">
        <f t="shared" si="1"/>
        <v>否</v>
      </c>
    </row>
    <row r="39" spans="1:10">
      <c r="A39" s="7">
        <f>IF(子基金及业绩基准周净值!A55="","",子基金及业绩基准周净值!A55)</f>
        <v>45835</v>
      </c>
      <c r="B39" s="1">
        <f>IF(A39="","",VLOOKUP($A39,子基金及业绩基准周净值!$A:$F,6))</f>
        <v>1.09</v>
      </c>
      <c r="C39" s="8">
        <f t="shared" si="2"/>
        <v>-0.00565590220762633</v>
      </c>
      <c r="D39" s="9">
        <f>IF(A39="","",C39-(子基金及业绩基准周净值!AG55/子基金及业绩基准周净值!AG54-1))</f>
        <v>-0.00879430554936132</v>
      </c>
      <c r="E39" s="12">
        <f>IF(A39="","",(MAX(B$3:B39)-B39)/MAX(B$3:B39))</f>
        <v>0.0090909090909091</v>
      </c>
      <c r="F39" s="12">
        <f>IF(A39="","",MAX(E$4:E39))</f>
        <v>0.0156098506883847</v>
      </c>
      <c r="G39" s="17">
        <v>1</v>
      </c>
      <c r="H39" s="14" t="str">
        <f t="shared" si="4"/>
        <v>否</v>
      </c>
      <c r="I39" s="14" t="str">
        <f t="shared" si="3"/>
        <v>否</v>
      </c>
      <c r="J39" s="15" t="str">
        <f t="shared" si="1"/>
        <v>否</v>
      </c>
    </row>
    <row r="40" spans="1:10">
      <c r="A40" s="7">
        <f>IF(子基金及业绩基准周净值!A56="","",子基金及业绩基准周净值!A56)</f>
        <v>45842</v>
      </c>
      <c r="B40" s="1">
        <f>IF(A40="","",VLOOKUP($A40,子基金及业绩基准周净值!$A:$F,6))</f>
        <v>1.0949</v>
      </c>
      <c r="C40" s="8">
        <f t="shared" si="2"/>
        <v>0.00449541284403661</v>
      </c>
      <c r="D40" s="9">
        <f>IF(A40="","",C40-(子基金及业绩基准周净值!AG56/子基金及业绩基准周净值!AG55-1))</f>
        <v>-0.00145290642485922</v>
      </c>
      <c r="E40" s="12">
        <f>IF(A40="","",(MAX(B$3:B40)-B40)/MAX(B$3:B40))</f>
        <v>0.00463636363636373</v>
      </c>
      <c r="F40" s="12">
        <f>IF(A40="","",MAX(E$4:E40))</f>
        <v>0.0156098506883847</v>
      </c>
      <c r="G40" s="17">
        <v>2</v>
      </c>
      <c r="H40" s="14" t="str">
        <f t="shared" si="4"/>
        <v>否</v>
      </c>
      <c r="I40" s="14" t="str">
        <f t="shared" si="3"/>
        <v>否</v>
      </c>
      <c r="J40" s="15" t="str">
        <f t="shared" si="1"/>
        <v>否</v>
      </c>
    </row>
    <row r="41" spans="1:10">
      <c r="A41" s="7">
        <f>IF(子基金及业绩基准周净值!A57="","",子基金及业绩基准周净值!A57)</f>
        <v>45849</v>
      </c>
      <c r="B41" s="1">
        <f>IF(A41="","",VLOOKUP($A41,子基金及业绩基准周净值!$A:$F,6))</f>
        <v>1.0892</v>
      </c>
      <c r="C41" s="8">
        <f t="shared" si="2"/>
        <v>-0.00520595488172439</v>
      </c>
      <c r="D41" s="9">
        <f>IF(A41="","",C41-(子基金及业绩基准周净值!AG57/子基金及业绩基准周净值!AG56-1))</f>
        <v>-0.00509686705922065</v>
      </c>
      <c r="E41" s="12">
        <f>IF(A41="","",(MAX(B$3:B41)-B41)/MAX(B$3:B41))</f>
        <v>0.00981818181818195</v>
      </c>
      <c r="F41" s="12">
        <f>IF(A41="","",MAX(E$4:E41))</f>
        <v>0.0156098506883847</v>
      </c>
      <c r="G41" s="17">
        <v>3</v>
      </c>
      <c r="H41" s="14" t="str">
        <f t="shared" si="4"/>
        <v>否</v>
      </c>
      <c r="I41" s="14" t="str">
        <f t="shared" si="3"/>
        <v>否</v>
      </c>
      <c r="J41" s="15" t="str">
        <f t="shared" si="1"/>
        <v>否</v>
      </c>
    </row>
    <row r="42" spans="1:10">
      <c r="A42" s="7">
        <f>IF(子基金及业绩基准周净值!A58="","",子基金及业绩基准周净值!A58)</f>
        <v>45856</v>
      </c>
      <c r="B42" s="1">
        <f>IF(A42="","",VLOOKUP($A42,子基金及业绩基准周净值!$A:$F,6))</f>
        <v>1.0928</v>
      </c>
      <c r="C42" s="8">
        <f t="shared" si="2"/>
        <v>0.0033051781123761</v>
      </c>
      <c r="D42" s="9">
        <f>IF(A42="","",C42-(子基金及业绩基准周净值!AG58/子基金及业绩基准周净值!AG57-1))</f>
        <v>-0.000302010405319715</v>
      </c>
      <c r="E42" s="12">
        <f>IF(A42="","",(MAX(B$3:B42)-B42)/MAX(B$3:B42))</f>
        <v>0.00654545454545463</v>
      </c>
      <c r="F42" s="12">
        <f>IF(A42="","",MAX(E$4:E42))</f>
        <v>0.0156098506883847</v>
      </c>
      <c r="G42" s="17">
        <v>4</v>
      </c>
      <c r="H42" s="14" t="str">
        <f t="shared" si="4"/>
        <v>否</v>
      </c>
      <c r="I42" s="14" t="str">
        <f t="shared" si="3"/>
        <v>否</v>
      </c>
      <c r="J42" s="15" t="str">
        <f t="shared" si="1"/>
        <v>是</v>
      </c>
    </row>
    <row r="43" spans="1:10">
      <c r="A43" s="7">
        <f>IF(子基金及业绩基准周净值!A59="","",子基金及业绩基准周净值!A59)</f>
        <v>45863</v>
      </c>
      <c r="B43" s="1">
        <f>IF(A43="","",VLOOKUP($A43,子基金及业绩基准周净值!$A:$F,6))</f>
        <v>1.0895</v>
      </c>
      <c r="C43" s="8">
        <f t="shared" si="2"/>
        <v>-0.00301976573938514</v>
      </c>
      <c r="D43" s="9">
        <f>IF(A43="","",C43-(子基金及业绩基准周净值!AG59/子基金及业绩基准周净值!AG58-1))</f>
        <v>-0.00454432238084881</v>
      </c>
      <c r="E43" s="12">
        <f>IF(A43="","",(MAX(B$3:B43)-B43)/MAX(B$3:B43))</f>
        <v>0.0095454545454547</v>
      </c>
      <c r="F43" s="12">
        <f>IF(A43="","",MAX(E$4:E43))</f>
        <v>0.0156098506883847</v>
      </c>
      <c r="G43" s="17">
        <v>5</v>
      </c>
      <c r="H43" s="14" t="str">
        <f t="shared" si="4"/>
        <v>否</v>
      </c>
      <c r="I43" s="14" t="str">
        <f t="shared" si="3"/>
        <v>否</v>
      </c>
      <c r="J43" s="15" t="str">
        <f t="shared" si="1"/>
        <v>是</v>
      </c>
    </row>
    <row r="44" spans="1:10">
      <c r="A44" s="7">
        <f>IF(子基金及业绩基准周净值!A60="","",子基金及业绩基准周净值!A60)</f>
        <v>45870</v>
      </c>
      <c r="B44" s="1">
        <f>IF(A44="","",VLOOKUP($A44,子基金及业绩基准周净值!$A:$F,6))</f>
        <v>1.0927</v>
      </c>
      <c r="C44" s="8">
        <f t="shared" si="2"/>
        <v>0.00293712712253336</v>
      </c>
      <c r="D44" s="9">
        <f>IF(A44="","",C44-(子基金及业绩基准周净值!AG60/子基金及业绩基准周净值!AG59-1))</f>
        <v>-1.88514691936699e-5</v>
      </c>
      <c r="E44" s="12">
        <f>IF(A44="","",(MAX(B$3:B44)-B44)/MAX(B$3:B44))</f>
        <v>0.00663636363636371</v>
      </c>
      <c r="F44" s="12">
        <f>IF(A44="","",MAX(E$4:E44))</f>
        <v>0.0156098506883847</v>
      </c>
      <c r="G44" s="17">
        <v>0</v>
      </c>
      <c r="H44" s="14" t="str">
        <f t="shared" si="4"/>
        <v>否</v>
      </c>
      <c r="I44" s="14" t="str">
        <f t="shared" si="3"/>
        <v>否</v>
      </c>
      <c r="J44" s="15" t="str">
        <f t="shared" si="1"/>
        <v>否</v>
      </c>
    </row>
    <row r="45" spans="1:10">
      <c r="A45" s="7">
        <f>IF(子基金及业绩基准周净值!A61="","",子基金及业绩基准周净值!A61)</f>
        <v>45877</v>
      </c>
      <c r="B45" s="1">
        <f>IF(A45="","",VLOOKUP($A45,子基金及业绩基准周净值!$A:$F,6))</f>
        <v>1.0953</v>
      </c>
      <c r="C45" s="8">
        <f t="shared" si="2"/>
        <v>0.00237942710716568</v>
      </c>
      <c r="D45" s="9">
        <f>IF(A45="","",C45-(子基金及业绩基准周净值!AG61/子基金及业绩基准周净值!AG60-1))</f>
        <v>-0.00288401840728745</v>
      </c>
      <c r="E45" s="12">
        <f>IF(A45="","",(MAX(B$3:B45)-B45)/MAX(B$3:B45))</f>
        <v>0.00427272727272741</v>
      </c>
      <c r="F45" s="12">
        <f>IF(A45="","",MAX(E$4:E45))</f>
        <v>0.0156098506883847</v>
      </c>
      <c r="G45" s="17">
        <v>1</v>
      </c>
      <c r="H45" s="14" t="str">
        <f t="shared" si="4"/>
        <v>否</v>
      </c>
      <c r="I45" s="14" t="str">
        <f t="shared" si="3"/>
        <v>否</v>
      </c>
      <c r="J45" s="15" t="str">
        <f t="shared" si="1"/>
        <v>否</v>
      </c>
    </row>
    <row r="46" spans="1:10">
      <c r="A46" s="7">
        <f>IF(子基金及业绩基准周净值!A62="","",子基金及业绩基准周净值!A62)</f>
        <v>45884</v>
      </c>
      <c r="B46" s="1">
        <f>IF(A46="","",VLOOKUP($A46,子基金及业绩基准周净值!$A:$F,6))</f>
        <v>1.0762</v>
      </c>
      <c r="C46" s="8">
        <f t="shared" si="2"/>
        <v>-0.0174381448005112</v>
      </c>
      <c r="D46" s="9">
        <f>IF(A46="","",C46-(子基金及业绩基准周净值!AG62/子基金及业绩基准周净值!AG61-1))</f>
        <v>-0.0118822719130962</v>
      </c>
      <c r="E46" s="12">
        <f>IF(A46="","",(MAX(B$3:B46)-B46)/MAX(B$3:B46))</f>
        <v>0.0216363636363637</v>
      </c>
      <c r="F46" s="12">
        <f>IF(A46="","",MAX(E$4:E46))</f>
        <v>0.0216363636363637</v>
      </c>
      <c r="G46" s="17">
        <v>2</v>
      </c>
      <c r="H46" s="14" t="str">
        <f t="shared" si="4"/>
        <v>否</v>
      </c>
      <c r="I46" s="14" t="str">
        <f t="shared" si="3"/>
        <v>否</v>
      </c>
      <c r="J46" s="15" t="str">
        <f t="shared" si="1"/>
        <v>否</v>
      </c>
    </row>
    <row r="47" spans="1:10">
      <c r="A47" s="7">
        <f>IF(子基金及业绩基准周净值!A63="","",子基金及业绩基准周净值!A63)</f>
        <v>45891</v>
      </c>
      <c r="B47" s="1">
        <f>IF(A47="","",VLOOKUP($A47,子基金及业绩基准周净值!$A:$F,6))</f>
        <v>1.0634</v>
      </c>
      <c r="C47" s="8">
        <f t="shared" si="2"/>
        <v>-0.0118937000557519</v>
      </c>
      <c r="D47" s="9">
        <f>IF(A47="","",C47-(子基金及业绩基准周净值!AG63/子基金及业绩基准周净值!AG62-1))</f>
        <v>-0.0150512715283225</v>
      </c>
      <c r="E47" s="12">
        <f>IF(A47="","",(MAX(B$3:B47)-B47)/MAX(B$3:B47))</f>
        <v>0.0332727272727274</v>
      </c>
      <c r="F47" s="12">
        <f>IF(A47="","",MAX(E$4:E47))</f>
        <v>0.0332727272727274</v>
      </c>
      <c r="G47" s="17">
        <v>3</v>
      </c>
      <c r="H47" s="14" t="str">
        <f t="shared" si="4"/>
        <v>否</v>
      </c>
      <c r="I47" s="14" t="str">
        <f t="shared" si="3"/>
        <v>否</v>
      </c>
      <c r="J47" s="15" t="str">
        <f t="shared" si="1"/>
        <v>否</v>
      </c>
    </row>
    <row r="48" spans="1:10">
      <c r="A48" s="7">
        <f>IF(子基金及业绩基准周净值!A64="","",子基金及业绩基准周净值!A64)</f>
        <v>45898</v>
      </c>
      <c r="B48" s="1">
        <f>IF(A48="","",VLOOKUP($A48,子基金及业绩基准周净值!$A:$F,6))</f>
        <v>1.0524</v>
      </c>
      <c r="C48" s="8">
        <f t="shared" si="2"/>
        <v>-0.0103441790483354</v>
      </c>
      <c r="D48" s="9">
        <f>IF(A48="","",C48-(子基金及业绩基准周净值!AG64/子基金及业绩基准周净值!AG63-1))</f>
        <v>-0.00830090461856384</v>
      </c>
      <c r="E48" s="12">
        <f>IF(A48="","",(MAX(B$3:B48)-B48)/MAX(B$3:B48))</f>
        <v>0.0432727272727273</v>
      </c>
      <c r="F48" s="12">
        <f>IF(A48="","",MAX(E$4:E48))</f>
        <v>0.0432727272727273</v>
      </c>
      <c r="G48" s="17">
        <v>4</v>
      </c>
      <c r="H48" s="14" t="str">
        <f t="shared" si="4"/>
        <v>否</v>
      </c>
      <c r="I48" s="14" t="str">
        <f t="shared" si="3"/>
        <v>否</v>
      </c>
      <c r="J48" s="15" t="str">
        <f t="shared" si="1"/>
        <v>是</v>
      </c>
    </row>
    <row r="49" spans="1:10">
      <c r="A49" s="7">
        <f>IF(子基金及业绩基准周净值!A65="","",子基金及业绩基准周净值!A65)</f>
        <v>45905</v>
      </c>
      <c r="B49" s="1">
        <f>IF(A49="","",VLOOKUP($A49,子基金及业绩基准周净值!$A:$F,6))</f>
        <v>1.0513</v>
      </c>
      <c r="C49" s="8">
        <f t="shared" si="2"/>
        <v>-0.00104522995058923</v>
      </c>
      <c r="D49" s="9">
        <f>IF(A49="","",C49-(子基金及业绩基准周净值!AG65/子基金及业绩基准周净值!AG64-1))</f>
        <v>-0.00137679123334713</v>
      </c>
      <c r="E49" s="12">
        <f>IF(A49="","",(MAX(B$3:B49)-B49)/MAX(B$3:B49))</f>
        <v>0.0442727272727274</v>
      </c>
      <c r="F49" s="12">
        <f>IF(A49="","",MAX(E$4:E49))</f>
        <v>0.0442727272727274</v>
      </c>
      <c r="G49" s="17">
        <v>5</v>
      </c>
      <c r="H49" s="14" t="str">
        <f t="shared" si="4"/>
        <v>否</v>
      </c>
      <c r="I49" s="14" t="str">
        <f t="shared" si="3"/>
        <v>否</v>
      </c>
      <c r="J49" s="15" t="str">
        <f t="shared" si="1"/>
        <v>是</v>
      </c>
    </row>
    <row r="50" spans="1:10">
      <c r="A50" s="7">
        <f>IF(子基金及业绩基准周净值!A66="","",子基金及业绩基准周净值!A66)</f>
        <v>45912</v>
      </c>
      <c r="B50" s="1">
        <f>IF(A50="","",VLOOKUP($A50,子基金及业绩基准周净值!$A:$F,6))</f>
        <v>1.0496</v>
      </c>
      <c r="C50" s="8">
        <f t="shared" si="2"/>
        <v>-0.00161704556263656</v>
      </c>
      <c r="D50" s="9">
        <f>IF(A50="","",C50-(子基金及业绩基准周净值!AG66/子基金及业绩基准周净值!AG65-1))</f>
        <v>-0.00365444417849184</v>
      </c>
      <c r="E50" s="12">
        <f>IF(A50="","",(MAX(B$3:B50)-B50)/MAX(B$3:B50))</f>
        <v>0.0458181818181818</v>
      </c>
      <c r="F50" s="12">
        <f>IF(A50="","",MAX(E$4:E50))</f>
        <v>0.0458181818181818</v>
      </c>
      <c r="G50" s="17">
        <v>6</v>
      </c>
      <c r="H50" s="14" t="str">
        <f t="shared" si="4"/>
        <v>否</v>
      </c>
      <c r="I50" s="14" t="str">
        <f t="shared" si="3"/>
        <v>否</v>
      </c>
      <c r="J50" s="15" t="str">
        <f t="shared" si="1"/>
        <v>是</v>
      </c>
    </row>
    <row r="51" spans="1:10">
      <c r="A51" s="7">
        <f>IF(子基金及业绩基准周净值!A67="","",子基金及业绩基准周净值!A67)</f>
        <v>45919</v>
      </c>
      <c r="B51" s="1">
        <f>IF(A51="","",VLOOKUP($A51,子基金及业绩基准周净值!$A:$F,6))</f>
        <v>1.0505</v>
      </c>
      <c r="C51" s="8">
        <f t="shared" si="2"/>
        <v>0.000857469512195027</v>
      </c>
      <c r="D51" s="9">
        <f>IF(A51="","",C51-(子基金及业绩基准周净值!AG67/子基金及业绩基准周净值!AG66-1))</f>
        <v>0.000576174933022219</v>
      </c>
      <c r="E51" s="12">
        <f>IF(A51="","",(MAX(B$3:B51)-B51)/MAX(B$3:B51))</f>
        <v>0.0450000000000001</v>
      </c>
      <c r="F51" s="12">
        <f>IF(A51="","",MAX(E$4:E51))</f>
        <v>0.0458181818181818</v>
      </c>
      <c r="G51" s="17">
        <v>0</v>
      </c>
      <c r="H51" s="14" t="str">
        <f t="shared" si="4"/>
        <v>否</v>
      </c>
      <c r="I51" s="14" t="str">
        <f t="shared" si="3"/>
        <v>否</v>
      </c>
      <c r="J51" s="15" t="str">
        <f t="shared" si="1"/>
        <v>否</v>
      </c>
    </row>
    <row r="52" spans="1:10">
      <c r="A52" s="7">
        <f>IF(子基金及业绩基准周净值!A68="","",子基金及业绩基准周净值!A68)</f>
        <v>45926</v>
      </c>
      <c r="B52" s="1">
        <f>IF(A52="","",VLOOKUP($A52,子基金及业绩基准周净值!$A:$F,6))</f>
        <v>1.0496</v>
      </c>
      <c r="C52" s="8">
        <f t="shared" si="2"/>
        <v>-0.000856734888148406</v>
      </c>
      <c r="D52" s="9">
        <f>IF(A52="","",C52-(子基金及业绩基准周净值!AG68/子基金及业绩基准周净值!AG67-1))</f>
        <v>0.0019490913973429</v>
      </c>
      <c r="E52" s="12">
        <f>IF(A52="","",(MAX(B$3:B52)-B52)/MAX(B$3:B52))</f>
        <v>0.0458181818181818</v>
      </c>
      <c r="F52" s="12">
        <f>IF(A52="","",MAX(E$4:E52))</f>
        <v>0.0458181818181818</v>
      </c>
      <c r="G52" s="17">
        <v>0</v>
      </c>
      <c r="H52" s="14" t="str">
        <f t="shared" si="4"/>
        <v>否</v>
      </c>
      <c r="I52" s="14" t="str">
        <f t="shared" si="3"/>
        <v>否</v>
      </c>
      <c r="J52" s="15" t="str">
        <f t="shared" si="1"/>
        <v>否</v>
      </c>
    </row>
    <row r="53" spans="1:10">
      <c r="A53" s="7">
        <f>IF(子基金及业绩基准周净值!A69="","",子基金及业绩基准周净值!A69)</f>
        <v>45940</v>
      </c>
      <c r="B53" s="1">
        <f>IF(A53="","",VLOOKUP($A53,子基金及业绩基准周净值!$A:$F,6))</f>
        <v>1.0527</v>
      </c>
      <c r="C53" s="8">
        <f t="shared" si="2"/>
        <v>0.00295350609756086</v>
      </c>
      <c r="D53" s="9">
        <f>IF(A53="","",C53-(子基金及业绩基准周净值!AG69/子基金及业绩基准周净值!AG68-1))</f>
        <v>0.00094066625486224</v>
      </c>
      <c r="E53" s="12">
        <f>IF(A53="","",(MAX(B$3:B53)-B53)/MAX(B$3:B53))</f>
        <v>0.0430000000000001</v>
      </c>
      <c r="F53" s="12">
        <f>IF(A53="","",MAX(E$4:E53))</f>
        <v>0.0458181818181818</v>
      </c>
      <c r="G53" s="17">
        <v>0</v>
      </c>
      <c r="H53" s="14" t="str">
        <f t="shared" si="4"/>
        <v>否</v>
      </c>
      <c r="I53" s="14" t="str">
        <f t="shared" si="3"/>
        <v>否</v>
      </c>
      <c r="J53" s="15" t="str">
        <f t="shared" si="1"/>
        <v>否</v>
      </c>
    </row>
    <row r="54" spans="1:10">
      <c r="A54" s="7">
        <f>IF(子基金及业绩基准周净值!A70="","",子基金及业绩基准周净值!A70)</f>
        <v>45947</v>
      </c>
      <c r="B54" s="1">
        <f>IF(A54="","",VLOOKUP($A54,子基金及业绩基准周净值!$A:$F,6))</f>
        <v>1.0571</v>
      </c>
      <c r="C54" s="8">
        <f t="shared" si="2"/>
        <v>0.00417972831765931</v>
      </c>
      <c r="D54" s="9">
        <f>IF(A54="","",C54-(子基金及业绩基准周净值!AG70/子基金及业绩基准周净值!AG69-1))</f>
        <v>0.00385636195338121</v>
      </c>
      <c r="E54" s="12">
        <f>IF(A54="","",(MAX(B$3:B54)-B54)/MAX(B$3:B54))</f>
        <v>0.0390000000000001</v>
      </c>
      <c r="F54" s="12">
        <f>IF(A54="","",MAX(E$4:E54))</f>
        <v>0.0458181818181818</v>
      </c>
      <c r="G54" s="17">
        <v>0</v>
      </c>
      <c r="H54" s="14" t="str">
        <f t="shared" si="4"/>
        <v>否</v>
      </c>
      <c r="I54" s="14" t="str">
        <f t="shared" si="3"/>
        <v>否</v>
      </c>
      <c r="J54" s="15" t="str">
        <f t="shared" si="1"/>
        <v>否</v>
      </c>
    </row>
    <row r="55" spans="1:10">
      <c r="A55" s="7">
        <f>IF(子基金及业绩基准周净值!A71="","",子基金及业绩基准周净值!A71)</f>
        <v>45954</v>
      </c>
      <c r="B55" s="1">
        <f>IF(A55="","",VLOOKUP($A55,子基金及业绩基准周净值!$A:$F,6))</f>
        <v>1.0638</v>
      </c>
      <c r="C55" s="8">
        <f t="shared" si="2"/>
        <v>0.00633809478762667</v>
      </c>
      <c r="D55" s="9">
        <f>IF(A55="","",C55-(子基金及业绩基准周净值!AG71/子基金及业绩基准周净值!AG70-1))</f>
        <v>-0.000621620991652895</v>
      </c>
      <c r="E55" s="12">
        <f>IF(A55="","",(MAX(B$3:B55)-B55)/MAX(B$3:B55))</f>
        <v>0.0329090909090909</v>
      </c>
      <c r="F55" s="12">
        <f>IF(A55="","",MAX(E$4:E55))</f>
        <v>0.0458181818181818</v>
      </c>
      <c r="G55" s="17">
        <v>1</v>
      </c>
      <c r="H55" s="14" t="str">
        <f t="shared" si="4"/>
        <v>否</v>
      </c>
      <c r="I55" s="14" t="str">
        <f t="shared" si="3"/>
        <v>否</v>
      </c>
      <c r="J55" s="15" t="str">
        <f t="shared" si="1"/>
        <v>否</v>
      </c>
    </row>
    <row r="56" spans="1:10">
      <c r="A56" s="7">
        <f>IF(子基金及业绩基准周净值!A72="","",子基金及业绩基准周净值!A72)</f>
        <v>45961</v>
      </c>
      <c r="B56" s="1">
        <f>IF(A56="","",VLOOKUP($A56,子基金及业绩基准周净值!$A:$F,6))</f>
        <v>1.057</v>
      </c>
      <c r="C56" s="8">
        <f t="shared" si="2"/>
        <v>-0.0063921789810116</v>
      </c>
      <c r="D56" s="9">
        <f>IF(A56="","",C56-(子基金及业绩基准周净值!AG72/子基金及业绩基准周净值!AG71-1))</f>
        <v>-0.00367606432678932</v>
      </c>
      <c r="E56" s="12">
        <f>IF(A56="","",(MAX(B$3:B56)-B56)/MAX(B$3:B56))</f>
        <v>0.0390909090909092</v>
      </c>
      <c r="F56" s="12">
        <f>IF(A56="","",MAX(E$4:E56))</f>
        <v>0.0458181818181818</v>
      </c>
      <c r="G56" s="17">
        <v>2</v>
      </c>
      <c r="H56" s="14" t="str">
        <f t="shared" si="4"/>
        <v>否</v>
      </c>
      <c r="I56" s="14" t="str">
        <f t="shared" si="3"/>
        <v>否</v>
      </c>
      <c r="J56" s="15" t="str">
        <f t="shared" si="1"/>
        <v>否</v>
      </c>
    </row>
    <row r="57" spans="1:10">
      <c r="A57" s="7" t="str">
        <f>IF(子基金及业绩基准周净值!A73="","",子基金及业绩基准周净值!A73)</f>
        <v/>
      </c>
      <c r="B57" s="1" t="str">
        <f>IF(A57="","",VLOOKUP($A57,子基金及业绩基准周净值!$A:$F,6))</f>
        <v/>
      </c>
      <c r="C57" s="8" t="str">
        <f t="shared" si="2"/>
        <v/>
      </c>
      <c r="D57" s="9" t="str">
        <f>IF(A57="","",C57-(子基金及业绩基准周净值!AG73/子基金及业绩基准周净值!AG72-1))</f>
        <v/>
      </c>
      <c r="E57" s="12" t="str">
        <f>IF(A57="","",(MAX(B$3:B57)-B57)/MAX(B$3:B57))</f>
        <v/>
      </c>
      <c r="F57" s="12" t="str">
        <f>IF(A57="","",MAX(E$4:E57))</f>
        <v/>
      </c>
      <c r="G57" s="17" t="str">
        <f>IF(A57="","",MAX(FREQUENCY(IF($D$3:D57&lt;0,ROW($D$3:D57)),IF($D$3:D57&gt;=0,ROW($D$3:D57)))))</f>
        <v/>
      </c>
      <c r="H57" s="14" t="str">
        <f t="shared" si="4"/>
        <v/>
      </c>
      <c r="I57" s="14" t="str">
        <f t="shared" si="3"/>
        <v/>
      </c>
      <c r="J57" s="15" t="str">
        <f t="shared" si="1"/>
        <v/>
      </c>
    </row>
    <row r="58" spans="1:10">
      <c r="A58" s="7" t="str">
        <f>IF(子基金及业绩基准周净值!A74="","",子基金及业绩基准周净值!A74)</f>
        <v/>
      </c>
      <c r="B58" s="1" t="str">
        <f>IF(A58="","",VLOOKUP($A58,子基金及业绩基准周净值!$A:$F,6))</f>
        <v/>
      </c>
      <c r="C58" s="8" t="str">
        <f t="shared" si="2"/>
        <v/>
      </c>
      <c r="D58" s="9" t="str">
        <f>IF(A58="","",C58-(子基金及业绩基准周净值!AG74/子基金及业绩基准周净值!AG73-1))</f>
        <v/>
      </c>
      <c r="E58" s="12" t="str">
        <f>IF(A58="","",(MAX(B$3:B58)-B58)/MAX(B$3:B58))</f>
        <v/>
      </c>
      <c r="F58" s="12" t="str">
        <f>IF(A58="","",MAX(E$4:E58))</f>
        <v/>
      </c>
      <c r="G58" s="17" t="str">
        <f>IF(A58="","",MAX(FREQUENCY(IF($D$3:D58&lt;0,ROW($D$3:D58)),IF($D$3:D58&gt;=0,ROW($D$3:D58)))))</f>
        <v/>
      </c>
      <c r="H58" s="14" t="str">
        <f t="shared" si="4"/>
        <v/>
      </c>
      <c r="I58" s="14" t="str">
        <f t="shared" si="3"/>
        <v/>
      </c>
      <c r="J58" s="15" t="str">
        <f t="shared" si="1"/>
        <v/>
      </c>
    </row>
    <row r="59" spans="1:10">
      <c r="A59" s="7" t="str">
        <f>IF(子基金及业绩基准周净值!A75="","",子基金及业绩基准周净值!A75)</f>
        <v/>
      </c>
      <c r="B59" s="1" t="str">
        <f>IF(A59="","",VLOOKUP($A59,子基金及业绩基准周净值!$A:$F,6))</f>
        <v/>
      </c>
      <c r="C59" s="8" t="str">
        <f t="shared" si="2"/>
        <v/>
      </c>
      <c r="D59" s="9" t="str">
        <f>IF(A59="","",C59-(子基金及业绩基准周净值!AG75/子基金及业绩基准周净值!AG74-1))</f>
        <v/>
      </c>
      <c r="E59" s="12" t="str">
        <f>IF(A59="","",(MAX(B$3:B59)-B59)/MAX(B$3:B59))</f>
        <v/>
      </c>
      <c r="F59" s="12" t="str">
        <f>IF(A59="","",MAX(E$4:E59))</f>
        <v/>
      </c>
      <c r="G59" s="17" t="str">
        <f>IF(A59="","",MAX(FREQUENCY(IF($D$3:D59&lt;0,ROW($D$3:D59)),IF($D$3:D59&gt;=0,ROW($D$3:D59)))))</f>
        <v/>
      </c>
      <c r="H59" s="14" t="str">
        <f t="shared" si="4"/>
        <v/>
      </c>
      <c r="I59" s="14" t="str">
        <f t="shared" si="3"/>
        <v/>
      </c>
      <c r="J59" s="15" t="str">
        <f t="shared" si="1"/>
        <v/>
      </c>
    </row>
    <row r="60" spans="1:10">
      <c r="A60" s="7" t="str">
        <f>IF(子基金及业绩基准周净值!A76="","",子基金及业绩基准周净值!A76)</f>
        <v/>
      </c>
      <c r="B60" s="1" t="str">
        <f>IF(A60="","",VLOOKUP($A60,子基金及业绩基准周净值!$A:$F,6))</f>
        <v/>
      </c>
      <c r="C60" s="8" t="str">
        <f t="shared" si="2"/>
        <v/>
      </c>
      <c r="D60" s="9" t="str">
        <f>IF(A60="","",C60-(子基金及业绩基准周净值!AG76/子基金及业绩基准周净值!AG75-1))</f>
        <v/>
      </c>
      <c r="E60" s="12" t="str">
        <f>IF(A60="","",(MAX(B$3:B60)-B60)/MAX(B$3:B60))</f>
        <v/>
      </c>
      <c r="F60" s="12" t="str">
        <f>IF(A60="","",MAX(E$4:E60))</f>
        <v/>
      </c>
      <c r="G60" s="17" t="str">
        <f>IF(A60="","",MAX(FREQUENCY(IF($D$3:D60&lt;0,ROW($D$3:D60)),IF($D$3:D60&gt;=0,ROW($D$3:D60)))))</f>
        <v/>
      </c>
      <c r="H60" s="14" t="str">
        <f t="shared" si="4"/>
        <v/>
      </c>
      <c r="I60" s="14" t="str">
        <f t="shared" si="3"/>
        <v/>
      </c>
      <c r="J60" s="15" t="str">
        <f t="shared" si="1"/>
        <v/>
      </c>
    </row>
    <row r="61" spans="1:10">
      <c r="A61" s="7" t="str">
        <f>IF(子基金及业绩基准周净值!A77="","",子基金及业绩基准周净值!A77)</f>
        <v/>
      </c>
      <c r="B61" s="1" t="str">
        <f>IF(A61="","",VLOOKUP($A61,子基金及业绩基准周净值!$A:$F,6))</f>
        <v/>
      </c>
      <c r="C61" s="8" t="str">
        <f t="shared" si="2"/>
        <v/>
      </c>
      <c r="D61" s="9" t="str">
        <f>IF(A61="","",C61-(子基金及业绩基准周净值!AG77/子基金及业绩基准周净值!AG76-1))</f>
        <v/>
      </c>
      <c r="E61" s="12" t="str">
        <f>IF(A61="","",(MAX(B$3:B61)-B61)/MAX(B$3:B61))</f>
        <v/>
      </c>
      <c r="F61" s="12" t="str">
        <f>IF(A61="","",MAX(E$4:E61))</f>
        <v/>
      </c>
      <c r="G61" s="17" t="str">
        <f>IF(A61="","",MAX(FREQUENCY(IF($D$3:D61&lt;0,ROW($D$3:D61)),IF($D$3:D61&gt;=0,ROW($D$3:D61)))))</f>
        <v/>
      </c>
      <c r="H61" s="14" t="str">
        <f t="shared" si="4"/>
        <v/>
      </c>
      <c r="I61" s="14" t="str">
        <f t="shared" si="3"/>
        <v/>
      </c>
      <c r="J61" s="15" t="str">
        <f t="shared" si="1"/>
        <v/>
      </c>
    </row>
    <row r="62" spans="1:10">
      <c r="A62" s="7" t="str">
        <f>IF(子基金及业绩基准周净值!A78="","",子基金及业绩基准周净值!A78)</f>
        <v/>
      </c>
      <c r="B62" s="1" t="str">
        <f>IF(A62="","",VLOOKUP($A62,子基金及业绩基准周净值!$A:$F,6))</f>
        <v/>
      </c>
      <c r="C62" s="8" t="str">
        <f t="shared" si="2"/>
        <v/>
      </c>
      <c r="D62" s="9" t="str">
        <f>IF(A62="","",C62-(子基金及业绩基准周净值!AG78/子基金及业绩基准周净值!AG77-1))</f>
        <v/>
      </c>
      <c r="E62" s="12" t="str">
        <f>IF(A62="","",(MAX(B$3:B62)-B62)/MAX(B$3:B62))</f>
        <v/>
      </c>
      <c r="F62" s="12" t="str">
        <f>IF(A62="","",MAX(E$4:E62))</f>
        <v/>
      </c>
      <c r="G62" s="17" t="str">
        <f>IF(A62="","",MAX(FREQUENCY(IF($D$3:D62&lt;0,ROW($D$3:D62)),IF($D$3:D62&gt;=0,ROW($D$3:D62)))))</f>
        <v/>
      </c>
      <c r="H62" s="14" t="str">
        <f t="shared" si="4"/>
        <v/>
      </c>
      <c r="I62" s="14" t="str">
        <f t="shared" si="3"/>
        <v/>
      </c>
      <c r="J62" s="15" t="str">
        <f t="shared" si="1"/>
        <v/>
      </c>
    </row>
    <row r="63" spans="1:10">
      <c r="A63" s="7" t="str">
        <f>IF(子基金及业绩基准周净值!A79="","",子基金及业绩基准周净值!A79)</f>
        <v/>
      </c>
      <c r="B63" s="1" t="str">
        <f>IF(A63="","",VLOOKUP($A63,子基金及业绩基准周净值!$A:$F,6))</f>
        <v/>
      </c>
      <c r="C63" s="8" t="str">
        <f t="shared" si="2"/>
        <v/>
      </c>
      <c r="D63" s="9" t="str">
        <f>IF(A63="","",C63-(子基金及业绩基准周净值!AG79/子基金及业绩基准周净值!AG78-1))</f>
        <v/>
      </c>
      <c r="E63" s="12" t="str">
        <f>IF(A63="","",(MAX(B$3:B63)-B63)/MAX(B$3:B63))</f>
        <v/>
      </c>
      <c r="F63" s="12" t="str">
        <f>IF(A63="","",MAX(E$4:E63))</f>
        <v/>
      </c>
      <c r="G63" s="17" t="str">
        <f>IF(A63="","",MAX(FREQUENCY(IF($D$3:D63&lt;0,ROW($D$3:D63)),IF($D$3:D63&gt;=0,ROW($D$3:D63)))))</f>
        <v/>
      </c>
      <c r="H63" s="14" t="str">
        <f t="shared" si="4"/>
        <v/>
      </c>
      <c r="I63" s="14" t="str">
        <f t="shared" si="3"/>
        <v/>
      </c>
      <c r="J63" s="15" t="str">
        <f t="shared" si="1"/>
        <v/>
      </c>
    </row>
    <row r="64" spans="1:10">
      <c r="A64" s="7" t="str">
        <f>IF(子基金及业绩基准周净值!A80="","",子基金及业绩基准周净值!A80)</f>
        <v/>
      </c>
      <c r="B64" s="1" t="str">
        <f>IF(A64="","",VLOOKUP($A64,子基金及业绩基准周净值!$A:$F,6))</f>
        <v/>
      </c>
      <c r="C64" s="8" t="str">
        <f t="shared" si="2"/>
        <v/>
      </c>
      <c r="D64" s="9" t="str">
        <f>IF(A64="","",C64-(子基金及业绩基准周净值!AG80/子基金及业绩基准周净值!AG79-1))</f>
        <v/>
      </c>
      <c r="E64" s="12" t="str">
        <f>IF(A64="","",(MAX(B$3:B64)-B64)/MAX(B$3:B64))</f>
        <v/>
      </c>
      <c r="F64" s="12" t="str">
        <f>IF(A64="","",MAX(E$4:E64))</f>
        <v/>
      </c>
      <c r="G64" s="17" t="str">
        <f>IF(A64="","",MAX(FREQUENCY(IF($D$3:D64&lt;0,ROW($D$3:D64)),IF($D$3:D64&gt;=0,ROW($D$3:D64)))))</f>
        <v/>
      </c>
      <c r="H64" s="14" t="str">
        <f t="shared" si="4"/>
        <v/>
      </c>
      <c r="I64" s="14" t="str">
        <f t="shared" si="3"/>
        <v/>
      </c>
      <c r="J64" s="15" t="str">
        <f t="shared" si="1"/>
        <v/>
      </c>
    </row>
    <row r="65" spans="1:10">
      <c r="A65" s="7" t="str">
        <f>IF(子基金及业绩基准周净值!A81="","",子基金及业绩基准周净值!A81)</f>
        <v/>
      </c>
      <c r="B65" s="1" t="str">
        <f>IF(A65="","",VLOOKUP($A65,子基金及业绩基准周净值!$A:$F,6))</f>
        <v/>
      </c>
      <c r="C65" s="8" t="str">
        <f t="shared" si="2"/>
        <v/>
      </c>
      <c r="D65" s="9" t="str">
        <f>IF(A65="","",C65-(子基金及业绩基准周净值!AG81/子基金及业绩基准周净值!AG80-1))</f>
        <v/>
      </c>
      <c r="E65" s="12" t="str">
        <f>IF(A65="","",(MAX(B$3:B65)-B65)/MAX(B$3:B65))</f>
        <v/>
      </c>
      <c r="F65" s="12" t="str">
        <f>IF(A65="","",MAX(E$4:E65))</f>
        <v/>
      </c>
      <c r="G65" s="17" t="str">
        <f>IF(A65="","",MAX(FREQUENCY(IF($D$3:D65&lt;0,ROW($D$3:D65)),IF($D$3:D65&gt;=0,ROW($D$3:D65)))))</f>
        <v/>
      </c>
      <c r="H65" s="14" t="str">
        <f t="shared" si="4"/>
        <v/>
      </c>
      <c r="I65" s="14" t="str">
        <f t="shared" si="3"/>
        <v/>
      </c>
      <c r="J65" s="15" t="str">
        <f t="shared" si="1"/>
        <v/>
      </c>
    </row>
    <row r="66" spans="1:10">
      <c r="A66" s="7" t="str">
        <f>IF(子基金及业绩基准周净值!A82="","",子基金及业绩基准周净值!A82)</f>
        <v/>
      </c>
      <c r="B66" s="1" t="str">
        <f>IF(A66="","",VLOOKUP($A66,子基金及业绩基准周净值!$A:$F,6))</f>
        <v/>
      </c>
      <c r="C66" s="8" t="str">
        <f t="shared" si="2"/>
        <v/>
      </c>
      <c r="D66" s="9" t="str">
        <f>IF(A66="","",C66-(子基金及业绩基准周净值!AG82/子基金及业绩基准周净值!AG81-1))</f>
        <v/>
      </c>
      <c r="E66" s="12" t="str">
        <f>IF(A66="","",(MAX(B$3:B66)-B66)/MAX(B$3:B66))</f>
        <v/>
      </c>
      <c r="F66" s="12" t="str">
        <f>IF(A66="","",MAX(E$4:E66))</f>
        <v/>
      </c>
      <c r="G66" s="17" t="str">
        <f>IF(A66="","",MAX(FREQUENCY(IF($D$3:D66&lt;0,ROW($D$3:D66)),IF($D$3:D66&gt;=0,ROW($D$3:D66)))))</f>
        <v/>
      </c>
      <c r="H66" s="14" t="str">
        <f t="shared" si="4"/>
        <v/>
      </c>
      <c r="I66" s="14" t="str">
        <f t="shared" si="3"/>
        <v/>
      </c>
      <c r="J66" s="15" t="str">
        <f t="shared" si="1"/>
        <v/>
      </c>
    </row>
    <row r="67" spans="1:10">
      <c r="A67" s="7" t="str">
        <f>IF(子基金及业绩基准周净值!A83="","",子基金及业绩基准周净值!A83)</f>
        <v/>
      </c>
      <c r="B67" s="1" t="str">
        <f>IF(A67="","",VLOOKUP($A67,子基金及业绩基准周净值!$A:$F,6))</f>
        <v/>
      </c>
      <c r="C67" s="8" t="str">
        <f t="shared" si="2"/>
        <v/>
      </c>
      <c r="D67" s="9" t="str">
        <f>IF(A67="","",C67-(子基金及业绩基准周净值!AG83/子基金及业绩基准周净值!AG82-1))</f>
        <v/>
      </c>
      <c r="E67" s="12" t="str">
        <f>IF(A67="","",(MAX(B$3:B67)-B67)/MAX(B$3:B67))</f>
        <v/>
      </c>
      <c r="F67" s="12" t="str">
        <f>IF(A67="","",MAX(E$4:E67))</f>
        <v/>
      </c>
      <c r="G67" s="17" t="str">
        <f>IF(A67="","",MAX(FREQUENCY(IF($D$3:D67&lt;0,ROW($D$3:D67)),IF($D$3:D67&gt;=0,ROW($D$3:D67)))))</f>
        <v/>
      </c>
      <c r="H67" s="14" t="str">
        <f t="shared" si="4"/>
        <v/>
      </c>
      <c r="I67" s="14" t="str">
        <f t="shared" si="3"/>
        <v/>
      </c>
      <c r="J67" s="15" t="str">
        <f t="shared" si="1"/>
        <v/>
      </c>
    </row>
    <row r="68" spans="1:10">
      <c r="A68" s="7" t="str">
        <f>IF(子基金及业绩基准周净值!A84="","",子基金及业绩基准周净值!A84)</f>
        <v/>
      </c>
      <c r="B68" s="1" t="str">
        <f>IF(A68="","",VLOOKUP($A68,子基金及业绩基准周净值!$A:$F,6))</f>
        <v/>
      </c>
      <c r="C68" s="8" t="str">
        <f t="shared" si="2"/>
        <v/>
      </c>
      <c r="D68" s="9" t="str">
        <f>IF(A68="","",C68-(子基金及业绩基准周净值!AG84/子基金及业绩基准周净值!AG83-1))</f>
        <v/>
      </c>
      <c r="E68" s="12" t="str">
        <f>IF(A68="","",(MAX(B$3:B68)-B68)/MAX(B$3:B68))</f>
        <v/>
      </c>
      <c r="F68" s="12" t="str">
        <f>IF(A68="","",MAX(E$4:E68))</f>
        <v/>
      </c>
      <c r="G68" s="17" t="str">
        <f>IF(A68="","",MAX(FREQUENCY(IF($D$3:D68&lt;0,ROW($D$3:D68)),IF($D$3:D68&gt;=0,ROW($D$3:D68)))))</f>
        <v/>
      </c>
      <c r="H68" s="14" t="str">
        <f t="shared" si="4"/>
        <v/>
      </c>
      <c r="I68" s="14" t="str">
        <f t="shared" si="3"/>
        <v/>
      </c>
      <c r="J68" s="15" t="str">
        <f t="shared" si="1"/>
        <v/>
      </c>
    </row>
    <row r="69" spans="1:10">
      <c r="A69" s="7" t="str">
        <f>IF(子基金及业绩基准周净值!A85="","",子基金及业绩基准周净值!A85)</f>
        <v/>
      </c>
      <c r="B69" s="1" t="str">
        <f>IF(A69="","",VLOOKUP($A69,子基金及业绩基准周净值!$A:$F,6))</f>
        <v/>
      </c>
      <c r="C69" s="8" t="str">
        <f t="shared" si="2"/>
        <v/>
      </c>
      <c r="D69" s="9" t="str">
        <f>IF(A69="","",C69-(子基金及业绩基准周净值!AG85/子基金及业绩基准周净值!AG84-1))</f>
        <v/>
      </c>
      <c r="E69" s="12" t="str">
        <f>IF(A69="","",(MAX(B$3:B69)-B69)/MAX(B$3:B69))</f>
        <v/>
      </c>
      <c r="F69" s="12" t="str">
        <f>IF(A69="","",MAX(E$4:E69))</f>
        <v/>
      </c>
      <c r="G69" s="17" t="str">
        <f>IF(A69="","",MAX(FREQUENCY(IF($D$3:D69&lt;0,ROW($D$3:D69)),IF($D$3:D69&gt;=0,ROW($D$3:D69)))))</f>
        <v/>
      </c>
      <c r="H69" s="14" t="str">
        <f t="shared" ref="H69:H100" si="5">IF(B69="","",IF(C69&lt;-3%,"是","否"))</f>
        <v/>
      </c>
      <c r="I69" s="14" t="str">
        <f t="shared" si="3"/>
        <v/>
      </c>
      <c r="J69" s="15" t="str">
        <f t="shared" ref="J69:J127" si="6">IF(A69="","",IF(G69&gt;=4,"是","否"))</f>
        <v/>
      </c>
    </row>
    <row r="70" spans="1:10">
      <c r="A70" s="7" t="str">
        <f>IF(子基金及业绩基准周净值!A86="","",子基金及业绩基准周净值!A86)</f>
        <v/>
      </c>
      <c r="B70" s="1" t="str">
        <f>IF(A70="","",VLOOKUP($A70,子基金及业绩基准周净值!$A:$F,6))</f>
        <v/>
      </c>
      <c r="C70" s="8" t="str">
        <f t="shared" ref="C70:C127" si="7">IF(A70="","",(B70-B69)/B69)</f>
        <v/>
      </c>
      <c r="D70" s="9" t="str">
        <f>IF(A70="","",C70-(子基金及业绩基准周净值!AG86/子基金及业绩基准周净值!AG85-1))</f>
        <v/>
      </c>
      <c r="E70" s="12" t="str">
        <f>IF(A70="","",(MAX(B$3:B70)-B70)/MAX(B$3:B70))</f>
        <v/>
      </c>
      <c r="F70" s="12" t="str">
        <f>IF(A70="","",MAX(E$4:E70))</f>
        <v/>
      </c>
      <c r="G70" s="17" t="str">
        <f>IF(A70="","",MAX(FREQUENCY(IF($D$3:D70&lt;0,ROW($D$3:D70)),IF($D$3:D70&gt;=0,ROW($D$3:D70)))))</f>
        <v/>
      </c>
      <c r="H70" s="14" t="str">
        <f t="shared" si="5"/>
        <v/>
      </c>
      <c r="I70" s="14" t="str">
        <f t="shared" ref="I70:I127" si="8">IF(A70="","",IF(F70&gt;5%,"是","否"))</f>
        <v/>
      </c>
      <c r="J70" s="15" t="str">
        <f t="shared" si="6"/>
        <v/>
      </c>
    </row>
    <row r="71" spans="1:10">
      <c r="A71" s="7" t="str">
        <f>IF(子基金及业绩基准周净值!A87="","",子基金及业绩基准周净值!A87)</f>
        <v/>
      </c>
      <c r="B71" s="1" t="str">
        <f>IF(A71="","",VLOOKUP($A71,子基金及业绩基准周净值!$A:$F,6))</f>
        <v/>
      </c>
      <c r="C71" s="8" t="str">
        <f t="shared" si="7"/>
        <v/>
      </c>
      <c r="D71" s="9" t="str">
        <f>IF(A71="","",C71-(子基金及业绩基准周净值!AG87/子基金及业绩基准周净值!AG86-1))</f>
        <v/>
      </c>
      <c r="E71" s="12" t="str">
        <f>IF(A71="","",(MAX(B$3:B71)-B71)/MAX(B$3:B71))</f>
        <v/>
      </c>
      <c r="F71" s="12" t="str">
        <f>IF(A71="","",MAX(E$4:E71))</f>
        <v/>
      </c>
      <c r="G71" s="17" t="str">
        <f>IF(A71="","",MAX(FREQUENCY(IF($D$3:D71&lt;0,ROW($D$3:D71)),IF($D$3:D71&gt;=0,ROW($D$3:D71)))))</f>
        <v/>
      </c>
      <c r="H71" s="14" t="str">
        <f t="shared" si="5"/>
        <v/>
      </c>
      <c r="I71" s="14" t="str">
        <f t="shared" si="8"/>
        <v/>
      </c>
      <c r="J71" s="15" t="str">
        <f t="shared" si="6"/>
        <v/>
      </c>
    </row>
    <row r="72" spans="1:10">
      <c r="A72" s="7" t="str">
        <f>IF(子基金及业绩基准周净值!A88="","",子基金及业绩基准周净值!A88)</f>
        <v/>
      </c>
      <c r="B72" s="1" t="str">
        <f>IF(A72="","",VLOOKUP($A72,子基金及业绩基准周净值!$A:$F,6))</f>
        <v/>
      </c>
      <c r="C72" s="8" t="str">
        <f t="shared" si="7"/>
        <v/>
      </c>
      <c r="D72" s="9" t="str">
        <f>IF(A72="","",C72-(子基金及业绩基准周净值!AG88/子基金及业绩基准周净值!AG87-1))</f>
        <v/>
      </c>
      <c r="E72" s="12" t="str">
        <f>IF(A72="","",(MAX(B$3:B72)-B72)/MAX(B$3:B72))</f>
        <v/>
      </c>
      <c r="F72" s="12" t="str">
        <f>IF(A72="","",MAX(E$4:E72))</f>
        <v/>
      </c>
      <c r="G72" s="17" t="str">
        <f>IF(A72="","",MAX(FREQUENCY(IF($D$3:D72&lt;0,ROW($D$3:D72)),IF($D$3:D72&gt;=0,ROW($D$3:D72)))))</f>
        <v/>
      </c>
      <c r="H72" s="14" t="str">
        <f t="shared" si="5"/>
        <v/>
      </c>
      <c r="I72" s="14" t="str">
        <f t="shared" si="8"/>
        <v/>
      </c>
      <c r="J72" s="15" t="str">
        <f t="shared" si="6"/>
        <v/>
      </c>
    </row>
    <row r="73" spans="1:10">
      <c r="A73" s="7" t="str">
        <f>IF(子基金及业绩基准周净值!A89="","",子基金及业绩基准周净值!A89)</f>
        <v/>
      </c>
      <c r="B73" s="1" t="str">
        <f>IF(A73="","",VLOOKUP($A73,子基金及业绩基准周净值!$A:$F,6))</f>
        <v/>
      </c>
      <c r="C73" s="8" t="str">
        <f t="shared" si="7"/>
        <v/>
      </c>
      <c r="D73" s="9" t="str">
        <f>IF(A73="","",C73-(子基金及业绩基准周净值!AG89/子基金及业绩基准周净值!AG88-1))</f>
        <v/>
      </c>
      <c r="E73" s="12" t="str">
        <f>IF(A73="","",(MAX(B$3:B73)-B73)/MAX(B$3:B73))</f>
        <v/>
      </c>
      <c r="F73" s="12" t="str">
        <f>IF(A73="","",MAX(E$4:E73))</f>
        <v/>
      </c>
      <c r="G73" s="17" t="str">
        <f>IF(A73="","",MAX(FREQUENCY(IF($D$3:D73&lt;0,ROW($D$3:D73)),IF($D$3:D73&gt;=0,ROW($D$3:D73)))))</f>
        <v/>
      </c>
      <c r="H73" s="14" t="str">
        <f t="shared" si="5"/>
        <v/>
      </c>
      <c r="I73" s="14" t="str">
        <f t="shared" si="8"/>
        <v/>
      </c>
      <c r="J73" s="15" t="str">
        <f t="shared" si="6"/>
        <v/>
      </c>
    </row>
    <row r="74" spans="1:10">
      <c r="A74" s="7" t="str">
        <f>IF(子基金及业绩基准周净值!A90="","",子基金及业绩基准周净值!A90)</f>
        <v/>
      </c>
      <c r="B74" s="1" t="str">
        <f>IF(A74="","",VLOOKUP($A74,子基金及业绩基准周净值!$A:$F,6))</f>
        <v/>
      </c>
      <c r="C74" s="8" t="str">
        <f t="shared" si="7"/>
        <v/>
      </c>
      <c r="D74" s="9" t="str">
        <f>IF(A74="","",C74-(子基金及业绩基准周净值!AG90/子基金及业绩基准周净值!AG89-1))</f>
        <v/>
      </c>
      <c r="E74" s="12" t="str">
        <f>IF(A74="","",(MAX(B$3:B74)-B74)/MAX(B$3:B74))</f>
        <v/>
      </c>
      <c r="F74" s="12" t="str">
        <f>IF(A74="","",MAX(E$4:E74))</f>
        <v/>
      </c>
      <c r="G74" s="17" t="str">
        <f>IF(A74="","",MAX(FREQUENCY(IF($D$3:D74&lt;0,ROW($D$3:D74)),IF($D$3:D74&gt;=0,ROW($D$3:D74)))))</f>
        <v/>
      </c>
      <c r="H74" s="14" t="str">
        <f t="shared" si="5"/>
        <v/>
      </c>
      <c r="I74" s="14" t="str">
        <f t="shared" si="8"/>
        <v/>
      </c>
      <c r="J74" s="15" t="str">
        <f t="shared" si="6"/>
        <v/>
      </c>
    </row>
    <row r="75" spans="1:10">
      <c r="A75" s="7" t="str">
        <f>IF(子基金及业绩基准周净值!A91="","",子基金及业绩基准周净值!A91)</f>
        <v/>
      </c>
      <c r="B75" s="1" t="str">
        <f>IF(A75="","",VLOOKUP($A75,子基金及业绩基准周净值!$A:$F,6))</f>
        <v/>
      </c>
      <c r="C75" s="8" t="str">
        <f t="shared" si="7"/>
        <v/>
      </c>
      <c r="D75" s="9" t="str">
        <f>IF(A75="","",C75-(子基金及业绩基准周净值!AG91/子基金及业绩基准周净值!AG90-1))</f>
        <v/>
      </c>
      <c r="E75" s="12" t="str">
        <f>IF(A75="","",(MAX(B$3:B75)-B75)/MAX(B$3:B75))</f>
        <v/>
      </c>
      <c r="F75" s="12" t="str">
        <f>IF(A75="","",MAX(E$4:E75))</f>
        <v/>
      </c>
      <c r="G75" s="17" t="str">
        <f>IF(A75="","",MAX(FREQUENCY(IF($D$3:D75&lt;0,ROW($D$3:D75)),IF($D$3:D75&gt;=0,ROW($D$3:D75)))))</f>
        <v/>
      </c>
      <c r="H75" s="14" t="str">
        <f t="shared" si="5"/>
        <v/>
      </c>
      <c r="I75" s="14" t="str">
        <f t="shared" si="8"/>
        <v/>
      </c>
      <c r="J75" s="15" t="str">
        <f t="shared" si="6"/>
        <v/>
      </c>
    </row>
    <row r="76" spans="1:10">
      <c r="A76" s="7" t="str">
        <f>IF(子基金及业绩基准周净值!A92="","",子基金及业绩基准周净值!A92)</f>
        <v/>
      </c>
      <c r="B76" s="1" t="str">
        <f>IF(A76="","",VLOOKUP($A76,子基金及业绩基准周净值!$A:$F,6))</f>
        <v/>
      </c>
      <c r="C76" s="8" t="str">
        <f t="shared" si="7"/>
        <v/>
      </c>
      <c r="D76" s="9" t="str">
        <f>IF(A76="","",C76-(子基金及业绩基准周净值!AG92/子基金及业绩基准周净值!AG91-1))</f>
        <v/>
      </c>
      <c r="E76" s="12" t="str">
        <f>IF(A76="","",(MAX(B$3:B76)-B76)/MAX(B$3:B76))</f>
        <v/>
      </c>
      <c r="F76" s="12" t="str">
        <f>IF(A76="","",MAX(E$4:E76))</f>
        <v/>
      </c>
      <c r="G76" s="17" t="str">
        <f>IF(A76="","",MAX(FREQUENCY(IF($D$3:D76&lt;0,ROW($D$3:D76)),IF($D$3:D76&gt;=0,ROW($D$3:D76)))))</f>
        <v/>
      </c>
      <c r="H76" s="14" t="str">
        <f t="shared" si="5"/>
        <v/>
      </c>
      <c r="I76" s="14" t="str">
        <f t="shared" si="8"/>
        <v/>
      </c>
      <c r="J76" s="15" t="str">
        <f t="shared" si="6"/>
        <v/>
      </c>
    </row>
    <row r="77" spans="1:10">
      <c r="A77" s="7" t="str">
        <f>IF(子基金及业绩基准周净值!A93="","",子基金及业绩基准周净值!A93)</f>
        <v/>
      </c>
      <c r="B77" s="1" t="str">
        <f>IF(A77="","",VLOOKUP($A77,子基金及业绩基准周净值!$A:$F,6))</f>
        <v/>
      </c>
      <c r="C77" s="8" t="str">
        <f t="shared" si="7"/>
        <v/>
      </c>
      <c r="D77" s="9" t="str">
        <f>IF(A77="","",C77-(子基金及业绩基准周净值!AG93/子基金及业绩基准周净值!AG92-1))</f>
        <v/>
      </c>
      <c r="E77" s="12" t="str">
        <f>IF(A77="","",(MAX(B$3:B77)-B77)/MAX(B$3:B77))</f>
        <v/>
      </c>
      <c r="F77" s="12" t="str">
        <f>IF(A77="","",MAX(E$4:E77))</f>
        <v/>
      </c>
      <c r="G77" s="17" t="str">
        <f>IF(A77="","",MAX(FREQUENCY(IF($D$3:D77&lt;0,ROW($D$3:D77)),IF($D$3:D77&gt;=0,ROW($D$3:D77)))))</f>
        <v/>
      </c>
      <c r="H77" s="14" t="str">
        <f t="shared" si="5"/>
        <v/>
      </c>
      <c r="I77" s="14" t="str">
        <f t="shared" si="8"/>
        <v/>
      </c>
      <c r="J77" s="15" t="str">
        <f t="shared" si="6"/>
        <v/>
      </c>
    </row>
    <row r="78" spans="1:10">
      <c r="A78" s="7" t="str">
        <f>IF(子基金及业绩基准周净值!A94="","",子基金及业绩基准周净值!A94)</f>
        <v/>
      </c>
      <c r="B78" s="1" t="str">
        <f>IF(A78="","",VLOOKUP($A78,子基金及业绩基准周净值!$A:$F,6))</f>
        <v/>
      </c>
      <c r="C78" s="8" t="str">
        <f t="shared" si="7"/>
        <v/>
      </c>
      <c r="D78" s="9" t="str">
        <f>IF(A78="","",C78-(子基金及业绩基准周净值!AG94/子基金及业绩基准周净值!AG93-1))</f>
        <v/>
      </c>
      <c r="E78" s="12" t="str">
        <f>IF(A78="","",(MAX(B$3:B78)-B78)/MAX(B$3:B78))</f>
        <v/>
      </c>
      <c r="F78" s="12" t="str">
        <f>IF(A78="","",MAX(E$4:E78))</f>
        <v/>
      </c>
      <c r="G78" s="17" t="str">
        <f>IF(A78="","",MAX(FREQUENCY(IF($D$3:D78&lt;0,ROW($D$3:D78)),IF($D$3:D78&gt;=0,ROW($D$3:D78)))))</f>
        <v/>
      </c>
      <c r="H78" s="14" t="str">
        <f t="shared" si="5"/>
        <v/>
      </c>
      <c r="I78" s="14" t="str">
        <f t="shared" si="8"/>
        <v/>
      </c>
      <c r="J78" s="15" t="str">
        <f t="shared" si="6"/>
        <v/>
      </c>
    </row>
    <row r="79" spans="1:10">
      <c r="A79" s="7" t="str">
        <f>IF(子基金及业绩基准周净值!A95="","",子基金及业绩基准周净值!A95)</f>
        <v/>
      </c>
      <c r="B79" s="1" t="str">
        <f>IF(A79="","",VLOOKUP($A79,子基金及业绩基准周净值!$A:$F,6))</f>
        <v/>
      </c>
      <c r="C79" s="8" t="str">
        <f t="shared" si="7"/>
        <v/>
      </c>
      <c r="D79" s="9" t="str">
        <f>IF(A79="","",C79-(子基金及业绩基准周净值!AG95/子基金及业绩基准周净值!AG94-1))</f>
        <v/>
      </c>
      <c r="E79" s="12" t="str">
        <f>IF(A79="","",(MAX(B$3:B79)-B79)/MAX(B$3:B79))</f>
        <v/>
      </c>
      <c r="F79" s="12" t="str">
        <f>IF(A79="","",MAX(E$4:E79))</f>
        <v/>
      </c>
      <c r="G79" s="17" t="str">
        <f>IF(A79="","",MAX(FREQUENCY(IF($D$3:D79&lt;0,ROW($D$3:D79)),IF($D$3:D79&gt;=0,ROW($D$3:D79)))))</f>
        <v/>
      </c>
      <c r="H79" s="14" t="str">
        <f t="shared" si="5"/>
        <v/>
      </c>
      <c r="I79" s="14" t="str">
        <f t="shared" si="8"/>
        <v/>
      </c>
      <c r="J79" s="15" t="str">
        <f t="shared" si="6"/>
        <v/>
      </c>
    </row>
    <row r="80" spans="1:10">
      <c r="A80" s="7" t="str">
        <f>IF(子基金及业绩基准周净值!A96="","",子基金及业绩基准周净值!A96)</f>
        <v/>
      </c>
      <c r="B80" s="1" t="str">
        <f>IF(A80="","",VLOOKUP($A80,子基金及业绩基准周净值!$A:$F,6))</f>
        <v/>
      </c>
      <c r="C80" s="8" t="str">
        <f t="shared" si="7"/>
        <v/>
      </c>
      <c r="D80" s="9" t="str">
        <f>IF(A80="","",C80-(子基金及业绩基准周净值!AG96/子基金及业绩基准周净值!AG95-1))</f>
        <v/>
      </c>
      <c r="E80" s="12" t="str">
        <f>IF(A80="","",(MAX(B$3:B80)-B80)/MAX(B$3:B80))</f>
        <v/>
      </c>
      <c r="F80" s="12" t="str">
        <f>IF(A80="","",MAX(E$4:E80))</f>
        <v/>
      </c>
      <c r="G80" s="17" t="str">
        <f>IF(A80="","",MAX(FREQUENCY(IF($D$3:D80&lt;0,ROW($D$3:D80)),IF($D$3:D80&gt;=0,ROW($D$3:D80)))))</f>
        <v/>
      </c>
      <c r="H80" s="14" t="str">
        <f t="shared" si="5"/>
        <v/>
      </c>
      <c r="I80" s="14" t="str">
        <f t="shared" si="8"/>
        <v/>
      </c>
      <c r="J80" s="15" t="str">
        <f t="shared" si="6"/>
        <v/>
      </c>
    </row>
    <row r="81" spans="1:10">
      <c r="A81" s="7" t="str">
        <f>IF(子基金及业绩基准周净值!A97="","",子基金及业绩基准周净值!A97)</f>
        <v/>
      </c>
      <c r="B81" s="1" t="str">
        <f>IF(A81="","",VLOOKUP($A81,子基金及业绩基准周净值!$A:$F,6))</f>
        <v/>
      </c>
      <c r="C81" s="8" t="str">
        <f t="shared" si="7"/>
        <v/>
      </c>
      <c r="D81" s="9" t="str">
        <f>IF(A81="","",C81-(子基金及业绩基准周净值!AG97/子基金及业绩基准周净值!AG96-1))</f>
        <v/>
      </c>
      <c r="E81" s="12" t="str">
        <f>IF(A81="","",(MAX(B$3:B81)-B81)/MAX(B$3:B81))</f>
        <v/>
      </c>
      <c r="F81" s="12" t="str">
        <f>IF(A81="","",MAX(E$4:E81))</f>
        <v/>
      </c>
      <c r="G81" s="17" t="str">
        <f>IF(A81="","",MAX(FREQUENCY(IF($D$3:D81&lt;0,ROW($D$3:D81)),IF($D$3:D81&gt;=0,ROW($D$3:D81)))))</f>
        <v/>
      </c>
      <c r="H81" s="14" t="str">
        <f t="shared" si="5"/>
        <v/>
      </c>
      <c r="I81" s="14" t="str">
        <f t="shared" si="8"/>
        <v/>
      </c>
      <c r="J81" s="15" t="str">
        <f t="shared" si="6"/>
        <v/>
      </c>
    </row>
    <row r="82" spans="1:10">
      <c r="A82" s="7" t="str">
        <f>IF(子基金及业绩基准周净值!A98="","",子基金及业绩基准周净值!A98)</f>
        <v/>
      </c>
      <c r="B82" s="1" t="str">
        <f>IF(A82="","",VLOOKUP($A82,子基金及业绩基准周净值!$A:$F,6))</f>
        <v/>
      </c>
      <c r="C82" s="8" t="str">
        <f t="shared" si="7"/>
        <v/>
      </c>
      <c r="D82" s="9" t="str">
        <f>IF(A82="","",C82-(子基金及业绩基准周净值!AG98/子基金及业绩基准周净值!AG97-1))</f>
        <v/>
      </c>
      <c r="E82" s="12" t="str">
        <f>IF(A82="","",(MAX(B$3:B82)-B82)/MAX(B$3:B82))</f>
        <v/>
      </c>
      <c r="F82" s="12" t="str">
        <f>IF(A82="","",MAX(E$4:E82))</f>
        <v/>
      </c>
      <c r="G82" s="17" t="str">
        <f>IF(A82="","",MAX(FREQUENCY(IF($D$3:D82&lt;0,ROW($D$3:D82)),IF($D$3:D82&gt;=0,ROW($D$3:D82)))))</f>
        <v/>
      </c>
      <c r="H82" s="14" t="str">
        <f t="shared" si="5"/>
        <v/>
      </c>
      <c r="I82" s="14" t="str">
        <f t="shared" si="8"/>
        <v/>
      </c>
      <c r="J82" s="15" t="str">
        <f t="shared" si="6"/>
        <v/>
      </c>
    </row>
    <row r="83" spans="1:10">
      <c r="A83" s="7" t="str">
        <f>IF(子基金及业绩基准周净值!A99="","",子基金及业绩基准周净值!A99)</f>
        <v/>
      </c>
      <c r="B83" s="1" t="str">
        <f>IF(A83="","",VLOOKUP($A83,子基金及业绩基准周净值!$A:$F,6))</f>
        <v/>
      </c>
      <c r="C83" s="8" t="str">
        <f t="shared" si="7"/>
        <v/>
      </c>
      <c r="D83" s="9" t="str">
        <f>IF(A83="","",C83-(子基金及业绩基准周净值!AG99/子基金及业绩基准周净值!AG98-1))</f>
        <v/>
      </c>
      <c r="E83" s="12" t="str">
        <f>IF(A83="","",(MAX(B$3:B83)-B83)/MAX(B$3:B83))</f>
        <v/>
      </c>
      <c r="F83" s="12" t="str">
        <f>IF(A83="","",MAX(E$4:E83))</f>
        <v/>
      </c>
      <c r="G83" s="17" t="str">
        <f>IF(A83="","",MAX(FREQUENCY(IF($D$3:D83&lt;0,ROW($D$3:D83)),IF($D$3:D83&gt;=0,ROW($D$3:D83)))))</f>
        <v/>
      </c>
      <c r="H83" s="14" t="str">
        <f t="shared" si="5"/>
        <v/>
      </c>
      <c r="I83" s="14" t="str">
        <f t="shared" si="8"/>
        <v/>
      </c>
      <c r="J83" s="15" t="str">
        <f t="shared" si="6"/>
        <v/>
      </c>
    </row>
    <row r="84" spans="1:10">
      <c r="A84" s="7" t="str">
        <f>IF(子基金及业绩基准周净值!A100="","",子基金及业绩基准周净值!A100)</f>
        <v/>
      </c>
      <c r="B84" s="1" t="str">
        <f>IF(A84="","",VLOOKUP($A84,子基金及业绩基准周净值!$A:$F,6))</f>
        <v/>
      </c>
      <c r="C84" s="8" t="str">
        <f t="shared" si="7"/>
        <v/>
      </c>
      <c r="D84" s="9" t="str">
        <f>IF(A84="","",C84-(子基金及业绩基准周净值!AG100/子基金及业绩基准周净值!AG99-1))</f>
        <v/>
      </c>
      <c r="E84" s="12" t="str">
        <f>IF(A84="","",(MAX(B$3:B84)-B84)/MAX(B$3:B84))</f>
        <v/>
      </c>
      <c r="F84" s="12" t="str">
        <f>IF(A84="","",MAX(E$4:E84))</f>
        <v/>
      </c>
      <c r="G84" s="17" t="str">
        <f>IF(A84="","",MAX(FREQUENCY(IF($D$3:D84&lt;0,ROW($D$3:D84)),IF($D$3:D84&gt;=0,ROW($D$3:D84)))))</f>
        <v/>
      </c>
      <c r="H84" s="14" t="str">
        <f t="shared" si="5"/>
        <v/>
      </c>
      <c r="I84" s="14" t="str">
        <f t="shared" si="8"/>
        <v/>
      </c>
      <c r="J84" s="15" t="str">
        <f t="shared" si="6"/>
        <v/>
      </c>
    </row>
    <row r="85" spans="1:10">
      <c r="A85" s="7" t="str">
        <f>IF(子基金及业绩基准周净值!A101="","",子基金及业绩基准周净值!A101)</f>
        <v/>
      </c>
      <c r="B85" s="1" t="str">
        <f>IF(A85="","",VLOOKUP($A85,子基金及业绩基准周净值!$A:$F,6))</f>
        <v/>
      </c>
      <c r="C85" s="8" t="str">
        <f t="shared" si="7"/>
        <v/>
      </c>
      <c r="D85" s="9" t="str">
        <f>IF(A85="","",C85-(子基金及业绩基准周净值!AG101/子基金及业绩基准周净值!AG100-1))</f>
        <v/>
      </c>
      <c r="E85" s="12" t="str">
        <f>IF(A85="","",(MAX(B$3:B85)-B85)/MAX(B$3:B85))</f>
        <v/>
      </c>
      <c r="F85" s="12" t="str">
        <f>IF(A85="","",MAX(E$4:E85))</f>
        <v/>
      </c>
      <c r="G85" s="17" t="str">
        <f>IF(A85="","",MAX(FREQUENCY(IF($D$3:D85&lt;0,ROW($D$3:D85)),IF($D$3:D85&gt;=0,ROW($D$3:D85)))))</f>
        <v/>
      </c>
      <c r="H85" s="14" t="str">
        <f t="shared" si="5"/>
        <v/>
      </c>
      <c r="I85" s="14" t="str">
        <f t="shared" si="8"/>
        <v/>
      </c>
      <c r="J85" s="15" t="str">
        <f t="shared" si="6"/>
        <v/>
      </c>
    </row>
    <row r="86" spans="1:10">
      <c r="A86" s="7" t="str">
        <f>IF(子基金及业绩基准周净值!A102="","",子基金及业绩基准周净值!A102)</f>
        <v/>
      </c>
      <c r="B86" s="1" t="str">
        <f>IF(A86="","",VLOOKUP($A86,子基金及业绩基准周净值!$A:$F,6))</f>
        <v/>
      </c>
      <c r="C86" s="8" t="str">
        <f t="shared" si="7"/>
        <v/>
      </c>
      <c r="D86" s="9" t="str">
        <f>IF(A86="","",C86-(子基金及业绩基准周净值!AG102/子基金及业绩基准周净值!AG101-1))</f>
        <v/>
      </c>
      <c r="E86" s="12" t="str">
        <f>IF(A86="","",(MAX(B$3:B86)-B86)/MAX(B$3:B86))</f>
        <v/>
      </c>
      <c r="F86" s="12" t="str">
        <f>IF(A86="","",MAX(E$4:E86))</f>
        <v/>
      </c>
      <c r="G86" s="17" t="str">
        <f>IF(A86="","",MAX(FREQUENCY(IF($D$3:D86&lt;0,ROW($D$3:D86)),IF($D$3:D86&gt;=0,ROW($D$3:D86)))))</f>
        <v/>
      </c>
      <c r="H86" s="14" t="str">
        <f t="shared" si="5"/>
        <v/>
      </c>
      <c r="I86" s="14" t="str">
        <f t="shared" si="8"/>
        <v/>
      </c>
      <c r="J86" s="15" t="str">
        <f t="shared" si="6"/>
        <v/>
      </c>
    </row>
    <row r="87" spans="1:10">
      <c r="A87" s="7" t="str">
        <f>IF(子基金及业绩基准周净值!A103="","",子基金及业绩基准周净值!A103)</f>
        <v/>
      </c>
      <c r="B87" s="1" t="str">
        <f>IF(A87="","",VLOOKUP($A87,子基金及业绩基准周净值!$A:$F,6))</f>
        <v/>
      </c>
      <c r="C87" s="8" t="str">
        <f t="shared" si="7"/>
        <v/>
      </c>
      <c r="D87" s="9" t="str">
        <f>IF(A87="","",C87-(子基金及业绩基准周净值!AG103/子基金及业绩基准周净值!AG102-1))</f>
        <v/>
      </c>
      <c r="E87" s="12" t="str">
        <f>IF(A87="","",(MAX(B$3:B87)-B87)/MAX(B$3:B87))</f>
        <v/>
      </c>
      <c r="F87" s="12" t="str">
        <f>IF(A87="","",MAX(E$4:E87))</f>
        <v/>
      </c>
      <c r="G87" s="17" t="str">
        <f>IF(A87="","",MAX(FREQUENCY(IF($D$3:D87&lt;0,ROW($D$3:D87)),IF($D$3:D87&gt;=0,ROW($D$3:D87)))))</f>
        <v/>
      </c>
      <c r="H87" s="14" t="str">
        <f t="shared" si="5"/>
        <v/>
      </c>
      <c r="I87" s="14" t="str">
        <f t="shared" si="8"/>
        <v/>
      </c>
      <c r="J87" s="15" t="str">
        <f t="shared" si="6"/>
        <v/>
      </c>
    </row>
    <row r="88" spans="1:10">
      <c r="A88" s="7" t="str">
        <f>IF(子基金及业绩基准周净值!A104="","",子基金及业绩基准周净值!A104)</f>
        <v/>
      </c>
      <c r="B88" s="1" t="str">
        <f>IF(A88="","",VLOOKUP($A88,子基金及业绩基准周净值!$A:$F,6))</f>
        <v/>
      </c>
      <c r="C88" s="8" t="str">
        <f t="shared" si="7"/>
        <v/>
      </c>
      <c r="D88" s="9" t="str">
        <f>IF(A88="","",C88-(子基金及业绩基准周净值!AG104/子基金及业绩基准周净值!AG103-1))</f>
        <v/>
      </c>
      <c r="E88" s="12" t="str">
        <f>IF(A88="","",(MAX(B$3:B88)-B88)/MAX(B$3:B88))</f>
        <v/>
      </c>
      <c r="F88" s="12" t="str">
        <f>IF(A88="","",MAX(E$4:E88))</f>
        <v/>
      </c>
      <c r="G88" s="17" t="str">
        <f>IF(A88="","",MAX(FREQUENCY(IF($D$3:D88&lt;0,ROW($D$3:D88)),IF($D$3:D88&gt;=0,ROW($D$3:D88)))))</f>
        <v/>
      </c>
      <c r="H88" s="14" t="str">
        <f t="shared" si="5"/>
        <v/>
      </c>
      <c r="I88" s="14" t="str">
        <f t="shared" si="8"/>
        <v/>
      </c>
      <c r="J88" s="15" t="str">
        <f t="shared" si="6"/>
        <v/>
      </c>
    </row>
    <row r="89" spans="1:10">
      <c r="A89" s="7" t="str">
        <f>IF(子基金及业绩基准周净值!A105="","",子基金及业绩基准周净值!A105)</f>
        <v/>
      </c>
      <c r="B89" s="1" t="str">
        <f>IF(A89="","",VLOOKUP($A89,子基金及业绩基准周净值!$A:$F,6))</f>
        <v/>
      </c>
      <c r="C89" s="8" t="str">
        <f t="shared" si="7"/>
        <v/>
      </c>
      <c r="D89" s="9" t="str">
        <f>IF(A89="","",C89-(子基金及业绩基准周净值!AG105/子基金及业绩基准周净值!AG104-1))</f>
        <v/>
      </c>
      <c r="E89" s="12" t="str">
        <f>IF(A89="","",(MAX(B$3:B89)-B89)/MAX(B$3:B89))</f>
        <v/>
      </c>
      <c r="F89" s="12" t="str">
        <f>IF(A89="","",MAX(E$4:E89))</f>
        <v/>
      </c>
      <c r="G89" s="17" t="str">
        <f>IF(A89="","",MAX(FREQUENCY(IF($D$3:D89&lt;0,ROW($D$3:D89)),IF($D$3:D89&gt;=0,ROW($D$3:D89)))))</f>
        <v/>
      </c>
      <c r="H89" s="14" t="str">
        <f t="shared" si="5"/>
        <v/>
      </c>
      <c r="I89" s="14" t="str">
        <f t="shared" si="8"/>
        <v/>
      </c>
      <c r="J89" s="15" t="str">
        <f t="shared" si="6"/>
        <v/>
      </c>
    </row>
    <row r="90" spans="1:10">
      <c r="A90" s="7" t="str">
        <f>IF(子基金及业绩基准周净值!A106="","",子基金及业绩基准周净值!A106)</f>
        <v/>
      </c>
      <c r="B90" s="1" t="str">
        <f>IF(A90="","",VLOOKUP($A90,子基金及业绩基准周净值!$A:$F,6))</f>
        <v/>
      </c>
      <c r="C90" s="8" t="str">
        <f t="shared" si="7"/>
        <v/>
      </c>
      <c r="D90" s="9" t="str">
        <f>IF(A90="","",C90-(子基金及业绩基准周净值!AG106/子基金及业绩基准周净值!AG105-1))</f>
        <v/>
      </c>
      <c r="E90" s="12" t="str">
        <f>IF(A90="","",(MAX(B$3:B90)-B90)/MAX(B$3:B90))</f>
        <v/>
      </c>
      <c r="F90" s="12" t="str">
        <f>IF(A90="","",MAX(E$4:E90))</f>
        <v/>
      </c>
      <c r="G90" s="17" t="str">
        <f>IF(A90="","",MAX(FREQUENCY(IF($D$3:D90&lt;0,ROW($D$3:D90)),IF($D$3:D90&gt;=0,ROW($D$3:D90)))))</f>
        <v/>
      </c>
      <c r="H90" s="14" t="str">
        <f t="shared" si="5"/>
        <v/>
      </c>
      <c r="I90" s="14" t="str">
        <f t="shared" si="8"/>
        <v/>
      </c>
      <c r="J90" s="15" t="str">
        <f t="shared" si="6"/>
        <v/>
      </c>
    </row>
    <row r="91" spans="1:10">
      <c r="A91" s="7" t="str">
        <f>IF(子基金及业绩基准周净值!A107="","",子基金及业绩基准周净值!A107)</f>
        <v/>
      </c>
      <c r="B91" s="1" t="str">
        <f>IF(A91="","",VLOOKUP($A91,子基金及业绩基准周净值!$A:$F,6))</f>
        <v/>
      </c>
      <c r="C91" s="8" t="str">
        <f t="shared" si="7"/>
        <v/>
      </c>
      <c r="D91" s="9" t="str">
        <f>IF(A91="","",C91-(子基金及业绩基准周净值!AG107/子基金及业绩基准周净值!AG106-1))</f>
        <v/>
      </c>
      <c r="E91" s="12" t="str">
        <f>IF(A91="","",(MAX(B$3:B91)-B91)/MAX(B$3:B91))</f>
        <v/>
      </c>
      <c r="F91" s="12" t="str">
        <f>IF(A91="","",MAX(E$4:E91))</f>
        <v/>
      </c>
      <c r="G91" s="17" t="str">
        <f>IF(A91="","",MAX(FREQUENCY(IF($D$3:D91&lt;0,ROW($D$3:D91)),IF($D$3:D91&gt;=0,ROW($D$3:D91)))))</f>
        <v/>
      </c>
      <c r="H91" s="14" t="str">
        <f t="shared" si="5"/>
        <v/>
      </c>
      <c r="I91" s="14" t="str">
        <f t="shared" si="8"/>
        <v/>
      </c>
      <c r="J91" s="15" t="str">
        <f t="shared" si="6"/>
        <v/>
      </c>
    </row>
    <row r="92" spans="1:10">
      <c r="A92" s="7" t="str">
        <f>IF(子基金及业绩基准周净值!A108="","",子基金及业绩基准周净值!A108)</f>
        <v/>
      </c>
      <c r="B92" s="1" t="str">
        <f>IF(A92="","",VLOOKUP($A92,子基金及业绩基准周净值!$A:$F,6))</f>
        <v/>
      </c>
      <c r="C92" s="8" t="str">
        <f t="shared" si="7"/>
        <v/>
      </c>
      <c r="D92" s="9" t="str">
        <f>IF(A92="","",C92-(子基金及业绩基准周净值!AG108/子基金及业绩基准周净值!AG107-1))</f>
        <v/>
      </c>
      <c r="E92" s="12" t="str">
        <f>IF(A92="","",(MAX(B$3:B92)-B92)/MAX(B$3:B92))</f>
        <v/>
      </c>
      <c r="F92" s="12" t="str">
        <f>IF(A92="","",MAX(E$4:E92))</f>
        <v/>
      </c>
      <c r="G92" s="17" t="str">
        <f>IF(A92="","",MAX(FREQUENCY(IF($D$3:D92&lt;0,ROW($D$3:D92)),IF($D$3:D92&gt;=0,ROW($D$3:D92)))))</f>
        <v/>
      </c>
      <c r="H92" s="14" t="str">
        <f t="shared" si="5"/>
        <v/>
      </c>
      <c r="I92" s="14" t="str">
        <f t="shared" si="8"/>
        <v/>
      </c>
      <c r="J92" s="15" t="str">
        <f t="shared" si="6"/>
        <v/>
      </c>
    </row>
    <row r="93" spans="1:10">
      <c r="A93" s="7" t="str">
        <f>IF(子基金及业绩基准周净值!A109="","",子基金及业绩基准周净值!A109)</f>
        <v/>
      </c>
      <c r="B93" s="1" t="str">
        <f>IF(A93="","",VLOOKUP($A93,子基金及业绩基准周净值!$A:$F,6))</f>
        <v/>
      </c>
      <c r="C93" s="8" t="str">
        <f t="shared" si="7"/>
        <v/>
      </c>
      <c r="D93" s="9" t="str">
        <f>IF(A93="","",C93-(子基金及业绩基准周净值!AG109/子基金及业绩基准周净值!AG108-1))</f>
        <v/>
      </c>
      <c r="E93" s="12" t="str">
        <f>IF(A93="","",(MAX(B$3:B93)-B93)/MAX(B$3:B93))</f>
        <v/>
      </c>
      <c r="F93" s="12" t="str">
        <f>IF(A93="","",MAX(E$4:E93))</f>
        <v/>
      </c>
      <c r="G93" s="17" t="str">
        <f>IF(A93="","",MAX(FREQUENCY(IF($D$3:D93&lt;0,ROW($D$3:D93)),IF($D$3:D93&gt;=0,ROW($D$3:D93)))))</f>
        <v/>
      </c>
      <c r="H93" s="14" t="str">
        <f t="shared" si="5"/>
        <v/>
      </c>
      <c r="I93" s="14" t="str">
        <f t="shared" si="8"/>
        <v/>
      </c>
      <c r="J93" s="15" t="str">
        <f t="shared" si="6"/>
        <v/>
      </c>
    </row>
    <row r="94" spans="1:10">
      <c r="A94" s="7" t="str">
        <f>IF(子基金及业绩基准周净值!A110="","",子基金及业绩基准周净值!A110)</f>
        <v/>
      </c>
      <c r="B94" s="1" t="str">
        <f>IF(A94="","",VLOOKUP($A94,子基金及业绩基准周净值!$A:$F,6))</f>
        <v/>
      </c>
      <c r="C94" s="8" t="str">
        <f t="shared" si="7"/>
        <v/>
      </c>
      <c r="D94" s="9" t="str">
        <f>IF(A94="","",C94-(子基金及业绩基准周净值!AG110/子基金及业绩基准周净值!AG109-1))</f>
        <v/>
      </c>
      <c r="E94" s="12" t="str">
        <f>IF(A94="","",(MAX(B$3:B94)-B94)/MAX(B$3:B94))</f>
        <v/>
      </c>
      <c r="F94" s="12" t="str">
        <f>IF(A94="","",MAX(E$4:E94))</f>
        <v/>
      </c>
      <c r="G94" s="17" t="str">
        <f>IF(A94="","",MAX(FREQUENCY(IF($D$3:D94&lt;0,ROW($D$3:D94)),IF($D$3:D94&gt;=0,ROW($D$3:D94)))))</f>
        <v/>
      </c>
      <c r="H94" s="14" t="str">
        <f t="shared" si="5"/>
        <v/>
      </c>
      <c r="I94" s="14" t="str">
        <f t="shared" si="8"/>
        <v/>
      </c>
      <c r="J94" s="15" t="str">
        <f t="shared" si="6"/>
        <v/>
      </c>
    </row>
    <row r="95" spans="1:10">
      <c r="A95" s="7" t="str">
        <f>IF(子基金及业绩基准周净值!A111="","",子基金及业绩基准周净值!A111)</f>
        <v/>
      </c>
      <c r="B95" s="1" t="str">
        <f>IF(A95="","",VLOOKUP($A95,子基金及业绩基准周净值!$A:$F,6))</f>
        <v/>
      </c>
      <c r="C95" s="8" t="str">
        <f t="shared" si="7"/>
        <v/>
      </c>
      <c r="D95" s="9" t="str">
        <f>IF(A95="","",C95-(子基金及业绩基准周净值!AG111/子基金及业绩基准周净值!AG110-1))</f>
        <v/>
      </c>
      <c r="E95" s="12" t="str">
        <f>IF(A95="","",(MAX(B$3:B95)-B95)/MAX(B$3:B95))</f>
        <v/>
      </c>
      <c r="F95" s="12" t="str">
        <f>IF(A95="","",MAX(E$4:E95))</f>
        <v/>
      </c>
      <c r="G95" s="17" t="str">
        <f>IF(A95="","",MAX(FREQUENCY(IF($D$3:D95&lt;0,ROW($D$3:D95)),IF($D$3:D95&gt;=0,ROW($D$3:D95)))))</f>
        <v/>
      </c>
      <c r="H95" s="14" t="str">
        <f t="shared" si="5"/>
        <v/>
      </c>
      <c r="I95" s="14" t="str">
        <f t="shared" si="8"/>
        <v/>
      </c>
      <c r="J95" s="15" t="str">
        <f t="shared" si="6"/>
        <v/>
      </c>
    </row>
    <row r="96" spans="1:10">
      <c r="A96" s="7" t="str">
        <f>IF(子基金及业绩基准周净值!A112="","",子基金及业绩基准周净值!A112)</f>
        <v/>
      </c>
      <c r="B96" s="1" t="str">
        <f>IF(A96="","",VLOOKUP($A96,子基金及业绩基准周净值!$A:$F,6))</f>
        <v/>
      </c>
      <c r="C96" s="8" t="str">
        <f t="shared" si="7"/>
        <v/>
      </c>
      <c r="D96" s="9" t="str">
        <f>IF(A96="","",C96-(子基金及业绩基准周净值!AG112/子基金及业绩基准周净值!AG111-1))</f>
        <v/>
      </c>
      <c r="E96" s="12" t="str">
        <f>IF(A96="","",(MAX(B$3:B96)-B96)/MAX(B$3:B96))</f>
        <v/>
      </c>
      <c r="F96" s="12" t="str">
        <f>IF(A96="","",MAX(E$4:E96))</f>
        <v/>
      </c>
      <c r="G96" s="17" t="str">
        <f>IF(A96="","",MAX(FREQUENCY(IF($D$3:D96&lt;0,ROW($D$3:D96)),IF($D$3:D96&gt;=0,ROW($D$3:D96)))))</f>
        <v/>
      </c>
      <c r="H96" s="14" t="str">
        <f t="shared" si="5"/>
        <v/>
      </c>
      <c r="I96" s="14" t="str">
        <f t="shared" si="8"/>
        <v/>
      </c>
      <c r="J96" s="15" t="str">
        <f t="shared" si="6"/>
        <v/>
      </c>
    </row>
    <row r="97" spans="1:10">
      <c r="A97" s="7" t="str">
        <f>IF(子基金及业绩基准周净值!A113="","",子基金及业绩基准周净值!A113)</f>
        <v/>
      </c>
      <c r="B97" s="1" t="str">
        <f>IF(A97="","",VLOOKUP($A97,子基金及业绩基准周净值!$A:$F,6))</f>
        <v/>
      </c>
      <c r="C97" s="8" t="str">
        <f t="shared" si="7"/>
        <v/>
      </c>
      <c r="D97" s="9" t="str">
        <f>IF(A97="","",C97-(子基金及业绩基准周净值!AG113/子基金及业绩基准周净值!AG112-1))</f>
        <v/>
      </c>
      <c r="E97" s="12" t="str">
        <f>IF(A97="","",(MAX(B$3:B97)-B97)/MAX(B$3:B97))</f>
        <v/>
      </c>
      <c r="F97" s="12" t="str">
        <f>IF(A97="","",MAX(E$4:E97))</f>
        <v/>
      </c>
      <c r="G97" s="17" t="str">
        <f>IF(A97="","",MAX(FREQUENCY(IF($D$3:D97&lt;0,ROW($D$3:D97)),IF($D$3:D97&gt;=0,ROW($D$3:D97)))))</f>
        <v/>
      </c>
      <c r="H97" s="14" t="str">
        <f t="shared" si="5"/>
        <v/>
      </c>
      <c r="I97" s="14" t="str">
        <f t="shared" si="8"/>
        <v/>
      </c>
      <c r="J97" s="15" t="str">
        <f t="shared" si="6"/>
        <v/>
      </c>
    </row>
    <row r="98" spans="1:10">
      <c r="A98" s="7" t="str">
        <f>IF(子基金及业绩基准周净值!A114="","",子基金及业绩基准周净值!A114)</f>
        <v/>
      </c>
      <c r="B98" s="1" t="str">
        <f>IF(A98="","",VLOOKUP($A98,子基金及业绩基准周净值!$A:$F,6))</f>
        <v/>
      </c>
      <c r="C98" s="8" t="str">
        <f t="shared" si="7"/>
        <v/>
      </c>
      <c r="D98" s="9" t="str">
        <f>IF(A98="","",C98-(子基金及业绩基准周净值!AG114/子基金及业绩基准周净值!AG113-1))</f>
        <v/>
      </c>
      <c r="E98" s="12" t="str">
        <f>IF(A98="","",(MAX(B$3:B98)-B98)/MAX(B$3:B98))</f>
        <v/>
      </c>
      <c r="F98" s="12" t="str">
        <f>IF(A98="","",MAX(E$4:E98))</f>
        <v/>
      </c>
      <c r="G98" s="17" t="str">
        <f>IF(A98="","",MAX(FREQUENCY(IF($D$3:D98&lt;0,ROW($D$3:D98)),IF($D$3:D98&gt;=0,ROW($D$3:D98)))))</f>
        <v/>
      </c>
      <c r="H98" s="14" t="str">
        <f t="shared" si="5"/>
        <v/>
      </c>
      <c r="I98" s="14" t="str">
        <f t="shared" si="8"/>
        <v/>
      </c>
      <c r="J98" s="15" t="str">
        <f t="shared" si="6"/>
        <v/>
      </c>
    </row>
    <row r="99" spans="1:10">
      <c r="A99" s="7" t="str">
        <f>IF(子基金及业绩基准周净值!A115="","",子基金及业绩基准周净值!A115)</f>
        <v/>
      </c>
      <c r="B99" s="1" t="str">
        <f>IF(A99="","",VLOOKUP($A99,子基金及业绩基准周净值!$A:$F,6))</f>
        <v/>
      </c>
      <c r="C99" s="8" t="str">
        <f t="shared" si="7"/>
        <v/>
      </c>
      <c r="D99" s="9" t="str">
        <f>IF(A99="","",C99-(子基金及业绩基准周净值!AG115/子基金及业绩基准周净值!AG114-1))</f>
        <v/>
      </c>
      <c r="E99" s="12" t="str">
        <f>IF(A99="","",(MAX(B$3:B99)-B99)/MAX(B$3:B99))</f>
        <v/>
      </c>
      <c r="F99" s="12" t="str">
        <f>IF(A99="","",MAX(E$4:E99))</f>
        <v/>
      </c>
      <c r="G99" s="17" t="str">
        <f>IF(A99="","",MAX(FREQUENCY(IF($D$3:D99&lt;0,ROW($D$3:D99)),IF($D$3:D99&gt;=0,ROW($D$3:D99)))))</f>
        <v/>
      </c>
      <c r="H99" s="14" t="str">
        <f t="shared" si="5"/>
        <v/>
      </c>
      <c r="I99" s="14" t="str">
        <f t="shared" si="8"/>
        <v/>
      </c>
      <c r="J99" s="15" t="str">
        <f t="shared" si="6"/>
        <v/>
      </c>
    </row>
    <row r="100" spans="1:10">
      <c r="A100" s="7" t="str">
        <f>IF(子基金及业绩基准周净值!A116="","",子基金及业绩基准周净值!A116)</f>
        <v/>
      </c>
      <c r="B100" s="1" t="str">
        <f>IF(A100="","",VLOOKUP($A100,子基金及业绩基准周净值!$A:$F,6))</f>
        <v/>
      </c>
      <c r="C100" s="8" t="str">
        <f t="shared" si="7"/>
        <v/>
      </c>
      <c r="D100" s="9" t="str">
        <f>IF(A100="","",C100-(子基金及业绩基准周净值!AG116/子基金及业绩基准周净值!AG115-1))</f>
        <v/>
      </c>
      <c r="E100" s="12" t="str">
        <f>IF(A100="","",(MAX(B$3:B100)-B100)/MAX(B$3:B100))</f>
        <v/>
      </c>
      <c r="F100" s="12" t="str">
        <f>IF(A100="","",MAX(E$4:E100))</f>
        <v/>
      </c>
      <c r="G100" s="17" t="str">
        <f>IF(A100="","",MAX(FREQUENCY(IF($D$3:D100&lt;0,ROW($D$3:D100)),IF($D$3:D100&gt;=0,ROW($D$3:D100)))))</f>
        <v/>
      </c>
      <c r="H100" s="14" t="str">
        <f t="shared" si="5"/>
        <v/>
      </c>
      <c r="I100" s="14" t="str">
        <f t="shared" si="8"/>
        <v/>
      </c>
      <c r="J100" s="15" t="str">
        <f t="shared" si="6"/>
        <v/>
      </c>
    </row>
    <row r="101" spans="1:10">
      <c r="A101" s="7" t="str">
        <f>IF(子基金及业绩基准周净值!A117="","",子基金及业绩基准周净值!A117)</f>
        <v/>
      </c>
      <c r="B101" s="1" t="str">
        <f>IF(A101="","",VLOOKUP($A101,子基金及业绩基准周净值!$A:$F,6))</f>
        <v/>
      </c>
      <c r="C101" s="8" t="str">
        <f t="shared" si="7"/>
        <v/>
      </c>
      <c r="D101" s="9" t="str">
        <f>IF(A101="","",C101-(子基金及业绩基准周净值!AG117/子基金及业绩基准周净值!AG116-1))</f>
        <v/>
      </c>
      <c r="E101" s="12" t="str">
        <f>IF(A101="","",(MAX(B$3:B101)-B101)/MAX(B$3:B101))</f>
        <v/>
      </c>
      <c r="F101" s="12" t="str">
        <f>IF(A101="","",MAX(E$4:E101))</f>
        <v/>
      </c>
      <c r="G101" s="17" t="str">
        <f>IF(A101="","",MAX(FREQUENCY(IF($D$3:D101&lt;0,ROW($D$3:D101)),IF($D$3:D101&gt;=0,ROW($D$3:D101)))))</f>
        <v/>
      </c>
      <c r="H101" s="14" t="str">
        <f t="shared" ref="H101:H127" si="9">IF(B101="","",IF(C101&lt;-3%,"是","否"))</f>
        <v/>
      </c>
      <c r="I101" s="14" t="str">
        <f t="shared" si="8"/>
        <v/>
      </c>
      <c r="J101" s="15" t="str">
        <f t="shared" si="6"/>
        <v/>
      </c>
    </row>
    <row r="102" spans="1:10">
      <c r="A102" s="7" t="str">
        <f>IF(子基金及业绩基准周净值!A118="","",子基金及业绩基准周净值!A118)</f>
        <v/>
      </c>
      <c r="B102" s="1" t="str">
        <f>IF(A102="","",VLOOKUP($A102,子基金及业绩基准周净值!$A:$F,6))</f>
        <v/>
      </c>
      <c r="C102" s="8" t="str">
        <f t="shared" si="7"/>
        <v/>
      </c>
      <c r="D102" s="9" t="str">
        <f>IF(A102="","",C102-(子基金及业绩基准周净值!AG118/子基金及业绩基准周净值!AG117-1))</f>
        <v/>
      </c>
      <c r="E102" s="12" t="str">
        <f>IF(A102="","",(MAX(B$3:B102)-B102)/MAX(B$3:B102))</f>
        <v/>
      </c>
      <c r="F102" s="12" t="str">
        <f>IF(A102="","",MAX(E$4:E102))</f>
        <v/>
      </c>
      <c r="G102" s="17" t="str">
        <f>IF(A102="","",MAX(FREQUENCY(IF($D$3:D102&lt;0,ROW($D$3:D102)),IF($D$3:D102&gt;=0,ROW($D$3:D102)))))</f>
        <v/>
      </c>
      <c r="H102" s="14" t="str">
        <f t="shared" si="9"/>
        <v/>
      </c>
      <c r="I102" s="14" t="str">
        <f t="shared" si="8"/>
        <v/>
      </c>
      <c r="J102" s="15" t="str">
        <f t="shared" si="6"/>
        <v/>
      </c>
    </row>
    <row r="103" spans="1:10">
      <c r="A103" s="7" t="str">
        <f>IF(子基金及业绩基准周净值!A119="","",子基金及业绩基准周净值!A119)</f>
        <v/>
      </c>
      <c r="B103" s="1" t="str">
        <f>IF(A103="","",VLOOKUP($A103,子基金及业绩基准周净值!$A:$F,6))</f>
        <v/>
      </c>
      <c r="C103" s="8" t="str">
        <f t="shared" si="7"/>
        <v/>
      </c>
      <c r="D103" s="9" t="str">
        <f>IF(A103="","",C103-(子基金及业绩基准周净值!AG119/子基金及业绩基准周净值!AG118-1))</f>
        <v/>
      </c>
      <c r="E103" s="12" t="str">
        <f>IF(A103="","",(MAX(B$3:B103)-B103)/MAX(B$3:B103))</f>
        <v/>
      </c>
      <c r="F103" s="12" t="str">
        <f>IF(A103="","",MAX(E$4:E103))</f>
        <v/>
      </c>
      <c r="G103" s="17" t="str">
        <f>IF(A103="","",MAX(FREQUENCY(IF($D$3:D103&lt;0,ROW($D$3:D103)),IF($D$3:D103&gt;=0,ROW($D$3:D103)))))</f>
        <v/>
      </c>
      <c r="H103" s="14" t="str">
        <f t="shared" si="9"/>
        <v/>
      </c>
      <c r="I103" s="14" t="str">
        <f t="shared" si="8"/>
        <v/>
      </c>
      <c r="J103" s="15" t="str">
        <f t="shared" si="6"/>
        <v/>
      </c>
    </row>
    <row r="104" spans="1:10">
      <c r="A104" s="7" t="str">
        <f>IF(子基金及业绩基准周净值!A120="","",子基金及业绩基准周净值!A120)</f>
        <v/>
      </c>
      <c r="B104" s="1" t="str">
        <f>IF(A104="","",VLOOKUP($A104,子基金及业绩基准周净值!$A:$F,6))</f>
        <v/>
      </c>
      <c r="C104" s="8" t="str">
        <f t="shared" si="7"/>
        <v/>
      </c>
      <c r="D104" s="9" t="str">
        <f>IF(A104="","",C104-(子基金及业绩基准周净值!AG120/子基金及业绩基准周净值!AG119-1))</f>
        <v/>
      </c>
      <c r="E104" s="12" t="str">
        <f>IF(A104="","",(MAX(B$3:B104)-B104)/MAX(B$3:B104))</f>
        <v/>
      </c>
      <c r="F104" s="12" t="str">
        <f>IF(A104="","",MAX(E$4:E104))</f>
        <v/>
      </c>
      <c r="G104" s="17" t="str">
        <f>IF(A104="","",MAX(FREQUENCY(IF($D$3:D104&lt;0,ROW($D$3:D104)),IF($D$3:D104&gt;=0,ROW($D$3:D104)))))</f>
        <v/>
      </c>
      <c r="H104" s="14" t="str">
        <f t="shared" si="9"/>
        <v/>
      </c>
      <c r="I104" s="14" t="str">
        <f t="shared" si="8"/>
        <v/>
      </c>
      <c r="J104" s="15" t="str">
        <f t="shared" si="6"/>
        <v/>
      </c>
    </row>
    <row r="105" spans="1:10">
      <c r="A105" s="7" t="str">
        <f>IF(子基金及业绩基准周净值!A121="","",子基金及业绩基准周净值!A121)</f>
        <v/>
      </c>
      <c r="B105" s="1" t="str">
        <f>IF(A105="","",VLOOKUP($A105,子基金及业绩基准周净值!$A:$F,6))</f>
        <v/>
      </c>
      <c r="C105" s="8" t="str">
        <f t="shared" si="7"/>
        <v/>
      </c>
      <c r="D105" s="9" t="str">
        <f>IF(A105="","",C105-(子基金及业绩基准周净值!AG121/子基金及业绩基准周净值!AG120-1))</f>
        <v/>
      </c>
      <c r="E105" s="12" t="str">
        <f>IF(A105="","",(MAX(B$3:B105)-B105)/MAX(B$3:B105))</f>
        <v/>
      </c>
      <c r="F105" s="12" t="str">
        <f>IF(A105="","",MAX(E$4:E105))</f>
        <v/>
      </c>
      <c r="G105" s="17" t="str">
        <f>IF(A105="","",MAX(FREQUENCY(IF($D$3:D105&lt;0,ROW($D$3:D105)),IF($D$3:D105&gt;=0,ROW($D$3:D105)))))</f>
        <v/>
      </c>
      <c r="H105" s="14" t="str">
        <f t="shared" si="9"/>
        <v/>
      </c>
      <c r="I105" s="14" t="str">
        <f t="shared" si="8"/>
        <v/>
      </c>
      <c r="J105" s="15" t="str">
        <f t="shared" si="6"/>
        <v/>
      </c>
    </row>
    <row r="106" spans="1:10">
      <c r="A106" s="7" t="str">
        <f>IF(子基金及业绩基准周净值!A122="","",子基金及业绩基准周净值!A122)</f>
        <v/>
      </c>
      <c r="B106" s="1" t="str">
        <f>IF(A106="","",VLOOKUP($A106,子基金及业绩基准周净值!$A:$F,6))</f>
        <v/>
      </c>
      <c r="C106" s="8" t="str">
        <f t="shared" si="7"/>
        <v/>
      </c>
      <c r="D106" s="9" t="str">
        <f>IF(A106="","",C106-(子基金及业绩基准周净值!AG122/子基金及业绩基准周净值!AG121-1))</f>
        <v/>
      </c>
      <c r="E106" s="12" t="str">
        <f>IF(A106="","",(MAX(B$3:B106)-B106)/MAX(B$3:B106))</f>
        <v/>
      </c>
      <c r="F106" s="12" t="str">
        <f>IF(A106="","",MAX(E$4:E106))</f>
        <v/>
      </c>
      <c r="G106" s="17" t="str">
        <f>IF(A106="","",MAX(FREQUENCY(IF($D$3:D106&lt;0,ROW($D$3:D106)),IF($D$3:D106&gt;=0,ROW($D$3:D106)))))</f>
        <v/>
      </c>
      <c r="H106" s="14" t="str">
        <f t="shared" si="9"/>
        <v/>
      </c>
      <c r="I106" s="14" t="str">
        <f t="shared" si="8"/>
        <v/>
      </c>
      <c r="J106" s="15" t="str">
        <f t="shared" si="6"/>
        <v/>
      </c>
    </row>
    <row r="107" spans="1:10">
      <c r="A107" s="7" t="str">
        <f>IF(子基金及业绩基准周净值!A123="","",子基金及业绩基准周净值!A123)</f>
        <v/>
      </c>
      <c r="B107" s="1" t="str">
        <f>IF(A107="","",VLOOKUP($A107,子基金及业绩基准周净值!$A:$F,6))</f>
        <v/>
      </c>
      <c r="C107" s="8" t="str">
        <f t="shared" si="7"/>
        <v/>
      </c>
      <c r="D107" s="9" t="str">
        <f>IF(A107="","",C107-(子基金及业绩基准周净值!AG123/子基金及业绩基准周净值!AG122-1))</f>
        <v/>
      </c>
      <c r="E107" s="12" t="str">
        <f>IF(A107="","",(MAX(B$3:B107)-B107)/MAX(B$3:B107))</f>
        <v/>
      </c>
      <c r="F107" s="12" t="str">
        <f>IF(A107="","",MAX(E$4:E107))</f>
        <v/>
      </c>
      <c r="G107" s="17" t="str">
        <f>IF(A107="","",MAX(FREQUENCY(IF($D$3:D107&lt;0,ROW($D$3:D107)),IF($D$3:D107&gt;=0,ROW($D$3:D107)))))</f>
        <v/>
      </c>
      <c r="H107" s="14" t="str">
        <f t="shared" si="9"/>
        <v/>
      </c>
      <c r="I107" s="14" t="str">
        <f t="shared" si="8"/>
        <v/>
      </c>
      <c r="J107" s="15" t="str">
        <f t="shared" si="6"/>
        <v/>
      </c>
    </row>
    <row r="108" spans="1:10">
      <c r="A108" s="7" t="str">
        <f>IF(子基金及业绩基准周净值!A124="","",子基金及业绩基准周净值!A124)</f>
        <v/>
      </c>
      <c r="B108" s="1" t="str">
        <f>IF(A108="","",VLOOKUP($A108,子基金及业绩基准周净值!$A:$F,6))</f>
        <v/>
      </c>
      <c r="C108" s="8" t="str">
        <f t="shared" si="7"/>
        <v/>
      </c>
      <c r="D108" s="9" t="str">
        <f>IF(A108="","",C108-(子基金及业绩基准周净值!AG124/子基金及业绩基准周净值!AG123-1))</f>
        <v/>
      </c>
      <c r="E108" s="12" t="str">
        <f>IF(A108="","",(MAX(B$3:B108)-B108)/MAX(B$3:B108))</f>
        <v/>
      </c>
      <c r="F108" s="12" t="str">
        <f>IF(A108="","",MAX(E$4:E108))</f>
        <v/>
      </c>
      <c r="G108" s="17" t="str">
        <f>IF(A108="","",MAX(FREQUENCY(IF($D$3:D108&lt;0,ROW($D$3:D108)),IF($D$3:D108&gt;=0,ROW($D$3:D108)))))</f>
        <v/>
      </c>
      <c r="H108" s="14" t="str">
        <f t="shared" si="9"/>
        <v/>
      </c>
      <c r="I108" s="14" t="str">
        <f t="shared" si="8"/>
        <v/>
      </c>
      <c r="J108" s="15" t="str">
        <f t="shared" si="6"/>
        <v/>
      </c>
    </row>
    <row r="109" spans="1:10">
      <c r="A109" s="7" t="str">
        <f>IF(子基金及业绩基准周净值!A125="","",子基金及业绩基准周净值!A125)</f>
        <v/>
      </c>
      <c r="B109" s="1" t="str">
        <f>IF(A109="","",VLOOKUP($A109,子基金及业绩基准周净值!$A:$F,6))</f>
        <v/>
      </c>
      <c r="C109" s="8" t="str">
        <f t="shared" si="7"/>
        <v/>
      </c>
      <c r="D109" s="9" t="str">
        <f>IF(A109="","",C109-(子基金及业绩基准周净值!AG125/子基金及业绩基准周净值!AG124-1))</f>
        <v/>
      </c>
      <c r="E109" s="12" t="str">
        <f>IF(A109="","",(MAX(B$3:B109)-B109)/MAX(B$3:B109))</f>
        <v/>
      </c>
      <c r="F109" s="12" t="str">
        <f>IF(A109="","",MAX(E$4:E109))</f>
        <v/>
      </c>
      <c r="G109" s="17" t="str">
        <f>IF(A109="","",MAX(FREQUENCY(IF($D$3:D109&lt;0,ROW($D$3:D109)),IF($D$3:D109&gt;=0,ROW($D$3:D109)))))</f>
        <v/>
      </c>
      <c r="H109" s="14" t="str">
        <f t="shared" si="9"/>
        <v/>
      </c>
      <c r="I109" s="14" t="str">
        <f t="shared" si="8"/>
        <v/>
      </c>
      <c r="J109" s="15" t="str">
        <f t="shared" si="6"/>
        <v/>
      </c>
    </row>
    <row r="110" spans="1:10">
      <c r="A110" s="7" t="str">
        <f>IF(子基金及业绩基准周净值!A126="","",子基金及业绩基准周净值!A126)</f>
        <v/>
      </c>
      <c r="B110" s="1" t="str">
        <f>IF(A110="","",VLOOKUP($A110,子基金及业绩基准周净值!$A:$F,6))</f>
        <v/>
      </c>
      <c r="C110" s="8" t="str">
        <f t="shared" si="7"/>
        <v/>
      </c>
      <c r="D110" s="9" t="str">
        <f>IF(A110="","",C110-(子基金及业绩基准周净值!AG126/子基金及业绩基准周净值!AG125-1))</f>
        <v/>
      </c>
      <c r="E110" s="12" t="str">
        <f>IF(A110="","",(MAX(B$3:B110)-B110)/MAX(B$3:B110))</f>
        <v/>
      </c>
      <c r="F110" s="12" t="str">
        <f>IF(A110="","",MAX(E$4:E110))</f>
        <v/>
      </c>
      <c r="G110" s="17" t="str">
        <f>IF(A110="","",MAX(FREQUENCY(IF($D$3:D110&lt;0,ROW($D$3:D110)),IF($D$3:D110&gt;=0,ROW($D$3:D110)))))</f>
        <v/>
      </c>
      <c r="H110" s="14" t="str">
        <f t="shared" si="9"/>
        <v/>
      </c>
      <c r="I110" s="14" t="str">
        <f t="shared" si="8"/>
        <v/>
      </c>
      <c r="J110" s="15" t="str">
        <f t="shared" si="6"/>
        <v/>
      </c>
    </row>
    <row r="111" spans="1:10">
      <c r="A111" s="7" t="str">
        <f>IF(子基金及业绩基准周净值!A127="","",子基金及业绩基准周净值!A127)</f>
        <v/>
      </c>
      <c r="B111" s="1" t="str">
        <f>IF(A111="","",VLOOKUP($A111,子基金及业绩基准周净值!$A:$F,6))</f>
        <v/>
      </c>
      <c r="C111" s="8" t="str">
        <f t="shared" si="7"/>
        <v/>
      </c>
      <c r="D111" s="9" t="str">
        <f>IF(A111="","",C111-(子基金及业绩基准周净值!AG127/子基金及业绩基准周净值!AG126-1))</f>
        <v/>
      </c>
      <c r="E111" s="12" t="str">
        <f>IF(A111="","",(MAX(B$3:B111)-B111)/MAX(B$3:B111))</f>
        <v/>
      </c>
      <c r="F111" s="12" t="str">
        <f>IF(A111="","",MAX(E$4:E111))</f>
        <v/>
      </c>
      <c r="G111" s="17" t="str">
        <f>IF(A111="","",MAX(FREQUENCY(IF($D$3:D111&lt;0,ROW($D$3:D111)),IF($D$3:D111&gt;=0,ROW($D$3:D111)))))</f>
        <v/>
      </c>
      <c r="H111" s="14" t="str">
        <f t="shared" si="9"/>
        <v/>
      </c>
      <c r="I111" s="14" t="str">
        <f t="shared" si="8"/>
        <v/>
      </c>
      <c r="J111" s="15" t="str">
        <f t="shared" si="6"/>
        <v/>
      </c>
    </row>
    <row r="112" spans="1:10">
      <c r="A112" s="7" t="str">
        <f>IF(子基金及业绩基准周净值!A128="","",子基金及业绩基准周净值!A128)</f>
        <v/>
      </c>
      <c r="B112" s="1" t="str">
        <f>IF(A112="","",VLOOKUP($A112,子基金及业绩基准周净值!$A:$F,6))</f>
        <v/>
      </c>
      <c r="C112" s="8" t="str">
        <f t="shared" si="7"/>
        <v/>
      </c>
      <c r="D112" s="9" t="str">
        <f>IF(A112="","",C112-(子基金及业绩基准周净值!AG128/子基金及业绩基准周净值!AG127-1))</f>
        <v/>
      </c>
      <c r="E112" s="12" t="str">
        <f>IF(A112="","",(MAX(B$3:B112)-B112)/MAX(B$3:B112))</f>
        <v/>
      </c>
      <c r="F112" s="12" t="str">
        <f>IF(A112="","",MAX(E$4:E112))</f>
        <v/>
      </c>
      <c r="G112" s="17" t="str">
        <f>IF(A112="","",MAX(FREQUENCY(IF($D$3:D112&lt;0,ROW($D$3:D112)),IF($D$3:D112&gt;=0,ROW($D$3:D112)))))</f>
        <v/>
      </c>
      <c r="H112" s="14" t="str">
        <f t="shared" si="9"/>
        <v/>
      </c>
      <c r="I112" s="14" t="str">
        <f t="shared" si="8"/>
        <v/>
      </c>
      <c r="J112" s="15" t="str">
        <f t="shared" si="6"/>
        <v/>
      </c>
    </row>
    <row r="113" spans="1:10">
      <c r="A113" s="7" t="str">
        <f>IF(子基金及业绩基准周净值!A129="","",子基金及业绩基准周净值!A129)</f>
        <v/>
      </c>
      <c r="B113" s="1" t="str">
        <f>IF(A113="","",VLOOKUP($A113,子基金及业绩基准周净值!$A:$F,6))</f>
        <v/>
      </c>
      <c r="C113" s="8" t="str">
        <f t="shared" si="7"/>
        <v/>
      </c>
      <c r="D113" s="9" t="str">
        <f>IF(A113="","",C113-(子基金及业绩基准周净值!AG129/子基金及业绩基准周净值!AG128-1))</f>
        <v/>
      </c>
      <c r="E113" s="12" t="str">
        <f>IF(A113="","",(MAX(B$3:B113)-B113)/MAX(B$3:B113))</f>
        <v/>
      </c>
      <c r="F113" s="12" t="str">
        <f>IF(A113="","",MAX(E$4:E113))</f>
        <v/>
      </c>
      <c r="G113" s="17" t="str">
        <f>IF(A113="","",MAX(FREQUENCY(IF($D$3:D113&lt;0,ROW($D$3:D113)),IF($D$3:D113&gt;=0,ROW($D$3:D113)))))</f>
        <v/>
      </c>
      <c r="H113" s="14" t="str">
        <f t="shared" si="9"/>
        <v/>
      </c>
      <c r="I113" s="14" t="str">
        <f t="shared" si="8"/>
        <v/>
      </c>
      <c r="J113" s="15" t="str">
        <f t="shared" si="6"/>
        <v/>
      </c>
    </row>
    <row r="114" spans="1:10">
      <c r="A114" s="7" t="str">
        <f>IF(子基金及业绩基准周净值!A130="","",子基金及业绩基准周净值!A130)</f>
        <v/>
      </c>
      <c r="B114" s="1" t="str">
        <f>IF(A114="","",VLOOKUP($A114,子基金及业绩基准周净值!$A:$F,6))</f>
        <v/>
      </c>
      <c r="C114" s="8" t="str">
        <f t="shared" si="7"/>
        <v/>
      </c>
      <c r="D114" s="9" t="str">
        <f>IF(A114="","",C114-(子基金及业绩基准周净值!AG130/子基金及业绩基准周净值!AG129-1))</f>
        <v/>
      </c>
      <c r="E114" s="12" t="str">
        <f>IF(A114="","",(MAX(B$3:B114)-B114)/MAX(B$3:B114))</f>
        <v/>
      </c>
      <c r="F114" s="12" t="str">
        <f>IF(A114="","",MAX(E$4:E114))</f>
        <v/>
      </c>
      <c r="G114" s="17" t="str">
        <f>IF(A114="","",MAX(FREQUENCY(IF($D$3:D114&lt;0,ROW($D$3:D114)),IF($D$3:D114&gt;=0,ROW($D$3:D114)))))</f>
        <v/>
      </c>
      <c r="H114" s="14" t="str">
        <f t="shared" si="9"/>
        <v/>
      </c>
      <c r="I114" s="14" t="str">
        <f t="shared" si="8"/>
        <v/>
      </c>
      <c r="J114" s="15" t="str">
        <f t="shared" si="6"/>
        <v/>
      </c>
    </row>
    <row r="115" spans="1:10">
      <c r="A115" s="7" t="str">
        <f>IF(子基金及业绩基准周净值!A131="","",子基金及业绩基准周净值!A131)</f>
        <v/>
      </c>
      <c r="B115" s="1" t="str">
        <f>IF(A115="","",VLOOKUP($A115,子基金及业绩基准周净值!$A:$F,6))</f>
        <v/>
      </c>
      <c r="C115" s="8" t="str">
        <f t="shared" si="7"/>
        <v/>
      </c>
      <c r="D115" s="9" t="str">
        <f>IF(A115="","",C115-(子基金及业绩基准周净值!AG131/子基金及业绩基准周净值!AG130-1))</f>
        <v/>
      </c>
      <c r="E115" s="12" t="str">
        <f>IF(A115="","",(MAX(B$3:B115)-B115)/MAX(B$3:B115))</f>
        <v/>
      </c>
      <c r="F115" s="12" t="str">
        <f>IF(A115="","",MAX(E$4:E115))</f>
        <v/>
      </c>
      <c r="G115" s="17" t="str">
        <f>IF(A115="","",MAX(FREQUENCY(IF($D$3:D115&lt;0,ROW($D$3:D115)),IF($D$3:D115&gt;=0,ROW($D$3:D115)))))</f>
        <v/>
      </c>
      <c r="H115" s="14" t="str">
        <f t="shared" si="9"/>
        <v/>
      </c>
      <c r="I115" s="14" t="str">
        <f t="shared" si="8"/>
        <v/>
      </c>
      <c r="J115" s="15" t="str">
        <f t="shared" si="6"/>
        <v/>
      </c>
    </row>
    <row r="116" spans="1:10">
      <c r="A116" s="7" t="str">
        <f>IF(子基金及业绩基准周净值!A132="","",子基金及业绩基准周净值!A132)</f>
        <v/>
      </c>
      <c r="B116" s="1" t="str">
        <f>IF(A116="","",VLOOKUP($A116,子基金及业绩基准周净值!$A:$F,6))</f>
        <v/>
      </c>
      <c r="C116" s="8" t="str">
        <f t="shared" si="7"/>
        <v/>
      </c>
      <c r="D116" s="9" t="str">
        <f>IF(A116="","",C116-(子基金及业绩基准周净值!AG132/子基金及业绩基准周净值!AG131-1))</f>
        <v/>
      </c>
      <c r="E116" s="12" t="str">
        <f>IF(A116="","",(MAX(B$3:B116)-B116)/MAX(B$3:B116))</f>
        <v/>
      </c>
      <c r="F116" s="12" t="str">
        <f>IF(A116="","",MAX(E$4:E116))</f>
        <v/>
      </c>
      <c r="G116" s="17" t="str">
        <f>IF(A116="","",MAX(FREQUENCY(IF($D$3:D116&lt;0,ROW($D$3:D116)),IF($D$3:D116&gt;=0,ROW($D$3:D116)))))</f>
        <v/>
      </c>
      <c r="H116" s="14" t="str">
        <f t="shared" si="9"/>
        <v/>
      </c>
      <c r="I116" s="14" t="str">
        <f t="shared" si="8"/>
        <v/>
      </c>
      <c r="J116" s="15" t="str">
        <f t="shared" si="6"/>
        <v/>
      </c>
    </row>
    <row r="117" spans="1:10">
      <c r="A117" s="7" t="str">
        <f>IF(子基金及业绩基准周净值!A133="","",子基金及业绩基准周净值!A133)</f>
        <v/>
      </c>
      <c r="B117" s="1" t="str">
        <f>IF(A117="","",VLOOKUP($A117,子基金及业绩基准周净值!$A:$F,6))</f>
        <v/>
      </c>
      <c r="C117" s="8" t="str">
        <f t="shared" si="7"/>
        <v/>
      </c>
      <c r="D117" s="9" t="str">
        <f>IF(A117="","",C117-(子基金及业绩基准周净值!AG133/子基金及业绩基准周净值!AG132-1))</f>
        <v/>
      </c>
      <c r="E117" s="12" t="str">
        <f>IF(A117="","",(MAX(B$3:B117)-B117)/MAX(B$3:B117))</f>
        <v/>
      </c>
      <c r="F117" s="12" t="str">
        <f>IF(A117="","",MAX(E$4:E117))</f>
        <v/>
      </c>
      <c r="G117" s="17" t="str">
        <f>IF(A117="","",MAX(FREQUENCY(IF($D$3:D117&lt;0,ROW($D$3:D117)),IF($D$3:D117&gt;=0,ROW($D$3:D117)))))</f>
        <v/>
      </c>
      <c r="H117" s="14" t="str">
        <f t="shared" si="9"/>
        <v/>
      </c>
      <c r="I117" s="14" t="str">
        <f t="shared" si="8"/>
        <v/>
      </c>
      <c r="J117" s="15" t="str">
        <f t="shared" si="6"/>
        <v/>
      </c>
    </row>
    <row r="118" spans="1:10">
      <c r="A118" s="7" t="str">
        <f>IF(子基金及业绩基准周净值!A134="","",子基金及业绩基准周净值!A134)</f>
        <v/>
      </c>
      <c r="B118" s="1" t="str">
        <f>IF(A118="","",VLOOKUP($A118,子基金及业绩基准周净值!$A:$F,6))</f>
        <v/>
      </c>
      <c r="C118" s="8" t="str">
        <f t="shared" si="7"/>
        <v/>
      </c>
      <c r="D118" s="9" t="str">
        <f>IF(A118="","",C118-(子基金及业绩基准周净值!AG134/子基金及业绩基准周净值!AG133-1))</f>
        <v/>
      </c>
      <c r="E118" s="12" t="str">
        <f>IF(A118="","",(MAX(B$3:B118)-B118)/MAX(B$3:B118))</f>
        <v/>
      </c>
      <c r="F118" s="12" t="str">
        <f>IF(A118="","",MAX(E$4:E118))</f>
        <v/>
      </c>
      <c r="G118" s="17" t="str">
        <f>IF(A118="","",MAX(FREQUENCY(IF($D$3:D118&lt;0,ROW($D$3:D118)),IF($D$3:D118&gt;=0,ROW($D$3:D118)))))</f>
        <v/>
      </c>
      <c r="H118" s="14" t="str">
        <f t="shared" si="9"/>
        <v/>
      </c>
      <c r="I118" s="14" t="str">
        <f t="shared" si="8"/>
        <v/>
      </c>
      <c r="J118" s="15" t="str">
        <f t="shared" si="6"/>
        <v/>
      </c>
    </row>
    <row r="119" spans="1:10">
      <c r="A119" s="7" t="str">
        <f>IF(子基金及业绩基准周净值!A135="","",子基金及业绩基准周净值!A135)</f>
        <v/>
      </c>
      <c r="B119" s="1" t="str">
        <f>IF(A119="","",VLOOKUP($A119,子基金及业绩基准周净值!$A:$F,6))</f>
        <v/>
      </c>
      <c r="C119" s="8" t="str">
        <f t="shared" si="7"/>
        <v/>
      </c>
      <c r="D119" s="9" t="str">
        <f>IF(A119="","",C119-(子基金及业绩基准周净值!AG135/子基金及业绩基准周净值!AG134-1))</f>
        <v/>
      </c>
      <c r="E119" s="12" t="str">
        <f>IF(A119="","",(MAX(B$3:B119)-B119)/MAX(B$3:B119))</f>
        <v/>
      </c>
      <c r="F119" s="12" t="str">
        <f>IF(A119="","",MAX(E$4:E119))</f>
        <v/>
      </c>
      <c r="G119" s="17" t="str">
        <f>IF(A119="","",MAX(FREQUENCY(IF($D$3:D119&lt;0,ROW($D$3:D119)),IF($D$3:D119&gt;=0,ROW($D$3:D119)))))</f>
        <v/>
      </c>
      <c r="H119" s="14" t="str">
        <f t="shared" si="9"/>
        <v/>
      </c>
      <c r="I119" s="14" t="str">
        <f t="shared" si="8"/>
        <v/>
      </c>
      <c r="J119" s="15" t="str">
        <f t="shared" si="6"/>
        <v/>
      </c>
    </row>
    <row r="120" spans="1:10">
      <c r="A120" s="7" t="str">
        <f>IF(子基金及业绩基准周净值!A136="","",子基金及业绩基准周净值!A136)</f>
        <v/>
      </c>
      <c r="B120" s="1" t="str">
        <f>IF(A120="","",VLOOKUP($A120,子基金及业绩基准周净值!$A:$F,6))</f>
        <v/>
      </c>
      <c r="C120" s="8" t="str">
        <f t="shared" si="7"/>
        <v/>
      </c>
      <c r="D120" s="9" t="str">
        <f>IF(A120="","",C120-(子基金及业绩基准周净值!AG136/子基金及业绩基准周净值!AG135-1))</f>
        <v/>
      </c>
      <c r="E120" s="12" t="str">
        <f>IF(A120="","",(MAX(B$3:B120)-B120)/MAX(B$3:B120))</f>
        <v/>
      </c>
      <c r="F120" s="12" t="str">
        <f>IF(A120="","",MAX(E$4:E120))</f>
        <v/>
      </c>
      <c r="G120" s="17" t="str">
        <f>IF(A120="","",MAX(FREQUENCY(IF($D$3:D120&lt;0,ROW($D$3:D120)),IF($D$3:D120&gt;=0,ROW($D$3:D120)))))</f>
        <v/>
      </c>
      <c r="H120" s="14" t="str">
        <f t="shared" si="9"/>
        <v/>
      </c>
      <c r="I120" s="14" t="str">
        <f t="shared" si="8"/>
        <v/>
      </c>
      <c r="J120" s="15" t="str">
        <f t="shared" si="6"/>
        <v/>
      </c>
    </row>
    <row r="121" spans="1:10">
      <c r="A121" s="7" t="str">
        <f>IF(子基金及业绩基准周净值!A137="","",子基金及业绩基准周净值!A137)</f>
        <v/>
      </c>
      <c r="B121" s="1" t="str">
        <f>IF(A121="","",VLOOKUP($A121,子基金及业绩基准周净值!$A:$F,6))</f>
        <v/>
      </c>
      <c r="C121" s="8" t="str">
        <f t="shared" si="7"/>
        <v/>
      </c>
      <c r="D121" s="9" t="str">
        <f>IF(A121="","",C121-(子基金及业绩基准周净值!AG137/子基金及业绩基准周净值!AG136-1))</f>
        <v/>
      </c>
      <c r="E121" s="12" t="str">
        <f>IF(A121="","",(MAX(B$3:B121)-B121)/MAX(B$3:B121))</f>
        <v/>
      </c>
      <c r="F121" s="12" t="str">
        <f>IF(A121="","",MAX(E$4:E121))</f>
        <v/>
      </c>
      <c r="G121" s="17" t="str">
        <f>IF(A121="","",MAX(FREQUENCY(IF($D$3:D121&lt;0,ROW($D$3:D121)),IF($D$3:D121&gt;=0,ROW($D$3:D121)))))</f>
        <v/>
      </c>
      <c r="H121" s="14" t="str">
        <f t="shared" si="9"/>
        <v/>
      </c>
      <c r="I121" s="14" t="str">
        <f t="shared" si="8"/>
        <v/>
      </c>
      <c r="J121" s="15" t="str">
        <f t="shared" si="6"/>
        <v/>
      </c>
    </row>
    <row r="122" spans="1:10">
      <c r="A122" s="7" t="str">
        <f>IF(子基金及业绩基准周净值!A138="","",子基金及业绩基准周净值!A138)</f>
        <v/>
      </c>
      <c r="B122" s="1" t="str">
        <f>IF(A122="","",VLOOKUP($A122,子基金及业绩基准周净值!$A:$F,6))</f>
        <v/>
      </c>
      <c r="C122" s="8" t="str">
        <f t="shared" si="7"/>
        <v/>
      </c>
      <c r="D122" s="9" t="str">
        <f>IF(A122="","",C122-(子基金及业绩基准周净值!AG138/子基金及业绩基准周净值!AG137-1))</f>
        <v/>
      </c>
      <c r="E122" s="12" t="str">
        <f>IF(A122="","",(MAX(B$3:B122)-B122)/MAX(B$3:B122))</f>
        <v/>
      </c>
      <c r="F122" s="12" t="str">
        <f>IF(A122="","",MAX(E$4:E122))</f>
        <v/>
      </c>
      <c r="G122" s="17" t="str">
        <f>IF(A122="","",MAX(FREQUENCY(IF($D$3:D122&lt;0,ROW($D$3:D122)),IF($D$3:D122&gt;=0,ROW($D$3:D122)))))</f>
        <v/>
      </c>
      <c r="H122" s="14" t="str">
        <f t="shared" si="9"/>
        <v/>
      </c>
      <c r="I122" s="14" t="str">
        <f t="shared" si="8"/>
        <v/>
      </c>
      <c r="J122" s="15" t="str">
        <f t="shared" si="6"/>
        <v/>
      </c>
    </row>
    <row r="123" spans="1:10">
      <c r="A123" s="7" t="str">
        <f>IF(子基金及业绩基准周净值!A139="","",子基金及业绩基准周净值!A139)</f>
        <v/>
      </c>
      <c r="B123" s="1" t="str">
        <f>IF(A123="","",VLOOKUP($A123,子基金及业绩基准周净值!$A:$F,6))</f>
        <v/>
      </c>
      <c r="C123" s="8" t="str">
        <f t="shared" si="7"/>
        <v/>
      </c>
      <c r="D123" s="9" t="str">
        <f>IF(A123="","",C123-(子基金及业绩基准周净值!AG139/子基金及业绩基准周净值!AG138-1))</f>
        <v/>
      </c>
      <c r="E123" s="12" t="str">
        <f>IF(A123="","",(MAX(B$3:B123)-B123)/MAX(B$3:B123))</f>
        <v/>
      </c>
      <c r="F123" s="12" t="str">
        <f>IF(A123="","",MAX(E$4:E123))</f>
        <v/>
      </c>
      <c r="G123" s="17" t="str">
        <f>IF(A123="","",MAX(FREQUENCY(IF($D$3:D123&lt;0,ROW($D$3:D123)),IF($D$3:D123&gt;=0,ROW($D$3:D123)))))</f>
        <v/>
      </c>
      <c r="H123" s="14" t="str">
        <f t="shared" si="9"/>
        <v/>
      </c>
      <c r="I123" s="14" t="str">
        <f t="shared" si="8"/>
        <v/>
      </c>
      <c r="J123" s="15" t="str">
        <f t="shared" si="6"/>
        <v/>
      </c>
    </row>
    <row r="124" spans="1:10">
      <c r="A124" s="7" t="str">
        <f>IF(子基金及业绩基准周净值!A140="","",子基金及业绩基准周净值!A140)</f>
        <v/>
      </c>
      <c r="B124" s="1" t="str">
        <f>IF(A124="","",VLOOKUP($A124,子基金及业绩基准周净值!$A:$F,6))</f>
        <v/>
      </c>
      <c r="C124" s="8" t="str">
        <f t="shared" si="7"/>
        <v/>
      </c>
      <c r="D124" s="9" t="str">
        <f>IF(A124="","",C124-(子基金及业绩基准周净值!AG140/子基金及业绩基准周净值!AG139-1))</f>
        <v/>
      </c>
      <c r="E124" s="12" t="str">
        <f>IF(A124="","",(MAX(B$3:B124)-B124)/MAX(B$3:B124))</f>
        <v/>
      </c>
      <c r="F124" s="12" t="str">
        <f>IF(A124="","",MAX(E$4:E124))</f>
        <v/>
      </c>
      <c r="G124" s="17" t="str">
        <f>IF(A124="","",MAX(FREQUENCY(IF($D$3:D124&lt;0,ROW($D$3:D124)),IF($D$3:D124&gt;=0,ROW($D$3:D124)))))</f>
        <v/>
      </c>
      <c r="H124" s="14" t="str">
        <f t="shared" si="9"/>
        <v/>
      </c>
      <c r="I124" s="14" t="str">
        <f t="shared" si="8"/>
        <v/>
      </c>
      <c r="J124" s="15" t="str">
        <f t="shared" si="6"/>
        <v/>
      </c>
    </row>
    <row r="125" spans="1:10">
      <c r="A125" s="7" t="str">
        <f>IF(子基金及业绩基准周净值!A141="","",子基金及业绩基准周净值!A141)</f>
        <v/>
      </c>
      <c r="B125" s="1" t="str">
        <f>IF(A125="","",VLOOKUP($A125,子基金及业绩基准周净值!$A:$F,6))</f>
        <v/>
      </c>
      <c r="C125" s="8" t="str">
        <f t="shared" si="7"/>
        <v/>
      </c>
      <c r="D125" s="9" t="str">
        <f>IF(A125="","",C125-(子基金及业绩基准周净值!AG141/子基金及业绩基准周净值!AG140-1))</f>
        <v/>
      </c>
      <c r="E125" s="12" t="str">
        <f>IF(A125="","",(MAX(B$3:B125)-B125)/MAX(B$3:B125))</f>
        <v/>
      </c>
      <c r="F125" s="12" t="str">
        <f>IF(A125="","",MAX(E$4:E125))</f>
        <v/>
      </c>
      <c r="G125" s="17" t="str">
        <f>IF(A125="","",MAX(FREQUENCY(IF($D$3:D125&lt;0,ROW($D$3:D125)),IF($D$3:D125&gt;=0,ROW($D$3:D125)))))</f>
        <v/>
      </c>
      <c r="H125" s="14" t="str">
        <f t="shared" si="9"/>
        <v/>
      </c>
      <c r="I125" s="14" t="str">
        <f t="shared" si="8"/>
        <v/>
      </c>
      <c r="J125" s="15" t="str">
        <f t="shared" si="6"/>
        <v/>
      </c>
    </row>
    <row r="126" spans="1:10">
      <c r="A126" s="7" t="str">
        <f>IF(子基金及业绩基准周净值!A142="","",子基金及业绩基准周净值!A142)</f>
        <v/>
      </c>
      <c r="B126" s="1" t="str">
        <f>IF(A126="","",VLOOKUP($A126,子基金及业绩基准周净值!$A:$F,6))</f>
        <v/>
      </c>
      <c r="C126" s="8" t="str">
        <f t="shared" si="7"/>
        <v/>
      </c>
      <c r="D126" s="9" t="str">
        <f>IF(A126="","",C126-(子基金及业绩基准周净值!AG142/子基金及业绩基准周净值!AG141-1))</f>
        <v/>
      </c>
      <c r="E126" s="12" t="str">
        <f>IF(A126="","",(MAX(B$3:B126)-B126)/MAX(B$3:B126))</f>
        <v/>
      </c>
      <c r="F126" s="12" t="str">
        <f>IF(A126="","",MAX(E$4:E126))</f>
        <v/>
      </c>
      <c r="G126" s="17" t="str">
        <f>IF(A126="","",MAX(FREQUENCY(IF($D$3:D126&lt;0,ROW($D$3:D126)),IF($D$3:D126&gt;=0,ROW($D$3:D126)))))</f>
        <v/>
      </c>
      <c r="H126" s="14" t="str">
        <f t="shared" si="9"/>
        <v/>
      </c>
      <c r="I126" s="14" t="str">
        <f t="shared" si="8"/>
        <v/>
      </c>
      <c r="J126" s="15" t="str">
        <f t="shared" si="6"/>
        <v/>
      </c>
    </row>
    <row r="127" spans="1:10">
      <c r="A127" s="7" t="str">
        <f>IF(子基金及业绩基准周净值!A143="","",子基金及业绩基准周净值!A143)</f>
        <v/>
      </c>
      <c r="B127" s="1" t="str">
        <f>IF(A127="","",VLOOKUP($A127,子基金及业绩基准周净值!$A:$F,6))</f>
        <v/>
      </c>
      <c r="C127" s="8" t="str">
        <f t="shared" si="7"/>
        <v/>
      </c>
      <c r="D127" s="9" t="str">
        <f>IF(A127="","",C127-(子基金及业绩基准周净值!AG143/子基金及业绩基准周净值!AG142-1))</f>
        <v/>
      </c>
      <c r="E127" s="12" t="str">
        <f>IF(A127="","",(MAX(B$3:B127)-B127)/MAX(B$3:B127))</f>
        <v/>
      </c>
      <c r="F127" s="12" t="str">
        <f>IF(A127="","",MAX(E$4:E127))</f>
        <v/>
      </c>
      <c r="G127" s="17" t="str">
        <f>IF(A127="","",MAX(FREQUENCY(IF($D$3:D127&lt;0,ROW($D$3:D127)),IF($D$3:D127&gt;=0,ROW($D$3:D127)))))</f>
        <v/>
      </c>
      <c r="H127" s="14" t="str">
        <f t="shared" si="9"/>
        <v/>
      </c>
      <c r="I127" s="14" t="str">
        <f t="shared" si="8"/>
        <v/>
      </c>
      <c r="J127" s="15" t="str">
        <f t="shared" si="6"/>
        <v/>
      </c>
    </row>
  </sheetData>
  <conditionalFormatting sqref="H4:H127">
    <cfRule type="containsText" dxfId="0" priority="1" operator="between" text="是">
      <formula>NOT(ISERROR(SEARCH("是",H4)))</formula>
    </cfRule>
  </conditionalFormatting>
  <conditionalFormatting sqref="J3:J127">
    <cfRule type="containsText" dxfId="0" priority="3" operator="between" text="是">
      <formula>NOT(ISERROR(SEARCH("是",J3)))</formula>
    </cfRule>
  </conditionalFormatting>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127"/>
  <sheetViews>
    <sheetView topLeftCell="A38" workbookViewId="0">
      <selection activeCell="G55" sqref="G55"/>
    </sheetView>
  </sheetViews>
  <sheetFormatPr defaultColWidth="9" defaultRowHeight="16.8"/>
  <cols>
    <col min="1" max="1" width="11.625" style="1" customWidth="1"/>
    <col min="2" max="2" width="23.25" style="1" customWidth="1"/>
    <col min="3" max="3" width="10.25" style="1" customWidth="1"/>
    <col min="4" max="4" width="10.25" style="3" customWidth="1"/>
    <col min="5"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3">
        <v>4</v>
      </c>
      <c r="F1" s="1">
        <v>5</v>
      </c>
      <c r="G1" s="1">
        <v>6</v>
      </c>
      <c r="H1" s="1">
        <v>7</v>
      </c>
      <c r="I1" s="1">
        <v>8</v>
      </c>
      <c r="J1" s="1">
        <v>9</v>
      </c>
      <c r="K1" s="1">
        <v>10</v>
      </c>
    </row>
    <row r="2" ht="16.5" customHeight="1" spans="1:11">
      <c r="A2" s="4" t="s">
        <v>2</v>
      </c>
      <c r="B2" s="4" t="s">
        <v>44</v>
      </c>
      <c r="C2" s="5" t="s">
        <v>310</v>
      </c>
      <c r="D2" s="6" t="s">
        <v>311</v>
      </c>
      <c r="F2" s="5" t="s">
        <v>22</v>
      </c>
      <c r="G2" s="10" t="s">
        <v>312</v>
      </c>
      <c r="H2" s="11" t="s">
        <v>313</v>
      </c>
      <c r="I2" s="11" t="s">
        <v>314</v>
      </c>
      <c r="J2" s="11" t="s">
        <v>315</v>
      </c>
      <c r="K2" s="5" t="s">
        <v>316</v>
      </c>
    </row>
    <row r="3" spans="1:9">
      <c r="A3" s="7">
        <f>IF(子基金及业绩基准周净值!A21="","",子基金及业绩基准周净值!A21)</f>
        <v>45590</v>
      </c>
      <c r="B3" s="1">
        <f>IF(A3="","",VLOOKUP($A3,子基金及业绩基准周净值!$A:$AV,7))</f>
        <v>1.0458</v>
      </c>
      <c r="C3" s="8"/>
      <c r="F3" s="12"/>
      <c r="H3" s="14"/>
      <c r="I3" s="14"/>
    </row>
    <row r="4" spans="1:10">
      <c r="A4" s="7">
        <f>IF(子基金及业绩基准周净值!A22="","",子基金及业绩基准周净值!A22)</f>
        <v>45597</v>
      </c>
      <c r="B4" s="1">
        <f>IF(A4="","",VLOOKUP($A4,子基金及业绩基准周净值!$A:$AV,7))</f>
        <v>1.0373</v>
      </c>
      <c r="C4" s="8">
        <f>IF(A4="","",(B4-B3)/B3)</f>
        <v>-0.00812774909160447</v>
      </c>
      <c r="D4" s="9">
        <f>IF(A4="","",C4-(子基金及业绩基准周净值!AG22/子基金及业绩基准周净值!AG21-1))</f>
        <v>-0.00545476666826789</v>
      </c>
      <c r="E4" s="12">
        <f>IF(A4="","",(MAX(B$3:B4)-B4)/MAX(B$3:B4))</f>
        <v>0.00812774909160447</v>
      </c>
      <c r="F4" s="12">
        <f>IF(A4="","",MAX(E$4:E4))</f>
        <v>0.00812774909160447</v>
      </c>
      <c r="G4" s="17">
        <v>1</v>
      </c>
      <c r="H4" s="14" t="str">
        <f>IF(B4="","",IF(C4&lt;-3%,"是","否"))</f>
        <v>否</v>
      </c>
      <c r="I4" s="14" t="str">
        <f>IF(A4="","",IF(F4&gt;5%,"是","否"))</f>
        <v>否</v>
      </c>
      <c r="J4" s="15" t="str">
        <f>IF(A4="","",IF(G4&gt;=4,"是","否"))</f>
        <v>否</v>
      </c>
    </row>
    <row r="5" spans="1:10">
      <c r="A5" s="7">
        <f>IF(子基金及业绩基准周净值!A23="","",子基金及业绩基准周净值!A23)</f>
        <v>45604</v>
      </c>
      <c r="B5" s="1">
        <f>IF(A5="","",VLOOKUP($A5,子基金及业绩基准周净值!$A:$AV,7))</f>
        <v>1.0439</v>
      </c>
      <c r="C5" s="8">
        <f>IF(A5="","",(B5-B4)/B4)</f>
        <v>0.00636267232237534</v>
      </c>
      <c r="D5" s="9">
        <f>IF(A5="","",C5-(子基金及业绩基准周净值!AG23/子基金及业绩基准周净值!AG22-1))</f>
        <v>-0.00425357719914407</v>
      </c>
      <c r="E5" s="12">
        <f>IF(A5="","",(MAX(B$3:B5)-B5)/MAX(B$3:B5))</f>
        <v>0.00181679097341749</v>
      </c>
      <c r="F5" s="12">
        <f>IF(A5="","",MAX(E$4:E5))</f>
        <v>0.00812774909160447</v>
      </c>
      <c r="G5" s="17">
        <v>2</v>
      </c>
      <c r="H5" s="14" t="str">
        <f t="shared" ref="H5:H36" si="0">IF(B5="","",IF(C5&lt;-3%,"是","否"))</f>
        <v>否</v>
      </c>
      <c r="I5" s="14" t="str">
        <f t="shared" ref="I5:I68" si="1">IF(A5="","",IF(F5&gt;5%,"是","否"))</f>
        <v>否</v>
      </c>
      <c r="J5" s="15" t="str">
        <f t="shared" ref="J5:J68" si="2">IF(A5="","",IF(G5&gt;=4,"是","否"))</f>
        <v>否</v>
      </c>
    </row>
    <row r="6" spans="1:10">
      <c r="A6" s="7">
        <f>IF(子基金及业绩基准周净值!A24="","",子基金及业绩基准周净值!A24)</f>
        <v>45611</v>
      </c>
      <c r="B6" s="1">
        <f>IF(A6="","",VLOOKUP($A6,子基金及业绩基准周净值!$A:$AV,7))</f>
        <v>1.0389</v>
      </c>
      <c r="C6" s="8">
        <f t="shared" ref="C6:C69" si="3">IF(A6="","",(B6-B5)/B5)</f>
        <v>-0.00478973081712819</v>
      </c>
      <c r="D6" s="9">
        <f>IF(A6="","",C6-(子基金及业绩基准周净值!AG24/子基金及业绩基准周净值!AG23-1))</f>
        <v>-0.00577460529580442</v>
      </c>
      <c r="E6" s="12">
        <f>IF(A6="","",(MAX(B$3:B6)-B6)/MAX(B$3:B6))</f>
        <v>0.00659781985083202</v>
      </c>
      <c r="F6" s="12">
        <f>IF(A6="","",MAX(E$4:E6))</f>
        <v>0.00812774909160447</v>
      </c>
      <c r="G6" s="17">
        <v>3</v>
      </c>
      <c r="H6" s="14" t="str">
        <f t="shared" si="0"/>
        <v>否</v>
      </c>
      <c r="I6" s="14" t="str">
        <f t="shared" si="1"/>
        <v>否</v>
      </c>
      <c r="J6" s="15" t="str">
        <f t="shared" si="2"/>
        <v>否</v>
      </c>
    </row>
    <row r="7" spans="1:10">
      <c r="A7" s="7">
        <f>IF(子基金及业绩基准周净值!A25="","",子基金及业绩基准周净值!A25)</f>
        <v>45618</v>
      </c>
      <c r="B7" s="1">
        <f>IF(A7="","",VLOOKUP($A7,子基金及业绩基准周净值!$A:$AV,7))</f>
        <v>1.0473</v>
      </c>
      <c r="C7" s="8">
        <f t="shared" si="3"/>
        <v>0.00808547502165749</v>
      </c>
      <c r="D7" s="9">
        <f>IF(A7="","",C7-(子基金及业绩基准周净值!AG25/子基金及业绩基准周净值!AG24-1))</f>
        <v>-0.000468687183196457</v>
      </c>
      <c r="E7" s="12">
        <f>IF(A7="","",(MAX(B$3:B7)-B7)/MAX(B$3:B7))</f>
        <v>0</v>
      </c>
      <c r="F7" s="12">
        <f>IF(A7="","",MAX(E$4:E7))</f>
        <v>0.00812774909160447</v>
      </c>
      <c r="G7" s="17">
        <v>4</v>
      </c>
      <c r="H7" s="14" t="str">
        <f t="shared" si="0"/>
        <v>否</v>
      </c>
      <c r="I7" s="14" t="str">
        <f t="shared" si="1"/>
        <v>否</v>
      </c>
      <c r="J7" s="15" t="str">
        <f t="shared" si="2"/>
        <v>是</v>
      </c>
    </row>
    <row r="8" spans="1:10">
      <c r="A8" s="7">
        <f>IF(子基金及业绩基准周净值!A26="","",子基金及业绩基准周净值!A26)</f>
        <v>45625</v>
      </c>
      <c r="B8" s="1">
        <f>IF(A8="","",VLOOKUP($A8,子基金及业绩基准周净值!$A:$AV,7))</f>
        <v>1.0609</v>
      </c>
      <c r="C8" s="8">
        <f t="shared" si="3"/>
        <v>0.0129857729399409</v>
      </c>
      <c r="D8" s="9">
        <f>IF(A8="","",C8-(子基金及业绩基准周净值!AG26/子基金及业绩基准周净值!AG25-1))</f>
        <v>0.00332194961368371</v>
      </c>
      <c r="E8" s="12">
        <f>IF(A8="","",(MAX(B$3:B8)-B8)/MAX(B$3:B8))</f>
        <v>0</v>
      </c>
      <c r="F8" s="12">
        <f>IF(A8="","",MAX(E$4:E8))</f>
        <v>0.00812774909160447</v>
      </c>
      <c r="G8" s="17">
        <v>0</v>
      </c>
      <c r="H8" s="14" t="str">
        <f t="shared" si="0"/>
        <v>否</v>
      </c>
      <c r="I8" s="14" t="str">
        <f t="shared" si="1"/>
        <v>否</v>
      </c>
      <c r="J8" s="15" t="str">
        <f t="shared" si="2"/>
        <v>否</v>
      </c>
    </row>
    <row r="9" spans="1:10">
      <c r="A9" s="7">
        <f>IF(子基金及业绩基准周净值!A27="","",子基金及业绩基准周净值!A27)</f>
        <v>45632</v>
      </c>
      <c r="B9" s="1">
        <f>IF(A9="","",VLOOKUP($A9,子基金及业绩基准周净值!$A:$AV,7))</f>
        <v>1.0644</v>
      </c>
      <c r="C9" s="8">
        <f t="shared" si="3"/>
        <v>0.0032990856819682</v>
      </c>
      <c r="D9" s="9">
        <f>IF(A9="","",C9-(子基金及业绩基准周净值!AG27/子基金及业绩基准周净值!AG26-1))</f>
        <v>-0.00559586637127511</v>
      </c>
      <c r="E9" s="12">
        <f>IF(A9="","",(MAX(B$3:B9)-B9)/MAX(B$3:B9))</f>
        <v>0</v>
      </c>
      <c r="F9" s="12">
        <f>IF(A9="","",MAX(E$4:E9))</f>
        <v>0.00812774909160447</v>
      </c>
      <c r="G9" s="17">
        <v>1</v>
      </c>
      <c r="H9" s="14" t="str">
        <f t="shared" si="0"/>
        <v>否</v>
      </c>
      <c r="I9" s="14" t="str">
        <f t="shared" si="1"/>
        <v>否</v>
      </c>
      <c r="J9" s="15" t="str">
        <f t="shared" si="2"/>
        <v>否</v>
      </c>
    </row>
    <row r="10" spans="1:10">
      <c r="A10" s="7">
        <f>IF(子基金及业绩基准周净值!A28="","",子基金及业绩基准周净值!A28)</f>
        <v>45639</v>
      </c>
      <c r="B10" s="1">
        <f>IF(A10="","",VLOOKUP($A10,子基金及业绩基准周净值!$A:$AV,7))</f>
        <v>1.0722</v>
      </c>
      <c r="C10" s="8">
        <f t="shared" si="3"/>
        <v>0.00732807215332584</v>
      </c>
      <c r="D10" s="9">
        <f>IF(A10="","",C10-(子基金及业绩基准周净值!AG28/子基金及业绩基准周净值!AG27-1))</f>
        <v>0.00418815383974733</v>
      </c>
      <c r="E10" s="12">
        <f>IF(A10="","",(MAX(B$3:B10)-B10)/MAX(B$3:B10))</f>
        <v>0</v>
      </c>
      <c r="F10" s="12">
        <f>IF(A10="","",MAX(E$4:E10))</f>
        <v>0.00812774909160447</v>
      </c>
      <c r="G10" s="17">
        <v>0</v>
      </c>
      <c r="H10" s="14" t="str">
        <f t="shared" si="0"/>
        <v>否</v>
      </c>
      <c r="I10" s="14" t="str">
        <f t="shared" si="1"/>
        <v>否</v>
      </c>
      <c r="J10" s="15" t="str">
        <f t="shared" si="2"/>
        <v>否</v>
      </c>
    </row>
    <row r="11" spans="1:10">
      <c r="A11" s="7">
        <f>IF(子基金及业绩基准周净值!A29="","",子基金及业绩基准周净值!A29)</f>
        <v>45646</v>
      </c>
      <c r="B11" s="1">
        <f>IF(A11="","",VLOOKUP($A11,子基金及业绩基准周净值!$A:$AV,7))</f>
        <v>1.0658</v>
      </c>
      <c r="C11" s="8">
        <f t="shared" si="3"/>
        <v>-0.00596903562768137</v>
      </c>
      <c r="D11" s="9">
        <f>IF(A11="","",C11-(子基金及业绩基准周净值!AG29/子基金及业绩基准周净值!AG28-1))</f>
        <v>-0.00685870130715327</v>
      </c>
      <c r="E11" s="12">
        <f>IF(A11="","",(MAX(B$3:B11)-B11)/MAX(B$3:B11))</f>
        <v>0.00596903562768137</v>
      </c>
      <c r="F11" s="12">
        <f>IF(A11="","",MAX(E$4:E11))</f>
        <v>0.00812774909160447</v>
      </c>
      <c r="G11" s="17">
        <v>1</v>
      </c>
      <c r="H11" s="14" t="str">
        <f t="shared" si="0"/>
        <v>否</v>
      </c>
      <c r="I11" s="14" t="str">
        <f t="shared" si="1"/>
        <v>否</v>
      </c>
      <c r="J11" s="15" t="str">
        <f t="shared" si="2"/>
        <v>否</v>
      </c>
    </row>
    <row r="12" spans="1:10">
      <c r="A12" s="7">
        <f>IF(子基金及业绩基准周净值!A30="","",子基金及业绩基准周净值!A30)</f>
        <v>45653</v>
      </c>
      <c r="B12" s="1">
        <f>IF(A12="","",VLOOKUP($A12,子基金及业绩基准周净值!$A:$AV,7))</f>
        <v>1.0636</v>
      </c>
      <c r="C12" s="8">
        <f t="shared" si="3"/>
        <v>-0.00206417714392942</v>
      </c>
      <c r="D12" s="9">
        <f>IF(A12="","",C12-(子基金及业绩基准周净值!AG30/子基金及业绩基准周净值!AG29-1))</f>
        <v>0.00343675152337802</v>
      </c>
      <c r="E12" s="12">
        <f>IF(A12="","",(MAX(B$3:B12)-B12)/MAX(B$3:B12))</f>
        <v>0.00802089162469683</v>
      </c>
      <c r="F12" s="12">
        <f>IF(A12="","",MAX(E$4:E12))</f>
        <v>0.00812774909160447</v>
      </c>
      <c r="G12" s="17">
        <v>0</v>
      </c>
      <c r="H12" s="14" t="str">
        <f t="shared" si="0"/>
        <v>否</v>
      </c>
      <c r="I12" s="14" t="str">
        <f t="shared" si="1"/>
        <v>否</v>
      </c>
      <c r="J12" s="15" t="str">
        <f t="shared" si="2"/>
        <v>否</v>
      </c>
    </row>
    <row r="13" spans="1:10">
      <c r="A13" s="7">
        <f>IF(子基金及业绩基准周净值!A31="","",子基金及业绩基准周净值!A31)</f>
        <v>45660</v>
      </c>
      <c r="B13" s="1">
        <f>IF(A13="","",VLOOKUP($A13,子基金及业绩基准周净值!$A:$AV,7))</f>
        <v>1.0606</v>
      </c>
      <c r="C13" s="8">
        <f t="shared" si="3"/>
        <v>-0.00282060925159845</v>
      </c>
      <c r="D13" s="9">
        <f>IF(A13="","",C13-(子基金及业绩基准周净值!AG31/子基金及业绩基准周净值!AG30-1))</f>
        <v>0.00293142368178122</v>
      </c>
      <c r="E13" s="12">
        <f>IF(A13="","",(MAX(B$3:B13)-B13)/MAX(B$3:B13))</f>
        <v>0.0108188770751726</v>
      </c>
      <c r="F13" s="12">
        <f>IF(A13="","",MAX(E$4:E13))</f>
        <v>0.0108188770751726</v>
      </c>
      <c r="G13" s="17">
        <v>0</v>
      </c>
      <c r="H13" s="14" t="str">
        <f t="shared" si="0"/>
        <v>否</v>
      </c>
      <c r="I13" s="14" t="str">
        <f t="shared" si="1"/>
        <v>否</v>
      </c>
      <c r="J13" s="15" t="str">
        <f t="shared" si="2"/>
        <v>否</v>
      </c>
    </row>
    <row r="14" spans="1:10">
      <c r="A14" s="7">
        <f>IF(子基金及业绩基准周净值!A32="","",子基金及业绩基准周净值!A32)</f>
        <v>45667</v>
      </c>
      <c r="B14" s="1">
        <f>IF(A14="","",VLOOKUP($A14,子基金及业绩基准周净值!$A:$AV,7))</f>
        <v>1.0617</v>
      </c>
      <c r="C14" s="8">
        <f t="shared" si="3"/>
        <v>0.00103714878370743</v>
      </c>
      <c r="D14" s="9">
        <f>IF(A14="","",C14-(子基金及业绩基准周净值!AG32/子基金及业绩基准周净值!AG31-1))</f>
        <v>-0.00239586665772272</v>
      </c>
      <c r="E14" s="12">
        <f>IF(A14="","",(MAX(B$3:B14)-B14)/MAX(B$3:B14))</f>
        <v>0.00979294907666476</v>
      </c>
      <c r="F14" s="12">
        <f>IF(A14="","",MAX(E$4:E14))</f>
        <v>0.0108188770751726</v>
      </c>
      <c r="G14" s="17">
        <v>1</v>
      </c>
      <c r="H14" s="14" t="str">
        <f t="shared" si="0"/>
        <v>否</v>
      </c>
      <c r="I14" s="14" t="str">
        <f t="shared" si="1"/>
        <v>否</v>
      </c>
      <c r="J14" s="15" t="str">
        <f t="shared" si="2"/>
        <v>否</v>
      </c>
    </row>
    <row r="15" spans="1:10">
      <c r="A15" s="7">
        <f>IF(子基金及业绩基准周净值!A33="","",子基金及业绩基准周净值!A33)</f>
        <v>45674</v>
      </c>
      <c r="B15" s="1">
        <f>IF(A15="","",VLOOKUP($A15,子基金及业绩基准周净值!$A:$AV,7))</f>
        <v>1.0644</v>
      </c>
      <c r="C15" s="8">
        <f t="shared" si="3"/>
        <v>0.00254309126871991</v>
      </c>
      <c r="D15" s="9">
        <f>IF(A15="","",C15-(子基金及业绩基准周净值!AG33/子基金及业绩基准周净值!AG32-1))</f>
        <v>-0.00584152058845741</v>
      </c>
      <c r="E15" s="12">
        <f>IF(A15="","",(MAX(B$3:B15)-B15)/MAX(B$3:B15))</f>
        <v>0.00727476217123674</v>
      </c>
      <c r="F15" s="12">
        <f>IF(A15="","",MAX(E$4:E15))</f>
        <v>0.0108188770751726</v>
      </c>
      <c r="G15" s="17">
        <v>2</v>
      </c>
      <c r="H15" s="14" t="str">
        <f t="shared" si="0"/>
        <v>否</v>
      </c>
      <c r="I15" s="14" t="str">
        <f t="shared" si="1"/>
        <v>否</v>
      </c>
      <c r="J15" s="15" t="str">
        <f t="shared" si="2"/>
        <v>否</v>
      </c>
    </row>
    <row r="16" spans="1:10">
      <c r="A16" s="7">
        <f>IF(子基金及业绩基准周净值!A34="","",子基金及业绩基准周净值!A34)</f>
        <v>45681</v>
      </c>
      <c r="B16" s="1">
        <f>IF(A16="","",VLOOKUP($A16,子基金及业绩基准周净值!$A:$AV,7))</f>
        <v>1.0652</v>
      </c>
      <c r="C16" s="8">
        <f t="shared" si="3"/>
        <v>0.00075159714393077</v>
      </c>
      <c r="D16" s="9">
        <f>IF(A16="","",C16-(子基金及业绩基准周净值!AG34/子基金及业绩基准周净值!AG33-1))</f>
        <v>-0.00370537894475446</v>
      </c>
      <c r="E16" s="12">
        <f>IF(A16="","",(MAX(B$3:B16)-B16)/MAX(B$3:B16))</f>
        <v>0.00652863271777664</v>
      </c>
      <c r="F16" s="12">
        <f>IF(A16="","",MAX(E$4:E16))</f>
        <v>0.0108188770751726</v>
      </c>
      <c r="G16" s="17">
        <v>3</v>
      </c>
      <c r="H16" s="14" t="str">
        <f t="shared" si="0"/>
        <v>否</v>
      </c>
      <c r="I16" s="14" t="str">
        <f t="shared" si="1"/>
        <v>否</v>
      </c>
      <c r="J16" s="15" t="str">
        <f t="shared" si="2"/>
        <v>否</v>
      </c>
    </row>
    <row r="17" spans="1:10">
      <c r="A17" s="7">
        <f>IF(子基金及业绩基准周净值!A35="","",子基金及业绩基准周净值!A35)</f>
        <v>45684</v>
      </c>
      <c r="B17" s="1">
        <f>IF(A17="","",VLOOKUP($A17,子基金及业绩基准周净值!$A:$AV,7))</f>
        <v>1.0661</v>
      </c>
      <c r="C17" s="8">
        <f t="shared" si="3"/>
        <v>0.0008449117536614</v>
      </c>
      <c r="D17" s="9">
        <f>IF(A17="","",C17-(子基金及业绩基准周净值!AG35/子基金及业绩基准周净值!AG34-1))</f>
        <v>0.00074791747454382</v>
      </c>
      <c r="E17" s="12">
        <f>IF(A17="","",(MAX(B$3:B17)-B17)/MAX(B$3:B17))</f>
        <v>0.00568923708263383</v>
      </c>
      <c r="F17" s="12">
        <f>IF(A17="","",MAX(E$4:E17))</f>
        <v>0.0108188770751726</v>
      </c>
      <c r="G17" s="17">
        <v>0</v>
      </c>
      <c r="H17" s="14" t="str">
        <f t="shared" si="0"/>
        <v>否</v>
      </c>
      <c r="I17" s="14" t="str">
        <f t="shared" si="1"/>
        <v>否</v>
      </c>
      <c r="J17" s="15" t="str">
        <f t="shared" si="2"/>
        <v>否</v>
      </c>
    </row>
    <row r="18" spans="1:10">
      <c r="A18" s="7">
        <f>IF(子基金及业绩基准周净值!A36="","",子基金及业绩基准周净值!A36)</f>
        <v>45695</v>
      </c>
      <c r="B18" s="1">
        <f>IF(A18="","",VLOOKUP($A18,子基金及业绩基准周净值!$A:$AV,7))</f>
        <v>1.0749</v>
      </c>
      <c r="C18" s="8">
        <f t="shared" si="3"/>
        <v>0.00825438514210667</v>
      </c>
      <c r="D18" s="9">
        <f>IF(A18="","",C18-(子基金及业绩基准周净值!AG36/子基金及业绩基准周净值!AG35-1))</f>
        <v>0.00145437934995466</v>
      </c>
      <c r="E18" s="12">
        <f>IF(A18="","",(MAX(B$3:B18)-B18)/MAX(B$3:B18))</f>
        <v>0</v>
      </c>
      <c r="F18" s="12">
        <f>IF(A18="","",MAX(E$4:E18))</f>
        <v>0.0108188770751726</v>
      </c>
      <c r="G18" s="17">
        <v>0</v>
      </c>
      <c r="H18" s="14" t="str">
        <f t="shared" si="0"/>
        <v>否</v>
      </c>
      <c r="I18" s="14" t="str">
        <f t="shared" si="1"/>
        <v>否</v>
      </c>
      <c r="J18" s="15" t="str">
        <f t="shared" si="2"/>
        <v>否</v>
      </c>
    </row>
    <row r="19" spans="1:10">
      <c r="A19" s="7">
        <f>IF(子基金及业绩基准周净值!A37="","",子基金及业绩基准周净值!A37)</f>
        <v>45702</v>
      </c>
      <c r="B19" s="1">
        <f>IF(A19="","",VLOOKUP($A19,子基金及业绩基准周净值!$A:$AV,7))</f>
        <v>1.0758</v>
      </c>
      <c r="C19" s="8">
        <f t="shared" si="3"/>
        <v>0.000837287189506115</v>
      </c>
      <c r="D19" s="9">
        <f>IF(A19="","",C19-(子基金及业绩基准周净值!AG37/子基金及业绩基准周净值!AG36-1))</f>
        <v>-0.00271157824245387</v>
      </c>
      <c r="E19" s="12">
        <f>IF(A19="","",(MAX(B$3:B19)-B19)/MAX(B$3:B19))</f>
        <v>0</v>
      </c>
      <c r="F19" s="12">
        <f>IF(A19="","",MAX(E$4:E19))</f>
        <v>0.0108188770751726</v>
      </c>
      <c r="G19" s="17">
        <v>1</v>
      </c>
      <c r="H19" s="14" t="str">
        <f t="shared" si="0"/>
        <v>否</v>
      </c>
      <c r="I19" s="14" t="str">
        <f t="shared" si="1"/>
        <v>否</v>
      </c>
      <c r="J19" s="15" t="str">
        <f t="shared" si="2"/>
        <v>否</v>
      </c>
    </row>
    <row r="20" spans="1:10">
      <c r="A20" s="7">
        <f>IF(子基金及业绩基准周净值!A38="","",子基金及业绩基准周净值!A38)</f>
        <v>45709</v>
      </c>
      <c r="B20" s="1">
        <f>IF(A20="","",VLOOKUP($A20,子基金及业绩基准周净值!$A:$AV,7))</f>
        <v>1.0772</v>
      </c>
      <c r="C20" s="8">
        <f t="shared" si="3"/>
        <v>0.00130135712957785</v>
      </c>
      <c r="D20" s="9">
        <f>IF(A20="","",C20-(子基金及业绩基准周净值!AG38/子基金及业绩基准周净值!AG37-1))</f>
        <v>-0.00207964257483645</v>
      </c>
      <c r="E20" s="12">
        <f>IF(A20="","",(MAX(B$3:B20)-B20)/MAX(B$3:B20))</f>
        <v>0</v>
      </c>
      <c r="F20" s="12">
        <f>IF(A20="","",MAX(E$4:E20))</f>
        <v>0.0108188770751726</v>
      </c>
      <c r="G20" s="17">
        <v>2</v>
      </c>
      <c r="H20" s="14" t="str">
        <f t="shared" si="0"/>
        <v>否</v>
      </c>
      <c r="I20" s="14" t="str">
        <f t="shared" si="1"/>
        <v>否</v>
      </c>
      <c r="J20" s="15" t="str">
        <f t="shared" si="2"/>
        <v>否</v>
      </c>
    </row>
    <row r="21" spans="1:10">
      <c r="A21" s="7">
        <f>IF(子基金及业绩基准周净值!A39="","",子基金及业绩基准周净值!A39)</f>
        <v>45716</v>
      </c>
      <c r="B21" s="1">
        <f>IF(A21="","",VLOOKUP($A21,子基金及业绩基准周净值!$A:$AV,7))</f>
        <v>1.0837</v>
      </c>
      <c r="C21" s="8">
        <f t="shared" si="3"/>
        <v>0.00603416264389173</v>
      </c>
      <c r="D21" s="9">
        <f>IF(A21="","",C21-(子基金及业绩基准周净值!AG39/子基金及业绩基准周净值!AG38-1))</f>
        <v>0.00563792809638669</v>
      </c>
      <c r="E21" s="12">
        <f>IF(A21="","",(MAX(B$3:B21)-B21)/MAX(B$3:B21))</f>
        <v>0</v>
      </c>
      <c r="F21" s="12">
        <f>IF(A21="","",MAX(E$4:E21))</f>
        <v>0.0108188770751726</v>
      </c>
      <c r="G21" s="17">
        <v>0</v>
      </c>
      <c r="H21" s="14" t="str">
        <f t="shared" si="0"/>
        <v>否</v>
      </c>
      <c r="I21" s="14" t="str">
        <f t="shared" si="1"/>
        <v>否</v>
      </c>
      <c r="J21" s="15" t="str">
        <f t="shared" si="2"/>
        <v>否</v>
      </c>
    </row>
    <row r="22" spans="1:10">
      <c r="A22" s="7">
        <f>IF(子基金及业绩基准周净值!A40="","",子基金及业绩基准周净值!A40)</f>
        <v>45723</v>
      </c>
      <c r="B22" s="1">
        <f>IF(A22="","",VLOOKUP($A22,子基金及业绩基准周净值!$A:$AV,7))</f>
        <v>1.084</v>
      </c>
      <c r="C22" s="8">
        <f t="shared" si="3"/>
        <v>0.000276829380824921</v>
      </c>
      <c r="D22" s="9">
        <f>IF(A22="","",C22-(子基金及业绩基准周净值!AG40/子基金及业绩基准周净值!AG39-1))</f>
        <v>-0.0100981745265875</v>
      </c>
      <c r="E22" s="12">
        <f>IF(A22="","",(MAX(B$3:B22)-B22)/MAX(B$3:B22))</f>
        <v>0</v>
      </c>
      <c r="F22" s="12">
        <f>IF(A22="","",MAX(E$4:E22))</f>
        <v>0.0108188770751726</v>
      </c>
      <c r="G22" s="17">
        <v>1</v>
      </c>
      <c r="H22" s="14" t="str">
        <f t="shared" si="0"/>
        <v>否</v>
      </c>
      <c r="I22" s="14" t="str">
        <f t="shared" si="1"/>
        <v>否</v>
      </c>
      <c r="J22" s="15" t="str">
        <f t="shared" si="2"/>
        <v>否</v>
      </c>
    </row>
    <row r="23" spans="1:10">
      <c r="A23" s="7">
        <f>IF(子基金及业绩基准周净值!A41="","",子基金及业绩基准周净值!A41)</f>
        <v>45730</v>
      </c>
      <c r="B23" s="1">
        <f>IF(A23="","",VLOOKUP($A23,子基金及业绩基准周净值!$A:$AV,7))</f>
        <v>1.08</v>
      </c>
      <c r="C23" s="8">
        <f t="shared" si="3"/>
        <v>-0.00369003690036901</v>
      </c>
      <c r="D23" s="9">
        <f>IF(A23="","",C23-(子基金及业绩基准周净值!AG41/子基金及业绩基准周净值!AG40-1))</f>
        <v>-0.0063484314413294</v>
      </c>
      <c r="E23" s="12">
        <f>IF(A23="","",(MAX(B$3:B23)-B23)/MAX(B$3:B23))</f>
        <v>0.00369003690036901</v>
      </c>
      <c r="F23" s="12">
        <f>IF(A23="","",MAX(E$4:E23))</f>
        <v>0.0108188770751726</v>
      </c>
      <c r="G23" s="17">
        <v>2</v>
      </c>
      <c r="H23" s="14" t="str">
        <f t="shared" si="0"/>
        <v>否</v>
      </c>
      <c r="I23" s="14" t="str">
        <f t="shared" si="1"/>
        <v>否</v>
      </c>
      <c r="J23" s="15" t="str">
        <f t="shared" si="2"/>
        <v>否</v>
      </c>
    </row>
    <row r="24" spans="1:10">
      <c r="A24" s="7">
        <f>IF(子基金及业绩基准周净值!A42="","",子基金及业绩基准周净值!A42)</f>
        <v>45737</v>
      </c>
      <c r="B24" s="1">
        <f>IF(A24="","",VLOOKUP($A24,子基金及业绩基准周净值!$A:$AV,7))</f>
        <v>1.0924</v>
      </c>
      <c r="C24" s="8">
        <f t="shared" si="3"/>
        <v>0.0114814814814815</v>
      </c>
      <c r="D24" s="9">
        <f>IF(A24="","",C24-(子基金及业绩基准周净值!AG42/子基金及业绩基准周净值!AG41-1))</f>
        <v>0.00723314691319435</v>
      </c>
      <c r="E24" s="12">
        <f>IF(A24="","",(MAX(B$3:B24)-B24)/MAX(B$3:B24))</f>
        <v>0</v>
      </c>
      <c r="F24" s="12">
        <f>IF(A24="","",MAX(E$4:E24))</f>
        <v>0.0108188770751726</v>
      </c>
      <c r="G24" s="17">
        <v>0</v>
      </c>
      <c r="H24" s="14" t="str">
        <f t="shared" si="0"/>
        <v>否</v>
      </c>
      <c r="I24" s="14" t="str">
        <f t="shared" si="1"/>
        <v>否</v>
      </c>
      <c r="J24" s="15" t="str">
        <f t="shared" si="2"/>
        <v>否</v>
      </c>
    </row>
    <row r="25" spans="1:10">
      <c r="A25" s="7">
        <f>IF(子基金及业绩基准周净值!A43="","",子基金及业绩基准周净值!A43)</f>
        <v>45744</v>
      </c>
      <c r="B25" s="1">
        <f>IF(A25="","",VLOOKUP($A25,子基金及业绩基准周净值!$A:$AV,7))</f>
        <v>1.0969</v>
      </c>
      <c r="C25" s="8">
        <f t="shared" si="3"/>
        <v>0.00411937019406806</v>
      </c>
      <c r="D25" s="9">
        <f>IF(A25="","",C25-(子基金及业绩基准周净值!AG43/子基金及业绩基准周净值!AG42-1))</f>
        <v>0.00776305273932777</v>
      </c>
      <c r="E25" s="12">
        <f>IF(A25="","",(MAX(B$3:B25)-B25)/MAX(B$3:B25))</f>
        <v>0</v>
      </c>
      <c r="F25" s="12">
        <f>IF(A25="","",MAX(E$4:E25))</f>
        <v>0.0108188770751726</v>
      </c>
      <c r="G25" s="17">
        <v>0</v>
      </c>
      <c r="H25" s="14" t="str">
        <f t="shared" si="0"/>
        <v>否</v>
      </c>
      <c r="I25" s="14" t="str">
        <f t="shared" si="1"/>
        <v>否</v>
      </c>
      <c r="J25" s="15" t="str">
        <f t="shared" si="2"/>
        <v>否</v>
      </c>
    </row>
    <row r="26" spans="1:10">
      <c r="A26" s="7">
        <f>IF(子基金及业绩基准周净值!A44="","",子基金及业绩基准周净值!A44)</f>
        <v>45750</v>
      </c>
      <c r="B26" s="1">
        <f>IF(A26="","",VLOOKUP($A26,子基金及业绩基准周净值!$A:$AV,7))</f>
        <v>1.1032</v>
      </c>
      <c r="C26" s="8">
        <f t="shared" si="3"/>
        <v>0.00574345883854497</v>
      </c>
      <c r="D26" s="9">
        <f>IF(A26="","",C26-(子基金及业绩基准周净值!AG44/子基金及业绩基准周净值!AG43-1))</f>
        <v>0.00403982839204928</v>
      </c>
      <c r="E26" s="12">
        <f>IF(A26="","",(MAX(B$3:B26)-B26)/MAX(B$3:B26))</f>
        <v>0</v>
      </c>
      <c r="F26" s="12">
        <f>IF(A26="","",MAX(E$4:E26))</f>
        <v>0.0108188770751726</v>
      </c>
      <c r="G26" s="17">
        <v>0</v>
      </c>
      <c r="H26" s="14" t="str">
        <f t="shared" si="0"/>
        <v>否</v>
      </c>
      <c r="I26" s="14" t="str">
        <f t="shared" si="1"/>
        <v>否</v>
      </c>
      <c r="J26" s="15" t="str">
        <f t="shared" si="2"/>
        <v>否</v>
      </c>
    </row>
    <row r="27" spans="1:10">
      <c r="A27" s="7">
        <f>IF(子基金及业绩基准周净值!A45="","",子基金及业绩基准周净值!A45)</f>
        <v>45758</v>
      </c>
      <c r="B27" s="1">
        <f>IF(A27="","",VLOOKUP($A27,子基金及业绩基准周净值!$A:$AV,7))</f>
        <v>1.0931</v>
      </c>
      <c r="C27" s="8">
        <f t="shared" si="3"/>
        <v>-0.00915518491660624</v>
      </c>
      <c r="D27" s="9">
        <f>IF(A27="","",C27-(子基金及业绩基准周净值!AG45/子基金及业绩基准周净值!AG44-1))</f>
        <v>-0.00695716289817257</v>
      </c>
      <c r="E27" s="12">
        <f>IF(A27="","",(MAX(B$3:B27)-B27)/MAX(B$3:B27))</f>
        <v>0.00915518491660624</v>
      </c>
      <c r="F27" s="12">
        <f>IF(A27="","",MAX(E$4:E27))</f>
        <v>0.0108188770751726</v>
      </c>
      <c r="G27" s="17">
        <v>1</v>
      </c>
      <c r="H27" s="14" t="str">
        <f t="shared" si="0"/>
        <v>否</v>
      </c>
      <c r="I27" s="14" t="str">
        <f t="shared" si="1"/>
        <v>否</v>
      </c>
      <c r="J27" s="15" t="str">
        <f t="shared" si="2"/>
        <v>否</v>
      </c>
    </row>
    <row r="28" spans="1:10">
      <c r="A28" s="7">
        <f>IF(子基金及业绩基准周净值!A46="","",子基金及业绩基准周净值!A46)</f>
        <v>45765</v>
      </c>
      <c r="B28" s="1">
        <f>IF(A28="","",VLOOKUP($A28,子基金及业绩基准周净值!$A:$AV,7))</f>
        <v>1.0954</v>
      </c>
      <c r="C28" s="8">
        <f t="shared" si="3"/>
        <v>0.00210410758393557</v>
      </c>
      <c r="D28" s="9">
        <f>IF(A28="","",C28-(子基金及业绩基准周净值!AG46/子基金及业绩基准周净值!AG45-1))</f>
        <v>-0.00139858235777676</v>
      </c>
      <c r="E28" s="12">
        <f>IF(A28="","",(MAX(B$3:B28)-B28)/MAX(B$3:B28))</f>
        <v>0.00707034082668603</v>
      </c>
      <c r="F28" s="12">
        <f>IF(A28="","",MAX(E$4:E28))</f>
        <v>0.0108188770751726</v>
      </c>
      <c r="G28" s="17">
        <v>2</v>
      </c>
      <c r="H28" s="14" t="str">
        <f t="shared" si="0"/>
        <v>否</v>
      </c>
      <c r="I28" s="14" t="str">
        <f t="shared" si="1"/>
        <v>否</v>
      </c>
      <c r="J28" s="15" t="str">
        <f t="shared" si="2"/>
        <v>否</v>
      </c>
    </row>
    <row r="29" spans="1:10">
      <c r="A29" s="7">
        <f>IF(子基金及业绩基准周净值!A47="","",子基金及业绩基准周净值!A47)</f>
        <v>45772</v>
      </c>
      <c r="B29" s="1">
        <f>IF(A29="","",VLOOKUP($A29,子基金及业绩基准周净值!$A:$AV,7))</f>
        <v>1.1072</v>
      </c>
      <c r="C29" s="8">
        <f t="shared" si="3"/>
        <v>0.0107723206134746</v>
      </c>
      <c r="D29" s="9">
        <f>IF(A29="","",C29-(子基金及业绩基准周净值!AG47/子基金及业绩基准周净值!AG46-1))</f>
        <v>0.00383958760223958</v>
      </c>
      <c r="E29" s="12">
        <f>IF(A29="","",(MAX(B$3:B29)-B29)/MAX(B$3:B29))</f>
        <v>0</v>
      </c>
      <c r="F29" s="12">
        <f>IF(A29="","",MAX(E$4:E29))</f>
        <v>0.0108188770751726</v>
      </c>
      <c r="G29" s="17">
        <v>0</v>
      </c>
      <c r="H29" s="14" t="str">
        <f t="shared" si="0"/>
        <v>否</v>
      </c>
      <c r="I29" s="14" t="str">
        <f t="shared" si="1"/>
        <v>否</v>
      </c>
      <c r="J29" s="15" t="str">
        <f t="shared" si="2"/>
        <v>否</v>
      </c>
    </row>
    <row r="30" spans="1:10">
      <c r="A30" s="7">
        <f>IF(子基金及业绩基准周净值!A48="","",子基金及业绩基准周净值!A48)</f>
        <v>45786</v>
      </c>
      <c r="B30" s="1">
        <f>IF(A30="","",VLOOKUP($A30,子基金及业绩基准周净值!$A:$AV,7))</f>
        <v>1.1091</v>
      </c>
      <c r="C30" s="8">
        <f t="shared" si="3"/>
        <v>0.00171604046242776</v>
      </c>
      <c r="D30" s="9">
        <f>IF(A30="","",C30-(子基金及业绩基准周净值!AG48/子基金及业绩基准周净值!AG47-1))</f>
        <v>-0.0076544555829187</v>
      </c>
      <c r="E30" s="12">
        <f>IF(A30="","",(MAX(B$3:B30)-B30)/MAX(B$3:B30))</f>
        <v>0</v>
      </c>
      <c r="F30" s="12">
        <f>IF(A30="","",MAX(E$4:E30))</f>
        <v>0.0108188770751726</v>
      </c>
      <c r="G30" s="17">
        <v>1</v>
      </c>
      <c r="H30" s="14" t="str">
        <f t="shared" si="0"/>
        <v>否</v>
      </c>
      <c r="I30" s="14" t="str">
        <f t="shared" si="1"/>
        <v>否</v>
      </c>
      <c r="J30" s="15" t="str">
        <f t="shared" si="2"/>
        <v>否</v>
      </c>
    </row>
    <row r="31" spans="1:10">
      <c r="A31" s="7">
        <f>IF(子基金及业绩基准周净值!A49="","",子基金及业绩基准周净值!A49)</f>
        <v>45793</v>
      </c>
      <c r="B31" s="1">
        <f>IF(A31="","",VLOOKUP($A31,子基金及业绩基准周净值!$A:$AV,7))</f>
        <v>1.1087</v>
      </c>
      <c r="C31" s="8">
        <f t="shared" si="3"/>
        <v>-0.000360652781534538</v>
      </c>
      <c r="D31" s="9">
        <f>IF(A31="","",C31-(子基金及业绩基准周净值!AG49/子基金及业绩基准周净值!AG48-1))</f>
        <v>-0.000531323335952089</v>
      </c>
      <c r="E31" s="12">
        <f>IF(A31="","",(MAX(B$3:B31)-B31)/MAX(B$3:B31))</f>
        <v>0.000360652781534538</v>
      </c>
      <c r="F31" s="12">
        <f>IF(A31="","",MAX(E$4:E31))</f>
        <v>0.0108188770751726</v>
      </c>
      <c r="G31" s="17">
        <v>2</v>
      </c>
      <c r="H31" s="14" t="str">
        <f t="shared" si="0"/>
        <v>否</v>
      </c>
      <c r="I31" s="14" t="str">
        <f t="shared" si="1"/>
        <v>否</v>
      </c>
      <c r="J31" s="15" t="str">
        <f t="shared" si="2"/>
        <v>否</v>
      </c>
    </row>
    <row r="32" spans="1:10">
      <c r="A32" s="7">
        <f>IF(子基金及业绩基准周净值!A50="","",子基金及业绩基准周净值!A50)</f>
        <v>45800</v>
      </c>
      <c r="B32" s="1">
        <f>IF(A32="","",VLOOKUP($A32,子基金及业绩基准周净值!$A:$AV,7))</f>
        <v>1.113</v>
      </c>
      <c r="C32" s="8">
        <f t="shared" si="3"/>
        <v>0.00387841616307384</v>
      </c>
      <c r="D32" s="9">
        <f>IF(A32="","",C32-(子基金及业绩基准周净值!AG50/子基金及业绩基准周净值!AG49-1))</f>
        <v>-0.00215544280522571</v>
      </c>
      <c r="E32" s="12">
        <f>IF(A32="","",(MAX(B$3:B32)-B32)/MAX(B$3:B32))</f>
        <v>0</v>
      </c>
      <c r="F32" s="12">
        <f>IF(A32="","",MAX(E$4:E32))</f>
        <v>0.0108188770751726</v>
      </c>
      <c r="G32" s="17">
        <v>3</v>
      </c>
      <c r="H32" s="14" t="str">
        <f t="shared" si="0"/>
        <v>否</v>
      </c>
      <c r="I32" s="14" t="str">
        <f t="shared" si="1"/>
        <v>否</v>
      </c>
      <c r="J32" s="15" t="str">
        <f t="shared" si="2"/>
        <v>否</v>
      </c>
    </row>
    <row r="33" spans="1:10">
      <c r="A33" s="7">
        <f>IF(子基金及业绩基准周净值!A51="","",子基金及业绩基准周净值!A51)</f>
        <v>45807</v>
      </c>
      <c r="B33" s="1">
        <f>IF(A33="","",VLOOKUP($A33,子基金及业绩基准周净值!$A:$AV,7))</f>
        <v>1.1199</v>
      </c>
      <c r="C33" s="8">
        <f t="shared" si="3"/>
        <v>0.00619946091644196</v>
      </c>
      <c r="D33" s="9">
        <f>IF(A33="","",C33-(子基金及业绩基准周净值!AG51/子基金及业绩基准周净值!AG50-1))</f>
        <v>0.00411842439821064</v>
      </c>
      <c r="E33" s="12">
        <f>IF(A33="","",(MAX(B$3:B33)-B33)/MAX(B$3:B33))</f>
        <v>0</v>
      </c>
      <c r="F33" s="12">
        <f>IF(A33="","",MAX(E$4:E33))</f>
        <v>0.0108188770751726</v>
      </c>
      <c r="G33" s="17">
        <v>0</v>
      </c>
      <c r="H33" s="14" t="str">
        <f t="shared" si="0"/>
        <v>否</v>
      </c>
      <c r="I33" s="14" t="str">
        <f t="shared" si="1"/>
        <v>否</v>
      </c>
      <c r="J33" s="15" t="str">
        <f t="shared" si="2"/>
        <v>否</v>
      </c>
    </row>
    <row r="34" spans="1:10">
      <c r="A34" s="7">
        <f>IF(子基金及业绩基准周净值!A52="","",子基金及业绩基准周净值!A52)</f>
        <v>45814</v>
      </c>
      <c r="B34" s="1">
        <f>IF(A34="","",VLOOKUP($A34,子基金及业绩基准周净值!$A:$AV,7))</f>
        <v>1.1274</v>
      </c>
      <c r="C34" s="8">
        <f t="shared" si="3"/>
        <v>0.00669702652022508</v>
      </c>
      <c r="D34" s="9">
        <f>IF(A34="","",C34-(子基金及业绩基准周净值!AG52/子基金及业绩基准周净值!AG51-1))</f>
        <v>0.00391693475616406</v>
      </c>
      <c r="E34" s="12">
        <f>IF(A34="","",(MAX(B$3:B34)-B34)/MAX(B$3:B34))</f>
        <v>0</v>
      </c>
      <c r="F34" s="12">
        <f>IF(A34="","",MAX(E$4:E34))</f>
        <v>0.0108188770751726</v>
      </c>
      <c r="G34" s="17">
        <v>0</v>
      </c>
      <c r="H34" s="14" t="str">
        <f t="shared" si="0"/>
        <v>否</v>
      </c>
      <c r="I34" s="14" t="str">
        <f t="shared" si="1"/>
        <v>否</v>
      </c>
      <c r="J34" s="15" t="str">
        <f t="shared" si="2"/>
        <v>否</v>
      </c>
    </row>
    <row r="35" spans="1:10">
      <c r="A35" s="7">
        <f>IF(子基金及业绩基准周净值!A53="","",子基金及业绩基准周净值!A53)</f>
        <v>45821</v>
      </c>
      <c r="B35" s="1">
        <f>IF(A35="","",VLOOKUP($A35,子基金及业绩基准周净值!$A:$AV,7))</f>
        <v>1.1307</v>
      </c>
      <c r="C35" s="8">
        <f t="shared" si="3"/>
        <v>0.00292708887706234</v>
      </c>
      <c r="D35" s="9">
        <f>IF(A35="","",C35-(子基金及业绩基准周净值!AG53/子基金及业绩基准周净值!AG52-1))</f>
        <v>0.00146934664914517</v>
      </c>
      <c r="E35" s="12">
        <f>IF(A35="","",(MAX(B$3:B35)-B35)/MAX(B$3:B35))</f>
        <v>0</v>
      </c>
      <c r="F35" s="12">
        <f>IF(A35="","",MAX(E$4:E35))</f>
        <v>0.0108188770751726</v>
      </c>
      <c r="G35" s="17">
        <v>0</v>
      </c>
      <c r="H35" s="14" t="str">
        <f t="shared" si="0"/>
        <v>否</v>
      </c>
      <c r="I35" s="14" t="str">
        <f t="shared" si="1"/>
        <v>否</v>
      </c>
      <c r="J35" s="15" t="str">
        <f t="shared" si="2"/>
        <v>否</v>
      </c>
    </row>
    <row r="36" spans="1:10">
      <c r="A36" s="7">
        <f>IF(子基金及业绩基准周净值!A54="","",子基金及业绩基准周净值!A54)</f>
        <v>45828</v>
      </c>
      <c r="B36" s="1">
        <f>IF(A36="","",VLOOKUP($A36,子基金及业绩基准周净值!$A:$AV,7))</f>
        <v>1.1285</v>
      </c>
      <c r="C36" s="8">
        <f t="shared" si="3"/>
        <v>-0.00194569735562039</v>
      </c>
      <c r="D36" s="9">
        <f>IF(A36="","",C36-(子基金及业绩基准周净值!AG54/子基金及业绩基准周净值!AG53-1))</f>
        <v>0.00144739533637144</v>
      </c>
      <c r="E36" s="12">
        <f>IF(A36="","",(MAX(B$3:B36)-B36)/MAX(B$3:B36))</f>
        <v>0.00194569735562039</v>
      </c>
      <c r="F36" s="12">
        <f>IF(A36="","",MAX(E$4:E36))</f>
        <v>0.0108188770751726</v>
      </c>
      <c r="G36" s="17">
        <v>0</v>
      </c>
      <c r="H36" s="14" t="str">
        <f t="shared" si="0"/>
        <v>否</v>
      </c>
      <c r="I36" s="14" t="str">
        <f t="shared" si="1"/>
        <v>否</v>
      </c>
      <c r="J36" s="15" t="str">
        <f t="shared" si="2"/>
        <v>否</v>
      </c>
    </row>
    <row r="37" spans="1:10">
      <c r="A37" s="7">
        <f>IF(子基金及业绩基准周净值!A55="","",子基金及业绩基准周净值!A55)</f>
        <v>45835</v>
      </c>
      <c r="B37" s="1">
        <f>IF(A37="","",VLOOKUP($A37,子基金及业绩基准周净值!$A:$AV,7))</f>
        <v>1.1305</v>
      </c>
      <c r="C37" s="8">
        <f t="shared" si="3"/>
        <v>0.00177226406734604</v>
      </c>
      <c r="D37" s="9">
        <f>IF(A37="","",C37-(子基金及业绩基准周净值!AG55/子基金及业绩基准周净值!AG54-1))</f>
        <v>-0.00136613927438895</v>
      </c>
      <c r="E37" s="12">
        <f>IF(A37="","",(MAX(B$3:B37)-B37)/MAX(B$3:B37))</f>
        <v>0.000176881577783654</v>
      </c>
      <c r="F37" s="12">
        <f>IF(A37="","",MAX(E$4:E37))</f>
        <v>0.0108188770751726</v>
      </c>
      <c r="G37" s="17">
        <v>1</v>
      </c>
      <c r="H37" s="14" t="str">
        <f t="shared" ref="H37:H68" si="4">IF(B37="","",IF(C37&lt;-3%,"是","否"))</f>
        <v>否</v>
      </c>
      <c r="I37" s="14" t="str">
        <f t="shared" si="1"/>
        <v>否</v>
      </c>
      <c r="J37" s="15" t="str">
        <f t="shared" si="2"/>
        <v>否</v>
      </c>
    </row>
    <row r="38" spans="1:10">
      <c r="A38" s="7">
        <f>IF(子基金及业绩基准周净值!A56="","",子基金及业绩基准周净值!A56)</f>
        <v>45842</v>
      </c>
      <c r="B38" s="1">
        <f>IF(A38="","",VLOOKUP($A38,子基金及业绩基准周净值!$A:$AV,7))</f>
        <v>1.1528</v>
      </c>
      <c r="C38" s="8">
        <f t="shared" si="3"/>
        <v>0.0197257850508624</v>
      </c>
      <c r="D38" s="9">
        <f>IF(A38="","",C38-(子基金及业绩基准周净值!AG56/子基金及业绩基准周净值!AG55-1))</f>
        <v>0.0137774657819666</v>
      </c>
      <c r="E38" s="12">
        <f>IF(A38="","",(MAX(B$3:B38)-B38)/MAX(B$3:B38))</f>
        <v>0</v>
      </c>
      <c r="F38" s="12">
        <f>IF(A38="","",MAX(E$4:E38))</f>
        <v>0.0108188770751726</v>
      </c>
      <c r="G38" s="17">
        <v>0</v>
      </c>
      <c r="H38" s="14" t="str">
        <f t="shared" si="4"/>
        <v>否</v>
      </c>
      <c r="I38" s="14" t="str">
        <f t="shared" si="1"/>
        <v>否</v>
      </c>
      <c r="J38" s="15" t="str">
        <f t="shared" si="2"/>
        <v>否</v>
      </c>
    </row>
    <row r="39" spans="1:10">
      <c r="A39" s="7">
        <f>IF(子基金及业绩基准周净值!A57="","",子基金及业绩基准周净值!A57)</f>
        <v>45849</v>
      </c>
      <c r="B39" s="1">
        <f>IF(A39="","",VLOOKUP($A39,子基金及业绩基准周净值!$A:$AV,7))</f>
        <v>1.1478</v>
      </c>
      <c r="C39" s="8">
        <f t="shared" si="3"/>
        <v>-0.00433726578764757</v>
      </c>
      <c r="D39" s="9">
        <f>IF(A39="","",C39-(子基金及业绩基准周净值!AG57/子基金及业绩基准周净值!AG56-1))</f>
        <v>-0.00422817796514383</v>
      </c>
      <c r="E39" s="12">
        <f>IF(A39="","",(MAX(B$3:B39)-B39)/MAX(B$3:B39))</f>
        <v>0.00433726578764757</v>
      </c>
      <c r="F39" s="12">
        <f>IF(A39="","",MAX(E$4:E39))</f>
        <v>0.0108188770751726</v>
      </c>
      <c r="G39" s="17">
        <v>1</v>
      </c>
      <c r="H39" s="14" t="str">
        <f t="shared" si="4"/>
        <v>否</v>
      </c>
      <c r="I39" s="14" t="str">
        <f t="shared" si="1"/>
        <v>否</v>
      </c>
      <c r="J39" s="15" t="str">
        <f t="shared" si="2"/>
        <v>否</v>
      </c>
    </row>
    <row r="40" spans="1:10">
      <c r="A40" s="7">
        <f>IF(子基金及业绩基准周净值!A58="","",子基金及业绩基准周净值!A58)</f>
        <v>45856</v>
      </c>
      <c r="B40" s="1">
        <f>IF(A40="","",VLOOKUP($A40,子基金及业绩基准周净值!$A:$AV,7))</f>
        <v>1.1544</v>
      </c>
      <c r="C40" s="8">
        <f t="shared" si="3"/>
        <v>0.00575013068478843</v>
      </c>
      <c r="D40" s="9">
        <f>IF(A40="","",C40-(子基金及业绩基准周净值!AG58/子基金及业绩基准周净值!AG57-1))</f>
        <v>0.00214294216709262</v>
      </c>
      <c r="E40" s="12">
        <f>IF(A40="","",(MAX(B$3:B40)-B40)/MAX(B$3:B40))</f>
        <v>0</v>
      </c>
      <c r="F40" s="12">
        <f>IF(A40="","",MAX(E$4:E40))</f>
        <v>0.0108188770751726</v>
      </c>
      <c r="G40" s="17">
        <v>0</v>
      </c>
      <c r="H40" s="14" t="str">
        <f t="shared" si="4"/>
        <v>否</v>
      </c>
      <c r="I40" s="14" t="str">
        <f t="shared" si="1"/>
        <v>否</v>
      </c>
      <c r="J40" s="15" t="str">
        <f t="shared" si="2"/>
        <v>否</v>
      </c>
    </row>
    <row r="41" spans="1:10">
      <c r="A41" s="7">
        <f>IF(子基金及业绩基准周净值!A59="","",子基金及业绩基准周净值!A59)</f>
        <v>45863</v>
      </c>
      <c r="B41" s="1">
        <f>IF(A41="","",VLOOKUP($A41,子基金及业绩基准周净值!$A:$AV,7))</f>
        <v>1.1536</v>
      </c>
      <c r="C41" s="8">
        <f t="shared" si="3"/>
        <v>-0.000693000693000809</v>
      </c>
      <c r="D41" s="9">
        <f>IF(A41="","",C41-(子基金及业绩基准周净值!AG59/子基金及业绩基准周净值!AG58-1))</f>
        <v>-0.00221755733446448</v>
      </c>
      <c r="E41" s="12">
        <f>IF(A41="","",(MAX(B$3:B41)-B41)/MAX(B$3:B41))</f>
        <v>0.000693000693000809</v>
      </c>
      <c r="F41" s="12">
        <f>IF(A41="","",MAX(E$4:E41))</f>
        <v>0.0108188770751726</v>
      </c>
      <c r="G41" s="17">
        <v>1</v>
      </c>
      <c r="H41" s="14" t="str">
        <f t="shared" si="4"/>
        <v>否</v>
      </c>
      <c r="I41" s="14" t="str">
        <f t="shared" si="1"/>
        <v>否</v>
      </c>
      <c r="J41" s="15" t="str">
        <f t="shared" si="2"/>
        <v>否</v>
      </c>
    </row>
    <row r="42" spans="1:10">
      <c r="A42" s="7">
        <f>IF(子基金及业绩基准周净值!A60="","",子基金及业绩基准周净值!A60)</f>
        <v>45870</v>
      </c>
      <c r="B42" s="1">
        <f>IF(A42="","",VLOOKUP($A42,子基金及业绩基准周净值!$A:$AV,7))</f>
        <v>1.1592</v>
      </c>
      <c r="C42" s="8">
        <f t="shared" si="3"/>
        <v>0.00485436893203888</v>
      </c>
      <c r="D42" s="9">
        <f>IF(A42="","",C42-(子基金及业绩基准周净值!AG60/子基金及业绩基准周净值!AG59-1))</f>
        <v>0.00189839034031185</v>
      </c>
      <c r="E42" s="12">
        <f>IF(A42="","",(MAX(B$3:B42)-B42)/MAX(B$3:B42))</f>
        <v>0</v>
      </c>
      <c r="F42" s="12">
        <f>IF(A42="","",MAX(E$4:E42))</f>
        <v>0.0108188770751726</v>
      </c>
      <c r="G42" s="17">
        <v>0</v>
      </c>
      <c r="H42" s="14" t="str">
        <f t="shared" si="4"/>
        <v>否</v>
      </c>
      <c r="I42" s="14" t="str">
        <f t="shared" si="1"/>
        <v>否</v>
      </c>
      <c r="J42" s="15" t="str">
        <f t="shared" si="2"/>
        <v>否</v>
      </c>
    </row>
    <row r="43" spans="1:10">
      <c r="A43" s="7">
        <f>IF(子基金及业绩基准周净值!A61="","",子基金及业绩基准周净值!A61)</f>
        <v>45877</v>
      </c>
      <c r="B43" s="1">
        <f>IF(A43="","",VLOOKUP($A43,子基金及业绩基准周净值!$A:$AV,7))</f>
        <v>1.1645</v>
      </c>
      <c r="C43" s="8">
        <f t="shared" si="3"/>
        <v>0.00457211870255356</v>
      </c>
      <c r="D43" s="9">
        <f>IF(A43="","",C43-(子基金及业绩基准周净值!AG61/子基金及业绩基准周净值!AG60-1))</f>
        <v>-0.000691326811899568</v>
      </c>
      <c r="E43" s="12">
        <f>IF(A43="","",(MAX(B$3:B43)-B43)/MAX(B$3:B43))</f>
        <v>0</v>
      </c>
      <c r="F43" s="12">
        <f>IF(A43="","",MAX(E$4:E43))</f>
        <v>0.0108188770751726</v>
      </c>
      <c r="G43" s="17">
        <v>1</v>
      </c>
      <c r="H43" s="14" t="str">
        <f t="shared" si="4"/>
        <v>否</v>
      </c>
      <c r="I43" s="14" t="str">
        <f t="shared" si="1"/>
        <v>否</v>
      </c>
      <c r="J43" s="15" t="str">
        <f t="shared" si="2"/>
        <v>否</v>
      </c>
    </row>
    <row r="44" spans="1:10">
      <c r="A44" s="7">
        <f>IF(子基金及业绩基准周净值!A62="","",子基金及业绩基准周净值!A62)</f>
        <v>45884</v>
      </c>
      <c r="B44" s="1">
        <f>IF(A44="","",VLOOKUP($A44,子基金及业绩基准周净值!$A:$AV,7))</f>
        <v>1.1579</v>
      </c>
      <c r="C44" s="8">
        <f t="shared" si="3"/>
        <v>-0.00566766852726506</v>
      </c>
      <c r="D44" s="9">
        <f>IF(A44="","",C44-(子基金及业绩基准周净值!AG62/子基金及业绩基准周净值!AG61-1))</f>
        <v>-0.000111795639850067</v>
      </c>
      <c r="E44" s="12">
        <f>IF(A44="","",(MAX(B$3:B44)-B44)/MAX(B$3:B44))</f>
        <v>0.00566766852726506</v>
      </c>
      <c r="F44" s="12">
        <f>IF(A44="","",MAX(E$4:E44))</f>
        <v>0.0108188770751726</v>
      </c>
      <c r="G44" s="17">
        <v>2</v>
      </c>
      <c r="H44" s="14" t="str">
        <f t="shared" si="4"/>
        <v>否</v>
      </c>
      <c r="I44" s="14" t="str">
        <f t="shared" si="1"/>
        <v>否</v>
      </c>
      <c r="J44" s="15" t="str">
        <f t="shared" si="2"/>
        <v>否</v>
      </c>
    </row>
    <row r="45" spans="1:10">
      <c r="A45" s="7">
        <f>IF(子基金及业绩基准周净值!A63="","",子基金及业绩基准周净值!A63)</f>
        <v>45891</v>
      </c>
      <c r="B45" s="1">
        <f>IF(A45="","",VLOOKUP($A45,子基金及业绩基准周净值!$A:$AV,7))</f>
        <v>1.1643</v>
      </c>
      <c r="C45" s="8">
        <f t="shared" si="3"/>
        <v>0.00552724760341995</v>
      </c>
      <c r="D45" s="9">
        <f>IF(A45="","",C45-(子基金及业绩基准周净值!AG63/子基金及业绩基准周净值!AG62-1))</f>
        <v>0.00236967613084928</v>
      </c>
      <c r="E45" s="12">
        <f>IF(A45="","",(MAX(B$3:B45)-B45)/MAX(B$3:B45))</f>
        <v>0.000171747531129412</v>
      </c>
      <c r="F45" s="12">
        <f>IF(A45="","",MAX(E$4:E45))</f>
        <v>0.0108188770751726</v>
      </c>
      <c r="G45" s="17">
        <v>0</v>
      </c>
      <c r="H45" s="14" t="str">
        <f t="shared" si="4"/>
        <v>否</v>
      </c>
      <c r="I45" s="14" t="str">
        <f t="shared" si="1"/>
        <v>否</v>
      </c>
      <c r="J45" s="15" t="str">
        <f t="shared" si="2"/>
        <v>否</v>
      </c>
    </row>
    <row r="46" spans="1:10">
      <c r="A46" s="7">
        <f>IF(子基金及业绩基准周净值!A64="","",子基金及业绩基准周净值!A64)</f>
        <v>45898</v>
      </c>
      <c r="B46" s="1">
        <f>IF(A46="","",VLOOKUP($A46,子基金及业绩基准周净值!$A:$AV,7))</f>
        <v>1.156</v>
      </c>
      <c r="C46" s="8">
        <f t="shared" si="3"/>
        <v>-0.00712874688654125</v>
      </c>
      <c r="D46" s="9">
        <f>IF(A46="","",C46-(子基金及业绩基准周净值!AG64/子基金及业绩基准周净值!AG63-1))</f>
        <v>-0.00508547245676966</v>
      </c>
      <c r="E46" s="12">
        <f>IF(A46="","",(MAX(B$3:B46)-B46)/MAX(B$3:B46))</f>
        <v>0.00729927007299285</v>
      </c>
      <c r="F46" s="12">
        <f>IF(A46="","",MAX(E$4:E46))</f>
        <v>0.0108188770751726</v>
      </c>
      <c r="G46" s="17">
        <v>1</v>
      </c>
      <c r="H46" s="14" t="str">
        <f t="shared" si="4"/>
        <v>否</v>
      </c>
      <c r="I46" s="14" t="str">
        <f t="shared" si="1"/>
        <v>否</v>
      </c>
      <c r="J46" s="15" t="str">
        <f t="shared" si="2"/>
        <v>否</v>
      </c>
    </row>
    <row r="47" spans="1:10">
      <c r="A47" s="7">
        <f>IF(子基金及业绩基准周净值!A65="","",子基金及业绩基准周净值!A65)</f>
        <v>45905</v>
      </c>
      <c r="B47" s="1">
        <f>IF(A47="","",VLOOKUP($A47,子基金及业绩基准周净值!$A:$AV,7))</f>
        <v>1.154</v>
      </c>
      <c r="C47" s="8">
        <f t="shared" si="3"/>
        <v>-0.00173010380622838</v>
      </c>
      <c r="D47" s="9">
        <f>IF(A47="","",C47-(子基金及业绩基准周净值!AG65/子基金及业绩基准周净值!AG64-1))</f>
        <v>-0.00206166508898628</v>
      </c>
      <c r="E47" s="12">
        <f>IF(A47="","",(MAX(B$3:B47)-B47)/MAX(B$3:B47))</f>
        <v>0.00901674538428525</v>
      </c>
      <c r="F47" s="12">
        <f>IF(A47="","",MAX(E$4:E47))</f>
        <v>0.0108188770751726</v>
      </c>
      <c r="G47" s="17">
        <v>2</v>
      </c>
      <c r="H47" s="14" t="str">
        <f t="shared" si="4"/>
        <v>否</v>
      </c>
      <c r="I47" s="14" t="str">
        <f t="shared" si="1"/>
        <v>否</v>
      </c>
      <c r="J47" s="15" t="str">
        <f t="shared" si="2"/>
        <v>否</v>
      </c>
    </row>
    <row r="48" spans="1:10">
      <c r="A48" s="7">
        <f>IF(子基金及业绩基准周净值!A66="","",子基金及业绩基准周净值!A66)</f>
        <v>45912</v>
      </c>
      <c r="B48" s="1">
        <f>IF(A48="","",VLOOKUP($A48,子基金及业绩基准周净值!$A:$AV,7))</f>
        <v>1.1578</v>
      </c>
      <c r="C48" s="8">
        <f t="shared" si="3"/>
        <v>0.00329289428076259</v>
      </c>
      <c r="D48" s="9">
        <f>IF(A48="","",C48-(子基金及业绩基准周净值!AG66/子基金及业绩基准周净值!AG65-1))</f>
        <v>0.00125549566490731</v>
      </c>
      <c r="E48" s="12">
        <f>IF(A48="","",(MAX(B$3:B48)-B48)/MAX(B$3:B48))</f>
        <v>0.00575354229282967</v>
      </c>
      <c r="F48" s="12">
        <f>IF(A48="","",MAX(E$4:E48))</f>
        <v>0.0108188770751726</v>
      </c>
      <c r="G48" s="17">
        <v>0</v>
      </c>
      <c r="H48" s="14" t="str">
        <f t="shared" si="4"/>
        <v>否</v>
      </c>
      <c r="I48" s="14" t="str">
        <f t="shared" si="1"/>
        <v>否</v>
      </c>
      <c r="J48" s="15" t="str">
        <f t="shared" si="2"/>
        <v>否</v>
      </c>
    </row>
    <row r="49" spans="1:10">
      <c r="A49" s="7">
        <f>IF(子基金及业绩基准周净值!A67="","",子基金及业绩基准周净值!A67)</f>
        <v>45919</v>
      </c>
      <c r="B49" s="1">
        <f>IF(A49="","",VLOOKUP($A49,子基金及业绩基准周净值!$A:$AV,7))</f>
        <v>1.1652</v>
      </c>
      <c r="C49" s="8">
        <f t="shared" si="3"/>
        <v>0.00639143202625676</v>
      </c>
      <c r="D49" s="9">
        <f>IF(A49="","",C49-(子基金及业绩基准周净值!AG67/子基金及业绩基准周净值!AG66-1))</f>
        <v>0.00611013744708395</v>
      </c>
      <c r="E49" s="12">
        <f>IF(A49="","",(MAX(B$3:B49)-B49)/MAX(B$3:B49))</f>
        <v>0</v>
      </c>
      <c r="F49" s="12">
        <f>IF(A49="","",MAX(E$4:E49))</f>
        <v>0.0108188770751726</v>
      </c>
      <c r="G49" s="17">
        <v>0</v>
      </c>
      <c r="H49" s="14" t="str">
        <f t="shared" si="4"/>
        <v>否</v>
      </c>
      <c r="I49" s="14" t="str">
        <f t="shared" si="1"/>
        <v>否</v>
      </c>
      <c r="J49" s="15" t="str">
        <f t="shared" si="2"/>
        <v>否</v>
      </c>
    </row>
    <row r="50" spans="1:10">
      <c r="A50" s="7">
        <f>IF(子基金及业绩基准周净值!A68="","",子基金及业绩基准周净值!A68)</f>
        <v>45926</v>
      </c>
      <c r="B50" s="1">
        <f>IF(A50="","",VLOOKUP($A50,子基金及业绩基准周净值!$A:$AV,7))</f>
        <v>1.1675</v>
      </c>
      <c r="C50" s="8">
        <f t="shared" si="3"/>
        <v>0.00197391005835905</v>
      </c>
      <c r="D50" s="9">
        <f>IF(A50="","",C50-(子基金及业绩基准周净值!AG68/子基金及业绩基准周净值!AG67-1))</f>
        <v>0.00477973634385036</v>
      </c>
      <c r="E50" s="12">
        <f>IF(A50="","",(MAX(B$3:B50)-B50)/MAX(B$3:B50))</f>
        <v>0</v>
      </c>
      <c r="F50" s="12">
        <f>IF(A50="","",MAX(E$4:E50))</f>
        <v>0.0108188770751726</v>
      </c>
      <c r="G50" s="17">
        <v>0</v>
      </c>
      <c r="H50" s="14" t="str">
        <f t="shared" si="4"/>
        <v>否</v>
      </c>
      <c r="I50" s="14" t="str">
        <f t="shared" si="1"/>
        <v>否</v>
      </c>
      <c r="J50" s="15" t="str">
        <f t="shared" si="2"/>
        <v>否</v>
      </c>
    </row>
    <row r="51" spans="1:10">
      <c r="A51" s="7">
        <f>IF(子基金及业绩基准周净值!A69="","",子基金及业绩基准周净值!A69)</f>
        <v>45940</v>
      </c>
      <c r="B51" s="1">
        <f>IF(A51="","",VLOOKUP($A51,子基金及业绩基准周净值!$A:$AV,7))</f>
        <v>1.1681</v>
      </c>
      <c r="C51" s="8">
        <f t="shared" si="3"/>
        <v>0.000513918629550265</v>
      </c>
      <c r="D51" s="9">
        <f>IF(A51="","",C51-(子基金及业绩基准周净值!AG69/子基金及业绩基准周净值!AG68-1))</f>
        <v>-0.00149892121314836</v>
      </c>
      <c r="E51" s="12">
        <f>IF(A51="","",(MAX(B$3:B51)-B51)/MAX(B$3:B51))</f>
        <v>0</v>
      </c>
      <c r="F51" s="12">
        <f>IF(A51="","",MAX(E$4:E51))</f>
        <v>0.0108188770751726</v>
      </c>
      <c r="G51" s="17">
        <v>1</v>
      </c>
      <c r="H51" s="14" t="str">
        <f t="shared" si="4"/>
        <v>否</v>
      </c>
      <c r="I51" s="14" t="str">
        <f t="shared" si="1"/>
        <v>否</v>
      </c>
      <c r="J51" s="15" t="str">
        <f t="shared" si="2"/>
        <v>否</v>
      </c>
    </row>
    <row r="52" spans="1:10">
      <c r="A52" s="7">
        <f>IF(子基金及业绩基准周净值!A70="","",子基金及业绩基准周净值!A70)</f>
        <v>45947</v>
      </c>
      <c r="B52" s="1">
        <f>IF(A52="","",VLOOKUP($A52,子基金及业绩基准周净值!$A:$AV,7))</f>
        <v>1.1585</v>
      </c>
      <c r="C52" s="8">
        <f t="shared" si="3"/>
        <v>-0.00821847444568088</v>
      </c>
      <c r="D52" s="9">
        <f>IF(A52="","",C52-(子基金及业绩基准周净值!AG70/子基金及业绩基准周净值!AG69-1))</f>
        <v>-0.00854184080995898</v>
      </c>
      <c r="E52" s="12">
        <f>IF(A52="","",(MAX(B$3:B52)-B52)/MAX(B$3:B52))</f>
        <v>0.00821847444568088</v>
      </c>
      <c r="F52" s="12">
        <f>IF(A52="","",MAX(E$4:E52))</f>
        <v>0.0108188770751726</v>
      </c>
      <c r="G52" s="17">
        <v>2</v>
      </c>
      <c r="H52" s="14" t="str">
        <f t="shared" si="4"/>
        <v>否</v>
      </c>
      <c r="I52" s="14" t="str">
        <f t="shared" si="1"/>
        <v>否</v>
      </c>
      <c r="J52" s="15" t="str">
        <f t="shared" si="2"/>
        <v>否</v>
      </c>
    </row>
    <row r="53" spans="1:10">
      <c r="A53" s="7">
        <f>IF(子基金及业绩基准周净值!A71="","",子基金及业绩基准周净值!A71)</f>
        <v>45954</v>
      </c>
      <c r="B53" s="1">
        <f>IF(A53="","",VLOOKUP($A53,子基金及业绩基准周净值!$A:$AV,7))</f>
        <v>1.1599</v>
      </c>
      <c r="C53" s="8">
        <f t="shared" si="3"/>
        <v>0.00120845921450138</v>
      </c>
      <c r="D53" s="9">
        <f>IF(A53="","",C53-(子基金及业绩基准周净值!AG71/子基金及业绩基准周净值!AG70-1))</f>
        <v>-0.00575125656477819</v>
      </c>
      <c r="E53" s="12">
        <f>IF(A53="","",(MAX(B$3:B53)-B53)/MAX(B$3:B53))</f>
        <v>0.00701994692235253</v>
      </c>
      <c r="F53" s="12">
        <f>IF(A53="","",MAX(E$4:E53))</f>
        <v>0.0108188770751726</v>
      </c>
      <c r="G53" s="17">
        <v>3</v>
      </c>
      <c r="H53" s="14" t="str">
        <f t="shared" si="4"/>
        <v>否</v>
      </c>
      <c r="I53" s="14" t="str">
        <f t="shared" si="1"/>
        <v>否</v>
      </c>
      <c r="J53" s="15" t="str">
        <f t="shared" si="2"/>
        <v>否</v>
      </c>
    </row>
    <row r="54" spans="1:10">
      <c r="A54" s="7">
        <f>IF(子基金及业绩基准周净值!A72="","",子基金及业绩基准周净值!A72)</f>
        <v>45961</v>
      </c>
      <c r="B54" s="1">
        <f>IF(A54="","",VLOOKUP($A54,子基金及业绩基准周净值!$A:$AV,7))</f>
        <v>1.1578</v>
      </c>
      <c r="C54" s="8">
        <f t="shared" si="3"/>
        <v>-0.00181050090525044</v>
      </c>
      <c r="D54" s="9">
        <f>IF(A54="","",C54-(子基金及业绩基准周净值!AG72/子基金及业绩基准周净值!AG71-1))</f>
        <v>0.000905613748971834</v>
      </c>
      <c r="E54" s="12">
        <f>IF(A54="","",(MAX(B$3:B54)-B54)/MAX(B$3:B54))</f>
        <v>0.00881773820734524</v>
      </c>
      <c r="F54" s="12">
        <f>IF(A54="","",MAX(E$4:E54))</f>
        <v>0.0108188770751726</v>
      </c>
      <c r="G54" s="17">
        <v>0</v>
      </c>
      <c r="H54" s="14" t="str">
        <f t="shared" si="4"/>
        <v>否</v>
      </c>
      <c r="I54" s="14" t="str">
        <f t="shared" si="1"/>
        <v>否</v>
      </c>
      <c r="J54" s="15" t="str">
        <f t="shared" si="2"/>
        <v>否</v>
      </c>
    </row>
    <row r="55" spans="1:10">
      <c r="A55" s="7" t="str">
        <f>IF(子基金及业绩基准周净值!A73="","",子基金及业绩基准周净值!A73)</f>
        <v/>
      </c>
      <c r="B55" s="1" t="str">
        <f>IF(A55="","",VLOOKUP($A55,子基金及业绩基准周净值!$A:$AV,7))</f>
        <v/>
      </c>
      <c r="C55" s="8" t="str">
        <f t="shared" si="3"/>
        <v/>
      </c>
      <c r="D55" s="9" t="str">
        <f>IF(A55="","",C55-(子基金及业绩基准周净值!AG73/子基金及业绩基准周净值!AG72-1))</f>
        <v/>
      </c>
      <c r="E55" s="12" t="str">
        <f>IF(A55="","",(MAX(B$3:B55)-B55)/MAX(B$3:B55))</f>
        <v/>
      </c>
      <c r="F55" s="12" t="str">
        <f>IF(A55="","",MAX(E$4:E55))</f>
        <v/>
      </c>
      <c r="G55" s="17" t="str">
        <f>IF(A55="","",MAX(FREQUENCY(IF($D$3:D55&lt;0,ROW($D$3:D55)),IF($D$3:D55&gt;=0,ROW($D$3:D55)))))</f>
        <v/>
      </c>
      <c r="H55" s="14" t="str">
        <f t="shared" si="4"/>
        <v/>
      </c>
      <c r="I55" s="14" t="str">
        <f t="shared" si="1"/>
        <v/>
      </c>
      <c r="J55" s="15" t="str">
        <f t="shared" si="2"/>
        <v/>
      </c>
    </row>
    <row r="56" spans="1:10">
      <c r="A56" s="7" t="str">
        <f>IF(子基金及业绩基准周净值!A74="","",子基金及业绩基准周净值!A74)</f>
        <v/>
      </c>
      <c r="B56" s="1" t="str">
        <f>IF(A56="","",VLOOKUP($A56,子基金及业绩基准周净值!$A:$AV,7))</f>
        <v/>
      </c>
      <c r="C56" s="8" t="str">
        <f t="shared" si="3"/>
        <v/>
      </c>
      <c r="D56" s="9" t="str">
        <f>IF(A56="","",C56-(子基金及业绩基准周净值!AG74/子基金及业绩基准周净值!AG73-1))</f>
        <v/>
      </c>
      <c r="E56" s="12" t="str">
        <f>IF(A56="","",(MAX(B$3:B56)-B56)/MAX(B$3:B56))</f>
        <v/>
      </c>
      <c r="F56" s="12" t="str">
        <f>IF(A56="","",MAX(E$4:E56))</f>
        <v/>
      </c>
      <c r="G56" s="17" t="str">
        <f>IF(A56="","",MAX(FREQUENCY(IF($D$3:D56&lt;0,ROW($D$3:D56)),IF($D$3:D56&gt;=0,ROW($D$3:D56)))))</f>
        <v/>
      </c>
      <c r="H56" s="14" t="str">
        <f t="shared" si="4"/>
        <v/>
      </c>
      <c r="I56" s="14" t="str">
        <f t="shared" si="1"/>
        <v/>
      </c>
      <c r="J56" s="15" t="str">
        <f t="shared" si="2"/>
        <v/>
      </c>
    </row>
    <row r="57" spans="1:10">
      <c r="A57" s="7" t="str">
        <f>IF(子基金及业绩基准周净值!A75="","",子基金及业绩基准周净值!A75)</f>
        <v/>
      </c>
      <c r="B57" s="1" t="str">
        <f>IF(A57="","",VLOOKUP($A57,子基金及业绩基准周净值!$A:$AV,7))</f>
        <v/>
      </c>
      <c r="C57" s="8" t="str">
        <f t="shared" si="3"/>
        <v/>
      </c>
      <c r="D57" s="9" t="str">
        <f>IF(A57="","",C57-(子基金及业绩基准周净值!AG75/子基金及业绩基准周净值!AG74-1))</f>
        <v/>
      </c>
      <c r="E57" s="12" t="str">
        <f>IF(A57="","",(MAX(B$3:B57)-B57)/MAX(B$3:B57))</f>
        <v/>
      </c>
      <c r="F57" s="12" t="str">
        <f>IF(A57="","",MAX(E$4:E57))</f>
        <v/>
      </c>
      <c r="G57" s="17" t="str">
        <f>IF(A57="","",MAX(FREQUENCY(IF($D$3:D57&lt;0,ROW($D$3:D57)),IF($D$3:D57&gt;=0,ROW($D$3:D57)))))</f>
        <v/>
      </c>
      <c r="H57" s="14" t="str">
        <f t="shared" si="4"/>
        <v/>
      </c>
      <c r="I57" s="14" t="str">
        <f t="shared" si="1"/>
        <v/>
      </c>
      <c r="J57" s="15" t="str">
        <f t="shared" si="2"/>
        <v/>
      </c>
    </row>
    <row r="58" spans="1:10">
      <c r="A58" s="7" t="str">
        <f>IF(子基金及业绩基准周净值!A76="","",子基金及业绩基准周净值!A76)</f>
        <v/>
      </c>
      <c r="B58" s="1" t="str">
        <f>IF(A58="","",VLOOKUP($A58,子基金及业绩基准周净值!$A:$AV,7))</f>
        <v/>
      </c>
      <c r="C58" s="8" t="str">
        <f t="shared" si="3"/>
        <v/>
      </c>
      <c r="D58" s="9" t="str">
        <f>IF(A58="","",C58-(子基金及业绩基准周净值!AG76/子基金及业绩基准周净值!AG75-1))</f>
        <v/>
      </c>
      <c r="E58" s="12" t="str">
        <f>IF(A58="","",(MAX(B$3:B58)-B58)/MAX(B$3:B58))</f>
        <v/>
      </c>
      <c r="F58" s="12" t="str">
        <f>IF(A58="","",MAX(E$4:E58))</f>
        <v/>
      </c>
      <c r="G58" s="17" t="str">
        <f>IF(A58="","",MAX(FREQUENCY(IF($D$3:D58&lt;0,ROW($D$3:D58)),IF($D$3:D58&gt;=0,ROW($D$3:D58)))))</f>
        <v/>
      </c>
      <c r="H58" s="14" t="str">
        <f t="shared" si="4"/>
        <v/>
      </c>
      <c r="I58" s="14" t="str">
        <f t="shared" si="1"/>
        <v/>
      </c>
      <c r="J58" s="15" t="str">
        <f t="shared" si="2"/>
        <v/>
      </c>
    </row>
    <row r="59" spans="1:10">
      <c r="A59" s="7" t="str">
        <f>IF(子基金及业绩基准周净值!A77="","",子基金及业绩基准周净值!A77)</f>
        <v/>
      </c>
      <c r="B59" s="1" t="str">
        <f>IF(A59="","",VLOOKUP($A59,子基金及业绩基准周净值!$A:$AV,7))</f>
        <v/>
      </c>
      <c r="C59" s="8" t="str">
        <f t="shared" si="3"/>
        <v/>
      </c>
      <c r="D59" s="9" t="str">
        <f>IF(A59="","",C59-(子基金及业绩基准周净值!AG77/子基金及业绩基准周净值!AG76-1))</f>
        <v/>
      </c>
      <c r="E59" s="12" t="str">
        <f>IF(A59="","",(MAX(B$3:B59)-B59)/MAX(B$3:B59))</f>
        <v/>
      </c>
      <c r="F59" s="12" t="str">
        <f>IF(A59="","",MAX(E$4:E59))</f>
        <v/>
      </c>
      <c r="G59" s="17" t="str">
        <f>IF(A59="","",MAX(FREQUENCY(IF($D$3:D59&lt;0,ROW($D$3:D59)),IF($D$3:D59&gt;=0,ROW($D$3:D59)))))</f>
        <v/>
      </c>
      <c r="H59" s="14" t="str">
        <f t="shared" si="4"/>
        <v/>
      </c>
      <c r="I59" s="14" t="str">
        <f t="shared" si="1"/>
        <v/>
      </c>
      <c r="J59" s="15" t="str">
        <f t="shared" si="2"/>
        <v/>
      </c>
    </row>
    <row r="60" spans="1:10">
      <c r="A60" s="7" t="str">
        <f>IF(子基金及业绩基准周净值!A78="","",子基金及业绩基准周净值!A78)</f>
        <v/>
      </c>
      <c r="B60" s="1" t="str">
        <f>IF(A60="","",VLOOKUP($A60,子基金及业绩基准周净值!$A:$AV,7))</f>
        <v/>
      </c>
      <c r="C60" s="8" t="str">
        <f t="shared" si="3"/>
        <v/>
      </c>
      <c r="D60" s="9" t="str">
        <f>IF(A60="","",C60-(子基金及业绩基准周净值!AG78/子基金及业绩基准周净值!AG77-1))</f>
        <v/>
      </c>
      <c r="E60" s="12" t="str">
        <f>IF(A60="","",(MAX(B$3:B60)-B60)/MAX(B$3:B60))</f>
        <v/>
      </c>
      <c r="F60" s="12" t="str">
        <f>IF(A60="","",MAX(E$4:E60))</f>
        <v/>
      </c>
      <c r="G60" s="17" t="str">
        <f>IF(A60="","",MAX(FREQUENCY(IF($D$3:D60&lt;0,ROW($D$3:D60)),IF($D$3:D60&gt;=0,ROW($D$3:D60)))))</f>
        <v/>
      </c>
      <c r="H60" s="14" t="str">
        <f t="shared" si="4"/>
        <v/>
      </c>
      <c r="I60" s="14" t="str">
        <f t="shared" si="1"/>
        <v/>
      </c>
      <c r="J60" s="15" t="str">
        <f t="shared" si="2"/>
        <v/>
      </c>
    </row>
    <row r="61" spans="1:10">
      <c r="A61" s="7" t="str">
        <f>IF(子基金及业绩基准周净值!A79="","",子基金及业绩基准周净值!A79)</f>
        <v/>
      </c>
      <c r="B61" s="1" t="str">
        <f>IF(A61="","",VLOOKUP($A61,子基金及业绩基准周净值!$A:$AV,7))</f>
        <v/>
      </c>
      <c r="C61" s="8" t="str">
        <f t="shared" si="3"/>
        <v/>
      </c>
      <c r="D61" s="9" t="str">
        <f>IF(A61="","",C61-(子基金及业绩基准周净值!AG79/子基金及业绩基准周净值!AG78-1))</f>
        <v/>
      </c>
      <c r="E61" s="12" t="str">
        <f>IF(A61="","",(MAX(B$3:B61)-B61)/MAX(B$3:B61))</f>
        <v/>
      </c>
      <c r="F61" s="12" t="str">
        <f>IF(A61="","",MAX(E$4:E61))</f>
        <v/>
      </c>
      <c r="G61" s="17" t="str">
        <f>IF(A61="","",MAX(FREQUENCY(IF($D$3:D61&lt;0,ROW($D$3:D61)),IF($D$3:D61&gt;=0,ROW($D$3:D61)))))</f>
        <v/>
      </c>
      <c r="H61" s="14" t="str">
        <f t="shared" si="4"/>
        <v/>
      </c>
      <c r="I61" s="14" t="str">
        <f t="shared" si="1"/>
        <v/>
      </c>
      <c r="J61" s="15" t="str">
        <f t="shared" si="2"/>
        <v/>
      </c>
    </row>
    <row r="62" spans="1:10">
      <c r="A62" s="7" t="str">
        <f>IF(子基金及业绩基准周净值!A80="","",子基金及业绩基准周净值!A80)</f>
        <v/>
      </c>
      <c r="B62" s="1" t="str">
        <f>IF(A62="","",VLOOKUP($A62,子基金及业绩基准周净值!$A:$AV,7))</f>
        <v/>
      </c>
      <c r="C62" s="8" t="str">
        <f t="shared" si="3"/>
        <v/>
      </c>
      <c r="D62" s="9" t="str">
        <f>IF(A62="","",C62-(子基金及业绩基准周净值!AG80/子基金及业绩基准周净值!AG79-1))</f>
        <v/>
      </c>
      <c r="E62" s="12" t="str">
        <f>IF(A62="","",(MAX(B$3:B62)-B62)/MAX(B$3:B62))</f>
        <v/>
      </c>
      <c r="F62" s="12" t="str">
        <f>IF(A62="","",MAX(E$4:E62))</f>
        <v/>
      </c>
      <c r="G62" s="17" t="str">
        <f>IF(A62="","",MAX(FREQUENCY(IF($D$3:D62&lt;0,ROW($D$3:D62)),IF($D$3:D62&gt;=0,ROW($D$3:D62)))))</f>
        <v/>
      </c>
      <c r="H62" s="14" t="str">
        <f t="shared" si="4"/>
        <v/>
      </c>
      <c r="I62" s="14" t="str">
        <f t="shared" si="1"/>
        <v/>
      </c>
      <c r="J62" s="15" t="str">
        <f t="shared" si="2"/>
        <v/>
      </c>
    </row>
    <row r="63" spans="1:10">
      <c r="A63" s="7" t="str">
        <f>IF(子基金及业绩基准周净值!A81="","",子基金及业绩基准周净值!A81)</f>
        <v/>
      </c>
      <c r="B63" s="1" t="str">
        <f>IF(A63="","",VLOOKUP($A63,子基金及业绩基准周净值!$A:$AV,7))</f>
        <v/>
      </c>
      <c r="C63" s="8" t="str">
        <f t="shared" si="3"/>
        <v/>
      </c>
      <c r="D63" s="9" t="str">
        <f>IF(A63="","",C63-(子基金及业绩基准周净值!AG81/子基金及业绩基准周净值!AG80-1))</f>
        <v/>
      </c>
      <c r="E63" s="12" t="str">
        <f>IF(A63="","",(MAX(B$3:B63)-B63)/MAX(B$3:B63))</f>
        <v/>
      </c>
      <c r="F63" s="12" t="str">
        <f>IF(A63="","",MAX(E$4:E63))</f>
        <v/>
      </c>
      <c r="G63" s="17" t="str">
        <f>IF(A63="","",MAX(FREQUENCY(IF($D$3:D63&lt;0,ROW($D$3:D63)),IF($D$3:D63&gt;=0,ROW($D$3:D63)))))</f>
        <v/>
      </c>
      <c r="H63" s="14" t="str">
        <f t="shared" si="4"/>
        <v/>
      </c>
      <c r="I63" s="14" t="str">
        <f t="shared" si="1"/>
        <v/>
      </c>
      <c r="J63" s="15" t="str">
        <f t="shared" si="2"/>
        <v/>
      </c>
    </row>
    <row r="64" spans="1:10">
      <c r="A64" s="7" t="str">
        <f>IF(子基金及业绩基准周净值!A82="","",子基金及业绩基准周净值!A82)</f>
        <v/>
      </c>
      <c r="B64" s="1" t="str">
        <f>IF(A64="","",VLOOKUP($A64,子基金及业绩基准周净值!$A:$AV,7))</f>
        <v/>
      </c>
      <c r="C64" s="8" t="str">
        <f t="shared" si="3"/>
        <v/>
      </c>
      <c r="D64" s="9" t="str">
        <f>IF(A64="","",C64-(子基金及业绩基准周净值!AG82/子基金及业绩基准周净值!AG81-1))</f>
        <v/>
      </c>
      <c r="E64" s="12" t="str">
        <f>IF(A64="","",(MAX(B$3:B64)-B64)/MAX(B$3:B64))</f>
        <v/>
      </c>
      <c r="F64" s="12" t="str">
        <f>IF(A64="","",MAX(E$4:E64))</f>
        <v/>
      </c>
      <c r="G64" s="17" t="str">
        <f>IF(A64="","",MAX(FREQUENCY(IF($D$3:D64&lt;0,ROW($D$3:D64)),IF($D$3:D64&gt;=0,ROW($D$3:D64)))))</f>
        <v/>
      </c>
      <c r="H64" s="14" t="str">
        <f t="shared" si="4"/>
        <v/>
      </c>
      <c r="I64" s="14" t="str">
        <f t="shared" si="1"/>
        <v/>
      </c>
      <c r="J64" s="15" t="str">
        <f t="shared" si="2"/>
        <v/>
      </c>
    </row>
    <row r="65" spans="1:10">
      <c r="A65" s="7" t="str">
        <f>IF(子基金及业绩基准周净值!A83="","",子基金及业绩基准周净值!A83)</f>
        <v/>
      </c>
      <c r="B65" s="1" t="str">
        <f>IF(A65="","",VLOOKUP($A65,子基金及业绩基准周净值!$A:$AV,7))</f>
        <v/>
      </c>
      <c r="C65" s="8" t="str">
        <f t="shared" si="3"/>
        <v/>
      </c>
      <c r="D65" s="9" t="str">
        <f>IF(A65="","",C65-(子基金及业绩基准周净值!AG83/子基金及业绩基准周净值!AG82-1))</f>
        <v/>
      </c>
      <c r="E65" s="12" t="str">
        <f>IF(A65="","",(MAX(B$3:B65)-B65)/MAX(B$3:B65))</f>
        <v/>
      </c>
      <c r="F65" s="12" t="str">
        <f>IF(A65="","",MAX(E$4:E65))</f>
        <v/>
      </c>
      <c r="G65" s="17" t="str">
        <f>IF(A65="","",MAX(FREQUENCY(IF($D$3:D65&lt;0,ROW($D$3:D65)),IF($D$3:D65&gt;=0,ROW($D$3:D65)))))</f>
        <v/>
      </c>
      <c r="H65" s="14" t="str">
        <f t="shared" si="4"/>
        <v/>
      </c>
      <c r="I65" s="14" t="str">
        <f t="shared" si="1"/>
        <v/>
      </c>
      <c r="J65" s="15" t="str">
        <f t="shared" si="2"/>
        <v/>
      </c>
    </row>
    <row r="66" spans="1:10">
      <c r="A66" s="7" t="str">
        <f>IF(子基金及业绩基准周净值!A84="","",子基金及业绩基准周净值!A84)</f>
        <v/>
      </c>
      <c r="B66" s="1" t="str">
        <f>IF(A66="","",VLOOKUP($A66,子基金及业绩基准周净值!$A:$AV,7))</f>
        <v/>
      </c>
      <c r="C66" s="8" t="str">
        <f t="shared" si="3"/>
        <v/>
      </c>
      <c r="D66" s="9" t="str">
        <f>IF(A66="","",C66-(子基金及业绩基准周净值!AG84/子基金及业绩基准周净值!AG83-1))</f>
        <v/>
      </c>
      <c r="E66" s="12" t="str">
        <f>IF(A66="","",(MAX(B$3:B66)-B66)/MAX(B$3:B66))</f>
        <v/>
      </c>
      <c r="F66" s="12" t="str">
        <f>IF(A66="","",MAX(E$4:E66))</f>
        <v/>
      </c>
      <c r="G66" s="17" t="str">
        <f>IF(A66="","",MAX(FREQUENCY(IF($D$3:D66&lt;0,ROW($D$3:D66)),IF($D$3:D66&gt;=0,ROW($D$3:D66)))))</f>
        <v/>
      </c>
      <c r="H66" s="14" t="str">
        <f t="shared" si="4"/>
        <v/>
      </c>
      <c r="I66" s="14" t="str">
        <f t="shared" si="1"/>
        <v/>
      </c>
      <c r="J66" s="15" t="str">
        <f t="shared" si="2"/>
        <v/>
      </c>
    </row>
    <row r="67" spans="1:10">
      <c r="A67" s="7" t="str">
        <f>IF(子基金及业绩基准周净值!A85="","",子基金及业绩基准周净值!A85)</f>
        <v/>
      </c>
      <c r="B67" s="1" t="str">
        <f>IF(A67="","",VLOOKUP($A67,子基金及业绩基准周净值!$A:$AV,7))</f>
        <v/>
      </c>
      <c r="C67" s="8" t="str">
        <f t="shared" si="3"/>
        <v/>
      </c>
      <c r="D67" s="9" t="str">
        <f>IF(A67="","",C67-(子基金及业绩基准周净值!AG85/子基金及业绩基准周净值!AG84-1))</f>
        <v/>
      </c>
      <c r="E67" s="12" t="str">
        <f>IF(A67="","",(MAX(B$3:B67)-B67)/MAX(B$3:B67))</f>
        <v/>
      </c>
      <c r="F67" s="12" t="str">
        <f>IF(A67="","",MAX(E$4:E67))</f>
        <v/>
      </c>
      <c r="G67" s="17" t="str">
        <f>IF(A67="","",MAX(FREQUENCY(IF($D$3:D67&lt;0,ROW($D$3:D67)),IF($D$3:D67&gt;=0,ROW($D$3:D67)))))</f>
        <v/>
      </c>
      <c r="H67" s="14" t="str">
        <f t="shared" si="4"/>
        <v/>
      </c>
      <c r="I67" s="14" t="str">
        <f t="shared" si="1"/>
        <v/>
      </c>
      <c r="J67" s="15" t="str">
        <f t="shared" si="2"/>
        <v/>
      </c>
    </row>
    <row r="68" spans="1:10">
      <c r="A68" s="7" t="str">
        <f>IF(子基金及业绩基准周净值!A86="","",子基金及业绩基准周净值!A86)</f>
        <v/>
      </c>
      <c r="B68" s="1" t="str">
        <f>IF(A68="","",VLOOKUP($A68,子基金及业绩基准周净值!$A:$AV,7))</f>
        <v/>
      </c>
      <c r="C68" s="8" t="str">
        <f t="shared" si="3"/>
        <v/>
      </c>
      <c r="D68" s="9" t="str">
        <f>IF(A68="","",C68-(子基金及业绩基准周净值!AG86/子基金及业绩基准周净值!AG85-1))</f>
        <v/>
      </c>
      <c r="E68" s="12" t="str">
        <f>IF(A68="","",(MAX(B$3:B68)-B68)/MAX(B$3:B68))</f>
        <v/>
      </c>
      <c r="F68" s="12" t="str">
        <f>IF(A68="","",MAX(E$4:E68))</f>
        <v/>
      </c>
      <c r="G68" s="17" t="str">
        <f>IF(A68="","",MAX(FREQUENCY(IF($D$3:D68&lt;0,ROW($D$3:D68)),IF($D$3:D68&gt;=0,ROW($D$3:D68)))))</f>
        <v/>
      </c>
      <c r="H68" s="14" t="str">
        <f t="shared" si="4"/>
        <v/>
      </c>
      <c r="I68" s="14" t="str">
        <f t="shared" si="1"/>
        <v/>
      </c>
      <c r="J68" s="15" t="str">
        <f t="shared" si="2"/>
        <v/>
      </c>
    </row>
    <row r="69" spans="1:10">
      <c r="A69" s="7" t="str">
        <f>IF(子基金及业绩基准周净值!A87="","",子基金及业绩基准周净值!A87)</f>
        <v/>
      </c>
      <c r="B69" s="1" t="str">
        <f>IF(A69="","",VLOOKUP($A69,子基金及业绩基准周净值!$A:$AV,7))</f>
        <v/>
      </c>
      <c r="C69" s="8" t="str">
        <f t="shared" si="3"/>
        <v/>
      </c>
      <c r="D69" s="9" t="str">
        <f>IF(A69="","",C69-(子基金及业绩基准周净值!AG87/子基金及业绩基准周净值!AG86-1))</f>
        <v/>
      </c>
      <c r="E69" s="12" t="str">
        <f>IF(A69="","",(MAX(B$3:B69)-B69)/MAX(B$3:B69))</f>
        <v/>
      </c>
      <c r="F69" s="12" t="str">
        <f>IF(A69="","",MAX(E$4:E69))</f>
        <v/>
      </c>
      <c r="G69" s="17" t="str">
        <f>IF(A69="","",MAX(FREQUENCY(IF($D$3:D69&lt;0,ROW($D$3:D69)),IF($D$3:D69&gt;=0,ROW($D$3:D69)))))</f>
        <v/>
      </c>
      <c r="H69" s="14" t="str">
        <f t="shared" ref="H69:H100" si="5">IF(B69="","",IF(C69&lt;-3%,"是","否"))</f>
        <v/>
      </c>
      <c r="I69" s="14" t="str">
        <f t="shared" ref="I69:I127" si="6">IF(A69="","",IF(F69&gt;5%,"是","否"))</f>
        <v/>
      </c>
      <c r="J69" s="15" t="str">
        <f t="shared" ref="J69:J127" si="7">IF(A69="","",IF(G69&gt;=4,"是","否"))</f>
        <v/>
      </c>
    </row>
    <row r="70" spans="1:10">
      <c r="A70" s="7" t="str">
        <f>IF(子基金及业绩基准周净值!A88="","",子基金及业绩基准周净值!A88)</f>
        <v/>
      </c>
      <c r="B70" s="1" t="str">
        <f>IF(A70="","",VLOOKUP($A70,子基金及业绩基准周净值!$A:$AV,7))</f>
        <v/>
      </c>
      <c r="C70" s="8" t="str">
        <f t="shared" ref="C70:C127" si="8">IF(A70="","",(B70-B69)/B69)</f>
        <v/>
      </c>
      <c r="D70" s="9" t="str">
        <f>IF(A70="","",C70-(子基金及业绩基准周净值!AG88/子基金及业绩基准周净值!AG87-1))</f>
        <v/>
      </c>
      <c r="E70" s="12" t="str">
        <f>IF(A70="","",(MAX(B$3:B70)-B70)/MAX(B$3:B70))</f>
        <v/>
      </c>
      <c r="F70" s="12" t="str">
        <f>IF(A70="","",MAX(E$4:E70))</f>
        <v/>
      </c>
      <c r="G70" s="17" t="str">
        <f>IF(A70="","",MAX(FREQUENCY(IF($D$3:D70&lt;0,ROW($D$3:D70)),IF($D$3:D70&gt;=0,ROW($D$3:D70)))))</f>
        <v/>
      </c>
      <c r="H70" s="14" t="str">
        <f t="shared" si="5"/>
        <v/>
      </c>
      <c r="I70" s="14" t="str">
        <f t="shared" si="6"/>
        <v/>
      </c>
      <c r="J70" s="15" t="str">
        <f t="shared" si="7"/>
        <v/>
      </c>
    </row>
    <row r="71" spans="1:10">
      <c r="A71" s="7" t="str">
        <f>IF(子基金及业绩基准周净值!A89="","",子基金及业绩基准周净值!A89)</f>
        <v/>
      </c>
      <c r="B71" s="1" t="str">
        <f>IF(A71="","",VLOOKUP($A71,子基金及业绩基准周净值!$A:$AV,7))</f>
        <v/>
      </c>
      <c r="C71" s="8" t="str">
        <f t="shared" si="8"/>
        <v/>
      </c>
      <c r="D71" s="9" t="str">
        <f>IF(A71="","",C71-(子基金及业绩基准周净值!AG89/子基金及业绩基准周净值!AG88-1))</f>
        <v/>
      </c>
      <c r="E71" s="12" t="str">
        <f>IF(A71="","",(MAX(B$3:B71)-B71)/MAX(B$3:B71))</f>
        <v/>
      </c>
      <c r="F71" s="12" t="str">
        <f>IF(A71="","",MAX(E$4:E71))</f>
        <v/>
      </c>
      <c r="G71" s="17" t="str">
        <f>IF(A71="","",MAX(FREQUENCY(IF($D$3:D71&lt;0,ROW($D$3:D71)),IF($D$3:D71&gt;=0,ROW($D$3:D71)))))</f>
        <v/>
      </c>
      <c r="H71" s="14" t="str">
        <f t="shared" si="5"/>
        <v/>
      </c>
      <c r="I71" s="14" t="str">
        <f t="shared" si="6"/>
        <v/>
      </c>
      <c r="J71" s="15" t="str">
        <f t="shared" si="7"/>
        <v/>
      </c>
    </row>
    <row r="72" spans="1:10">
      <c r="A72" s="7" t="str">
        <f>IF(子基金及业绩基准周净值!A90="","",子基金及业绩基准周净值!A90)</f>
        <v/>
      </c>
      <c r="B72" s="1" t="str">
        <f>IF(A72="","",VLOOKUP($A72,子基金及业绩基准周净值!$A:$AV,7))</f>
        <v/>
      </c>
      <c r="C72" s="8" t="str">
        <f t="shared" si="8"/>
        <v/>
      </c>
      <c r="D72" s="9" t="str">
        <f>IF(A72="","",C72-(子基金及业绩基准周净值!AG90/子基金及业绩基准周净值!AG89-1))</f>
        <v/>
      </c>
      <c r="E72" s="12" t="str">
        <f>IF(A72="","",(MAX(B$3:B72)-B72)/MAX(B$3:B72))</f>
        <v/>
      </c>
      <c r="F72" s="12" t="str">
        <f>IF(A72="","",MAX(E$4:E72))</f>
        <v/>
      </c>
      <c r="G72" s="17" t="str">
        <f>IF(A72="","",MAX(FREQUENCY(IF($D$3:D72&lt;0,ROW($D$3:D72)),IF($D$3:D72&gt;=0,ROW($D$3:D72)))))</f>
        <v/>
      </c>
      <c r="H72" s="14" t="str">
        <f t="shared" si="5"/>
        <v/>
      </c>
      <c r="I72" s="14" t="str">
        <f t="shared" si="6"/>
        <v/>
      </c>
      <c r="J72" s="15" t="str">
        <f t="shared" si="7"/>
        <v/>
      </c>
    </row>
    <row r="73" spans="1:10">
      <c r="A73" s="7" t="str">
        <f>IF(子基金及业绩基准周净值!A91="","",子基金及业绩基准周净值!A91)</f>
        <v/>
      </c>
      <c r="B73" s="1" t="str">
        <f>IF(A73="","",VLOOKUP($A73,子基金及业绩基准周净值!$A:$AV,7))</f>
        <v/>
      </c>
      <c r="C73" s="8" t="str">
        <f t="shared" si="8"/>
        <v/>
      </c>
      <c r="D73" s="9" t="str">
        <f>IF(A73="","",C73-(子基金及业绩基准周净值!AG91/子基金及业绩基准周净值!AG90-1))</f>
        <v/>
      </c>
      <c r="E73" s="12" t="str">
        <f>IF(A73="","",(MAX(B$3:B73)-B73)/MAX(B$3:B73))</f>
        <v/>
      </c>
      <c r="F73" s="12" t="str">
        <f>IF(A73="","",MAX(E$4:E73))</f>
        <v/>
      </c>
      <c r="G73" s="17" t="str">
        <f>IF(A73="","",MAX(FREQUENCY(IF($D$3:D73&lt;0,ROW($D$3:D73)),IF($D$3:D73&gt;=0,ROW($D$3:D73)))))</f>
        <v/>
      </c>
      <c r="H73" s="14" t="str">
        <f t="shared" si="5"/>
        <v/>
      </c>
      <c r="I73" s="14" t="str">
        <f t="shared" si="6"/>
        <v/>
      </c>
      <c r="J73" s="15" t="str">
        <f t="shared" si="7"/>
        <v/>
      </c>
    </row>
    <row r="74" spans="1:10">
      <c r="A74" s="7" t="str">
        <f>IF(子基金及业绩基准周净值!A92="","",子基金及业绩基准周净值!A92)</f>
        <v/>
      </c>
      <c r="B74" s="1" t="str">
        <f>IF(A74="","",VLOOKUP($A74,子基金及业绩基准周净值!$A:$AV,7))</f>
        <v/>
      </c>
      <c r="C74" s="8" t="str">
        <f t="shared" si="8"/>
        <v/>
      </c>
      <c r="D74" s="9" t="str">
        <f>IF(A74="","",C74-(子基金及业绩基准周净值!AG92/子基金及业绩基准周净值!AG91-1))</f>
        <v/>
      </c>
      <c r="E74" s="12" t="str">
        <f>IF(A74="","",(MAX(B$3:B74)-B74)/MAX(B$3:B74))</f>
        <v/>
      </c>
      <c r="F74" s="12" t="str">
        <f>IF(A74="","",MAX(E$4:E74))</f>
        <v/>
      </c>
      <c r="G74" s="17" t="str">
        <f>IF(A74="","",MAX(FREQUENCY(IF($D$3:D74&lt;0,ROW($D$3:D74)),IF($D$3:D74&gt;=0,ROW($D$3:D74)))))</f>
        <v/>
      </c>
      <c r="H74" s="14" t="str">
        <f t="shared" si="5"/>
        <v/>
      </c>
      <c r="I74" s="14" t="str">
        <f t="shared" si="6"/>
        <v/>
      </c>
      <c r="J74" s="15" t="str">
        <f t="shared" si="7"/>
        <v/>
      </c>
    </row>
    <row r="75" spans="1:10">
      <c r="A75" s="7" t="str">
        <f>IF(子基金及业绩基准周净值!A93="","",子基金及业绩基准周净值!A93)</f>
        <v/>
      </c>
      <c r="B75" s="1" t="str">
        <f>IF(A75="","",VLOOKUP($A75,子基金及业绩基准周净值!$A:$AV,7))</f>
        <v/>
      </c>
      <c r="C75" s="8" t="str">
        <f t="shared" si="8"/>
        <v/>
      </c>
      <c r="D75" s="9" t="str">
        <f>IF(A75="","",C75-(子基金及业绩基准周净值!AG93/子基金及业绩基准周净值!AG92-1))</f>
        <v/>
      </c>
      <c r="E75" s="12" t="str">
        <f>IF(A75="","",(MAX(B$3:B75)-B75)/MAX(B$3:B75))</f>
        <v/>
      </c>
      <c r="F75" s="12" t="str">
        <f>IF(A75="","",MAX(E$4:E75))</f>
        <v/>
      </c>
      <c r="G75" s="17" t="str">
        <f>IF(A75="","",MAX(FREQUENCY(IF($D$3:D75&lt;0,ROW($D$3:D75)),IF($D$3:D75&gt;=0,ROW($D$3:D75)))))</f>
        <v/>
      </c>
      <c r="H75" s="14" t="str">
        <f t="shared" si="5"/>
        <v/>
      </c>
      <c r="I75" s="14" t="str">
        <f t="shared" si="6"/>
        <v/>
      </c>
      <c r="J75" s="15" t="str">
        <f t="shared" si="7"/>
        <v/>
      </c>
    </row>
    <row r="76" spans="1:10">
      <c r="A76" s="7" t="str">
        <f>IF(子基金及业绩基准周净值!A94="","",子基金及业绩基准周净值!A94)</f>
        <v/>
      </c>
      <c r="B76" s="1" t="str">
        <f>IF(A76="","",VLOOKUP($A76,子基金及业绩基准周净值!$A:$AV,7))</f>
        <v/>
      </c>
      <c r="C76" s="8" t="str">
        <f t="shared" si="8"/>
        <v/>
      </c>
      <c r="D76" s="9" t="str">
        <f>IF(A76="","",C76-(子基金及业绩基准周净值!AG94/子基金及业绩基准周净值!AG93-1))</f>
        <v/>
      </c>
      <c r="E76" s="12" t="str">
        <f>IF(A76="","",(MAX(B$3:B76)-B76)/MAX(B$3:B76))</f>
        <v/>
      </c>
      <c r="F76" s="12" t="str">
        <f>IF(A76="","",MAX(E$4:E76))</f>
        <v/>
      </c>
      <c r="G76" s="17" t="str">
        <f>IF(A76="","",MAX(FREQUENCY(IF($D$3:D76&lt;0,ROW($D$3:D76)),IF($D$3:D76&gt;=0,ROW($D$3:D76)))))</f>
        <v/>
      </c>
      <c r="H76" s="14" t="str">
        <f t="shared" si="5"/>
        <v/>
      </c>
      <c r="I76" s="14" t="str">
        <f t="shared" si="6"/>
        <v/>
      </c>
      <c r="J76" s="15" t="str">
        <f t="shared" si="7"/>
        <v/>
      </c>
    </row>
    <row r="77" spans="1:10">
      <c r="A77" s="7" t="str">
        <f>IF(子基金及业绩基准周净值!A95="","",子基金及业绩基准周净值!A95)</f>
        <v/>
      </c>
      <c r="B77" s="1" t="str">
        <f>IF(A77="","",VLOOKUP($A77,子基金及业绩基准周净值!$A:$AV,7))</f>
        <v/>
      </c>
      <c r="C77" s="8" t="str">
        <f t="shared" si="8"/>
        <v/>
      </c>
      <c r="D77" s="9" t="str">
        <f>IF(A77="","",C77-(子基金及业绩基准周净值!AG95/子基金及业绩基准周净值!AG94-1))</f>
        <v/>
      </c>
      <c r="E77" s="12" t="str">
        <f>IF(A77="","",(MAX(B$3:B77)-B77)/MAX(B$3:B77))</f>
        <v/>
      </c>
      <c r="F77" s="12" t="str">
        <f>IF(A77="","",MAX(E$4:E77))</f>
        <v/>
      </c>
      <c r="G77" s="17" t="str">
        <f>IF(A77="","",MAX(FREQUENCY(IF($D$3:D77&lt;0,ROW($D$3:D77)),IF($D$3:D77&gt;=0,ROW($D$3:D77)))))</f>
        <v/>
      </c>
      <c r="H77" s="14" t="str">
        <f t="shared" si="5"/>
        <v/>
      </c>
      <c r="I77" s="14" t="str">
        <f t="shared" si="6"/>
        <v/>
      </c>
      <c r="J77" s="15" t="str">
        <f t="shared" si="7"/>
        <v/>
      </c>
    </row>
    <row r="78" spans="1:10">
      <c r="A78" s="7" t="str">
        <f>IF(子基金及业绩基准周净值!A96="","",子基金及业绩基准周净值!A96)</f>
        <v/>
      </c>
      <c r="B78" s="1" t="str">
        <f>IF(A78="","",VLOOKUP($A78,子基金及业绩基准周净值!$A:$AV,7))</f>
        <v/>
      </c>
      <c r="C78" s="8" t="str">
        <f t="shared" si="8"/>
        <v/>
      </c>
      <c r="D78" s="9" t="str">
        <f>IF(A78="","",C78-(子基金及业绩基准周净值!AG96/子基金及业绩基准周净值!AG95-1))</f>
        <v/>
      </c>
      <c r="E78" s="12" t="str">
        <f>IF(A78="","",(MAX(B$3:B78)-B78)/MAX(B$3:B78))</f>
        <v/>
      </c>
      <c r="F78" s="12" t="str">
        <f>IF(A78="","",MAX(E$4:E78))</f>
        <v/>
      </c>
      <c r="G78" s="17" t="str">
        <f>IF(A78="","",MAX(FREQUENCY(IF($D$3:D78&lt;0,ROW($D$3:D78)),IF($D$3:D78&gt;=0,ROW($D$3:D78)))))</f>
        <v/>
      </c>
      <c r="H78" s="14" t="str">
        <f t="shared" si="5"/>
        <v/>
      </c>
      <c r="I78" s="14" t="str">
        <f t="shared" si="6"/>
        <v/>
      </c>
      <c r="J78" s="15" t="str">
        <f t="shared" si="7"/>
        <v/>
      </c>
    </row>
    <row r="79" spans="1:10">
      <c r="A79" s="7" t="str">
        <f>IF(子基金及业绩基准周净值!A97="","",子基金及业绩基准周净值!A97)</f>
        <v/>
      </c>
      <c r="B79" s="1" t="str">
        <f>IF(A79="","",VLOOKUP($A79,子基金及业绩基准周净值!$A:$AV,7))</f>
        <v/>
      </c>
      <c r="C79" s="8" t="str">
        <f t="shared" si="8"/>
        <v/>
      </c>
      <c r="D79" s="9" t="str">
        <f>IF(A79="","",C79-(子基金及业绩基准周净值!AG97/子基金及业绩基准周净值!AG96-1))</f>
        <v/>
      </c>
      <c r="E79" s="12" t="str">
        <f>IF(A79="","",(MAX(B$3:B79)-B79)/MAX(B$3:B79))</f>
        <v/>
      </c>
      <c r="F79" s="12" t="str">
        <f>IF(A79="","",MAX(E$4:E79))</f>
        <v/>
      </c>
      <c r="G79" s="17" t="str">
        <f>IF(A79="","",MAX(FREQUENCY(IF($D$3:D79&lt;0,ROW($D$3:D79)),IF($D$3:D79&gt;=0,ROW($D$3:D79)))))</f>
        <v/>
      </c>
      <c r="H79" s="14" t="str">
        <f t="shared" si="5"/>
        <v/>
      </c>
      <c r="I79" s="14" t="str">
        <f t="shared" si="6"/>
        <v/>
      </c>
      <c r="J79" s="15" t="str">
        <f t="shared" si="7"/>
        <v/>
      </c>
    </row>
    <row r="80" spans="1:10">
      <c r="A80" s="7" t="str">
        <f>IF(子基金及业绩基准周净值!A98="","",子基金及业绩基准周净值!A98)</f>
        <v/>
      </c>
      <c r="B80" s="1" t="str">
        <f>IF(A80="","",VLOOKUP($A80,子基金及业绩基准周净值!$A:$AV,7))</f>
        <v/>
      </c>
      <c r="C80" s="8" t="str">
        <f t="shared" si="8"/>
        <v/>
      </c>
      <c r="D80" s="9" t="str">
        <f>IF(A80="","",C80-(子基金及业绩基准周净值!AG98/子基金及业绩基准周净值!AG97-1))</f>
        <v/>
      </c>
      <c r="E80" s="12" t="str">
        <f>IF(A80="","",(MAX(B$3:B80)-B80)/MAX(B$3:B80))</f>
        <v/>
      </c>
      <c r="F80" s="12" t="str">
        <f>IF(A80="","",MAX(E$4:E80))</f>
        <v/>
      </c>
      <c r="G80" s="17" t="str">
        <f>IF(A80="","",MAX(FREQUENCY(IF($D$3:D80&lt;0,ROW($D$3:D80)),IF($D$3:D80&gt;=0,ROW($D$3:D80)))))</f>
        <v/>
      </c>
      <c r="H80" s="14" t="str">
        <f t="shared" si="5"/>
        <v/>
      </c>
      <c r="I80" s="14" t="str">
        <f t="shared" si="6"/>
        <v/>
      </c>
      <c r="J80" s="15" t="str">
        <f t="shared" si="7"/>
        <v/>
      </c>
    </row>
    <row r="81" spans="1:10">
      <c r="A81" s="7" t="str">
        <f>IF(子基金及业绩基准周净值!A99="","",子基金及业绩基准周净值!A99)</f>
        <v/>
      </c>
      <c r="B81" s="1" t="str">
        <f>IF(A81="","",VLOOKUP($A81,子基金及业绩基准周净值!$A:$AV,7))</f>
        <v/>
      </c>
      <c r="C81" s="8" t="str">
        <f t="shared" si="8"/>
        <v/>
      </c>
      <c r="D81" s="9" t="str">
        <f>IF(A81="","",C81-(子基金及业绩基准周净值!AG99/子基金及业绩基准周净值!AG98-1))</f>
        <v/>
      </c>
      <c r="E81" s="12" t="str">
        <f>IF(A81="","",(MAX(B$3:B81)-B81)/MAX(B$3:B81))</f>
        <v/>
      </c>
      <c r="F81" s="12" t="str">
        <f>IF(A81="","",MAX(E$4:E81))</f>
        <v/>
      </c>
      <c r="G81" s="17" t="str">
        <f>IF(A81="","",MAX(FREQUENCY(IF($D$3:D81&lt;0,ROW($D$3:D81)),IF($D$3:D81&gt;=0,ROW($D$3:D81)))))</f>
        <v/>
      </c>
      <c r="H81" s="14" t="str">
        <f t="shared" si="5"/>
        <v/>
      </c>
      <c r="I81" s="14" t="str">
        <f t="shared" si="6"/>
        <v/>
      </c>
      <c r="J81" s="15" t="str">
        <f t="shared" si="7"/>
        <v/>
      </c>
    </row>
    <row r="82" spans="1:10">
      <c r="A82" s="7" t="str">
        <f>IF(子基金及业绩基准周净值!A100="","",子基金及业绩基准周净值!A100)</f>
        <v/>
      </c>
      <c r="B82" s="1" t="str">
        <f>IF(A82="","",VLOOKUP($A82,子基金及业绩基准周净值!$A:$AV,7))</f>
        <v/>
      </c>
      <c r="C82" s="8" t="str">
        <f t="shared" si="8"/>
        <v/>
      </c>
      <c r="D82" s="9" t="str">
        <f>IF(A82="","",C82-(子基金及业绩基准周净值!AG100/子基金及业绩基准周净值!AG99-1))</f>
        <v/>
      </c>
      <c r="E82" s="12" t="str">
        <f>IF(A82="","",(MAX(B$3:B82)-B82)/MAX(B$3:B82))</f>
        <v/>
      </c>
      <c r="F82" s="12" t="str">
        <f>IF(A82="","",MAX(E$4:E82))</f>
        <v/>
      </c>
      <c r="G82" s="17" t="str">
        <f>IF(A82="","",MAX(FREQUENCY(IF($D$3:D82&lt;0,ROW($D$3:D82)),IF($D$3:D82&gt;=0,ROW($D$3:D82)))))</f>
        <v/>
      </c>
      <c r="H82" s="14" t="str">
        <f t="shared" si="5"/>
        <v/>
      </c>
      <c r="I82" s="14" t="str">
        <f t="shared" si="6"/>
        <v/>
      </c>
      <c r="J82" s="15" t="str">
        <f t="shared" si="7"/>
        <v/>
      </c>
    </row>
    <row r="83" spans="1:10">
      <c r="A83" s="7" t="str">
        <f>IF(子基金及业绩基准周净值!A101="","",子基金及业绩基准周净值!A101)</f>
        <v/>
      </c>
      <c r="B83" s="1" t="str">
        <f>IF(A83="","",VLOOKUP($A83,子基金及业绩基准周净值!$A:$AV,7))</f>
        <v/>
      </c>
      <c r="C83" s="8" t="str">
        <f t="shared" si="8"/>
        <v/>
      </c>
      <c r="D83" s="9" t="str">
        <f>IF(A83="","",C83-(子基金及业绩基准周净值!AG101/子基金及业绩基准周净值!AG100-1))</f>
        <v/>
      </c>
      <c r="E83" s="12" t="str">
        <f>IF(A83="","",(MAX(B$3:B83)-B83)/MAX(B$3:B83))</f>
        <v/>
      </c>
      <c r="F83" s="12" t="str">
        <f>IF(A83="","",MAX(E$4:E83))</f>
        <v/>
      </c>
      <c r="G83" s="17" t="str">
        <f>IF(A83="","",MAX(FREQUENCY(IF($D$3:D83&lt;0,ROW($D$3:D83)),IF($D$3:D83&gt;=0,ROW($D$3:D83)))))</f>
        <v/>
      </c>
      <c r="H83" s="14" t="str">
        <f t="shared" si="5"/>
        <v/>
      </c>
      <c r="I83" s="14" t="str">
        <f t="shared" si="6"/>
        <v/>
      </c>
      <c r="J83" s="15" t="str">
        <f t="shared" si="7"/>
        <v/>
      </c>
    </row>
    <row r="84" spans="1:10">
      <c r="A84" s="7" t="str">
        <f>IF(子基金及业绩基准周净值!A102="","",子基金及业绩基准周净值!A102)</f>
        <v/>
      </c>
      <c r="B84" s="1" t="str">
        <f>IF(A84="","",VLOOKUP($A84,子基金及业绩基准周净值!$A:$AV,7))</f>
        <v/>
      </c>
      <c r="C84" s="8" t="str">
        <f t="shared" si="8"/>
        <v/>
      </c>
      <c r="D84" s="9" t="str">
        <f>IF(A84="","",C84-(子基金及业绩基准周净值!AG102/子基金及业绩基准周净值!AG101-1))</f>
        <v/>
      </c>
      <c r="E84" s="12" t="str">
        <f>IF(A84="","",(MAX(B$3:B84)-B84)/MAX(B$3:B84))</f>
        <v/>
      </c>
      <c r="F84" s="12" t="str">
        <f>IF(A84="","",MAX(E$4:E84))</f>
        <v/>
      </c>
      <c r="G84" s="17" t="str">
        <f>IF(A84="","",MAX(FREQUENCY(IF($D$3:D84&lt;0,ROW($D$3:D84)),IF($D$3:D84&gt;=0,ROW($D$3:D84)))))</f>
        <v/>
      </c>
      <c r="H84" s="14" t="str">
        <f t="shared" si="5"/>
        <v/>
      </c>
      <c r="I84" s="14" t="str">
        <f t="shared" si="6"/>
        <v/>
      </c>
      <c r="J84" s="15" t="str">
        <f t="shared" si="7"/>
        <v/>
      </c>
    </row>
    <row r="85" spans="1:10">
      <c r="A85" s="7" t="str">
        <f>IF(子基金及业绩基准周净值!A103="","",子基金及业绩基准周净值!A103)</f>
        <v/>
      </c>
      <c r="B85" s="1" t="str">
        <f>IF(A85="","",VLOOKUP($A85,子基金及业绩基准周净值!$A:$AV,7))</f>
        <v/>
      </c>
      <c r="C85" s="8" t="str">
        <f t="shared" si="8"/>
        <v/>
      </c>
      <c r="D85" s="9" t="str">
        <f>IF(A85="","",C85-(子基金及业绩基准周净值!AG103/子基金及业绩基准周净值!AG102-1))</f>
        <v/>
      </c>
      <c r="E85" s="12" t="str">
        <f>IF(A85="","",(MAX(B$3:B85)-B85)/MAX(B$3:B85))</f>
        <v/>
      </c>
      <c r="F85" s="12" t="str">
        <f>IF(A85="","",MAX(E$4:E85))</f>
        <v/>
      </c>
      <c r="G85" s="17" t="str">
        <f>IF(A85="","",MAX(FREQUENCY(IF($D$3:D85&lt;0,ROW($D$3:D85)),IF($D$3:D85&gt;=0,ROW($D$3:D85)))))</f>
        <v/>
      </c>
      <c r="H85" s="14" t="str">
        <f t="shared" si="5"/>
        <v/>
      </c>
      <c r="I85" s="14" t="str">
        <f t="shared" si="6"/>
        <v/>
      </c>
      <c r="J85" s="15" t="str">
        <f t="shared" si="7"/>
        <v/>
      </c>
    </row>
    <row r="86" spans="1:10">
      <c r="A86" s="7" t="str">
        <f>IF(子基金及业绩基准周净值!A104="","",子基金及业绩基准周净值!A104)</f>
        <v/>
      </c>
      <c r="B86" s="1" t="str">
        <f>IF(A86="","",VLOOKUP($A86,子基金及业绩基准周净值!$A:$AV,7))</f>
        <v/>
      </c>
      <c r="C86" s="8" t="str">
        <f t="shared" si="8"/>
        <v/>
      </c>
      <c r="D86" s="9" t="str">
        <f>IF(A86="","",C86-(子基金及业绩基准周净值!AG104/子基金及业绩基准周净值!AG103-1))</f>
        <v/>
      </c>
      <c r="E86" s="12" t="str">
        <f>IF(A86="","",(MAX(B$3:B86)-B86)/MAX(B$3:B86))</f>
        <v/>
      </c>
      <c r="F86" s="12" t="str">
        <f>IF(A86="","",MAX(E$4:E86))</f>
        <v/>
      </c>
      <c r="G86" s="17" t="str">
        <f>IF(A86="","",MAX(FREQUENCY(IF($D$3:D86&lt;0,ROW($D$3:D86)),IF($D$3:D86&gt;=0,ROW($D$3:D86)))))</f>
        <v/>
      </c>
      <c r="H86" s="14" t="str">
        <f t="shared" si="5"/>
        <v/>
      </c>
      <c r="I86" s="14" t="str">
        <f t="shared" si="6"/>
        <v/>
      </c>
      <c r="J86" s="15" t="str">
        <f t="shared" si="7"/>
        <v/>
      </c>
    </row>
    <row r="87" spans="1:10">
      <c r="A87" s="7" t="str">
        <f>IF(子基金及业绩基准周净值!A105="","",子基金及业绩基准周净值!A105)</f>
        <v/>
      </c>
      <c r="B87" s="1" t="str">
        <f>IF(A87="","",VLOOKUP($A87,子基金及业绩基准周净值!$A:$AV,7))</f>
        <v/>
      </c>
      <c r="C87" s="8" t="str">
        <f t="shared" si="8"/>
        <v/>
      </c>
      <c r="D87" s="9" t="str">
        <f>IF(A87="","",C87-(子基金及业绩基准周净值!AG105/子基金及业绩基准周净值!AG104-1))</f>
        <v/>
      </c>
      <c r="E87" s="12" t="str">
        <f>IF(A87="","",(MAX(B$3:B87)-B87)/MAX(B$3:B87))</f>
        <v/>
      </c>
      <c r="F87" s="12" t="str">
        <f>IF(A87="","",MAX(E$4:E87))</f>
        <v/>
      </c>
      <c r="G87" s="17" t="str">
        <f>IF(A87="","",MAX(FREQUENCY(IF($D$3:D87&lt;0,ROW($D$3:D87)),IF($D$3:D87&gt;=0,ROW($D$3:D87)))))</f>
        <v/>
      </c>
      <c r="H87" s="14" t="str">
        <f t="shared" si="5"/>
        <v/>
      </c>
      <c r="I87" s="14" t="str">
        <f t="shared" si="6"/>
        <v/>
      </c>
      <c r="J87" s="15" t="str">
        <f t="shared" si="7"/>
        <v/>
      </c>
    </row>
    <row r="88" spans="1:10">
      <c r="A88" s="7" t="str">
        <f>IF(子基金及业绩基准周净值!A106="","",子基金及业绩基准周净值!A106)</f>
        <v/>
      </c>
      <c r="B88" s="1" t="str">
        <f>IF(A88="","",VLOOKUP($A88,子基金及业绩基准周净值!$A:$AV,7))</f>
        <v/>
      </c>
      <c r="C88" s="8" t="str">
        <f t="shared" si="8"/>
        <v/>
      </c>
      <c r="D88" s="9" t="str">
        <f>IF(A88="","",C88-(子基金及业绩基准周净值!AG106/子基金及业绩基准周净值!AG105-1))</f>
        <v/>
      </c>
      <c r="E88" s="12" t="str">
        <f>IF(A88="","",(MAX(B$3:B88)-B88)/MAX(B$3:B88))</f>
        <v/>
      </c>
      <c r="F88" s="12" t="str">
        <f>IF(A88="","",MAX(E$4:E88))</f>
        <v/>
      </c>
      <c r="G88" s="17" t="str">
        <f>IF(A88="","",MAX(FREQUENCY(IF($D$3:D88&lt;0,ROW($D$3:D88)),IF($D$3:D88&gt;=0,ROW($D$3:D88)))))</f>
        <v/>
      </c>
      <c r="H88" s="14" t="str">
        <f t="shared" si="5"/>
        <v/>
      </c>
      <c r="I88" s="14" t="str">
        <f t="shared" si="6"/>
        <v/>
      </c>
      <c r="J88" s="15" t="str">
        <f t="shared" si="7"/>
        <v/>
      </c>
    </row>
    <row r="89" spans="1:10">
      <c r="A89" s="7" t="str">
        <f>IF(子基金及业绩基准周净值!A107="","",子基金及业绩基准周净值!A107)</f>
        <v/>
      </c>
      <c r="B89" s="1" t="str">
        <f>IF(A89="","",VLOOKUP($A89,子基金及业绩基准周净值!$A:$AV,7))</f>
        <v/>
      </c>
      <c r="C89" s="8" t="str">
        <f t="shared" si="8"/>
        <v/>
      </c>
      <c r="D89" s="9" t="str">
        <f>IF(A89="","",C89-(子基金及业绩基准周净值!AG107/子基金及业绩基准周净值!AG106-1))</f>
        <v/>
      </c>
      <c r="E89" s="12" t="str">
        <f>IF(A89="","",(MAX(B$3:B89)-B89)/MAX(B$3:B89))</f>
        <v/>
      </c>
      <c r="F89" s="12" t="str">
        <f>IF(A89="","",MAX(E$4:E89))</f>
        <v/>
      </c>
      <c r="G89" s="17" t="str">
        <f>IF(A89="","",MAX(FREQUENCY(IF($D$3:D89&lt;0,ROW($D$3:D89)),IF($D$3:D89&gt;=0,ROW($D$3:D89)))))</f>
        <v/>
      </c>
      <c r="H89" s="14" t="str">
        <f t="shared" si="5"/>
        <v/>
      </c>
      <c r="I89" s="14" t="str">
        <f t="shared" si="6"/>
        <v/>
      </c>
      <c r="J89" s="15" t="str">
        <f t="shared" si="7"/>
        <v/>
      </c>
    </row>
    <row r="90" spans="1:10">
      <c r="A90" s="7" t="str">
        <f>IF(子基金及业绩基准周净值!A108="","",子基金及业绩基准周净值!A108)</f>
        <v/>
      </c>
      <c r="B90" s="1" t="str">
        <f>IF(A90="","",VLOOKUP($A90,子基金及业绩基准周净值!$A:$AV,7))</f>
        <v/>
      </c>
      <c r="C90" s="8" t="str">
        <f t="shared" si="8"/>
        <v/>
      </c>
      <c r="D90" s="9" t="str">
        <f>IF(A90="","",C90-(子基金及业绩基准周净值!AG108/子基金及业绩基准周净值!AG107-1))</f>
        <v/>
      </c>
      <c r="E90" s="12" t="str">
        <f>IF(A90="","",(MAX(B$3:B90)-B90)/MAX(B$3:B90))</f>
        <v/>
      </c>
      <c r="F90" s="12" t="str">
        <f>IF(A90="","",MAX(E$4:E90))</f>
        <v/>
      </c>
      <c r="G90" s="17" t="str">
        <f>IF(A90="","",MAX(FREQUENCY(IF($D$3:D90&lt;0,ROW($D$3:D90)),IF($D$3:D90&gt;=0,ROW($D$3:D90)))))</f>
        <v/>
      </c>
      <c r="H90" s="14" t="str">
        <f t="shared" si="5"/>
        <v/>
      </c>
      <c r="I90" s="14" t="str">
        <f t="shared" si="6"/>
        <v/>
      </c>
      <c r="J90" s="15" t="str">
        <f t="shared" si="7"/>
        <v/>
      </c>
    </row>
    <row r="91" spans="1:10">
      <c r="A91" s="7" t="str">
        <f>IF(子基金及业绩基准周净值!A109="","",子基金及业绩基准周净值!A109)</f>
        <v/>
      </c>
      <c r="B91" s="1" t="str">
        <f>IF(A91="","",VLOOKUP($A91,子基金及业绩基准周净值!$A:$AV,7))</f>
        <v/>
      </c>
      <c r="C91" s="8" t="str">
        <f t="shared" si="8"/>
        <v/>
      </c>
      <c r="D91" s="9" t="str">
        <f>IF(A91="","",C91-(子基金及业绩基准周净值!AG109/子基金及业绩基准周净值!AG108-1))</f>
        <v/>
      </c>
      <c r="E91" s="12" t="str">
        <f>IF(A91="","",(MAX(B$3:B91)-B91)/MAX(B$3:B91))</f>
        <v/>
      </c>
      <c r="F91" s="12" t="str">
        <f>IF(A91="","",MAX(E$4:E91))</f>
        <v/>
      </c>
      <c r="G91" s="17" t="str">
        <f>IF(A91="","",MAX(FREQUENCY(IF($D$3:D91&lt;0,ROW($D$3:D91)),IF($D$3:D91&gt;=0,ROW($D$3:D91)))))</f>
        <v/>
      </c>
      <c r="H91" s="14" t="str">
        <f t="shared" si="5"/>
        <v/>
      </c>
      <c r="I91" s="14" t="str">
        <f t="shared" si="6"/>
        <v/>
      </c>
      <c r="J91" s="15" t="str">
        <f t="shared" si="7"/>
        <v/>
      </c>
    </row>
    <row r="92" spans="1:10">
      <c r="A92" s="7" t="str">
        <f>IF(子基金及业绩基准周净值!A110="","",子基金及业绩基准周净值!A110)</f>
        <v/>
      </c>
      <c r="B92" s="1" t="str">
        <f>IF(A92="","",VLOOKUP($A92,子基金及业绩基准周净值!$A:$AV,7))</f>
        <v/>
      </c>
      <c r="C92" s="8" t="str">
        <f t="shared" si="8"/>
        <v/>
      </c>
      <c r="D92" s="9" t="str">
        <f>IF(A92="","",C92-(子基金及业绩基准周净值!AG110/子基金及业绩基准周净值!AG109-1))</f>
        <v/>
      </c>
      <c r="E92" s="12" t="str">
        <f>IF(A92="","",(MAX(B$3:B92)-B92)/MAX(B$3:B92))</f>
        <v/>
      </c>
      <c r="F92" s="12" t="str">
        <f>IF(A92="","",MAX(E$4:E92))</f>
        <v/>
      </c>
      <c r="G92" s="17" t="str">
        <f>IF(A92="","",MAX(FREQUENCY(IF($D$3:D92&lt;0,ROW($D$3:D92)),IF($D$3:D92&gt;=0,ROW($D$3:D92)))))</f>
        <v/>
      </c>
      <c r="H92" s="14" t="str">
        <f t="shared" si="5"/>
        <v/>
      </c>
      <c r="I92" s="14" t="str">
        <f t="shared" si="6"/>
        <v/>
      </c>
      <c r="J92" s="15" t="str">
        <f t="shared" si="7"/>
        <v/>
      </c>
    </row>
    <row r="93" spans="1:10">
      <c r="A93" s="7" t="str">
        <f>IF(子基金及业绩基准周净值!A111="","",子基金及业绩基准周净值!A111)</f>
        <v/>
      </c>
      <c r="B93" s="1" t="str">
        <f>IF(A93="","",VLOOKUP($A93,子基金及业绩基准周净值!$A:$AV,7))</f>
        <v/>
      </c>
      <c r="C93" s="8" t="str">
        <f t="shared" si="8"/>
        <v/>
      </c>
      <c r="D93" s="9" t="str">
        <f>IF(A93="","",C93-(子基金及业绩基准周净值!AG111/子基金及业绩基准周净值!AG110-1))</f>
        <v/>
      </c>
      <c r="E93" s="12" t="str">
        <f>IF(A93="","",(MAX(B$3:B93)-B93)/MAX(B$3:B93))</f>
        <v/>
      </c>
      <c r="F93" s="12" t="str">
        <f>IF(A93="","",MAX(E$4:E93))</f>
        <v/>
      </c>
      <c r="G93" s="17" t="str">
        <f>IF(A93="","",MAX(FREQUENCY(IF($D$3:D93&lt;0,ROW($D$3:D93)),IF($D$3:D93&gt;=0,ROW($D$3:D93)))))</f>
        <v/>
      </c>
      <c r="H93" s="14" t="str">
        <f t="shared" si="5"/>
        <v/>
      </c>
      <c r="I93" s="14" t="str">
        <f t="shared" si="6"/>
        <v/>
      </c>
      <c r="J93" s="15" t="str">
        <f t="shared" si="7"/>
        <v/>
      </c>
    </row>
    <row r="94" spans="1:10">
      <c r="A94" s="7" t="str">
        <f>IF(子基金及业绩基准周净值!A112="","",子基金及业绩基准周净值!A112)</f>
        <v/>
      </c>
      <c r="B94" s="1" t="str">
        <f>IF(A94="","",VLOOKUP($A94,子基金及业绩基准周净值!$A:$AV,7))</f>
        <v/>
      </c>
      <c r="C94" s="8" t="str">
        <f t="shared" si="8"/>
        <v/>
      </c>
      <c r="D94" s="9" t="str">
        <f>IF(A94="","",C94-(子基金及业绩基准周净值!AG112/子基金及业绩基准周净值!AG111-1))</f>
        <v/>
      </c>
      <c r="E94" s="12" t="str">
        <f>IF(A94="","",(MAX(B$3:B94)-B94)/MAX(B$3:B94))</f>
        <v/>
      </c>
      <c r="F94" s="12" t="str">
        <f>IF(A94="","",MAX(E$4:E94))</f>
        <v/>
      </c>
      <c r="G94" s="17" t="str">
        <f>IF(A94="","",MAX(FREQUENCY(IF($D$3:D94&lt;0,ROW($D$3:D94)),IF($D$3:D94&gt;=0,ROW($D$3:D94)))))</f>
        <v/>
      </c>
      <c r="H94" s="14" t="str">
        <f t="shared" si="5"/>
        <v/>
      </c>
      <c r="I94" s="14" t="str">
        <f t="shared" si="6"/>
        <v/>
      </c>
      <c r="J94" s="15" t="str">
        <f t="shared" si="7"/>
        <v/>
      </c>
    </row>
    <row r="95" spans="1:10">
      <c r="A95" s="7" t="str">
        <f>IF(子基金及业绩基准周净值!A113="","",子基金及业绩基准周净值!A113)</f>
        <v/>
      </c>
      <c r="B95" s="1" t="str">
        <f>IF(A95="","",VLOOKUP($A95,子基金及业绩基准周净值!$A:$AV,7))</f>
        <v/>
      </c>
      <c r="C95" s="8" t="str">
        <f t="shared" si="8"/>
        <v/>
      </c>
      <c r="D95" s="9" t="str">
        <f>IF(A95="","",C95-(子基金及业绩基准周净值!AG113/子基金及业绩基准周净值!AG112-1))</f>
        <v/>
      </c>
      <c r="E95" s="12" t="str">
        <f>IF(A95="","",(MAX(B$3:B95)-B95)/MAX(B$3:B95))</f>
        <v/>
      </c>
      <c r="F95" s="12" t="str">
        <f>IF(A95="","",MAX(E$4:E95))</f>
        <v/>
      </c>
      <c r="G95" s="17" t="str">
        <f>IF(A95="","",MAX(FREQUENCY(IF($D$3:D95&lt;0,ROW($D$3:D95)),IF($D$3:D95&gt;=0,ROW($D$3:D95)))))</f>
        <v/>
      </c>
      <c r="H95" s="14" t="str">
        <f t="shared" si="5"/>
        <v/>
      </c>
      <c r="I95" s="14" t="str">
        <f t="shared" si="6"/>
        <v/>
      </c>
      <c r="J95" s="15" t="str">
        <f t="shared" si="7"/>
        <v/>
      </c>
    </row>
    <row r="96" spans="1:10">
      <c r="A96" s="7" t="str">
        <f>IF(子基金及业绩基准周净值!A114="","",子基金及业绩基准周净值!A114)</f>
        <v/>
      </c>
      <c r="B96" s="1" t="str">
        <f>IF(A96="","",VLOOKUP($A96,子基金及业绩基准周净值!$A:$AV,7))</f>
        <v/>
      </c>
      <c r="C96" s="8" t="str">
        <f t="shared" si="8"/>
        <v/>
      </c>
      <c r="D96" s="9" t="str">
        <f>IF(A96="","",C96-(子基金及业绩基准周净值!AG114/子基金及业绩基准周净值!AG113-1))</f>
        <v/>
      </c>
      <c r="E96" s="12" t="str">
        <f>IF(A96="","",(MAX(B$3:B96)-B96)/MAX(B$3:B96))</f>
        <v/>
      </c>
      <c r="F96" s="12" t="str">
        <f>IF(A96="","",MAX(E$4:E96))</f>
        <v/>
      </c>
      <c r="G96" s="17" t="str">
        <f>IF(A96="","",MAX(FREQUENCY(IF($D$3:D96&lt;0,ROW($D$3:D96)),IF($D$3:D96&gt;=0,ROW($D$3:D96)))))</f>
        <v/>
      </c>
      <c r="H96" s="14" t="str">
        <f t="shared" si="5"/>
        <v/>
      </c>
      <c r="I96" s="14" t="str">
        <f t="shared" si="6"/>
        <v/>
      </c>
      <c r="J96" s="15" t="str">
        <f t="shared" si="7"/>
        <v/>
      </c>
    </row>
    <row r="97" spans="1:10">
      <c r="A97" s="7" t="str">
        <f>IF(子基金及业绩基准周净值!A115="","",子基金及业绩基准周净值!A115)</f>
        <v/>
      </c>
      <c r="B97" s="1" t="str">
        <f>IF(A97="","",VLOOKUP($A97,子基金及业绩基准周净值!$A:$AV,7))</f>
        <v/>
      </c>
      <c r="C97" s="8" t="str">
        <f t="shared" si="8"/>
        <v/>
      </c>
      <c r="D97" s="9" t="str">
        <f>IF(A97="","",C97-(子基金及业绩基准周净值!AG115/子基金及业绩基准周净值!AG114-1))</f>
        <v/>
      </c>
      <c r="E97" s="12" t="str">
        <f>IF(A97="","",(MAX(B$3:B97)-B97)/MAX(B$3:B97))</f>
        <v/>
      </c>
      <c r="F97" s="12" t="str">
        <f>IF(A97="","",MAX(E$4:E97))</f>
        <v/>
      </c>
      <c r="G97" s="17" t="str">
        <f>IF(A97="","",MAX(FREQUENCY(IF($D$3:D97&lt;0,ROW($D$3:D97)),IF($D$3:D97&gt;=0,ROW($D$3:D97)))))</f>
        <v/>
      </c>
      <c r="H97" s="14" t="str">
        <f t="shared" si="5"/>
        <v/>
      </c>
      <c r="I97" s="14" t="str">
        <f t="shared" si="6"/>
        <v/>
      </c>
      <c r="J97" s="15" t="str">
        <f t="shared" si="7"/>
        <v/>
      </c>
    </row>
    <row r="98" spans="1:10">
      <c r="A98" s="7" t="str">
        <f>IF(子基金及业绩基准周净值!A116="","",子基金及业绩基准周净值!A116)</f>
        <v/>
      </c>
      <c r="B98" s="1" t="str">
        <f>IF(A98="","",VLOOKUP($A98,子基金及业绩基准周净值!$A:$AV,7))</f>
        <v/>
      </c>
      <c r="C98" s="8" t="str">
        <f t="shared" si="8"/>
        <v/>
      </c>
      <c r="D98" s="9" t="str">
        <f>IF(A98="","",C98-(子基金及业绩基准周净值!AG116/子基金及业绩基准周净值!AG115-1))</f>
        <v/>
      </c>
      <c r="E98" s="12" t="str">
        <f>IF(A98="","",(MAX(B$3:B98)-B98)/MAX(B$3:B98))</f>
        <v/>
      </c>
      <c r="F98" s="12" t="str">
        <f>IF(A98="","",MAX(E$4:E98))</f>
        <v/>
      </c>
      <c r="G98" s="17" t="str">
        <f>IF(A98="","",MAX(FREQUENCY(IF($D$3:D98&lt;0,ROW($D$3:D98)),IF($D$3:D98&gt;=0,ROW($D$3:D98)))))</f>
        <v/>
      </c>
      <c r="H98" s="14" t="str">
        <f t="shared" si="5"/>
        <v/>
      </c>
      <c r="I98" s="14" t="str">
        <f t="shared" si="6"/>
        <v/>
      </c>
      <c r="J98" s="15" t="str">
        <f t="shared" si="7"/>
        <v/>
      </c>
    </row>
    <row r="99" spans="1:10">
      <c r="A99" s="7" t="str">
        <f>IF(子基金及业绩基准周净值!A117="","",子基金及业绩基准周净值!A117)</f>
        <v/>
      </c>
      <c r="B99" s="1" t="str">
        <f>IF(A99="","",VLOOKUP($A99,子基金及业绩基准周净值!$A:$AV,7))</f>
        <v/>
      </c>
      <c r="C99" s="8" t="str">
        <f t="shared" si="8"/>
        <v/>
      </c>
      <c r="D99" s="9" t="str">
        <f>IF(A99="","",C99-(子基金及业绩基准周净值!AG117/子基金及业绩基准周净值!AG116-1))</f>
        <v/>
      </c>
      <c r="E99" s="12" t="str">
        <f>IF(A99="","",(MAX(B$3:B99)-B99)/MAX(B$3:B99))</f>
        <v/>
      </c>
      <c r="F99" s="12" t="str">
        <f>IF(A99="","",MAX(E$4:E99))</f>
        <v/>
      </c>
      <c r="G99" s="17" t="str">
        <f>IF(A99="","",MAX(FREQUENCY(IF($D$3:D99&lt;0,ROW($D$3:D99)),IF($D$3:D99&gt;=0,ROW($D$3:D99)))))</f>
        <v/>
      </c>
      <c r="H99" s="14" t="str">
        <f t="shared" si="5"/>
        <v/>
      </c>
      <c r="I99" s="14" t="str">
        <f t="shared" si="6"/>
        <v/>
      </c>
      <c r="J99" s="15" t="str">
        <f t="shared" si="7"/>
        <v/>
      </c>
    </row>
    <row r="100" spans="1:10">
      <c r="A100" s="7" t="str">
        <f>IF(子基金及业绩基准周净值!A118="","",子基金及业绩基准周净值!A118)</f>
        <v/>
      </c>
      <c r="B100" s="1" t="str">
        <f>IF(A100="","",VLOOKUP($A100,子基金及业绩基准周净值!$A:$AV,7))</f>
        <v/>
      </c>
      <c r="C100" s="8" t="str">
        <f t="shared" si="8"/>
        <v/>
      </c>
      <c r="D100" s="9" t="str">
        <f>IF(A100="","",C100-(子基金及业绩基准周净值!AG118/子基金及业绩基准周净值!AG117-1))</f>
        <v/>
      </c>
      <c r="E100" s="12" t="str">
        <f>IF(A100="","",(MAX(B$3:B100)-B100)/MAX(B$3:B100))</f>
        <v/>
      </c>
      <c r="F100" s="12" t="str">
        <f>IF(A100="","",MAX(E$4:E100))</f>
        <v/>
      </c>
      <c r="G100" s="17" t="str">
        <f>IF(A100="","",MAX(FREQUENCY(IF($D$3:D100&lt;0,ROW($D$3:D100)),IF($D$3:D100&gt;=0,ROW($D$3:D100)))))</f>
        <v/>
      </c>
      <c r="H100" s="14" t="str">
        <f t="shared" si="5"/>
        <v/>
      </c>
      <c r="I100" s="14" t="str">
        <f t="shared" si="6"/>
        <v/>
      </c>
      <c r="J100" s="15" t="str">
        <f t="shared" si="7"/>
        <v/>
      </c>
    </row>
    <row r="101" spans="1:10">
      <c r="A101" s="7" t="str">
        <f>IF(子基金及业绩基准周净值!A119="","",子基金及业绩基准周净值!A119)</f>
        <v/>
      </c>
      <c r="B101" s="1" t="str">
        <f>IF(A101="","",VLOOKUP($A101,子基金及业绩基准周净值!$A:$AV,7))</f>
        <v/>
      </c>
      <c r="C101" s="8" t="str">
        <f t="shared" si="8"/>
        <v/>
      </c>
      <c r="D101" s="9" t="str">
        <f>IF(A101="","",C101-(子基金及业绩基准周净值!AG119/子基金及业绩基准周净值!AG118-1))</f>
        <v/>
      </c>
      <c r="E101" s="12" t="str">
        <f>IF(A101="","",(MAX(B$3:B101)-B101)/MAX(B$3:B101))</f>
        <v/>
      </c>
      <c r="F101" s="12" t="str">
        <f>IF(A101="","",MAX(E$4:E101))</f>
        <v/>
      </c>
      <c r="G101" s="17" t="str">
        <f>IF(A101="","",MAX(FREQUENCY(IF($D$3:D101&lt;0,ROW($D$3:D101)),IF($D$3:D101&gt;=0,ROW($D$3:D101)))))</f>
        <v/>
      </c>
      <c r="H101" s="14" t="str">
        <f t="shared" ref="H101:H127" si="9">IF(B101="","",IF(C101&lt;-3%,"是","否"))</f>
        <v/>
      </c>
      <c r="I101" s="14" t="str">
        <f t="shared" si="6"/>
        <v/>
      </c>
      <c r="J101" s="15" t="str">
        <f t="shared" si="7"/>
        <v/>
      </c>
    </row>
    <row r="102" spans="1:10">
      <c r="A102" s="7" t="str">
        <f>IF(子基金及业绩基准周净值!A120="","",子基金及业绩基准周净值!A120)</f>
        <v/>
      </c>
      <c r="B102" s="1" t="str">
        <f>IF(A102="","",VLOOKUP($A102,子基金及业绩基准周净值!$A:$AV,7))</f>
        <v/>
      </c>
      <c r="C102" s="8" t="str">
        <f t="shared" si="8"/>
        <v/>
      </c>
      <c r="D102" s="9" t="str">
        <f>IF(A102="","",C102-(子基金及业绩基准周净值!AG120/子基金及业绩基准周净值!AG119-1))</f>
        <v/>
      </c>
      <c r="E102" s="12" t="str">
        <f>IF(A102="","",(MAX(B$3:B102)-B102)/MAX(B$3:B102))</f>
        <v/>
      </c>
      <c r="F102" s="12" t="str">
        <f>IF(A102="","",MAX(E$4:E102))</f>
        <v/>
      </c>
      <c r="G102" s="17" t="str">
        <f>IF(A102="","",MAX(FREQUENCY(IF($D$3:D102&lt;0,ROW($D$3:D102)),IF($D$3:D102&gt;=0,ROW($D$3:D102)))))</f>
        <v/>
      </c>
      <c r="H102" s="14" t="str">
        <f t="shared" si="9"/>
        <v/>
      </c>
      <c r="I102" s="14" t="str">
        <f t="shared" si="6"/>
        <v/>
      </c>
      <c r="J102" s="15" t="str">
        <f t="shared" si="7"/>
        <v/>
      </c>
    </row>
    <row r="103" spans="1:10">
      <c r="A103" s="7" t="str">
        <f>IF(子基金及业绩基准周净值!A121="","",子基金及业绩基准周净值!A121)</f>
        <v/>
      </c>
      <c r="B103" s="1" t="str">
        <f>IF(A103="","",VLOOKUP($A103,子基金及业绩基准周净值!$A:$AV,7))</f>
        <v/>
      </c>
      <c r="C103" s="8" t="str">
        <f t="shared" si="8"/>
        <v/>
      </c>
      <c r="D103" s="9" t="str">
        <f>IF(A103="","",C103-(子基金及业绩基准周净值!AG121/子基金及业绩基准周净值!AG120-1))</f>
        <v/>
      </c>
      <c r="E103" s="12" t="str">
        <f>IF(A103="","",(MAX(B$3:B103)-B103)/MAX(B$3:B103))</f>
        <v/>
      </c>
      <c r="F103" s="12" t="str">
        <f>IF(A103="","",MAX(E$4:E103))</f>
        <v/>
      </c>
      <c r="G103" s="17" t="str">
        <f>IF(A103="","",MAX(FREQUENCY(IF($D$3:D103&lt;0,ROW($D$3:D103)),IF($D$3:D103&gt;=0,ROW($D$3:D103)))))</f>
        <v/>
      </c>
      <c r="H103" s="14" t="str">
        <f t="shared" si="9"/>
        <v/>
      </c>
      <c r="I103" s="14" t="str">
        <f t="shared" si="6"/>
        <v/>
      </c>
      <c r="J103" s="15" t="str">
        <f t="shared" si="7"/>
        <v/>
      </c>
    </row>
    <row r="104" spans="1:10">
      <c r="A104" s="7" t="str">
        <f>IF(子基金及业绩基准周净值!A122="","",子基金及业绩基准周净值!A122)</f>
        <v/>
      </c>
      <c r="B104" s="1" t="str">
        <f>IF(A104="","",VLOOKUP($A104,子基金及业绩基准周净值!$A:$AV,7))</f>
        <v/>
      </c>
      <c r="C104" s="8" t="str">
        <f t="shared" si="8"/>
        <v/>
      </c>
      <c r="D104" s="9" t="str">
        <f>IF(A104="","",C104-(子基金及业绩基准周净值!AG122/子基金及业绩基准周净值!AG121-1))</f>
        <v/>
      </c>
      <c r="E104" s="12" t="str">
        <f>IF(A104="","",(MAX(B$3:B104)-B104)/MAX(B$3:B104))</f>
        <v/>
      </c>
      <c r="F104" s="12" t="str">
        <f>IF(A104="","",MAX(E$4:E104))</f>
        <v/>
      </c>
      <c r="G104" s="17" t="str">
        <f>IF(A104="","",MAX(FREQUENCY(IF($D$3:D104&lt;0,ROW($D$3:D104)),IF($D$3:D104&gt;=0,ROW($D$3:D104)))))</f>
        <v/>
      </c>
      <c r="H104" s="14" t="str">
        <f t="shared" si="9"/>
        <v/>
      </c>
      <c r="I104" s="14" t="str">
        <f t="shared" si="6"/>
        <v/>
      </c>
      <c r="J104" s="15" t="str">
        <f t="shared" si="7"/>
        <v/>
      </c>
    </row>
    <row r="105" spans="1:10">
      <c r="A105" s="7" t="str">
        <f>IF(子基金及业绩基准周净值!A123="","",子基金及业绩基准周净值!A123)</f>
        <v/>
      </c>
      <c r="B105" s="1" t="str">
        <f>IF(A105="","",VLOOKUP($A105,子基金及业绩基准周净值!$A:$AV,7))</f>
        <v/>
      </c>
      <c r="C105" s="8" t="str">
        <f t="shared" si="8"/>
        <v/>
      </c>
      <c r="D105" s="9" t="str">
        <f>IF(A105="","",C105-(子基金及业绩基准周净值!AG123/子基金及业绩基准周净值!AG122-1))</f>
        <v/>
      </c>
      <c r="E105" s="12" t="str">
        <f>IF(A105="","",(MAX(B$3:B105)-B105)/MAX(B$3:B105))</f>
        <v/>
      </c>
      <c r="F105" s="12" t="str">
        <f>IF(A105="","",MAX(E$4:E105))</f>
        <v/>
      </c>
      <c r="G105" s="17" t="str">
        <f>IF(A105="","",MAX(FREQUENCY(IF($D$3:D105&lt;0,ROW($D$3:D105)),IF($D$3:D105&gt;=0,ROW($D$3:D105)))))</f>
        <v/>
      </c>
      <c r="H105" s="14" t="str">
        <f t="shared" si="9"/>
        <v/>
      </c>
      <c r="I105" s="14" t="str">
        <f t="shared" si="6"/>
        <v/>
      </c>
      <c r="J105" s="15" t="str">
        <f t="shared" si="7"/>
        <v/>
      </c>
    </row>
    <row r="106" spans="1:10">
      <c r="A106" s="7" t="str">
        <f>IF(子基金及业绩基准周净值!A124="","",子基金及业绩基准周净值!A124)</f>
        <v/>
      </c>
      <c r="B106" s="1" t="str">
        <f>IF(A106="","",VLOOKUP($A106,子基金及业绩基准周净值!$A:$AV,7))</f>
        <v/>
      </c>
      <c r="C106" s="8" t="str">
        <f t="shared" si="8"/>
        <v/>
      </c>
      <c r="D106" s="9" t="str">
        <f>IF(A106="","",C106-(子基金及业绩基准周净值!AG124/子基金及业绩基准周净值!AG123-1))</f>
        <v/>
      </c>
      <c r="E106" s="12" t="str">
        <f>IF(A106="","",(MAX(B$3:B106)-B106)/MAX(B$3:B106))</f>
        <v/>
      </c>
      <c r="F106" s="12" t="str">
        <f>IF(A106="","",MAX(E$4:E106))</f>
        <v/>
      </c>
      <c r="G106" s="17" t="str">
        <f>IF(A106="","",MAX(FREQUENCY(IF($D$3:D106&lt;0,ROW($D$3:D106)),IF($D$3:D106&gt;=0,ROW($D$3:D106)))))</f>
        <v/>
      </c>
      <c r="H106" s="14" t="str">
        <f t="shared" si="9"/>
        <v/>
      </c>
      <c r="I106" s="14" t="str">
        <f t="shared" si="6"/>
        <v/>
      </c>
      <c r="J106" s="15" t="str">
        <f t="shared" si="7"/>
        <v/>
      </c>
    </row>
    <row r="107" spans="1:10">
      <c r="A107" s="7" t="str">
        <f>IF(子基金及业绩基准周净值!A125="","",子基金及业绩基准周净值!A125)</f>
        <v/>
      </c>
      <c r="B107" s="1" t="str">
        <f>IF(A107="","",VLOOKUP($A107,子基金及业绩基准周净值!$A:$AV,7))</f>
        <v/>
      </c>
      <c r="C107" s="8" t="str">
        <f t="shared" si="8"/>
        <v/>
      </c>
      <c r="D107" s="9" t="str">
        <f>IF(A107="","",C107-(子基金及业绩基准周净值!AG125/子基金及业绩基准周净值!AG124-1))</f>
        <v/>
      </c>
      <c r="E107" s="12" t="str">
        <f>IF(A107="","",(MAX(B$3:B107)-B107)/MAX(B$3:B107))</f>
        <v/>
      </c>
      <c r="F107" s="12" t="str">
        <f>IF(A107="","",MAX(E$4:E107))</f>
        <v/>
      </c>
      <c r="G107" s="17" t="str">
        <f>IF(A107="","",MAX(FREQUENCY(IF($D$3:D107&lt;0,ROW($D$3:D107)),IF($D$3:D107&gt;=0,ROW($D$3:D107)))))</f>
        <v/>
      </c>
      <c r="H107" s="14" t="str">
        <f t="shared" si="9"/>
        <v/>
      </c>
      <c r="I107" s="14" t="str">
        <f t="shared" si="6"/>
        <v/>
      </c>
      <c r="J107" s="15" t="str">
        <f t="shared" si="7"/>
        <v/>
      </c>
    </row>
    <row r="108" spans="1:10">
      <c r="A108" s="7" t="str">
        <f>IF(子基金及业绩基准周净值!A126="","",子基金及业绩基准周净值!A126)</f>
        <v/>
      </c>
      <c r="B108" s="1" t="str">
        <f>IF(A108="","",VLOOKUP($A108,子基金及业绩基准周净值!$A:$AV,7))</f>
        <v/>
      </c>
      <c r="C108" s="8" t="str">
        <f t="shared" si="8"/>
        <v/>
      </c>
      <c r="D108" s="9" t="str">
        <f>IF(A108="","",C108-(子基金及业绩基准周净值!AG126/子基金及业绩基准周净值!AG125-1))</f>
        <v/>
      </c>
      <c r="E108" s="12" t="str">
        <f>IF(A108="","",(MAX(B$3:B108)-B108)/MAX(B$3:B108))</f>
        <v/>
      </c>
      <c r="F108" s="12" t="str">
        <f>IF(A108="","",MAX(E$4:E108))</f>
        <v/>
      </c>
      <c r="G108" s="17" t="str">
        <f>IF(A108="","",MAX(FREQUENCY(IF($D$3:D108&lt;0,ROW($D$3:D108)),IF($D$3:D108&gt;=0,ROW($D$3:D108)))))</f>
        <v/>
      </c>
      <c r="H108" s="14" t="str">
        <f t="shared" si="9"/>
        <v/>
      </c>
      <c r="I108" s="14" t="str">
        <f t="shared" si="6"/>
        <v/>
      </c>
      <c r="J108" s="15" t="str">
        <f t="shared" si="7"/>
        <v/>
      </c>
    </row>
    <row r="109" spans="1:10">
      <c r="A109" s="7" t="str">
        <f>IF(子基金及业绩基准周净值!A127="","",子基金及业绩基准周净值!A127)</f>
        <v/>
      </c>
      <c r="B109" s="1" t="str">
        <f>IF(A109="","",VLOOKUP($A109,子基金及业绩基准周净值!$A:$AV,7))</f>
        <v/>
      </c>
      <c r="C109" s="8" t="str">
        <f t="shared" si="8"/>
        <v/>
      </c>
      <c r="D109" s="9" t="str">
        <f>IF(A109="","",C109-(子基金及业绩基准周净值!AG127/子基金及业绩基准周净值!AG126-1))</f>
        <v/>
      </c>
      <c r="E109" s="12" t="str">
        <f>IF(A109="","",(MAX(B$3:B109)-B109)/MAX(B$3:B109))</f>
        <v/>
      </c>
      <c r="F109" s="12" t="str">
        <f>IF(A109="","",MAX(E$4:E109))</f>
        <v/>
      </c>
      <c r="G109" s="17" t="str">
        <f>IF(A109="","",MAX(FREQUENCY(IF($D$3:D109&lt;0,ROW($D$3:D109)),IF($D$3:D109&gt;=0,ROW($D$3:D109)))))</f>
        <v/>
      </c>
      <c r="H109" s="14" t="str">
        <f t="shared" si="9"/>
        <v/>
      </c>
      <c r="I109" s="14" t="str">
        <f t="shared" si="6"/>
        <v/>
      </c>
      <c r="J109" s="15" t="str">
        <f t="shared" si="7"/>
        <v/>
      </c>
    </row>
    <row r="110" spans="1:10">
      <c r="A110" s="7" t="str">
        <f>IF(子基金及业绩基准周净值!A128="","",子基金及业绩基准周净值!A128)</f>
        <v/>
      </c>
      <c r="B110" s="1" t="str">
        <f>IF(A110="","",VLOOKUP($A110,子基金及业绩基准周净值!$A:$AV,7))</f>
        <v/>
      </c>
      <c r="C110" s="8" t="str">
        <f t="shared" si="8"/>
        <v/>
      </c>
      <c r="D110" s="9" t="str">
        <f>IF(A110="","",C110-(子基金及业绩基准周净值!AG128/子基金及业绩基准周净值!AG127-1))</f>
        <v/>
      </c>
      <c r="E110" s="12" t="str">
        <f>IF(A110="","",(MAX(B$3:B110)-B110)/MAX(B$3:B110))</f>
        <v/>
      </c>
      <c r="F110" s="12" t="str">
        <f>IF(A110="","",MAX(E$4:E110))</f>
        <v/>
      </c>
      <c r="G110" s="17" t="str">
        <f>IF(A110="","",MAX(FREQUENCY(IF($D$3:D110&lt;0,ROW($D$3:D110)),IF($D$3:D110&gt;=0,ROW($D$3:D110)))))</f>
        <v/>
      </c>
      <c r="H110" s="14" t="str">
        <f t="shared" si="9"/>
        <v/>
      </c>
      <c r="I110" s="14" t="str">
        <f t="shared" si="6"/>
        <v/>
      </c>
      <c r="J110" s="15" t="str">
        <f t="shared" si="7"/>
        <v/>
      </c>
    </row>
    <row r="111" spans="1:10">
      <c r="A111" s="7" t="str">
        <f>IF(子基金及业绩基准周净值!A129="","",子基金及业绩基准周净值!A129)</f>
        <v/>
      </c>
      <c r="B111" s="1" t="str">
        <f>IF(A111="","",VLOOKUP($A111,子基金及业绩基准周净值!$A:$AV,7))</f>
        <v/>
      </c>
      <c r="C111" s="8" t="str">
        <f t="shared" si="8"/>
        <v/>
      </c>
      <c r="D111" s="9" t="str">
        <f>IF(A111="","",C111-(子基金及业绩基准周净值!AG129/子基金及业绩基准周净值!AG128-1))</f>
        <v/>
      </c>
      <c r="E111" s="12" t="str">
        <f>IF(A111="","",(MAX(B$3:B111)-B111)/MAX(B$3:B111))</f>
        <v/>
      </c>
      <c r="F111" s="12" t="str">
        <f>IF(A111="","",MAX(E$4:E111))</f>
        <v/>
      </c>
      <c r="G111" s="17" t="str">
        <f>IF(A111="","",MAX(FREQUENCY(IF($D$3:D111&lt;0,ROW($D$3:D111)),IF($D$3:D111&gt;=0,ROW($D$3:D111)))))</f>
        <v/>
      </c>
      <c r="H111" s="14" t="str">
        <f t="shared" si="9"/>
        <v/>
      </c>
      <c r="I111" s="14" t="str">
        <f t="shared" si="6"/>
        <v/>
      </c>
      <c r="J111" s="15" t="str">
        <f t="shared" si="7"/>
        <v/>
      </c>
    </row>
    <row r="112" spans="1:10">
      <c r="A112" s="7" t="str">
        <f>IF(子基金及业绩基准周净值!A130="","",子基金及业绩基准周净值!A130)</f>
        <v/>
      </c>
      <c r="B112" s="1" t="str">
        <f>IF(A112="","",VLOOKUP($A112,子基金及业绩基准周净值!$A:$AV,7))</f>
        <v/>
      </c>
      <c r="C112" s="8" t="str">
        <f t="shared" si="8"/>
        <v/>
      </c>
      <c r="D112" s="9" t="str">
        <f>IF(A112="","",C112-(子基金及业绩基准周净值!AG130/子基金及业绩基准周净值!AG129-1))</f>
        <v/>
      </c>
      <c r="E112" s="12" t="str">
        <f>IF(A112="","",(MAX(B$3:B112)-B112)/MAX(B$3:B112))</f>
        <v/>
      </c>
      <c r="F112" s="12" t="str">
        <f>IF(A112="","",MAX(E$4:E112))</f>
        <v/>
      </c>
      <c r="G112" s="17" t="str">
        <f>IF(A112="","",MAX(FREQUENCY(IF($D$3:D112&lt;0,ROW($D$3:D112)),IF($D$3:D112&gt;=0,ROW($D$3:D112)))))</f>
        <v/>
      </c>
      <c r="H112" s="14" t="str">
        <f t="shared" si="9"/>
        <v/>
      </c>
      <c r="I112" s="14" t="str">
        <f t="shared" si="6"/>
        <v/>
      </c>
      <c r="J112" s="15" t="str">
        <f t="shared" si="7"/>
        <v/>
      </c>
    </row>
    <row r="113" spans="1:10">
      <c r="A113" s="7" t="str">
        <f>IF(子基金及业绩基准周净值!A131="","",子基金及业绩基准周净值!A131)</f>
        <v/>
      </c>
      <c r="B113" s="1" t="str">
        <f>IF(A113="","",VLOOKUP($A113,子基金及业绩基准周净值!$A:$AV,7))</f>
        <v/>
      </c>
      <c r="C113" s="8" t="str">
        <f t="shared" si="8"/>
        <v/>
      </c>
      <c r="D113" s="9" t="str">
        <f>IF(A113="","",C113-(子基金及业绩基准周净值!AG131/子基金及业绩基准周净值!AG130-1))</f>
        <v/>
      </c>
      <c r="E113" s="12" t="str">
        <f>IF(A113="","",(MAX(B$3:B113)-B113)/MAX(B$3:B113))</f>
        <v/>
      </c>
      <c r="F113" s="12" t="str">
        <f>IF(A113="","",MAX(E$4:E113))</f>
        <v/>
      </c>
      <c r="G113" s="17" t="str">
        <f>IF(A113="","",MAX(FREQUENCY(IF($D$3:D113&lt;0,ROW($D$3:D113)),IF($D$3:D113&gt;=0,ROW($D$3:D113)))))</f>
        <v/>
      </c>
      <c r="H113" s="14" t="str">
        <f t="shared" si="9"/>
        <v/>
      </c>
      <c r="I113" s="14" t="str">
        <f t="shared" si="6"/>
        <v/>
      </c>
      <c r="J113" s="15" t="str">
        <f t="shared" si="7"/>
        <v/>
      </c>
    </row>
    <row r="114" spans="1:10">
      <c r="A114" s="7" t="str">
        <f>IF(子基金及业绩基准周净值!A132="","",子基金及业绩基准周净值!A132)</f>
        <v/>
      </c>
      <c r="B114" s="1" t="str">
        <f>IF(A114="","",VLOOKUP($A114,子基金及业绩基准周净值!$A:$AV,7))</f>
        <v/>
      </c>
      <c r="C114" s="8" t="str">
        <f t="shared" si="8"/>
        <v/>
      </c>
      <c r="D114" s="9" t="str">
        <f>IF(A114="","",C114-(子基金及业绩基准周净值!AG132/子基金及业绩基准周净值!AG131-1))</f>
        <v/>
      </c>
      <c r="E114" s="12" t="str">
        <f>IF(A114="","",(MAX(B$3:B114)-B114)/MAX(B$3:B114))</f>
        <v/>
      </c>
      <c r="F114" s="12" t="str">
        <f>IF(A114="","",MAX(E$4:E114))</f>
        <v/>
      </c>
      <c r="G114" s="17" t="str">
        <f>IF(A114="","",MAX(FREQUENCY(IF($D$3:D114&lt;0,ROW($D$3:D114)),IF($D$3:D114&gt;=0,ROW($D$3:D114)))))</f>
        <v/>
      </c>
      <c r="H114" s="14" t="str">
        <f t="shared" si="9"/>
        <v/>
      </c>
      <c r="I114" s="14" t="str">
        <f t="shared" si="6"/>
        <v/>
      </c>
      <c r="J114" s="15" t="str">
        <f t="shared" si="7"/>
        <v/>
      </c>
    </row>
    <row r="115" spans="1:10">
      <c r="A115" s="7" t="str">
        <f>IF(子基金及业绩基准周净值!A133="","",子基金及业绩基准周净值!A133)</f>
        <v/>
      </c>
      <c r="B115" s="1" t="str">
        <f>IF(A115="","",VLOOKUP($A115,子基金及业绩基准周净值!$A:$AV,7))</f>
        <v/>
      </c>
      <c r="C115" s="8" t="str">
        <f t="shared" si="8"/>
        <v/>
      </c>
      <c r="D115" s="9" t="str">
        <f>IF(A115="","",C115-(子基金及业绩基准周净值!AG133/子基金及业绩基准周净值!AG132-1))</f>
        <v/>
      </c>
      <c r="E115" s="12" t="str">
        <f>IF(A115="","",(MAX(B$3:B115)-B115)/MAX(B$3:B115))</f>
        <v/>
      </c>
      <c r="F115" s="12" t="str">
        <f>IF(A115="","",MAX(E$4:E115))</f>
        <v/>
      </c>
      <c r="G115" s="17" t="str">
        <f>IF(A115="","",MAX(FREQUENCY(IF($D$3:D115&lt;0,ROW($D$3:D115)),IF($D$3:D115&gt;=0,ROW($D$3:D115)))))</f>
        <v/>
      </c>
      <c r="H115" s="14" t="str">
        <f t="shared" si="9"/>
        <v/>
      </c>
      <c r="I115" s="14" t="str">
        <f t="shared" si="6"/>
        <v/>
      </c>
      <c r="J115" s="15" t="str">
        <f t="shared" si="7"/>
        <v/>
      </c>
    </row>
    <row r="116" spans="1:10">
      <c r="A116" s="7" t="str">
        <f>IF(子基金及业绩基准周净值!A134="","",子基金及业绩基准周净值!A134)</f>
        <v/>
      </c>
      <c r="B116" s="1" t="str">
        <f>IF(A116="","",VLOOKUP($A116,子基金及业绩基准周净值!$A:$AV,7))</f>
        <v/>
      </c>
      <c r="C116" s="8" t="str">
        <f t="shared" si="8"/>
        <v/>
      </c>
      <c r="D116" s="9" t="str">
        <f>IF(A116="","",C116-(子基金及业绩基准周净值!AG134/子基金及业绩基准周净值!AG133-1))</f>
        <v/>
      </c>
      <c r="E116" s="12" t="str">
        <f>IF(A116="","",(MAX(B$3:B116)-B116)/MAX(B$3:B116))</f>
        <v/>
      </c>
      <c r="F116" s="12" t="str">
        <f>IF(A116="","",MAX(E$4:E116))</f>
        <v/>
      </c>
      <c r="G116" s="17" t="str">
        <f>IF(A116="","",MAX(FREQUENCY(IF($D$3:D116&lt;0,ROW($D$3:D116)),IF($D$3:D116&gt;=0,ROW($D$3:D116)))))</f>
        <v/>
      </c>
      <c r="H116" s="14" t="str">
        <f t="shared" si="9"/>
        <v/>
      </c>
      <c r="I116" s="14" t="str">
        <f t="shared" si="6"/>
        <v/>
      </c>
      <c r="J116" s="15" t="str">
        <f t="shared" si="7"/>
        <v/>
      </c>
    </row>
    <row r="117" spans="1:10">
      <c r="A117" s="7" t="str">
        <f>IF(子基金及业绩基准周净值!A135="","",子基金及业绩基准周净值!A135)</f>
        <v/>
      </c>
      <c r="B117" s="1" t="str">
        <f>IF(A117="","",VLOOKUP($A117,子基金及业绩基准周净值!$A:$AV,7))</f>
        <v/>
      </c>
      <c r="C117" s="8" t="str">
        <f t="shared" si="8"/>
        <v/>
      </c>
      <c r="D117" s="9" t="str">
        <f>IF(A117="","",C117-(子基金及业绩基准周净值!AG135/子基金及业绩基准周净值!AG134-1))</f>
        <v/>
      </c>
      <c r="E117" s="12" t="str">
        <f>IF(A117="","",(MAX(B$3:B117)-B117)/MAX(B$3:B117))</f>
        <v/>
      </c>
      <c r="F117" s="12" t="str">
        <f>IF(A117="","",MAX(E$4:E117))</f>
        <v/>
      </c>
      <c r="G117" s="17" t="str">
        <f>IF(A117="","",MAX(FREQUENCY(IF($D$3:D117&lt;0,ROW($D$3:D117)),IF($D$3:D117&gt;=0,ROW($D$3:D117)))))</f>
        <v/>
      </c>
      <c r="H117" s="14" t="str">
        <f t="shared" si="9"/>
        <v/>
      </c>
      <c r="I117" s="14" t="str">
        <f t="shared" si="6"/>
        <v/>
      </c>
      <c r="J117" s="15" t="str">
        <f t="shared" si="7"/>
        <v/>
      </c>
    </row>
    <row r="118" spans="1:10">
      <c r="A118" s="7" t="str">
        <f>IF(子基金及业绩基准周净值!A136="","",子基金及业绩基准周净值!A136)</f>
        <v/>
      </c>
      <c r="B118" s="1" t="str">
        <f>IF(A118="","",VLOOKUP($A118,子基金及业绩基准周净值!$A:$AV,7))</f>
        <v/>
      </c>
      <c r="C118" s="8" t="str">
        <f t="shared" si="8"/>
        <v/>
      </c>
      <c r="D118" s="9" t="str">
        <f>IF(A118="","",C118-(子基金及业绩基准周净值!AG136/子基金及业绩基准周净值!AG135-1))</f>
        <v/>
      </c>
      <c r="E118" s="12" t="str">
        <f>IF(A118="","",(MAX(B$3:B118)-B118)/MAX(B$3:B118))</f>
        <v/>
      </c>
      <c r="F118" s="12" t="str">
        <f>IF(A118="","",MAX(E$4:E118))</f>
        <v/>
      </c>
      <c r="G118" s="17" t="str">
        <f>IF(A118="","",MAX(FREQUENCY(IF($D$3:D118&lt;0,ROW($D$3:D118)),IF($D$3:D118&gt;=0,ROW($D$3:D118)))))</f>
        <v/>
      </c>
      <c r="H118" s="14" t="str">
        <f t="shared" si="9"/>
        <v/>
      </c>
      <c r="I118" s="14" t="str">
        <f t="shared" si="6"/>
        <v/>
      </c>
      <c r="J118" s="15" t="str">
        <f t="shared" si="7"/>
        <v/>
      </c>
    </row>
    <row r="119" spans="1:10">
      <c r="A119" s="7" t="str">
        <f>IF(子基金及业绩基准周净值!A137="","",子基金及业绩基准周净值!A137)</f>
        <v/>
      </c>
      <c r="B119" s="1" t="str">
        <f>IF(A119="","",VLOOKUP($A119,子基金及业绩基准周净值!$A:$AV,7))</f>
        <v/>
      </c>
      <c r="C119" s="8" t="str">
        <f t="shared" si="8"/>
        <v/>
      </c>
      <c r="D119" s="9" t="str">
        <f>IF(A119="","",C119-(子基金及业绩基准周净值!AG137/子基金及业绩基准周净值!AG136-1))</f>
        <v/>
      </c>
      <c r="E119" s="12" t="str">
        <f>IF(A119="","",(MAX(B$3:B119)-B119)/MAX(B$3:B119))</f>
        <v/>
      </c>
      <c r="F119" s="12" t="str">
        <f>IF(A119="","",MAX(E$4:E119))</f>
        <v/>
      </c>
      <c r="G119" s="17" t="str">
        <f>IF(A119="","",MAX(FREQUENCY(IF($D$3:D119&lt;0,ROW($D$3:D119)),IF($D$3:D119&gt;=0,ROW($D$3:D119)))))</f>
        <v/>
      </c>
      <c r="H119" s="14" t="str">
        <f t="shared" si="9"/>
        <v/>
      </c>
      <c r="I119" s="14" t="str">
        <f t="shared" si="6"/>
        <v/>
      </c>
      <c r="J119" s="15" t="str">
        <f t="shared" si="7"/>
        <v/>
      </c>
    </row>
    <row r="120" spans="1:10">
      <c r="A120" s="7" t="str">
        <f>IF(子基金及业绩基准周净值!A138="","",子基金及业绩基准周净值!A138)</f>
        <v/>
      </c>
      <c r="B120" s="1" t="str">
        <f>IF(A120="","",VLOOKUP($A120,子基金及业绩基准周净值!$A:$AV,7))</f>
        <v/>
      </c>
      <c r="C120" s="8" t="str">
        <f t="shared" si="8"/>
        <v/>
      </c>
      <c r="D120" s="9" t="str">
        <f>IF(A120="","",C120-(子基金及业绩基准周净值!AG138/子基金及业绩基准周净值!AG137-1))</f>
        <v/>
      </c>
      <c r="E120" s="12" t="str">
        <f>IF(A120="","",(MAX(B$3:B120)-B120)/MAX(B$3:B120))</f>
        <v/>
      </c>
      <c r="F120" s="12" t="str">
        <f>IF(A120="","",MAX(E$4:E120))</f>
        <v/>
      </c>
      <c r="G120" s="17" t="str">
        <f>IF(A120="","",MAX(FREQUENCY(IF($D$3:D120&lt;0,ROW($D$3:D120)),IF($D$3:D120&gt;=0,ROW($D$3:D120)))))</f>
        <v/>
      </c>
      <c r="H120" s="14" t="str">
        <f t="shared" si="9"/>
        <v/>
      </c>
      <c r="I120" s="14" t="str">
        <f t="shared" si="6"/>
        <v/>
      </c>
      <c r="J120" s="15" t="str">
        <f t="shared" si="7"/>
        <v/>
      </c>
    </row>
    <row r="121" spans="1:10">
      <c r="A121" s="7" t="str">
        <f>IF(子基金及业绩基准周净值!A139="","",子基金及业绩基准周净值!A139)</f>
        <v/>
      </c>
      <c r="B121" s="1" t="str">
        <f>IF(A121="","",VLOOKUP($A121,子基金及业绩基准周净值!$A:$AV,7))</f>
        <v/>
      </c>
      <c r="C121" s="8" t="str">
        <f t="shared" si="8"/>
        <v/>
      </c>
      <c r="D121" s="9" t="str">
        <f>IF(A121="","",C121-(子基金及业绩基准周净值!AG139/子基金及业绩基准周净值!AG138-1))</f>
        <v/>
      </c>
      <c r="E121" s="12" t="str">
        <f>IF(A121="","",(MAX(B$3:B121)-B121)/MAX(B$3:B121))</f>
        <v/>
      </c>
      <c r="F121" s="12" t="str">
        <f>IF(A121="","",MAX(E$4:E121))</f>
        <v/>
      </c>
      <c r="G121" s="17" t="str">
        <f>IF(A121="","",MAX(FREQUENCY(IF($D$3:D121&lt;0,ROW($D$3:D121)),IF($D$3:D121&gt;=0,ROW($D$3:D121)))))</f>
        <v/>
      </c>
      <c r="H121" s="14" t="str">
        <f t="shared" si="9"/>
        <v/>
      </c>
      <c r="I121" s="14" t="str">
        <f t="shared" si="6"/>
        <v/>
      </c>
      <c r="J121" s="15" t="str">
        <f t="shared" si="7"/>
        <v/>
      </c>
    </row>
    <row r="122" spans="1:10">
      <c r="A122" s="7" t="str">
        <f>IF(子基金及业绩基准周净值!A140="","",子基金及业绩基准周净值!A140)</f>
        <v/>
      </c>
      <c r="B122" s="1" t="str">
        <f>IF(A122="","",VLOOKUP($A122,子基金及业绩基准周净值!$A:$AV,7))</f>
        <v/>
      </c>
      <c r="C122" s="8" t="str">
        <f t="shared" si="8"/>
        <v/>
      </c>
      <c r="D122" s="9" t="str">
        <f>IF(A122="","",C122-(子基金及业绩基准周净值!AG140/子基金及业绩基准周净值!AG139-1))</f>
        <v/>
      </c>
      <c r="E122" s="12" t="str">
        <f>IF(A122="","",(MAX(B$3:B122)-B122)/MAX(B$3:B122))</f>
        <v/>
      </c>
      <c r="F122" s="12" t="str">
        <f>IF(A122="","",MAX(E$4:E122))</f>
        <v/>
      </c>
      <c r="G122" s="17" t="str">
        <f>IF(A122="","",MAX(FREQUENCY(IF($D$3:D122&lt;0,ROW($D$3:D122)),IF($D$3:D122&gt;=0,ROW($D$3:D122)))))</f>
        <v/>
      </c>
      <c r="H122" s="14" t="str">
        <f t="shared" si="9"/>
        <v/>
      </c>
      <c r="I122" s="14" t="str">
        <f t="shared" si="6"/>
        <v/>
      </c>
      <c r="J122" s="15" t="str">
        <f t="shared" si="7"/>
        <v/>
      </c>
    </row>
    <row r="123" spans="1:10">
      <c r="A123" s="7" t="str">
        <f>IF(子基金及业绩基准周净值!A141="","",子基金及业绩基准周净值!A141)</f>
        <v/>
      </c>
      <c r="B123" s="1" t="str">
        <f>IF(A123="","",VLOOKUP($A123,子基金及业绩基准周净值!$A:$AV,7))</f>
        <v/>
      </c>
      <c r="C123" s="8" t="str">
        <f t="shared" si="8"/>
        <v/>
      </c>
      <c r="D123" s="9" t="str">
        <f>IF(A123="","",C123-(子基金及业绩基准周净值!AG141/子基金及业绩基准周净值!AG140-1))</f>
        <v/>
      </c>
      <c r="E123" s="12" t="str">
        <f>IF(A123="","",(MAX(B$3:B123)-B123)/MAX(B$3:B123))</f>
        <v/>
      </c>
      <c r="F123" s="12" t="str">
        <f>IF(A123="","",MAX(E$4:E123))</f>
        <v/>
      </c>
      <c r="G123" s="17" t="str">
        <f>IF(A123="","",MAX(FREQUENCY(IF($D$3:D123&lt;0,ROW($D$3:D123)),IF($D$3:D123&gt;=0,ROW($D$3:D123)))))</f>
        <v/>
      </c>
      <c r="H123" s="14" t="str">
        <f t="shared" si="9"/>
        <v/>
      </c>
      <c r="I123" s="14" t="str">
        <f t="shared" si="6"/>
        <v/>
      </c>
      <c r="J123" s="15" t="str">
        <f t="shared" si="7"/>
        <v/>
      </c>
    </row>
    <row r="124" spans="1:10">
      <c r="A124" s="7" t="str">
        <f>IF(子基金及业绩基准周净值!A142="","",子基金及业绩基准周净值!A142)</f>
        <v/>
      </c>
      <c r="B124" s="1" t="str">
        <f>IF(A124="","",VLOOKUP($A124,子基金及业绩基准周净值!$A:$AV,7))</f>
        <v/>
      </c>
      <c r="C124" s="8" t="str">
        <f t="shared" si="8"/>
        <v/>
      </c>
      <c r="D124" s="9" t="str">
        <f>IF(A124="","",C124-(子基金及业绩基准周净值!AG142/子基金及业绩基准周净值!AG141-1))</f>
        <v/>
      </c>
      <c r="E124" s="12" t="str">
        <f>IF(A124="","",(MAX(B$3:B124)-B124)/MAX(B$3:B124))</f>
        <v/>
      </c>
      <c r="F124" s="12" t="str">
        <f>IF(A124="","",MAX(E$4:E124))</f>
        <v/>
      </c>
      <c r="G124" s="17" t="str">
        <f>IF(A124="","",MAX(FREQUENCY(IF($D$3:D124&lt;0,ROW($D$3:D124)),IF($D$3:D124&gt;=0,ROW($D$3:D124)))))</f>
        <v/>
      </c>
      <c r="H124" s="14" t="str">
        <f t="shared" si="9"/>
        <v/>
      </c>
      <c r="I124" s="14" t="str">
        <f t="shared" si="6"/>
        <v/>
      </c>
      <c r="J124" s="15" t="str">
        <f t="shared" si="7"/>
        <v/>
      </c>
    </row>
    <row r="125" spans="1:10">
      <c r="A125" s="7" t="str">
        <f>IF(子基金及业绩基准周净值!A143="","",子基金及业绩基准周净值!A143)</f>
        <v/>
      </c>
      <c r="B125" s="1" t="str">
        <f>IF(A125="","",VLOOKUP($A125,子基金及业绩基准周净值!$A:$AV,7))</f>
        <v/>
      </c>
      <c r="C125" s="8" t="str">
        <f t="shared" si="8"/>
        <v/>
      </c>
      <c r="D125" s="9" t="str">
        <f>IF(A125="","",C125-(子基金及业绩基准周净值!AG143/子基金及业绩基准周净值!AG142-1))</f>
        <v/>
      </c>
      <c r="E125" s="12" t="str">
        <f>IF(A125="","",(MAX(B$3:B125)-B125)/MAX(B$3:B125))</f>
        <v/>
      </c>
      <c r="F125" s="12" t="str">
        <f>IF(A125="","",MAX(E$4:E125))</f>
        <v/>
      </c>
      <c r="G125" s="17" t="str">
        <f>IF(A125="","",MAX(FREQUENCY(IF($D$3:D125&lt;0,ROW($D$3:D125)),IF($D$3:D125&gt;=0,ROW($D$3:D125)))))</f>
        <v/>
      </c>
      <c r="H125" s="14" t="str">
        <f t="shared" si="9"/>
        <v/>
      </c>
      <c r="I125" s="14" t="str">
        <f t="shared" si="6"/>
        <v/>
      </c>
      <c r="J125" s="15" t="str">
        <f t="shared" si="7"/>
        <v/>
      </c>
    </row>
    <row r="126" spans="1:10">
      <c r="A126" s="7" t="str">
        <f>IF(子基金及业绩基准周净值!A144="","",子基金及业绩基准周净值!A144)</f>
        <v/>
      </c>
      <c r="B126" s="1" t="str">
        <f>IF(A126="","",VLOOKUP($A126,子基金及业绩基准周净值!$A:$AV,7))</f>
        <v/>
      </c>
      <c r="C126" s="8" t="str">
        <f t="shared" si="8"/>
        <v/>
      </c>
      <c r="D126" s="9" t="str">
        <f>IF(A126="","",C126-(子基金及业绩基准周净值!AG144/子基金及业绩基准周净值!AG143-1))</f>
        <v/>
      </c>
      <c r="E126" s="12" t="str">
        <f>IF(A126="","",(MAX(B$3:B126)-B126)/MAX(B$3:B126))</f>
        <v/>
      </c>
      <c r="F126" s="12" t="str">
        <f>IF(A126="","",MAX(E$4:E126))</f>
        <v/>
      </c>
      <c r="G126" s="17" t="str">
        <f>IF(A126="","",MAX(FREQUENCY(IF($D$3:D126&lt;0,ROW($D$3:D126)),IF($D$3:D126&gt;=0,ROW($D$3:D126)))))</f>
        <v/>
      </c>
      <c r="H126" s="14" t="str">
        <f t="shared" si="9"/>
        <v/>
      </c>
      <c r="I126" s="14" t="str">
        <f t="shared" si="6"/>
        <v/>
      </c>
      <c r="J126" s="15" t="str">
        <f t="shared" si="7"/>
        <v/>
      </c>
    </row>
    <row r="127" spans="1:10">
      <c r="A127" s="7" t="str">
        <f>IF(子基金及业绩基准周净值!A145="","",子基金及业绩基准周净值!A145)</f>
        <v/>
      </c>
      <c r="B127" s="1" t="str">
        <f>IF(A127="","",VLOOKUP($A127,子基金及业绩基准周净值!$A:$AV,7))</f>
        <v/>
      </c>
      <c r="C127" s="8" t="str">
        <f t="shared" si="8"/>
        <v/>
      </c>
      <c r="D127" s="9" t="str">
        <f>IF(A127="","",C127-(子基金及业绩基准周净值!AG145/子基金及业绩基准周净值!AG144-1))</f>
        <v/>
      </c>
      <c r="E127" s="12" t="str">
        <f>IF(A127="","",(MAX(B$3:B127)-B127)/MAX(B$3:B127))</f>
        <v/>
      </c>
      <c r="F127" s="12" t="str">
        <f>IF(A127="","",MAX(E$4:E127))</f>
        <v/>
      </c>
      <c r="G127" s="17" t="str">
        <f>IF(A127="","",MAX(FREQUENCY(IF($D$3:D127&lt;0,ROW($D$3:D127)),IF($D$3:D127&gt;=0,ROW($D$3:D127)))))</f>
        <v/>
      </c>
      <c r="H127" s="14" t="str">
        <f t="shared" si="9"/>
        <v/>
      </c>
      <c r="I127" s="14" t="str">
        <f t="shared" si="6"/>
        <v/>
      </c>
      <c r="J127" s="15" t="str">
        <f t="shared" si="7"/>
        <v/>
      </c>
    </row>
  </sheetData>
  <conditionalFormatting sqref="H4:H127">
    <cfRule type="containsText" dxfId="0" priority="1" operator="between" text="是">
      <formula>NOT(ISERROR(SEARCH("是",H4)))</formula>
    </cfRule>
  </conditionalFormatting>
  <conditionalFormatting sqref="J3:J127">
    <cfRule type="containsText" dxfId="0" priority="3" operator="between" text="是">
      <formula>NOT(ISERROR(SEARCH("是",J3)))</formula>
    </cfRule>
  </conditionalFormatting>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127"/>
  <sheetViews>
    <sheetView topLeftCell="A26" workbookViewId="0">
      <selection activeCell="G55" sqref="G55"/>
    </sheetView>
  </sheetViews>
  <sheetFormatPr defaultColWidth="9" defaultRowHeight="16.8"/>
  <cols>
    <col min="1" max="1" width="11.625" style="1" customWidth="1"/>
    <col min="2" max="2" width="23.25" style="1" customWidth="1"/>
    <col min="3" max="3" width="10.25" style="1" customWidth="1"/>
    <col min="4" max="4" width="10.25" style="3" customWidth="1"/>
    <col min="5"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3">
        <v>4</v>
      </c>
      <c r="F1" s="1">
        <v>5</v>
      </c>
      <c r="G1" s="1">
        <v>6</v>
      </c>
      <c r="H1" s="1">
        <v>7</v>
      </c>
      <c r="I1" s="1">
        <v>8</v>
      </c>
      <c r="J1" s="1">
        <v>9</v>
      </c>
      <c r="K1" s="1">
        <v>10</v>
      </c>
    </row>
    <row r="2" ht="16.5" customHeight="1" spans="1:11">
      <c r="A2" s="4" t="s">
        <v>2</v>
      </c>
      <c r="B2" s="4" t="s">
        <v>47</v>
      </c>
      <c r="C2" s="5" t="s">
        <v>310</v>
      </c>
      <c r="D2" s="6" t="s">
        <v>311</v>
      </c>
      <c r="F2" s="5" t="s">
        <v>22</v>
      </c>
      <c r="G2" s="10" t="s">
        <v>312</v>
      </c>
      <c r="H2" s="11" t="s">
        <v>313</v>
      </c>
      <c r="I2" s="11" t="s">
        <v>314</v>
      </c>
      <c r="J2" s="15" t="s">
        <v>315</v>
      </c>
      <c r="K2" s="5" t="s">
        <v>316</v>
      </c>
    </row>
    <row r="3" spans="1:9">
      <c r="A3" s="7">
        <f>IF(子基金及业绩基准周净值!A21="","",子基金及业绩基准周净值!A21)</f>
        <v>45590</v>
      </c>
      <c r="B3" s="1">
        <f>IF(A3="","",VLOOKUP($A3,子基金及业绩基准周净值!$A:$AV,10))</f>
        <v>0.9951</v>
      </c>
      <c r="C3" s="8"/>
      <c r="F3" s="12"/>
      <c r="H3" s="14"/>
      <c r="I3" s="14"/>
    </row>
    <row r="4" spans="1:10">
      <c r="A4" s="7">
        <f>IF(子基金及业绩基准周净值!A22="","",子基金及业绩基准周净值!A22)</f>
        <v>45597</v>
      </c>
      <c r="B4" s="1">
        <f>IF(A4="","",VLOOKUP($A4,子基金及业绩基准周净值!$A:$AV,10))</f>
        <v>0.9974</v>
      </c>
      <c r="C4" s="8">
        <f>IF(A4="","",(B4-B3)/B3)</f>
        <v>0.0023113254949251</v>
      </c>
      <c r="D4" s="9">
        <f>IF(A4="","",C4-(子基金及业绩基准周净值!AG22/子基金及业绩基准周净值!AG21-1))</f>
        <v>0.00498430791826168</v>
      </c>
      <c r="E4" s="12">
        <f>IF(A4="","",(MAX(B$3:B4)-B4)/MAX(B$3:B4))</f>
        <v>0</v>
      </c>
      <c r="F4" s="12">
        <f>IF(A4="","",MAX(E$4:E4))</f>
        <v>0</v>
      </c>
      <c r="G4" s="17">
        <v>0</v>
      </c>
      <c r="H4" s="14" t="str">
        <f>IF(B4="","",IF(C4&lt;-3%,"是","否"))</f>
        <v>否</v>
      </c>
      <c r="I4" s="14" t="str">
        <f>IF(A4="","",IF(F4&gt;5%,"是","否"))</f>
        <v>否</v>
      </c>
      <c r="J4" s="15" t="str">
        <f>IF(A4="","",IF(G4&gt;=4,"是","否"))</f>
        <v>否</v>
      </c>
    </row>
    <row r="5" spans="1:10">
      <c r="A5" s="7">
        <f>IF(子基金及业绩基准周净值!A23="","",子基金及业绩基准周净值!A23)</f>
        <v>45604</v>
      </c>
      <c r="B5" s="1">
        <f>IF(A5="","",VLOOKUP($A5,子基金及业绩基准周净值!$A:$AV,10))</f>
        <v>0.9976</v>
      </c>
      <c r="C5" s="8">
        <f>IF(A5="","",(B5-B4)/B4)</f>
        <v>0.000200521355524453</v>
      </c>
      <c r="D5" s="9">
        <f>IF(A5="","",C5-(子基金及业绩基准周净值!AG23/子基金及业绩基准周净值!AG22-1))</f>
        <v>-0.010415728165995</v>
      </c>
      <c r="E5" s="12">
        <f>IF(A5="","",(MAX(B$3:B5)-B5)/MAX(B$3:B5))</f>
        <v>0</v>
      </c>
      <c r="F5" s="12">
        <f>IF(A5="","",MAX(E$4:E5))</f>
        <v>0</v>
      </c>
      <c r="G5" s="17">
        <v>1</v>
      </c>
      <c r="H5" s="14" t="str">
        <f t="shared" ref="H5:H36" si="0">IF(B5="","",IF(C5&lt;-3%,"是","否"))</f>
        <v>否</v>
      </c>
      <c r="I5" s="14" t="str">
        <f t="shared" ref="I5:I68" si="1">IF(A5="","",IF(F5&gt;5%,"是","否"))</f>
        <v>否</v>
      </c>
      <c r="J5" s="15" t="str">
        <f t="shared" ref="J5:J68" si="2">IF(A5="","",IF(G5&gt;=4,"是","否"))</f>
        <v>否</v>
      </c>
    </row>
    <row r="6" spans="1:10">
      <c r="A6" s="7">
        <f>IF(子基金及业绩基准周净值!A24="","",子基金及业绩基准周净值!A24)</f>
        <v>45611</v>
      </c>
      <c r="B6" s="1">
        <f>IF(A6="","",VLOOKUP($A6,子基金及业绩基准周净值!$A:$AV,10))</f>
        <v>0.9942</v>
      </c>
      <c r="C6" s="8">
        <f t="shared" ref="C6:C69" si="3">IF(A6="","",(B6-B5)/B5)</f>
        <v>-0.00340817963111474</v>
      </c>
      <c r="D6" s="9">
        <f>IF(A6="","",C6-(子基金及业绩基准周净值!AG24/子基金及业绩基准周净值!AG23-1))</f>
        <v>-0.00439305410979098</v>
      </c>
      <c r="E6" s="12">
        <f>IF(A6="","",(MAX(B$3:B6)-B6)/MAX(B$3:B6))</f>
        <v>0.00340817963111474</v>
      </c>
      <c r="F6" s="12">
        <f>IF(A6="","",MAX(E$4:E6))</f>
        <v>0.00340817963111474</v>
      </c>
      <c r="G6" s="17">
        <v>2</v>
      </c>
      <c r="H6" s="14" t="str">
        <f t="shared" si="0"/>
        <v>否</v>
      </c>
      <c r="I6" s="14" t="str">
        <f t="shared" si="1"/>
        <v>否</v>
      </c>
      <c r="J6" s="15" t="str">
        <f t="shared" si="2"/>
        <v>否</v>
      </c>
    </row>
    <row r="7" spans="1:10">
      <c r="A7" s="7">
        <f>IF(子基金及业绩基准周净值!A25="","",子基金及业绩基准周净值!A25)</f>
        <v>45618</v>
      </c>
      <c r="B7" s="1">
        <f>IF(A7="","",VLOOKUP($A7,子基金及业绩基准周净值!$A:$AV,10))</f>
        <v>1.0012</v>
      </c>
      <c r="C7" s="8">
        <f t="shared" si="3"/>
        <v>0.00704083685375188</v>
      </c>
      <c r="D7" s="9">
        <f>IF(A7="","",C7-(子基金及业绩基准周净值!AG25/子基金及业绩基准周净值!AG24-1))</f>
        <v>-0.00151332535110207</v>
      </c>
      <c r="E7" s="12">
        <f>IF(A7="","",(MAX(B$3:B7)-B7)/MAX(B$3:B7))</f>
        <v>0</v>
      </c>
      <c r="F7" s="12">
        <f>IF(A7="","",MAX(E$4:E7))</f>
        <v>0.00340817963111474</v>
      </c>
      <c r="G7" s="17">
        <v>3</v>
      </c>
      <c r="H7" s="14" t="str">
        <f t="shared" si="0"/>
        <v>否</v>
      </c>
      <c r="I7" s="14" t="str">
        <f t="shared" si="1"/>
        <v>否</v>
      </c>
      <c r="J7" s="15" t="str">
        <f t="shared" si="2"/>
        <v>否</v>
      </c>
    </row>
    <row r="8" spans="1:10">
      <c r="A8" s="7">
        <f>IF(子基金及业绩基准周净值!A26="","",子基金及业绩基准周净值!A26)</f>
        <v>45625</v>
      </c>
      <c r="B8" s="1">
        <f>IF(A8="","",VLOOKUP($A8,子基金及业绩基准周净值!$A:$AV,10))</f>
        <v>1.0058</v>
      </c>
      <c r="C8" s="8">
        <f t="shared" si="3"/>
        <v>0.00459448661606066</v>
      </c>
      <c r="D8" s="9">
        <f>IF(A8="","",C8-(子基金及业绩基准周净值!AG26/子基金及业绩基准周净值!AG25-1))</f>
        <v>-0.00506933671019648</v>
      </c>
      <c r="E8" s="12">
        <f>IF(A8="","",(MAX(B$3:B8)-B8)/MAX(B$3:B8))</f>
        <v>0</v>
      </c>
      <c r="F8" s="12">
        <f>IF(A8="","",MAX(E$4:E8))</f>
        <v>0.00340817963111474</v>
      </c>
      <c r="G8" s="17">
        <v>4</v>
      </c>
      <c r="H8" s="14" t="str">
        <f t="shared" si="0"/>
        <v>否</v>
      </c>
      <c r="I8" s="14" t="str">
        <f t="shared" si="1"/>
        <v>否</v>
      </c>
      <c r="J8" s="15" t="str">
        <f t="shared" si="2"/>
        <v>是</v>
      </c>
    </row>
    <row r="9" spans="1:10">
      <c r="A9" s="7">
        <f>IF(子基金及业绩基准周净值!A27="","",子基金及业绩基准周净值!A27)</f>
        <v>45632</v>
      </c>
      <c r="B9" s="1">
        <f>IF(A9="","",VLOOKUP($A9,子基金及业绩基准周净值!$A:$AV,10))</f>
        <v>1.0113</v>
      </c>
      <c r="C9" s="8">
        <f t="shared" si="3"/>
        <v>0.00546828395307224</v>
      </c>
      <c r="D9" s="9">
        <f>IF(A9="","",C9-(子基金及业绩基准周净值!AG27/子基金及业绩基准周净值!AG26-1))</f>
        <v>-0.00342666810017107</v>
      </c>
      <c r="E9" s="12">
        <f>IF(A9="","",(MAX(B$3:B9)-B9)/MAX(B$3:B9))</f>
        <v>0</v>
      </c>
      <c r="F9" s="12">
        <f>IF(A9="","",MAX(E$4:E9))</f>
        <v>0.00340817963111474</v>
      </c>
      <c r="G9" s="17">
        <v>5</v>
      </c>
      <c r="H9" s="14" t="str">
        <f t="shared" si="0"/>
        <v>否</v>
      </c>
      <c r="I9" s="14" t="str">
        <f t="shared" si="1"/>
        <v>否</v>
      </c>
      <c r="J9" s="15" t="str">
        <f t="shared" si="2"/>
        <v>是</v>
      </c>
    </row>
    <row r="10" spans="1:10">
      <c r="A10" s="7">
        <f>IF(子基金及业绩基准周净值!A28="","",子基金及业绩基准周净值!A28)</f>
        <v>45639</v>
      </c>
      <c r="B10" s="1">
        <f>IF(A10="","",VLOOKUP($A10,子基金及业绩基准周净值!$A:$AV,10))</f>
        <v>1.0171</v>
      </c>
      <c r="C10" s="8">
        <f t="shared" si="3"/>
        <v>0.005735192326708</v>
      </c>
      <c r="D10" s="9">
        <f>IF(A10="","",C10-(子基金及业绩基准周净值!AG28/子基金及业绩基准周净值!AG27-1))</f>
        <v>0.00259527401312949</v>
      </c>
      <c r="E10" s="12">
        <f>IF(A10="","",(MAX(B$3:B10)-B10)/MAX(B$3:B10))</f>
        <v>0</v>
      </c>
      <c r="F10" s="12">
        <f>IF(A10="","",MAX(E$4:E10))</f>
        <v>0.00340817963111474</v>
      </c>
      <c r="G10" s="17">
        <v>0</v>
      </c>
      <c r="H10" s="14" t="str">
        <f t="shared" si="0"/>
        <v>否</v>
      </c>
      <c r="I10" s="14" t="str">
        <f t="shared" si="1"/>
        <v>否</v>
      </c>
      <c r="J10" s="15" t="str">
        <f t="shared" si="2"/>
        <v>否</v>
      </c>
    </row>
    <row r="11" spans="1:10">
      <c r="A11" s="7">
        <f>IF(子基金及业绩基准周净值!A29="","",子基金及业绩基准周净值!A29)</f>
        <v>45646</v>
      </c>
      <c r="B11" s="1">
        <f>IF(A11="","",VLOOKUP($A11,子基金及业绩基准周净值!$A:$AV,10))</f>
        <v>1.0154</v>
      </c>
      <c r="C11" s="8">
        <f t="shared" si="3"/>
        <v>-0.00167141873955345</v>
      </c>
      <c r="D11" s="9">
        <f>IF(A11="","",C11-(子基金及业绩基准周净值!AG29/子基金及业绩基准周净值!AG28-1))</f>
        <v>-0.00256108441902536</v>
      </c>
      <c r="E11" s="12">
        <f>IF(A11="","",(MAX(B$3:B11)-B11)/MAX(B$3:B11))</f>
        <v>0.00167141873955345</v>
      </c>
      <c r="F11" s="12">
        <f>IF(A11="","",MAX(E$4:E11))</f>
        <v>0.00340817963111474</v>
      </c>
      <c r="G11" s="17">
        <v>1</v>
      </c>
      <c r="H11" s="14" t="str">
        <f t="shared" si="0"/>
        <v>否</v>
      </c>
      <c r="I11" s="14" t="str">
        <f t="shared" si="1"/>
        <v>否</v>
      </c>
      <c r="J11" s="15" t="str">
        <f t="shared" si="2"/>
        <v>否</v>
      </c>
    </row>
    <row r="12" spans="1:10">
      <c r="A12" s="7">
        <f>IF(子基金及业绩基准周净值!A30="","",子基金及业绩基准周净值!A30)</f>
        <v>45653</v>
      </c>
      <c r="B12" s="1">
        <f>IF(A12="","",VLOOKUP($A12,子基金及业绩基准周净值!$A:$AV,10))</f>
        <v>1.0177</v>
      </c>
      <c r="C12" s="8">
        <f t="shared" si="3"/>
        <v>0.00226511719519398</v>
      </c>
      <c r="D12" s="9">
        <f>IF(A12="","",C12-(子基金及业绩基准周净值!AG30/子基金及业绩基准周净值!AG29-1))</f>
        <v>0.00776604586250143</v>
      </c>
      <c r="E12" s="12">
        <f>IF(A12="","",(MAX(B$3:B12)-B12)/MAX(B$3:B12))</f>
        <v>0</v>
      </c>
      <c r="F12" s="12">
        <f>IF(A12="","",MAX(E$4:E12))</f>
        <v>0.00340817963111474</v>
      </c>
      <c r="G12" s="17">
        <v>0</v>
      </c>
      <c r="H12" s="14" t="str">
        <f t="shared" si="0"/>
        <v>否</v>
      </c>
      <c r="I12" s="14" t="str">
        <f t="shared" si="1"/>
        <v>否</v>
      </c>
      <c r="J12" s="15" t="str">
        <f t="shared" si="2"/>
        <v>否</v>
      </c>
    </row>
    <row r="13" spans="1:10">
      <c r="A13" s="7">
        <f>IF(子基金及业绩基准周净值!A31="","",子基金及业绩基准周净值!A31)</f>
        <v>45660</v>
      </c>
      <c r="B13" s="1">
        <f>IF(A13="","",VLOOKUP($A13,子基金及业绩基准周净值!$A:$AV,10))</f>
        <v>1.0189</v>
      </c>
      <c r="C13" s="8">
        <f t="shared" si="3"/>
        <v>0.00117912940945256</v>
      </c>
      <c r="D13" s="9">
        <f>IF(A13="","",C13-(子基金及业绩基准周净值!AG31/子基金及业绩基准周净值!AG30-1))</f>
        <v>0.00693116234283223</v>
      </c>
      <c r="E13" s="12">
        <f>IF(A13="","",(MAX(B$3:B13)-B13)/MAX(B$3:B13))</f>
        <v>0</v>
      </c>
      <c r="F13" s="12">
        <f>IF(A13="","",MAX(E$4:E13))</f>
        <v>0.00340817963111474</v>
      </c>
      <c r="G13" s="17">
        <v>0</v>
      </c>
      <c r="H13" s="14" t="str">
        <f t="shared" si="0"/>
        <v>否</v>
      </c>
      <c r="I13" s="14" t="str">
        <f t="shared" si="1"/>
        <v>否</v>
      </c>
      <c r="J13" s="15" t="str">
        <f t="shared" si="2"/>
        <v>否</v>
      </c>
    </row>
    <row r="14" spans="1:10">
      <c r="A14" s="7">
        <f>IF(子基金及业绩基准周净值!A32="","",子基金及业绩基准周净值!A32)</f>
        <v>45667</v>
      </c>
      <c r="B14" s="1">
        <f>IF(A14="","",VLOOKUP($A14,子基金及业绩基准周净值!$A:$AV,10))</f>
        <v>1.0201</v>
      </c>
      <c r="C14" s="8">
        <f t="shared" si="3"/>
        <v>0.00117774070075581</v>
      </c>
      <c r="D14" s="9">
        <f>IF(A14="","",C14-(子基金及业绩基准周净值!AG32/子基金及业绩基准周净值!AG31-1))</f>
        <v>-0.00225527474067435</v>
      </c>
      <c r="E14" s="12">
        <f>IF(A14="","",(MAX(B$3:B14)-B14)/MAX(B$3:B14))</f>
        <v>0</v>
      </c>
      <c r="F14" s="12">
        <f>IF(A14="","",MAX(E$4:E14))</f>
        <v>0.00340817963111474</v>
      </c>
      <c r="G14" s="17">
        <v>1</v>
      </c>
      <c r="H14" s="14" t="str">
        <f t="shared" si="0"/>
        <v>否</v>
      </c>
      <c r="I14" s="14" t="str">
        <f t="shared" si="1"/>
        <v>否</v>
      </c>
      <c r="J14" s="15" t="str">
        <f t="shared" si="2"/>
        <v>否</v>
      </c>
    </row>
    <row r="15" spans="1:10">
      <c r="A15" s="7">
        <f>IF(子基金及业绩基准周净值!A33="","",子基金及业绩基准周净值!A33)</f>
        <v>45674</v>
      </c>
      <c r="B15" s="1">
        <f>IF(A15="","",VLOOKUP($A15,子基金及业绩基准周净值!$A:$AV,10))</f>
        <v>1.0229</v>
      </c>
      <c r="C15" s="8">
        <f t="shared" si="3"/>
        <v>0.00274482893833929</v>
      </c>
      <c r="D15" s="9">
        <f>IF(A15="","",C15-(子基金及业绩基准周净值!AG33/子基金及业绩基准周净值!AG32-1))</f>
        <v>-0.00563978291883802</v>
      </c>
      <c r="E15" s="12">
        <f>IF(A15="","",(MAX(B$3:B15)-B15)/MAX(B$3:B15))</f>
        <v>0</v>
      </c>
      <c r="F15" s="12">
        <f>IF(A15="","",MAX(E$4:E15))</f>
        <v>0.00340817963111474</v>
      </c>
      <c r="G15" s="17">
        <v>2</v>
      </c>
      <c r="H15" s="14" t="str">
        <f t="shared" si="0"/>
        <v>否</v>
      </c>
      <c r="I15" s="14" t="str">
        <f t="shared" si="1"/>
        <v>否</v>
      </c>
      <c r="J15" s="15" t="str">
        <f t="shared" si="2"/>
        <v>否</v>
      </c>
    </row>
    <row r="16" spans="1:10">
      <c r="A16" s="7">
        <f>IF(子基金及业绩基准周净值!A34="","",子基金及业绩基准周净值!A34)</f>
        <v>45681</v>
      </c>
      <c r="B16" s="1">
        <f>IF(A16="","",VLOOKUP($A16,子基金及业绩基准周净值!$A:$AV,10))</f>
        <v>1.0266</v>
      </c>
      <c r="C16" s="8">
        <f t="shared" si="3"/>
        <v>0.00361716687848278</v>
      </c>
      <c r="D16" s="9">
        <f>IF(A16="","",C16-(子基金及业绩基准周净值!AG34/子基金及业绩基准周净值!AG33-1))</f>
        <v>-0.000839809210202446</v>
      </c>
      <c r="E16" s="12">
        <f>IF(A16="","",(MAX(B$3:B16)-B16)/MAX(B$3:B16))</f>
        <v>0</v>
      </c>
      <c r="F16" s="12">
        <f>IF(A16="","",MAX(E$4:E16))</f>
        <v>0.00340817963111474</v>
      </c>
      <c r="G16" s="17">
        <v>3</v>
      </c>
      <c r="H16" s="14" t="str">
        <f t="shared" si="0"/>
        <v>否</v>
      </c>
      <c r="I16" s="14" t="str">
        <f t="shared" si="1"/>
        <v>否</v>
      </c>
      <c r="J16" s="15" t="str">
        <f t="shared" si="2"/>
        <v>否</v>
      </c>
    </row>
    <row r="17" spans="1:10">
      <c r="A17" s="7">
        <f>IF(子基金及业绩基准周净值!A35="","",子基金及业绩基准周净值!A35)</f>
        <v>45684</v>
      </c>
      <c r="B17" s="1">
        <f>IF(A17="","",VLOOKUP($A17,子基金及业绩基准周净值!$A:$AV,10))</f>
        <v>1.027</v>
      </c>
      <c r="C17" s="8">
        <f t="shared" si="3"/>
        <v>0.000389635690629219</v>
      </c>
      <c r="D17" s="9">
        <f>IF(A17="","",C17-(子基金及业绩基准周净值!AG35/子基金及业绩基准周净值!AG34-1))</f>
        <v>0.000292641411511639</v>
      </c>
      <c r="E17" s="12">
        <f>IF(A17="","",(MAX(B$3:B17)-B17)/MAX(B$3:B17))</f>
        <v>0</v>
      </c>
      <c r="F17" s="12">
        <f>IF(A17="","",MAX(E$4:E17))</f>
        <v>0.00340817963111474</v>
      </c>
      <c r="G17" s="17">
        <v>0</v>
      </c>
      <c r="H17" s="14" t="str">
        <f t="shared" si="0"/>
        <v>否</v>
      </c>
      <c r="I17" s="14" t="str">
        <f t="shared" si="1"/>
        <v>否</v>
      </c>
      <c r="J17" s="15" t="str">
        <f t="shared" si="2"/>
        <v>否</v>
      </c>
    </row>
    <row r="18" spans="1:10">
      <c r="A18" s="7">
        <f>IF(子基金及业绩基准周净值!A36="","",子基金及业绩基准周净值!A36)</f>
        <v>45695</v>
      </c>
      <c r="B18" s="1">
        <f>IF(A18="","",VLOOKUP($A18,子基金及业绩基准周净值!$A:$AV,10))</f>
        <v>1.0279</v>
      </c>
      <c r="C18" s="8">
        <f t="shared" si="3"/>
        <v>0.000876338851022515</v>
      </c>
      <c r="D18" s="9">
        <f>IF(A18="","",C18-(子基金及业绩基准周净值!AG36/子基金及业绩基准周净值!AG35-1))</f>
        <v>-0.00592366694112949</v>
      </c>
      <c r="E18" s="12">
        <f>IF(A18="","",(MAX(B$3:B18)-B18)/MAX(B$3:B18))</f>
        <v>0</v>
      </c>
      <c r="F18" s="12">
        <f>IF(A18="","",MAX(E$4:E18))</f>
        <v>0.00340817963111474</v>
      </c>
      <c r="G18" s="17">
        <v>1</v>
      </c>
      <c r="H18" s="14" t="str">
        <f t="shared" si="0"/>
        <v>否</v>
      </c>
      <c r="I18" s="14" t="str">
        <f t="shared" si="1"/>
        <v>否</v>
      </c>
      <c r="J18" s="15" t="str">
        <f t="shared" si="2"/>
        <v>否</v>
      </c>
    </row>
    <row r="19" spans="1:10">
      <c r="A19" s="7">
        <f>IF(子基金及业绩基准周净值!A37="","",子基金及业绩基准周净值!A37)</f>
        <v>45702</v>
      </c>
      <c r="B19" s="1">
        <f>IF(A19="","",VLOOKUP($A19,子基金及业绩基准周净值!$A:$AV,10))</f>
        <v>1.0338</v>
      </c>
      <c r="C19" s="8">
        <f t="shared" si="3"/>
        <v>0.00573985796283687</v>
      </c>
      <c r="D19" s="9">
        <f>IF(A19="","",C19-(子基金及业绩基准周净值!AG37/子基金及业绩基准周净值!AG36-1))</f>
        <v>0.00219099253087689</v>
      </c>
      <c r="E19" s="12">
        <f>IF(A19="","",(MAX(B$3:B19)-B19)/MAX(B$3:B19))</f>
        <v>0</v>
      </c>
      <c r="F19" s="12">
        <f>IF(A19="","",MAX(E$4:E19))</f>
        <v>0.00340817963111474</v>
      </c>
      <c r="G19" s="17">
        <v>0</v>
      </c>
      <c r="H19" s="14" t="str">
        <f t="shared" si="0"/>
        <v>否</v>
      </c>
      <c r="I19" s="14" t="str">
        <f t="shared" si="1"/>
        <v>否</v>
      </c>
      <c r="J19" s="15" t="str">
        <f t="shared" si="2"/>
        <v>否</v>
      </c>
    </row>
    <row r="20" spans="1:10">
      <c r="A20" s="7">
        <f>IF(子基金及业绩基准周净值!A38="","",子基金及业绩基准周净值!A38)</f>
        <v>45709</v>
      </c>
      <c r="B20" s="1">
        <f>IF(A20="","",VLOOKUP($A20,子基金及业绩基准周净值!$A:$AV,10))</f>
        <v>1.0409</v>
      </c>
      <c r="C20" s="8">
        <f t="shared" si="3"/>
        <v>0.00686786612497571</v>
      </c>
      <c r="D20" s="9">
        <f>IF(A20="","",C20-(子基金及业绩基准周净值!AG38/子基金及业绩基准周净值!AG37-1))</f>
        <v>0.00348686642056141</v>
      </c>
      <c r="E20" s="12">
        <f>IF(A20="","",(MAX(B$3:B20)-B20)/MAX(B$3:B20))</f>
        <v>0</v>
      </c>
      <c r="F20" s="12">
        <f>IF(A20="","",MAX(E$4:E20))</f>
        <v>0.00340817963111474</v>
      </c>
      <c r="G20" s="17">
        <v>0</v>
      </c>
      <c r="H20" s="14" t="str">
        <f t="shared" si="0"/>
        <v>否</v>
      </c>
      <c r="I20" s="14" t="str">
        <f t="shared" si="1"/>
        <v>否</v>
      </c>
      <c r="J20" s="15" t="str">
        <f t="shared" si="2"/>
        <v>否</v>
      </c>
    </row>
    <row r="21" spans="1:10">
      <c r="A21" s="7">
        <f>IF(子基金及业绩基准周净值!A39="","",子基金及业绩基准周净值!A39)</f>
        <v>45716</v>
      </c>
      <c r="B21" s="1">
        <f>IF(A21="","",VLOOKUP($A21,子基金及业绩基准周净值!$A:$AV,10))</f>
        <v>1.0386</v>
      </c>
      <c r="C21" s="8">
        <f t="shared" si="3"/>
        <v>-0.00220962628494569</v>
      </c>
      <c r="D21" s="9">
        <f>IF(A21="","",C21-(子基金及业绩基准周净值!AG39/子基金及业绩基准周净值!AG38-1))</f>
        <v>-0.00260586083245073</v>
      </c>
      <c r="E21" s="12">
        <f>IF(A21="","",(MAX(B$3:B21)-B21)/MAX(B$3:B21))</f>
        <v>0.00220962628494569</v>
      </c>
      <c r="F21" s="12">
        <f>IF(A21="","",MAX(E$4:E21))</f>
        <v>0.00340817963111474</v>
      </c>
      <c r="G21" s="17">
        <v>1</v>
      </c>
      <c r="H21" s="14" t="str">
        <f t="shared" si="0"/>
        <v>否</v>
      </c>
      <c r="I21" s="14" t="str">
        <f t="shared" si="1"/>
        <v>否</v>
      </c>
      <c r="J21" s="15" t="str">
        <f t="shared" si="2"/>
        <v>否</v>
      </c>
    </row>
    <row r="22" spans="1:10">
      <c r="A22" s="7">
        <f>IF(子基金及业绩基准周净值!A40="","",子基金及业绩基准周净值!A40)</f>
        <v>45723</v>
      </c>
      <c r="B22" s="1">
        <f>IF(A22="","",VLOOKUP($A22,子基金及业绩基准周净值!$A:$AV,10))</f>
        <v>1.0494</v>
      </c>
      <c r="C22" s="8">
        <f t="shared" si="3"/>
        <v>0.0103986135181977</v>
      </c>
      <c r="D22" s="9">
        <f>IF(A22="","",C22-(子基金及业绩基准周净值!AG40/子基金及业绩基准周净值!AG39-1))</f>
        <v>2.36096107852947e-5</v>
      </c>
      <c r="E22" s="12">
        <f>IF(A22="","",(MAX(B$3:B22)-B22)/MAX(B$3:B22))</f>
        <v>0</v>
      </c>
      <c r="F22" s="12">
        <f>IF(A22="","",MAX(E$4:E22))</f>
        <v>0.00340817963111474</v>
      </c>
      <c r="G22" s="17">
        <v>0</v>
      </c>
      <c r="H22" s="14" t="str">
        <f t="shared" si="0"/>
        <v>否</v>
      </c>
      <c r="I22" s="14" t="str">
        <f t="shared" si="1"/>
        <v>否</v>
      </c>
      <c r="J22" s="15" t="str">
        <f t="shared" si="2"/>
        <v>否</v>
      </c>
    </row>
    <row r="23" spans="1:10">
      <c r="A23" s="7">
        <f>IF(子基金及业绩基准周净值!A41="","",子基金及业绩基准周净值!A41)</f>
        <v>45730</v>
      </c>
      <c r="B23" s="1">
        <f>IF(A23="","",VLOOKUP($A23,子基金及业绩基准周净值!$A:$AV,10))</f>
        <v>1.0482</v>
      </c>
      <c r="C23" s="8">
        <f t="shared" si="3"/>
        <v>-0.00114351057747293</v>
      </c>
      <c r="D23" s="9">
        <f>IF(A23="","",C23-(子基金及业绩基准周净值!AG41/子基金及业绩基准周净值!AG40-1))</f>
        <v>-0.00380190511843332</v>
      </c>
      <c r="E23" s="12">
        <f>IF(A23="","",(MAX(B$3:B23)-B23)/MAX(B$3:B23))</f>
        <v>0.00114351057747293</v>
      </c>
      <c r="F23" s="12">
        <f>IF(A23="","",MAX(E$4:E23))</f>
        <v>0.00340817963111474</v>
      </c>
      <c r="G23" s="17">
        <v>1</v>
      </c>
      <c r="H23" s="14" t="str">
        <f t="shared" si="0"/>
        <v>否</v>
      </c>
      <c r="I23" s="14" t="str">
        <f t="shared" si="1"/>
        <v>否</v>
      </c>
      <c r="J23" s="15" t="str">
        <f t="shared" si="2"/>
        <v>否</v>
      </c>
    </row>
    <row r="24" spans="1:10">
      <c r="A24" s="7">
        <f>IF(子基金及业绩基准周净值!A42="","",子基金及业绩基准周净值!A42)</f>
        <v>45737</v>
      </c>
      <c r="B24" s="1">
        <f>IF(A24="","",VLOOKUP($A24,子基金及业绩基准周净值!$A:$AV,10))</f>
        <v>1.0527</v>
      </c>
      <c r="C24" s="8">
        <f t="shared" si="3"/>
        <v>0.00429307384087001</v>
      </c>
      <c r="D24" s="9">
        <f>IF(A24="","",C24-(子基金及业绩基准周净值!AG42/子基金及业绩基准周净值!AG41-1))</f>
        <v>4.47392725829096e-5</v>
      </c>
      <c r="E24" s="12">
        <f>IF(A24="","",(MAX(B$3:B24)-B24)/MAX(B$3:B24))</f>
        <v>0</v>
      </c>
      <c r="F24" s="12">
        <f>IF(A24="","",MAX(E$4:E24))</f>
        <v>0.00340817963111474</v>
      </c>
      <c r="G24" s="17">
        <v>0</v>
      </c>
      <c r="H24" s="14" t="str">
        <f t="shared" si="0"/>
        <v>否</v>
      </c>
      <c r="I24" s="14" t="str">
        <f t="shared" si="1"/>
        <v>否</v>
      </c>
      <c r="J24" s="15" t="str">
        <f t="shared" si="2"/>
        <v>否</v>
      </c>
    </row>
    <row r="25" spans="1:10">
      <c r="A25" s="7">
        <f>IF(子基金及业绩基准周净值!A43="","",子基金及业绩基准周净值!A43)</f>
        <v>45744</v>
      </c>
      <c r="B25" s="1">
        <f>IF(A25="","",VLOOKUP($A25,子基金及业绩基准周净值!$A:$AV,10))</f>
        <v>1.0486</v>
      </c>
      <c r="C25" s="8">
        <f t="shared" si="3"/>
        <v>-0.0038947468414553</v>
      </c>
      <c r="D25" s="9">
        <f>IF(A25="","",C25-(子基金及业绩基准周净值!AG43/子基金及业绩基准周净值!AG42-1))</f>
        <v>-0.000251064296195591</v>
      </c>
      <c r="E25" s="12">
        <f>IF(A25="","",(MAX(B$3:B25)-B25)/MAX(B$3:B25))</f>
        <v>0.0038947468414553</v>
      </c>
      <c r="F25" s="12">
        <f>IF(A25="","",MAX(E$4:E25))</f>
        <v>0.0038947468414553</v>
      </c>
      <c r="G25" s="17">
        <v>1</v>
      </c>
      <c r="H25" s="14" t="str">
        <f t="shared" si="0"/>
        <v>否</v>
      </c>
      <c r="I25" s="14" t="str">
        <f t="shared" si="1"/>
        <v>否</v>
      </c>
      <c r="J25" s="15" t="str">
        <f t="shared" si="2"/>
        <v>否</v>
      </c>
    </row>
    <row r="26" spans="1:10">
      <c r="A26" s="7">
        <f>IF(子基金及业绩基准周净值!A44="","",子基金及业绩基准周净值!A44)</f>
        <v>45750</v>
      </c>
      <c r="B26" s="1">
        <f>IF(A26="","",VLOOKUP($A26,子基金及业绩基准周净值!$A:$AV,10))</f>
        <v>1.0499</v>
      </c>
      <c r="C26" s="8">
        <f t="shared" si="3"/>
        <v>0.00123974823574297</v>
      </c>
      <c r="D26" s="9">
        <f>IF(A26="","",C26-(子基金及业绩基准周净值!AG44/子基金及业绩基准周净值!AG43-1))</f>
        <v>-0.000463882210752715</v>
      </c>
      <c r="E26" s="12">
        <f>IF(A26="","",(MAX(B$3:B26)-B26)/MAX(B$3:B26))</f>
        <v>0.00265982711123769</v>
      </c>
      <c r="F26" s="12">
        <f>IF(A26="","",MAX(E$4:E26))</f>
        <v>0.0038947468414553</v>
      </c>
      <c r="G26" s="17">
        <v>2</v>
      </c>
      <c r="H26" s="14" t="str">
        <f t="shared" si="0"/>
        <v>否</v>
      </c>
      <c r="I26" s="14" t="str">
        <f t="shared" si="1"/>
        <v>否</v>
      </c>
      <c r="J26" s="15" t="str">
        <f t="shared" si="2"/>
        <v>否</v>
      </c>
    </row>
    <row r="27" spans="1:10">
      <c r="A27" s="7">
        <f>IF(子基金及业绩基准周净值!A45="","",子基金及业绩基准周净值!A45)</f>
        <v>45758</v>
      </c>
      <c r="B27" s="1">
        <f>IF(A27="","",VLOOKUP($A27,子基金及业绩基准周净值!$A:$AV,10))</f>
        <v>1.054</v>
      </c>
      <c r="C27" s="8">
        <f t="shared" si="3"/>
        <v>0.00390513382226878</v>
      </c>
      <c r="D27" s="9">
        <f>IF(A27="","",C27-(子基金及业绩基准周净值!AG45/子基金及业绩基准周净值!AG44-1))</f>
        <v>0.00610315584070245</v>
      </c>
      <c r="E27" s="12">
        <f>IF(A27="","",(MAX(B$3:B27)-B27)/MAX(B$3:B27))</f>
        <v>0</v>
      </c>
      <c r="F27" s="12">
        <f>IF(A27="","",MAX(E$4:E27))</f>
        <v>0.0038947468414553</v>
      </c>
      <c r="G27" s="17">
        <v>0</v>
      </c>
      <c r="H27" s="14" t="str">
        <f t="shared" si="0"/>
        <v>否</v>
      </c>
      <c r="I27" s="14" t="str">
        <f t="shared" si="1"/>
        <v>否</v>
      </c>
      <c r="J27" s="15" t="str">
        <f t="shared" si="2"/>
        <v>否</v>
      </c>
    </row>
    <row r="28" spans="1:10">
      <c r="A28" s="7">
        <f>IF(子基金及业绩基准周净值!A46="","",子基金及业绩基准周净值!A46)</f>
        <v>45765</v>
      </c>
      <c r="B28" s="1">
        <f>IF(A28="","",VLOOKUP($A28,子基金及业绩基准周净值!$A:$AV,10))</f>
        <v>1.0567</v>
      </c>
      <c r="C28" s="8">
        <f t="shared" si="3"/>
        <v>0.00256166982922194</v>
      </c>
      <c r="D28" s="9">
        <f>IF(A28="","",C28-(子基金及业绩基准周净值!AG46/子基金及业绩基准周净值!AG45-1))</f>
        <v>-0.000941020112490383</v>
      </c>
      <c r="E28" s="12">
        <f>IF(A28="","",(MAX(B$3:B28)-B28)/MAX(B$3:B28))</f>
        <v>0</v>
      </c>
      <c r="F28" s="12">
        <f>IF(A28="","",MAX(E$4:E28))</f>
        <v>0.0038947468414553</v>
      </c>
      <c r="G28" s="17">
        <v>1</v>
      </c>
      <c r="H28" s="14" t="str">
        <f t="shared" si="0"/>
        <v>否</v>
      </c>
      <c r="I28" s="14" t="str">
        <f t="shared" si="1"/>
        <v>否</v>
      </c>
      <c r="J28" s="15" t="str">
        <f t="shared" si="2"/>
        <v>否</v>
      </c>
    </row>
    <row r="29" spans="1:10">
      <c r="A29" s="7">
        <f>IF(子基金及业绩基准周净值!A47="","",子基金及业绩基准周净值!A47)</f>
        <v>45772</v>
      </c>
      <c r="B29" s="1">
        <f>IF(A29="","",VLOOKUP($A29,子基金及业绩基准周净值!$A:$AV,10))</f>
        <v>1.0566</v>
      </c>
      <c r="C29" s="8">
        <f t="shared" si="3"/>
        <v>-9.46342386675395e-5</v>
      </c>
      <c r="D29" s="9">
        <f>IF(A29="","",C29-(子基金及业绩基准周净值!AG47/子基金及业绩基准周净值!AG46-1))</f>
        <v>-0.00702736724990252</v>
      </c>
      <c r="E29" s="12">
        <f>IF(A29="","",(MAX(B$3:B29)-B29)/MAX(B$3:B29))</f>
        <v>9.46342386675395e-5</v>
      </c>
      <c r="F29" s="12">
        <f>IF(A29="","",MAX(E$4:E29))</f>
        <v>0.0038947468414553</v>
      </c>
      <c r="G29" s="17">
        <v>2</v>
      </c>
      <c r="H29" s="14" t="str">
        <f t="shared" si="0"/>
        <v>否</v>
      </c>
      <c r="I29" s="14" t="str">
        <f t="shared" si="1"/>
        <v>否</v>
      </c>
      <c r="J29" s="15" t="str">
        <f t="shared" si="2"/>
        <v>否</v>
      </c>
    </row>
    <row r="30" spans="1:10">
      <c r="A30" s="7">
        <f>IF(子基金及业绩基准周净值!A48="","",子基金及业绩基准周净值!A48)</f>
        <v>45786</v>
      </c>
      <c r="B30" s="1">
        <f>IF(A30="","",VLOOKUP($A30,子基金及业绩基准周净值!$A:$AV,10))</f>
        <v>1.0569</v>
      </c>
      <c r="C30" s="8">
        <f t="shared" si="3"/>
        <v>0.000283929585462774</v>
      </c>
      <c r="D30" s="9">
        <f>IF(A30="","",C30-(子基金及业绩基准周净值!AG48/子基金及业绩基准周净值!AG47-1))</f>
        <v>-0.00908656645988368</v>
      </c>
      <c r="E30" s="12">
        <f>IF(A30="","",(MAX(B$3:B30)-B30)/MAX(B$3:B30))</f>
        <v>0</v>
      </c>
      <c r="F30" s="12">
        <f>IF(A30="","",MAX(E$4:E30))</f>
        <v>0.0038947468414553</v>
      </c>
      <c r="G30" s="17">
        <v>3</v>
      </c>
      <c r="H30" s="14" t="str">
        <f t="shared" si="0"/>
        <v>否</v>
      </c>
      <c r="I30" s="14" t="str">
        <f t="shared" si="1"/>
        <v>否</v>
      </c>
      <c r="J30" s="15" t="str">
        <f t="shared" si="2"/>
        <v>否</v>
      </c>
    </row>
    <row r="31" spans="1:10">
      <c r="A31" s="7">
        <f>IF(子基金及业绩基准周净值!A49="","",子基金及业绩基准周净值!A49)</f>
        <v>45793</v>
      </c>
      <c r="B31" s="1">
        <f>IF(A31="","",VLOOKUP($A31,子基金及业绩基准周净值!$A:$AV,10))</f>
        <v>1.059</v>
      </c>
      <c r="C31" s="8">
        <f t="shared" si="3"/>
        <v>0.00198694294635253</v>
      </c>
      <c r="D31" s="9">
        <f>IF(A31="","",C31-(子基金及业绩基准周净值!AG49/子基金及业绩基准周净值!AG48-1))</f>
        <v>0.00181627239193498</v>
      </c>
      <c r="E31" s="12">
        <f>IF(A31="","",(MAX(B$3:B31)-B31)/MAX(B$3:B31))</f>
        <v>0</v>
      </c>
      <c r="F31" s="12">
        <f>IF(A31="","",MAX(E$4:E31))</f>
        <v>0.0038947468414553</v>
      </c>
      <c r="G31" s="17">
        <v>0</v>
      </c>
      <c r="H31" s="14" t="str">
        <f t="shared" si="0"/>
        <v>否</v>
      </c>
      <c r="I31" s="14" t="str">
        <f t="shared" si="1"/>
        <v>否</v>
      </c>
      <c r="J31" s="15" t="str">
        <f t="shared" si="2"/>
        <v>否</v>
      </c>
    </row>
    <row r="32" spans="1:10">
      <c r="A32" s="7">
        <f>IF(子基金及业绩基准周净值!A50="","",子基金及业绩基准周净值!A50)</f>
        <v>45800</v>
      </c>
      <c r="B32" s="1">
        <f>IF(A32="","",VLOOKUP($A32,子基金及业绩基准周净值!$A:$AV,10))</f>
        <v>1.0573</v>
      </c>
      <c r="C32" s="8">
        <f t="shared" si="3"/>
        <v>-0.00160528800755433</v>
      </c>
      <c r="D32" s="9">
        <f>IF(A32="","",C32-(子基金及业绩基准周净值!AG50/子基金及业绩基准周净值!AG49-1))</f>
        <v>-0.00763914697585388</v>
      </c>
      <c r="E32" s="12">
        <f>IF(A32="","",(MAX(B$3:B32)-B32)/MAX(B$3:B32))</f>
        <v>0.00160528800755433</v>
      </c>
      <c r="F32" s="12">
        <f>IF(A32="","",MAX(E$4:E32))</f>
        <v>0.0038947468414553</v>
      </c>
      <c r="G32" s="17">
        <v>1</v>
      </c>
      <c r="H32" s="14" t="str">
        <f t="shared" si="0"/>
        <v>否</v>
      </c>
      <c r="I32" s="14" t="str">
        <f t="shared" si="1"/>
        <v>否</v>
      </c>
      <c r="J32" s="15" t="str">
        <f t="shared" si="2"/>
        <v>否</v>
      </c>
    </row>
    <row r="33" spans="1:10">
      <c r="A33" s="7">
        <f>IF(子基金及业绩基准周净值!A51="","",子基金及业绩基准周净值!A51)</f>
        <v>45807</v>
      </c>
      <c r="B33" s="1">
        <f>IF(A33="","",VLOOKUP($A33,子基金及业绩基准周净值!$A:$AV,10))</f>
        <v>1.0585</v>
      </c>
      <c r="C33" s="8">
        <f t="shared" si="3"/>
        <v>0.00113496642391004</v>
      </c>
      <c r="D33" s="9">
        <f>IF(A33="","",C33-(子基金及业绩基准周净值!AG51/子基金及业绩基准周净值!AG50-1))</f>
        <v>-0.000946070094321283</v>
      </c>
      <c r="E33" s="12">
        <f>IF(A33="","",(MAX(B$3:B33)-B33)/MAX(B$3:B33))</f>
        <v>0.000472143531633565</v>
      </c>
      <c r="F33" s="12">
        <f>IF(A33="","",MAX(E$4:E33))</f>
        <v>0.0038947468414553</v>
      </c>
      <c r="G33" s="17">
        <v>2</v>
      </c>
      <c r="H33" s="14" t="str">
        <f t="shared" si="0"/>
        <v>否</v>
      </c>
      <c r="I33" s="14" t="str">
        <f t="shared" si="1"/>
        <v>否</v>
      </c>
      <c r="J33" s="15" t="str">
        <f t="shared" si="2"/>
        <v>否</v>
      </c>
    </row>
    <row r="34" spans="1:10">
      <c r="A34" s="7">
        <f>IF(子基金及业绩基准周净值!A52="","",子基金及业绩基准周净值!A52)</f>
        <v>45814</v>
      </c>
      <c r="B34" s="1">
        <f>IF(A34="","",VLOOKUP($A34,子基金及业绩基准周净值!$A:$AV,10))</f>
        <v>1.0589</v>
      </c>
      <c r="C34" s="8">
        <f t="shared" si="3"/>
        <v>0.000377893245158201</v>
      </c>
      <c r="D34" s="9">
        <f>IF(A34="","",C34-(子基金及业绩基准周净值!AG52/子基金及业绩基准周净值!AG51-1))</f>
        <v>-0.00240219851890282</v>
      </c>
      <c r="E34" s="12">
        <f>IF(A34="","",(MAX(B$3:B34)-B34)/MAX(B$3:B34))</f>
        <v>9.44287063267129e-5</v>
      </c>
      <c r="F34" s="12">
        <f>IF(A34="","",MAX(E$4:E34))</f>
        <v>0.0038947468414553</v>
      </c>
      <c r="G34" s="17">
        <v>3</v>
      </c>
      <c r="H34" s="14" t="str">
        <f t="shared" si="0"/>
        <v>否</v>
      </c>
      <c r="I34" s="14" t="str">
        <f t="shared" si="1"/>
        <v>否</v>
      </c>
      <c r="J34" s="15" t="str">
        <f t="shared" si="2"/>
        <v>否</v>
      </c>
    </row>
    <row r="35" spans="1:10">
      <c r="A35" s="7">
        <f>IF(子基金及业绩基准周净值!A53="","",子基金及业绩基准周净值!A53)</f>
        <v>45821</v>
      </c>
      <c r="B35" s="1">
        <f>IF(A35="","",VLOOKUP($A35,子基金及业绩基准周净值!$A:$AV,10))</f>
        <v>1.0618</v>
      </c>
      <c r="C35" s="8">
        <f t="shared" si="3"/>
        <v>0.00273869109453218</v>
      </c>
      <c r="D35" s="9">
        <f>IF(A35="","",C35-(子基金及业绩基准周净值!AG53/子基金及业绩基准周净值!AG52-1))</f>
        <v>0.00128094886661501</v>
      </c>
      <c r="E35" s="12">
        <f>IF(A35="","",(MAX(B$3:B35)-B35)/MAX(B$3:B35))</f>
        <v>0</v>
      </c>
      <c r="F35" s="12">
        <f>IF(A35="","",MAX(E$4:E35))</f>
        <v>0.0038947468414553</v>
      </c>
      <c r="G35" s="17">
        <v>0</v>
      </c>
      <c r="H35" s="14" t="str">
        <f t="shared" si="0"/>
        <v>否</v>
      </c>
      <c r="I35" s="14" t="str">
        <f t="shared" si="1"/>
        <v>否</v>
      </c>
      <c r="J35" s="15" t="str">
        <f t="shared" si="2"/>
        <v>否</v>
      </c>
    </row>
    <row r="36" spans="1:10">
      <c r="A36" s="7">
        <f>IF(子基金及业绩基准周净值!A54="","",子基金及业绩基准周净值!A54)</f>
        <v>45828</v>
      </c>
      <c r="B36" s="1">
        <f>IF(A36="","",VLOOKUP($A36,子基金及业绩基准周净值!$A:$AV,10))</f>
        <v>1.0608</v>
      </c>
      <c r="C36" s="8">
        <f t="shared" si="3"/>
        <v>-0.000941796948577992</v>
      </c>
      <c r="D36" s="9">
        <f>IF(A36="","",C36-(子基金及业绩基准周净值!AG54/子基金及业绩基准周净值!AG53-1))</f>
        <v>0.00245129574341385</v>
      </c>
      <c r="E36" s="12">
        <f>IF(A36="","",(MAX(B$3:B36)-B36)/MAX(B$3:B36))</f>
        <v>0.000941796948577992</v>
      </c>
      <c r="F36" s="12">
        <f>IF(A36="","",MAX(E$4:E36))</f>
        <v>0.0038947468414553</v>
      </c>
      <c r="G36" s="17">
        <v>0</v>
      </c>
      <c r="H36" s="14" t="str">
        <f t="shared" si="0"/>
        <v>否</v>
      </c>
      <c r="I36" s="14" t="str">
        <f t="shared" si="1"/>
        <v>否</v>
      </c>
      <c r="J36" s="15" t="str">
        <f t="shared" si="2"/>
        <v>否</v>
      </c>
    </row>
    <row r="37" spans="1:10">
      <c r="A37" s="7">
        <f>IF(子基金及业绩基准周净值!A55="","",子基金及业绩基准周净值!A55)</f>
        <v>45835</v>
      </c>
      <c r="B37" s="1">
        <f>IF(A37="","",VLOOKUP($A37,子基金及业绩基准周净值!$A:$AV,10))</f>
        <v>1.0594</v>
      </c>
      <c r="C37" s="8">
        <f t="shared" si="3"/>
        <v>-0.00131975867269991</v>
      </c>
      <c r="D37" s="9">
        <f>IF(A37="","",C37-(子基金及业绩基准周净值!AG55/子基金及业绩基准周净值!AG54-1))</f>
        <v>-0.0044581620144349</v>
      </c>
      <c r="E37" s="12">
        <f>IF(A37="","",(MAX(B$3:B37)-B37)/MAX(B$3:B37))</f>
        <v>0.0022603126765871</v>
      </c>
      <c r="F37" s="12">
        <f>IF(A37="","",MAX(E$4:E37))</f>
        <v>0.0038947468414553</v>
      </c>
      <c r="G37" s="17">
        <v>1</v>
      </c>
      <c r="H37" s="14" t="str">
        <f t="shared" ref="H37:H68" si="4">IF(B37="","",IF(C37&lt;-3%,"是","否"))</f>
        <v>否</v>
      </c>
      <c r="I37" s="14" t="str">
        <f t="shared" si="1"/>
        <v>否</v>
      </c>
      <c r="J37" s="15" t="str">
        <f t="shared" si="2"/>
        <v>否</v>
      </c>
    </row>
    <row r="38" spans="1:10">
      <c r="A38" s="7">
        <f>IF(子基金及业绩基准周净值!A56="","",子基金及业绩基准周净值!A56)</f>
        <v>45842</v>
      </c>
      <c r="B38" s="1">
        <f>IF(A38="","",VLOOKUP($A38,子基金及业绩基准周净值!$A:$AV,10))</f>
        <v>1.0616</v>
      </c>
      <c r="C38" s="8">
        <f t="shared" si="3"/>
        <v>0.00207664715876931</v>
      </c>
      <c r="D38" s="9">
        <f>IF(A38="","",C38-(子基金及业绩基准周净值!AG56/子基金及业绩基准周净值!AG55-1))</f>
        <v>-0.00387167211012652</v>
      </c>
      <c r="E38" s="12">
        <f>IF(A38="","",(MAX(B$3:B38)-B38)/MAX(B$3:B38))</f>
        <v>0.000188359389715557</v>
      </c>
      <c r="F38" s="12">
        <f>IF(A38="","",MAX(E$4:E38))</f>
        <v>0.0038947468414553</v>
      </c>
      <c r="G38" s="17">
        <v>2</v>
      </c>
      <c r="H38" s="14" t="str">
        <f t="shared" si="4"/>
        <v>否</v>
      </c>
      <c r="I38" s="14" t="str">
        <f t="shared" si="1"/>
        <v>否</v>
      </c>
      <c r="J38" s="15" t="str">
        <f t="shared" si="2"/>
        <v>否</v>
      </c>
    </row>
    <row r="39" spans="1:10">
      <c r="A39" s="7">
        <f>IF(子基金及业绩基准周净值!A57="","",子基金及业绩基准周净值!A57)</f>
        <v>45849</v>
      </c>
      <c r="B39" s="1">
        <f>IF(A39="","",VLOOKUP($A39,子基金及业绩基准周净值!$A:$AV,10))</f>
        <v>1.0607</v>
      </c>
      <c r="C39" s="8">
        <f t="shared" si="3"/>
        <v>-0.000847776940467335</v>
      </c>
      <c r="D39" s="9">
        <f>IF(A39="","",C39-(子基金及业绩基准周净值!AG57/子基金及业绩基准周净值!AG56-1))</f>
        <v>-0.000738689117963596</v>
      </c>
      <c r="E39" s="12">
        <f>IF(A39="","",(MAX(B$3:B39)-B39)/MAX(B$3:B39))</f>
        <v>0.00103597664343577</v>
      </c>
      <c r="F39" s="12">
        <f>IF(A39="","",MAX(E$4:E39))</f>
        <v>0.0038947468414553</v>
      </c>
      <c r="G39" s="17">
        <v>3</v>
      </c>
      <c r="H39" s="14" t="str">
        <f t="shared" si="4"/>
        <v>否</v>
      </c>
      <c r="I39" s="14" t="str">
        <f t="shared" si="1"/>
        <v>否</v>
      </c>
      <c r="J39" s="15" t="str">
        <f t="shared" si="2"/>
        <v>否</v>
      </c>
    </row>
    <row r="40" spans="1:10">
      <c r="A40" s="7">
        <f>IF(子基金及业绩基准周净值!A58="","",子基金及业绩基准周净值!A58)</f>
        <v>45856</v>
      </c>
      <c r="B40" s="1">
        <f>IF(A40="","",VLOOKUP($A40,子基金及业绩基准周净值!$A:$AV,10))</f>
        <v>1.064</v>
      </c>
      <c r="C40" s="8">
        <f t="shared" si="3"/>
        <v>0.00311115301216186</v>
      </c>
      <c r="D40" s="9">
        <f>IF(A40="","",C40-(子基金及业绩基准周净值!AG58/子基金及业绩基准周净值!AG57-1))</f>
        <v>-0.000496035505533958</v>
      </c>
      <c r="E40" s="12">
        <f>IF(A40="","",(MAX(B$3:B40)-B40)/MAX(B$3:B40))</f>
        <v>0</v>
      </c>
      <c r="F40" s="12">
        <f>IF(A40="","",MAX(E$4:E40))</f>
        <v>0.0038947468414553</v>
      </c>
      <c r="G40" s="17">
        <v>4</v>
      </c>
      <c r="H40" s="14" t="str">
        <f t="shared" si="4"/>
        <v>否</v>
      </c>
      <c r="I40" s="14" t="str">
        <f t="shared" si="1"/>
        <v>否</v>
      </c>
      <c r="J40" s="15" t="str">
        <f t="shared" si="2"/>
        <v>是</v>
      </c>
    </row>
    <row r="41" spans="1:10">
      <c r="A41" s="7">
        <f>IF(子基金及业绩基准周净值!A59="","",子基金及业绩基准周净值!A59)</f>
        <v>45863</v>
      </c>
      <c r="B41" s="1">
        <f>IF(A41="","",VLOOKUP($A41,子基金及业绩基准周净值!$A:$AV,10))</f>
        <v>1.062</v>
      </c>
      <c r="C41" s="8">
        <f t="shared" si="3"/>
        <v>-0.0018796992481203</v>
      </c>
      <c r="D41" s="9">
        <f>IF(A41="","",C41-(子基金及业绩基准周净值!AG59/子基金及业绩基准周净值!AG58-1))</f>
        <v>-0.00340425588958397</v>
      </c>
      <c r="E41" s="12">
        <f>IF(A41="","",(MAX(B$3:B41)-B41)/MAX(B$3:B41))</f>
        <v>0.0018796992481203</v>
      </c>
      <c r="F41" s="12">
        <f>IF(A41="","",MAX(E$4:E41))</f>
        <v>0.0038947468414553</v>
      </c>
      <c r="G41" s="17">
        <v>5</v>
      </c>
      <c r="H41" s="14" t="str">
        <f t="shared" si="4"/>
        <v>否</v>
      </c>
      <c r="I41" s="14" t="str">
        <f t="shared" si="1"/>
        <v>否</v>
      </c>
      <c r="J41" s="15" t="str">
        <f t="shared" si="2"/>
        <v>是</v>
      </c>
    </row>
    <row r="42" spans="1:10">
      <c r="A42" s="7">
        <f>IF(子基金及业绩基准周净值!A60="","",子基金及业绩基准周净值!A60)</f>
        <v>45870</v>
      </c>
      <c r="B42" s="1">
        <f>IF(A42="","",VLOOKUP($A42,子基金及业绩基准周净值!$A:$AV,10))</f>
        <v>1.0602</v>
      </c>
      <c r="C42" s="8">
        <f t="shared" si="3"/>
        <v>-0.00169491525423731</v>
      </c>
      <c r="D42" s="9">
        <f>IF(A42="","",C42-(子基金及业绩基准周净值!AG60/子基金及业绩基准周净值!AG59-1))</f>
        <v>-0.00465089384596434</v>
      </c>
      <c r="E42" s="12">
        <f>IF(A42="","",(MAX(B$3:B42)-B42)/MAX(B$3:B42))</f>
        <v>0.0035714285714286</v>
      </c>
      <c r="F42" s="12">
        <f>IF(A42="","",MAX(E$4:E42))</f>
        <v>0.0038947468414553</v>
      </c>
      <c r="G42" s="17">
        <v>6</v>
      </c>
      <c r="H42" s="14" t="str">
        <f t="shared" si="4"/>
        <v>否</v>
      </c>
      <c r="I42" s="14" t="str">
        <f t="shared" si="1"/>
        <v>否</v>
      </c>
      <c r="J42" s="15" t="str">
        <f t="shared" si="2"/>
        <v>是</v>
      </c>
    </row>
    <row r="43" spans="1:10">
      <c r="A43" s="7">
        <f>IF(子基金及业绩基准周净值!A61="","",子基金及业绩基准周净值!A61)</f>
        <v>45877</v>
      </c>
      <c r="B43" s="1">
        <f>IF(A43="","",VLOOKUP($A43,子基金及业绩基准周净值!$A:$AV,10))</f>
        <v>1.0647</v>
      </c>
      <c r="C43" s="8">
        <f t="shared" si="3"/>
        <v>0.00424448217317482</v>
      </c>
      <c r="D43" s="9">
        <f>IF(A43="","",C43-(子基金及业绩基准周净值!AG61/子基金及业绩基准周净值!AG60-1))</f>
        <v>-0.0010189633412783</v>
      </c>
      <c r="E43" s="12">
        <f>IF(A43="","",(MAX(B$3:B43)-B43)/MAX(B$3:B43))</f>
        <v>0</v>
      </c>
      <c r="F43" s="12">
        <f>IF(A43="","",MAX(E$4:E43))</f>
        <v>0.0038947468414553</v>
      </c>
      <c r="G43" s="17">
        <v>7</v>
      </c>
      <c r="H43" s="14" t="str">
        <f t="shared" si="4"/>
        <v>否</v>
      </c>
      <c r="I43" s="14" t="str">
        <f t="shared" si="1"/>
        <v>否</v>
      </c>
      <c r="J43" s="15" t="str">
        <f t="shared" si="2"/>
        <v>是</v>
      </c>
    </row>
    <row r="44" spans="1:10">
      <c r="A44" s="7">
        <f>IF(子基金及业绩基准周净值!A62="","",子基金及业绩基准周净值!A62)</f>
        <v>45884</v>
      </c>
      <c r="B44" s="1">
        <f>IF(A44="","",VLOOKUP($A44,子基金及业绩基准周净值!$A:$AV,10))</f>
        <v>1.0612</v>
      </c>
      <c r="C44" s="8">
        <f t="shared" si="3"/>
        <v>-0.00328731097961873</v>
      </c>
      <c r="D44" s="9">
        <f>IF(A44="","",C44-(子基金及业绩基准周净值!AG62/子基金及业绩基准周净值!AG61-1))</f>
        <v>0.00226856190779626</v>
      </c>
      <c r="E44" s="12">
        <f>IF(A44="","",(MAX(B$3:B44)-B44)/MAX(B$3:B44))</f>
        <v>0.00328731097961873</v>
      </c>
      <c r="F44" s="12">
        <f>IF(A44="","",MAX(E$4:E44))</f>
        <v>0.0038947468414553</v>
      </c>
      <c r="G44" s="17">
        <v>0</v>
      </c>
      <c r="H44" s="14" t="str">
        <f t="shared" si="4"/>
        <v>否</v>
      </c>
      <c r="I44" s="14" t="str">
        <f t="shared" si="1"/>
        <v>否</v>
      </c>
      <c r="J44" s="15" t="str">
        <f t="shared" si="2"/>
        <v>否</v>
      </c>
    </row>
    <row r="45" spans="1:10">
      <c r="A45" s="7">
        <f>IF(子基金及业绩基准周净值!A63="","",子基金及业绩基准周净值!A63)</f>
        <v>45891</v>
      </c>
      <c r="B45" s="1">
        <f>IF(A45="","",VLOOKUP($A45,子基金及业绩基准周净值!$A:$AV,10))</f>
        <v>1.0579</v>
      </c>
      <c r="C45" s="8">
        <f t="shared" si="3"/>
        <v>-0.00310968714662633</v>
      </c>
      <c r="D45" s="9">
        <f>IF(A45="","",C45-(子基金及业绩基准周净值!AG63/子基金及业绩基准周净值!AG62-1))</f>
        <v>-0.006267258619197</v>
      </c>
      <c r="E45" s="12">
        <f>IF(A45="","",(MAX(B$3:B45)-B45)/MAX(B$3:B45))</f>
        <v>0.00638677561754477</v>
      </c>
      <c r="F45" s="12">
        <f>IF(A45="","",MAX(E$4:E45))</f>
        <v>0.00638677561754477</v>
      </c>
      <c r="G45" s="17">
        <v>1</v>
      </c>
      <c r="H45" s="14" t="str">
        <f t="shared" si="4"/>
        <v>否</v>
      </c>
      <c r="I45" s="14" t="str">
        <f t="shared" si="1"/>
        <v>否</v>
      </c>
      <c r="J45" s="15" t="str">
        <f t="shared" si="2"/>
        <v>否</v>
      </c>
    </row>
    <row r="46" spans="1:10">
      <c r="A46" s="7">
        <f>IF(子基金及业绩基准周净值!A64="","",子基金及业绩基准周净值!A64)</f>
        <v>45898</v>
      </c>
      <c r="B46" s="1">
        <f>IF(A46="","",VLOOKUP($A46,子基金及业绩基准周净值!$A:$AV,10))</f>
        <v>1.0561</v>
      </c>
      <c r="C46" s="8">
        <f t="shared" si="3"/>
        <v>-0.00170148407221857</v>
      </c>
      <c r="D46" s="9">
        <f>IF(A46="","",C46-(子基金及业绩基准周净值!AG64/子基金及业绩基准周净值!AG63-1))</f>
        <v>0.000341790357553022</v>
      </c>
      <c r="E46" s="12">
        <f>IF(A46="","",(MAX(B$3:B46)-B46)/MAX(B$3:B46))</f>
        <v>0.00807739269277725</v>
      </c>
      <c r="F46" s="12">
        <f>IF(A46="","",MAX(E$4:E46))</f>
        <v>0.00807739269277725</v>
      </c>
      <c r="G46" s="17">
        <v>0</v>
      </c>
      <c r="H46" s="14" t="str">
        <f t="shared" si="4"/>
        <v>否</v>
      </c>
      <c r="I46" s="14" t="str">
        <f t="shared" si="1"/>
        <v>否</v>
      </c>
      <c r="J46" s="15" t="str">
        <f t="shared" si="2"/>
        <v>否</v>
      </c>
    </row>
    <row r="47" spans="1:10">
      <c r="A47" s="7">
        <f>IF(子基金及业绩基准周净值!A65="","",子基金及业绩基准周净值!A65)</f>
        <v>45905</v>
      </c>
      <c r="B47" s="1">
        <f>IF(A47="","",VLOOKUP($A47,子基金及业绩基准周净值!$A:$AV,10))</f>
        <v>1.0581</v>
      </c>
      <c r="C47" s="8">
        <f t="shared" si="3"/>
        <v>0.00189376006060032</v>
      </c>
      <c r="D47" s="9">
        <f>IF(A47="","",C47-(子基金及业绩基准周净值!AG65/子基金及业绩基准周净值!AG64-1))</f>
        <v>0.00156219877784242</v>
      </c>
      <c r="E47" s="12">
        <f>IF(A47="","",(MAX(B$3:B47)-B47)/MAX(B$3:B47))</f>
        <v>0.0061989292758523</v>
      </c>
      <c r="F47" s="12">
        <f>IF(A47="","",MAX(E$4:E47))</f>
        <v>0.00807739269277725</v>
      </c>
      <c r="G47" s="17">
        <v>0</v>
      </c>
      <c r="H47" s="14" t="str">
        <f t="shared" si="4"/>
        <v>否</v>
      </c>
      <c r="I47" s="14" t="str">
        <f t="shared" si="1"/>
        <v>否</v>
      </c>
      <c r="J47" s="15" t="str">
        <f t="shared" si="2"/>
        <v>否</v>
      </c>
    </row>
    <row r="48" spans="1:10">
      <c r="A48" s="7">
        <f>IF(子基金及业绩基准周净值!A66="","",子基金及业绩基准周净值!A66)</f>
        <v>45912</v>
      </c>
      <c r="B48" s="1">
        <f>IF(A48="","",VLOOKUP($A48,子基金及业绩基准周净值!$A:$AV,10))</f>
        <v>1.06</v>
      </c>
      <c r="C48" s="8">
        <f t="shared" si="3"/>
        <v>0.00179567148662698</v>
      </c>
      <c r="D48" s="9">
        <f>IF(A48="","",C48-(子基金及业绩基准周净值!AG66/子基金及业绩基准周净值!AG65-1))</f>
        <v>-0.000241727129228294</v>
      </c>
      <c r="E48" s="12">
        <f>IF(A48="","",(MAX(B$3:B48)-B48)/MAX(B$3:B48))</f>
        <v>0.00441438902977358</v>
      </c>
      <c r="F48" s="12">
        <f>IF(A48="","",MAX(E$4:E48))</f>
        <v>0.00807739269277725</v>
      </c>
      <c r="G48" s="17">
        <v>1</v>
      </c>
      <c r="H48" s="14" t="str">
        <f t="shared" si="4"/>
        <v>否</v>
      </c>
      <c r="I48" s="14" t="str">
        <f t="shared" si="1"/>
        <v>否</v>
      </c>
      <c r="J48" s="15" t="str">
        <f t="shared" si="2"/>
        <v>否</v>
      </c>
    </row>
    <row r="49" spans="1:10">
      <c r="A49" s="7">
        <f>IF(子基金及业绩基准周净值!A67="","",子基金及业绩基准周净值!A67)</f>
        <v>45919</v>
      </c>
      <c r="B49" s="1">
        <f>IF(A49="","",VLOOKUP($A49,子基金及业绩基准周净值!$A:$AV,10))</f>
        <v>1.066</v>
      </c>
      <c r="C49" s="8">
        <f t="shared" si="3"/>
        <v>0.00566037735849057</v>
      </c>
      <c r="D49" s="9">
        <f>IF(A49="","",C49-(子基金及业绩基准周净值!AG67/子基金及业绩基准周净值!AG66-1))</f>
        <v>0.00537908277931776</v>
      </c>
      <c r="E49" s="12">
        <f>IF(A49="","",(MAX(B$3:B49)-B49)/MAX(B$3:B49))</f>
        <v>0</v>
      </c>
      <c r="F49" s="12">
        <f>IF(A49="","",MAX(E$4:E49))</f>
        <v>0.00807739269277725</v>
      </c>
      <c r="G49" s="17">
        <v>0</v>
      </c>
      <c r="H49" s="14" t="str">
        <f t="shared" si="4"/>
        <v>否</v>
      </c>
      <c r="I49" s="14" t="str">
        <f t="shared" si="1"/>
        <v>否</v>
      </c>
      <c r="J49" s="15" t="str">
        <f t="shared" si="2"/>
        <v>否</v>
      </c>
    </row>
    <row r="50" spans="1:10">
      <c r="A50" s="7">
        <f>IF(子基金及业绩基准周净值!A68="","",子基金及业绩基准周净值!A68)</f>
        <v>45926</v>
      </c>
      <c r="B50" s="1">
        <f>IF(A50="","",VLOOKUP($A50,子基金及业绩基准周净值!$A:$AV,10))</f>
        <v>1.0676</v>
      </c>
      <c r="C50" s="8">
        <f t="shared" si="3"/>
        <v>0.00150093808630398</v>
      </c>
      <c r="D50" s="9">
        <f>IF(A50="","",C50-(子基金及业绩基准周净值!AG68/子基金及业绩基准周净值!AG67-1))</f>
        <v>0.00430676437179529</v>
      </c>
      <c r="E50" s="12">
        <f>IF(A50="","",(MAX(B$3:B50)-B50)/MAX(B$3:B50))</f>
        <v>0</v>
      </c>
      <c r="F50" s="12">
        <f>IF(A50="","",MAX(E$4:E50))</f>
        <v>0.00807739269277725</v>
      </c>
      <c r="G50" s="17">
        <v>0</v>
      </c>
      <c r="H50" s="14" t="str">
        <f t="shared" si="4"/>
        <v>否</v>
      </c>
      <c r="I50" s="14" t="str">
        <f t="shared" si="1"/>
        <v>否</v>
      </c>
      <c r="J50" s="15" t="str">
        <f t="shared" si="2"/>
        <v>否</v>
      </c>
    </row>
    <row r="51" spans="1:10">
      <c r="A51" s="7">
        <f>IF(子基金及业绩基准周净值!A69="","",子基金及业绩基准周净值!A69)</f>
        <v>45940</v>
      </c>
      <c r="B51" s="1">
        <f>IF(A51="","",VLOOKUP($A51,子基金及业绩基准周净值!$A:$AV,10))</f>
        <v>1.0795</v>
      </c>
      <c r="C51" s="8">
        <f t="shared" si="3"/>
        <v>0.0111464968152864</v>
      </c>
      <c r="D51" s="9">
        <f>IF(A51="","",C51-(子基金及业绩基准周净值!AG69/子基金及业绩基准周净值!AG68-1))</f>
        <v>0.00913365697258781</v>
      </c>
      <c r="E51" s="12">
        <f>IF(A51="","",(MAX(B$3:B51)-B51)/MAX(B$3:B51))</f>
        <v>0</v>
      </c>
      <c r="F51" s="12">
        <f>IF(A51="","",MAX(E$4:E51))</f>
        <v>0.00807739269277725</v>
      </c>
      <c r="G51" s="17">
        <v>0</v>
      </c>
      <c r="H51" s="14" t="str">
        <f t="shared" si="4"/>
        <v>否</v>
      </c>
      <c r="I51" s="14" t="str">
        <f t="shared" si="1"/>
        <v>否</v>
      </c>
      <c r="J51" s="15" t="str">
        <f t="shared" si="2"/>
        <v>否</v>
      </c>
    </row>
    <row r="52" spans="1:10">
      <c r="A52" s="7">
        <f>IF(子基金及业绩基准周净值!A70="","",子基金及业绩基准周净值!A70)</f>
        <v>45947</v>
      </c>
      <c r="B52" s="1">
        <f>IF(A52="","",VLOOKUP($A52,子基金及业绩基准周净值!$A:$AV,10))</f>
        <v>1.0773</v>
      </c>
      <c r="C52" s="8">
        <f t="shared" si="3"/>
        <v>-0.00203798054654931</v>
      </c>
      <c r="D52" s="9">
        <f>IF(A52="","",C52-(子基金及业绩基准周净值!AG70/子基金及业绩基准周净值!AG69-1))</f>
        <v>-0.00236134691082741</v>
      </c>
      <c r="E52" s="12">
        <f>IF(A52="","",(MAX(B$3:B52)-B52)/MAX(B$3:B52))</f>
        <v>0.00203798054654931</v>
      </c>
      <c r="F52" s="12">
        <f>IF(A52="","",MAX(E$4:E52))</f>
        <v>0.00807739269277725</v>
      </c>
      <c r="G52" s="17">
        <v>1</v>
      </c>
      <c r="H52" s="14" t="str">
        <f t="shared" si="4"/>
        <v>否</v>
      </c>
      <c r="I52" s="14" t="str">
        <f t="shared" si="1"/>
        <v>否</v>
      </c>
      <c r="J52" s="15" t="str">
        <f t="shared" si="2"/>
        <v>否</v>
      </c>
    </row>
    <row r="53" spans="1:10">
      <c r="A53" s="7">
        <f>IF(子基金及业绩基准周净值!A71="","",子基金及业绩基准周净值!A71)</f>
        <v>45954</v>
      </c>
      <c r="B53" s="1">
        <f>IF(A53="","",VLOOKUP($A53,子基金及业绩基准周净值!$A:$AV,10))</f>
        <v>1.0744</v>
      </c>
      <c r="C53" s="8">
        <f t="shared" si="3"/>
        <v>-0.00269191497261664</v>
      </c>
      <c r="D53" s="9">
        <f>IF(A53="","",C53-(子基金及业绩基准周净值!AG71/子基金及业绩基准周净值!AG70-1))</f>
        <v>-0.0096516307518962</v>
      </c>
      <c r="E53" s="12">
        <f>IF(A53="","",(MAX(B$3:B53)-B53)/MAX(B$3:B53))</f>
        <v>0.00472440944881879</v>
      </c>
      <c r="F53" s="12">
        <f>IF(A53="","",MAX(E$4:E53))</f>
        <v>0.00807739269277725</v>
      </c>
      <c r="G53" s="17">
        <v>2</v>
      </c>
      <c r="H53" s="14" t="str">
        <f t="shared" si="4"/>
        <v>否</v>
      </c>
      <c r="I53" s="14" t="str">
        <f t="shared" si="1"/>
        <v>否</v>
      </c>
      <c r="J53" s="15" t="str">
        <f t="shared" si="2"/>
        <v>否</v>
      </c>
    </row>
    <row r="54" spans="1:10">
      <c r="A54" s="7">
        <f>IF(子基金及业绩基准周净值!A72="","",子基金及业绩基准周净值!A72)</f>
        <v>45961</v>
      </c>
      <c r="B54" s="1">
        <f>IF(A54="","",VLOOKUP($A54,子基金及业绩基准周净值!$A:$AV,10))</f>
        <v>1.0716</v>
      </c>
      <c r="C54" s="8">
        <f t="shared" si="3"/>
        <v>-0.00260610573343253</v>
      </c>
      <c r="D54" s="9">
        <f>IF(A54="","",C54-(子基金及业绩基准周净值!AG72/子基金及业绩基准周净值!AG71-1))</f>
        <v>0.000110008920789746</v>
      </c>
      <c r="E54" s="12">
        <f>IF(A54="","",(MAX(B$3:B54)-B54)/MAX(B$3:B54))</f>
        <v>0.00731820287169967</v>
      </c>
      <c r="F54" s="12">
        <f>IF(A54="","",MAX(E$4:E54))</f>
        <v>0.00807739269277725</v>
      </c>
      <c r="G54" s="17">
        <v>0</v>
      </c>
      <c r="H54" s="14" t="str">
        <f t="shared" si="4"/>
        <v>否</v>
      </c>
      <c r="I54" s="14" t="str">
        <f t="shared" si="1"/>
        <v>否</v>
      </c>
      <c r="J54" s="15" t="str">
        <f t="shared" si="2"/>
        <v>否</v>
      </c>
    </row>
    <row r="55" spans="1:10">
      <c r="A55" s="7" t="str">
        <f>IF(子基金及业绩基准周净值!A73="","",子基金及业绩基准周净值!A73)</f>
        <v/>
      </c>
      <c r="B55" s="1" t="str">
        <f>IF(A55="","",VLOOKUP($A55,子基金及业绩基准周净值!$A:$AV,10))</f>
        <v/>
      </c>
      <c r="C55" s="8" t="str">
        <f t="shared" si="3"/>
        <v/>
      </c>
      <c r="D55" s="9" t="str">
        <f>IF(A55="","",C55-(子基金及业绩基准周净值!AG73/子基金及业绩基准周净值!AG72-1))</f>
        <v/>
      </c>
      <c r="E55" s="12" t="str">
        <f>IF(A55="","",(MAX(B$3:B55)-B55)/MAX(B$3:B55))</f>
        <v/>
      </c>
      <c r="F55" s="12" t="str">
        <f>IF(A55="","",MAX(E$4:E55))</f>
        <v/>
      </c>
      <c r="G55" s="17" t="str">
        <f>IF(A55="","",MAX(FREQUENCY(IF($D$3:D55&lt;0,ROW($D$3:D55)),IF($D$3:D55&gt;=0,ROW($D$3:D55)))))</f>
        <v/>
      </c>
      <c r="H55" s="14" t="str">
        <f t="shared" si="4"/>
        <v/>
      </c>
      <c r="I55" s="14" t="str">
        <f t="shared" si="1"/>
        <v/>
      </c>
      <c r="J55" s="15" t="str">
        <f t="shared" si="2"/>
        <v/>
      </c>
    </row>
    <row r="56" spans="1:10">
      <c r="A56" s="7" t="str">
        <f>IF(子基金及业绩基准周净值!A74="","",子基金及业绩基准周净值!A74)</f>
        <v/>
      </c>
      <c r="B56" s="1" t="str">
        <f>IF(A56="","",VLOOKUP($A56,子基金及业绩基准周净值!$A:$AV,10))</f>
        <v/>
      </c>
      <c r="C56" s="8" t="str">
        <f t="shared" si="3"/>
        <v/>
      </c>
      <c r="D56" s="9" t="str">
        <f>IF(A56="","",C56-(子基金及业绩基准周净值!AG74/子基金及业绩基准周净值!AG73-1))</f>
        <v/>
      </c>
      <c r="E56" s="12" t="str">
        <f>IF(A56="","",(MAX(B$3:B56)-B56)/MAX(B$3:B56))</f>
        <v/>
      </c>
      <c r="F56" s="12" t="str">
        <f>IF(A56="","",MAX(E$4:E56))</f>
        <v/>
      </c>
      <c r="G56" s="17" t="str">
        <f>IF(A56="","",MAX(FREQUENCY(IF($D$3:D56&lt;0,ROW($D$3:D56)),IF($D$3:D56&gt;=0,ROW($D$3:D56)))))</f>
        <v/>
      </c>
      <c r="H56" s="14" t="str">
        <f t="shared" si="4"/>
        <v/>
      </c>
      <c r="I56" s="14" t="str">
        <f t="shared" si="1"/>
        <v/>
      </c>
      <c r="J56" s="15" t="str">
        <f t="shared" si="2"/>
        <v/>
      </c>
    </row>
    <row r="57" spans="1:10">
      <c r="A57" s="7" t="str">
        <f>IF(子基金及业绩基准周净值!A75="","",子基金及业绩基准周净值!A75)</f>
        <v/>
      </c>
      <c r="B57" s="1" t="str">
        <f>IF(A57="","",VLOOKUP($A57,子基金及业绩基准周净值!$A:$AV,10))</f>
        <v/>
      </c>
      <c r="C57" s="8" t="str">
        <f t="shared" si="3"/>
        <v/>
      </c>
      <c r="D57" s="9" t="str">
        <f>IF(A57="","",C57-(子基金及业绩基准周净值!AG75/子基金及业绩基准周净值!AG74-1))</f>
        <v/>
      </c>
      <c r="E57" s="12" t="str">
        <f>IF(A57="","",(MAX(B$3:B57)-B57)/MAX(B$3:B57))</f>
        <v/>
      </c>
      <c r="F57" s="12" t="str">
        <f>IF(A57="","",MAX(E$4:E57))</f>
        <v/>
      </c>
      <c r="G57" s="17" t="str">
        <f>IF(A57="","",MAX(FREQUENCY(IF($D$3:D57&lt;0,ROW($D$3:D57)),IF($D$3:D57&gt;=0,ROW($D$3:D57)))))</f>
        <v/>
      </c>
      <c r="H57" s="14" t="str">
        <f t="shared" si="4"/>
        <v/>
      </c>
      <c r="I57" s="14" t="str">
        <f t="shared" si="1"/>
        <v/>
      </c>
      <c r="J57" s="15" t="str">
        <f t="shared" si="2"/>
        <v/>
      </c>
    </row>
    <row r="58" spans="1:10">
      <c r="A58" s="7" t="str">
        <f>IF(子基金及业绩基准周净值!A76="","",子基金及业绩基准周净值!A76)</f>
        <v/>
      </c>
      <c r="B58" s="1" t="str">
        <f>IF(A58="","",VLOOKUP($A58,子基金及业绩基准周净值!$A:$AV,10))</f>
        <v/>
      </c>
      <c r="C58" s="8" t="str">
        <f t="shared" si="3"/>
        <v/>
      </c>
      <c r="D58" s="9" t="str">
        <f>IF(A58="","",C58-(子基金及业绩基准周净值!AG76/子基金及业绩基准周净值!AG75-1))</f>
        <v/>
      </c>
      <c r="E58" s="12" t="str">
        <f>IF(A58="","",(MAX(B$3:B58)-B58)/MAX(B$3:B58))</f>
        <v/>
      </c>
      <c r="F58" s="12" t="str">
        <f>IF(A58="","",MAX(E$4:E58))</f>
        <v/>
      </c>
      <c r="G58" s="17" t="str">
        <f>IF(A58="","",MAX(FREQUENCY(IF($D$3:D58&lt;0,ROW($D$3:D58)),IF($D$3:D58&gt;=0,ROW($D$3:D58)))))</f>
        <v/>
      </c>
      <c r="H58" s="14" t="str">
        <f t="shared" si="4"/>
        <v/>
      </c>
      <c r="I58" s="14" t="str">
        <f t="shared" si="1"/>
        <v/>
      </c>
      <c r="J58" s="15" t="str">
        <f t="shared" si="2"/>
        <v/>
      </c>
    </row>
    <row r="59" spans="1:10">
      <c r="A59" s="7" t="str">
        <f>IF(子基金及业绩基准周净值!A77="","",子基金及业绩基准周净值!A77)</f>
        <v/>
      </c>
      <c r="B59" s="1" t="str">
        <f>IF(A59="","",VLOOKUP($A59,子基金及业绩基准周净值!$A:$AV,10))</f>
        <v/>
      </c>
      <c r="C59" s="8" t="str">
        <f t="shared" si="3"/>
        <v/>
      </c>
      <c r="D59" s="9" t="str">
        <f>IF(A59="","",C59-(子基金及业绩基准周净值!AG77/子基金及业绩基准周净值!AG76-1))</f>
        <v/>
      </c>
      <c r="E59" s="12" t="str">
        <f>IF(A59="","",(MAX(B$3:B59)-B59)/MAX(B$3:B59))</f>
        <v/>
      </c>
      <c r="F59" s="12" t="str">
        <f>IF(A59="","",MAX(E$4:E59))</f>
        <v/>
      </c>
      <c r="G59" s="17" t="str">
        <f>IF(A59="","",MAX(FREQUENCY(IF($D$3:D59&lt;0,ROW($D$3:D59)),IF($D$3:D59&gt;=0,ROW($D$3:D59)))))</f>
        <v/>
      </c>
      <c r="H59" s="14" t="str">
        <f t="shared" si="4"/>
        <v/>
      </c>
      <c r="I59" s="14" t="str">
        <f t="shared" si="1"/>
        <v/>
      </c>
      <c r="J59" s="15" t="str">
        <f t="shared" si="2"/>
        <v/>
      </c>
    </row>
    <row r="60" spans="1:10">
      <c r="A60" s="7" t="str">
        <f>IF(子基金及业绩基准周净值!A78="","",子基金及业绩基准周净值!A78)</f>
        <v/>
      </c>
      <c r="B60" s="1" t="str">
        <f>IF(A60="","",VLOOKUP($A60,子基金及业绩基准周净值!$A:$AV,10))</f>
        <v/>
      </c>
      <c r="C60" s="8" t="str">
        <f t="shared" si="3"/>
        <v/>
      </c>
      <c r="D60" s="9" t="str">
        <f>IF(A60="","",C60-(子基金及业绩基准周净值!AG78/子基金及业绩基准周净值!AG77-1))</f>
        <v/>
      </c>
      <c r="E60" s="12" t="str">
        <f>IF(A60="","",(MAX(B$3:B60)-B60)/MAX(B$3:B60))</f>
        <v/>
      </c>
      <c r="F60" s="12" t="str">
        <f>IF(A60="","",MAX(E$4:E60))</f>
        <v/>
      </c>
      <c r="G60" s="17" t="str">
        <f>IF(A60="","",MAX(FREQUENCY(IF($D$3:D60&lt;0,ROW($D$3:D60)),IF($D$3:D60&gt;=0,ROW($D$3:D60)))))</f>
        <v/>
      </c>
      <c r="H60" s="14" t="str">
        <f t="shared" si="4"/>
        <v/>
      </c>
      <c r="I60" s="14" t="str">
        <f t="shared" si="1"/>
        <v/>
      </c>
      <c r="J60" s="15" t="str">
        <f t="shared" si="2"/>
        <v/>
      </c>
    </row>
    <row r="61" spans="1:10">
      <c r="A61" s="7" t="str">
        <f>IF(子基金及业绩基准周净值!A79="","",子基金及业绩基准周净值!A79)</f>
        <v/>
      </c>
      <c r="B61" s="1" t="str">
        <f>IF(A61="","",VLOOKUP($A61,子基金及业绩基准周净值!$A:$AV,10))</f>
        <v/>
      </c>
      <c r="C61" s="8" t="str">
        <f t="shared" si="3"/>
        <v/>
      </c>
      <c r="D61" s="9" t="str">
        <f>IF(A61="","",C61-(子基金及业绩基准周净值!AG79/子基金及业绩基准周净值!AG78-1))</f>
        <v/>
      </c>
      <c r="E61" s="12" t="str">
        <f>IF(A61="","",(MAX(B$3:B61)-B61)/MAX(B$3:B61))</f>
        <v/>
      </c>
      <c r="F61" s="12" t="str">
        <f>IF(A61="","",MAX(E$4:E61))</f>
        <v/>
      </c>
      <c r="G61" s="17" t="str">
        <f>IF(A61="","",MAX(FREQUENCY(IF($D$3:D61&lt;0,ROW($D$3:D61)),IF($D$3:D61&gt;=0,ROW($D$3:D61)))))</f>
        <v/>
      </c>
      <c r="H61" s="14" t="str">
        <f t="shared" si="4"/>
        <v/>
      </c>
      <c r="I61" s="14" t="str">
        <f t="shared" si="1"/>
        <v/>
      </c>
      <c r="J61" s="15" t="str">
        <f t="shared" si="2"/>
        <v/>
      </c>
    </row>
    <row r="62" spans="1:10">
      <c r="A62" s="7" t="str">
        <f>IF(子基金及业绩基准周净值!A80="","",子基金及业绩基准周净值!A80)</f>
        <v/>
      </c>
      <c r="B62" s="1" t="str">
        <f>IF(A62="","",VLOOKUP($A62,子基金及业绩基准周净值!$A:$AV,10))</f>
        <v/>
      </c>
      <c r="C62" s="8" t="str">
        <f t="shared" si="3"/>
        <v/>
      </c>
      <c r="D62" s="9" t="str">
        <f>IF(A62="","",C62-(子基金及业绩基准周净值!AG80/子基金及业绩基准周净值!AG79-1))</f>
        <v/>
      </c>
      <c r="E62" s="12" t="str">
        <f>IF(A62="","",(MAX(B$3:B62)-B62)/MAX(B$3:B62))</f>
        <v/>
      </c>
      <c r="F62" s="12" t="str">
        <f>IF(A62="","",MAX(E$4:E62))</f>
        <v/>
      </c>
      <c r="G62" s="17" t="str">
        <f>IF(A62="","",MAX(FREQUENCY(IF($D$3:D62&lt;0,ROW($D$3:D62)),IF($D$3:D62&gt;=0,ROW($D$3:D62)))))</f>
        <v/>
      </c>
      <c r="H62" s="14" t="str">
        <f t="shared" si="4"/>
        <v/>
      </c>
      <c r="I62" s="14" t="str">
        <f t="shared" si="1"/>
        <v/>
      </c>
      <c r="J62" s="15" t="str">
        <f t="shared" si="2"/>
        <v/>
      </c>
    </row>
    <row r="63" spans="1:10">
      <c r="A63" s="7" t="str">
        <f>IF(子基金及业绩基准周净值!A81="","",子基金及业绩基准周净值!A81)</f>
        <v/>
      </c>
      <c r="B63" s="1" t="str">
        <f>IF(A63="","",VLOOKUP($A63,子基金及业绩基准周净值!$A:$AV,10))</f>
        <v/>
      </c>
      <c r="C63" s="8" t="str">
        <f t="shared" si="3"/>
        <v/>
      </c>
      <c r="D63" s="9" t="str">
        <f>IF(A63="","",C63-(子基金及业绩基准周净值!AG81/子基金及业绩基准周净值!AG80-1))</f>
        <v/>
      </c>
      <c r="E63" s="12" t="str">
        <f>IF(A63="","",(MAX(B$3:B63)-B63)/MAX(B$3:B63))</f>
        <v/>
      </c>
      <c r="F63" s="12" t="str">
        <f>IF(A63="","",MAX(E$4:E63))</f>
        <v/>
      </c>
      <c r="G63" s="17" t="str">
        <f>IF(A63="","",MAX(FREQUENCY(IF($D$3:D63&lt;0,ROW($D$3:D63)),IF($D$3:D63&gt;=0,ROW($D$3:D63)))))</f>
        <v/>
      </c>
      <c r="H63" s="14" t="str">
        <f t="shared" si="4"/>
        <v/>
      </c>
      <c r="I63" s="14" t="str">
        <f t="shared" si="1"/>
        <v/>
      </c>
      <c r="J63" s="15" t="str">
        <f t="shared" si="2"/>
        <v/>
      </c>
    </row>
    <row r="64" spans="1:10">
      <c r="A64" s="7" t="str">
        <f>IF(子基金及业绩基准周净值!A82="","",子基金及业绩基准周净值!A82)</f>
        <v/>
      </c>
      <c r="B64" s="1" t="str">
        <f>IF(A64="","",VLOOKUP($A64,子基金及业绩基准周净值!$A:$AV,10))</f>
        <v/>
      </c>
      <c r="C64" s="8" t="str">
        <f t="shared" si="3"/>
        <v/>
      </c>
      <c r="D64" s="9" t="str">
        <f>IF(A64="","",C64-(子基金及业绩基准周净值!AG82/子基金及业绩基准周净值!AG81-1))</f>
        <v/>
      </c>
      <c r="E64" s="12" t="str">
        <f>IF(A64="","",(MAX(B$3:B64)-B64)/MAX(B$3:B64))</f>
        <v/>
      </c>
      <c r="F64" s="12" t="str">
        <f>IF(A64="","",MAX(E$4:E64))</f>
        <v/>
      </c>
      <c r="G64" s="17" t="str">
        <f>IF(A64="","",MAX(FREQUENCY(IF($D$3:D64&lt;0,ROW($D$3:D64)),IF($D$3:D64&gt;=0,ROW($D$3:D64)))))</f>
        <v/>
      </c>
      <c r="H64" s="14" t="str">
        <f t="shared" si="4"/>
        <v/>
      </c>
      <c r="I64" s="14" t="str">
        <f t="shared" si="1"/>
        <v/>
      </c>
      <c r="J64" s="15" t="str">
        <f t="shared" si="2"/>
        <v/>
      </c>
    </row>
    <row r="65" spans="1:10">
      <c r="A65" s="7" t="str">
        <f>IF(子基金及业绩基准周净值!A83="","",子基金及业绩基准周净值!A83)</f>
        <v/>
      </c>
      <c r="B65" s="1" t="str">
        <f>IF(A65="","",VLOOKUP($A65,子基金及业绩基准周净值!$A:$AV,10))</f>
        <v/>
      </c>
      <c r="C65" s="8" t="str">
        <f t="shared" si="3"/>
        <v/>
      </c>
      <c r="D65" s="9" t="str">
        <f>IF(A65="","",C65-(子基金及业绩基准周净值!AG83/子基金及业绩基准周净值!AG82-1))</f>
        <v/>
      </c>
      <c r="E65" s="12" t="str">
        <f>IF(A65="","",(MAX(B$3:B65)-B65)/MAX(B$3:B65))</f>
        <v/>
      </c>
      <c r="F65" s="12" t="str">
        <f>IF(A65="","",MAX(E$4:E65))</f>
        <v/>
      </c>
      <c r="G65" s="17" t="str">
        <f>IF(A65="","",MAX(FREQUENCY(IF($D$3:D65&lt;0,ROW($D$3:D65)),IF($D$3:D65&gt;=0,ROW($D$3:D65)))))</f>
        <v/>
      </c>
      <c r="H65" s="14" t="str">
        <f t="shared" si="4"/>
        <v/>
      </c>
      <c r="I65" s="14" t="str">
        <f t="shared" si="1"/>
        <v/>
      </c>
      <c r="J65" s="15" t="str">
        <f t="shared" si="2"/>
        <v/>
      </c>
    </row>
    <row r="66" spans="1:10">
      <c r="A66" s="7" t="str">
        <f>IF(子基金及业绩基准周净值!A84="","",子基金及业绩基准周净值!A84)</f>
        <v/>
      </c>
      <c r="B66" s="1" t="str">
        <f>IF(A66="","",VLOOKUP($A66,子基金及业绩基准周净值!$A:$AV,10))</f>
        <v/>
      </c>
      <c r="C66" s="8" t="str">
        <f t="shared" si="3"/>
        <v/>
      </c>
      <c r="D66" s="9" t="str">
        <f>IF(A66="","",C66-(子基金及业绩基准周净值!AG84/子基金及业绩基准周净值!AG83-1))</f>
        <v/>
      </c>
      <c r="E66" s="12" t="str">
        <f>IF(A66="","",(MAX(B$3:B66)-B66)/MAX(B$3:B66))</f>
        <v/>
      </c>
      <c r="F66" s="12" t="str">
        <f>IF(A66="","",MAX(E$4:E66))</f>
        <v/>
      </c>
      <c r="G66" s="17" t="str">
        <f>IF(A66="","",MAX(FREQUENCY(IF($D$3:D66&lt;0,ROW($D$3:D66)),IF($D$3:D66&gt;=0,ROW($D$3:D66)))))</f>
        <v/>
      </c>
      <c r="H66" s="14" t="str">
        <f t="shared" si="4"/>
        <v/>
      </c>
      <c r="I66" s="14" t="str">
        <f t="shared" si="1"/>
        <v/>
      </c>
      <c r="J66" s="15" t="str">
        <f t="shared" si="2"/>
        <v/>
      </c>
    </row>
    <row r="67" spans="1:10">
      <c r="A67" s="7" t="str">
        <f>IF(子基金及业绩基准周净值!A85="","",子基金及业绩基准周净值!A85)</f>
        <v/>
      </c>
      <c r="B67" s="1" t="str">
        <f>IF(A67="","",VLOOKUP($A67,子基金及业绩基准周净值!$A:$AV,10))</f>
        <v/>
      </c>
      <c r="C67" s="8" t="str">
        <f t="shared" si="3"/>
        <v/>
      </c>
      <c r="D67" s="9" t="str">
        <f>IF(A67="","",C67-(子基金及业绩基准周净值!AG85/子基金及业绩基准周净值!AG84-1))</f>
        <v/>
      </c>
      <c r="E67" s="12" t="str">
        <f>IF(A67="","",(MAX(B$3:B67)-B67)/MAX(B$3:B67))</f>
        <v/>
      </c>
      <c r="F67" s="12" t="str">
        <f>IF(A67="","",MAX(E$4:E67))</f>
        <v/>
      </c>
      <c r="G67" s="17" t="str">
        <f>IF(A67="","",MAX(FREQUENCY(IF($D$3:D67&lt;0,ROW($D$3:D67)),IF($D$3:D67&gt;=0,ROW($D$3:D67)))))</f>
        <v/>
      </c>
      <c r="H67" s="14" t="str">
        <f t="shared" si="4"/>
        <v/>
      </c>
      <c r="I67" s="14" t="str">
        <f t="shared" si="1"/>
        <v/>
      </c>
      <c r="J67" s="15" t="str">
        <f t="shared" si="2"/>
        <v/>
      </c>
    </row>
    <row r="68" spans="1:10">
      <c r="A68" s="7" t="str">
        <f>IF(子基金及业绩基准周净值!A86="","",子基金及业绩基准周净值!A86)</f>
        <v/>
      </c>
      <c r="B68" s="1" t="str">
        <f>IF(A68="","",VLOOKUP($A68,子基金及业绩基准周净值!$A:$AV,10))</f>
        <v/>
      </c>
      <c r="C68" s="8" t="str">
        <f t="shared" si="3"/>
        <v/>
      </c>
      <c r="D68" s="9" t="str">
        <f>IF(A68="","",C68-(子基金及业绩基准周净值!AG86/子基金及业绩基准周净值!AG85-1))</f>
        <v/>
      </c>
      <c r="E68" s="12" t="str">
        <f>IF(A68="","",(MAX(B$3:B68)-B68)/MAX(B$3:B68))</f>
        <v/>
      </c>
      <c r="F68" s="12" t="str">
        <f>IF(A68="","",MAX(E$4:E68))</f>
        <v/>
      </c>
      <c r="G68" s="17" t="str">
        <f>IF(A68="","",MAX(FREQUENCY(IF($D$3:D68&lt;0,ROW($D$3:D68)),IF($D$3:D68&gt;=0,ROW($D$3:D68)))))</f>
        <v/>
      </c>
      <c r="H68" s="14" t="str">
        <f t="shared" si="4"/>
        <v/>
      </c>
      <c r="I68" s="14" t="str">
        <f t="shared" si="1"/>
        <v/>
      </c>
      <c r="J68" s="15" t="str">
        <f t="shared" si="2"/>
        <v/>
      </c>
    </row>
    <row r="69" spans="1:10">
      <c r="A69" s="7" t="str">
        <f>IF(子基金及业绩基准周净值!A87="","",子基金及业绩基准周净值!A87)</f>
        <v/>
      </c>
      <c r="B69" s="1" t="str">
        <f>IF(A69="","",VLOOKUP($A69,子基金及业绩基准周净值!$A:$AV,10))</f>
        <v/>
      </c>
      <c r="C69" s="8" t="str">
        <f t="shared" si="3"/>
        <v/>
      </c>
      <c r="D69" s="9" t="str">
        <f>IF(A69="","",C69-(子基金及业绩基准周净值!AG87/子基金及业绩基准周净值!AG86-1))</f>
        <v/>
      </c>
      <c r="E69" s="12" t="str">
        <f>IF(A69="","",(MAX(B$3:B69)-B69)/MAX(B$3:B69))</f>
        <v/>
      </c>
      <c r="F69" s="12" t="str">
        <f>IF(A69="","",MAX(E$4:E69))</f>
        <v/>
      </c>
      <c r="G69" s="17" t="str">
        <f>IF(A69="","",MAX(FREQUENCY(IF($D$3:D69&lt;0,ROW($D$3:D69)),IF($D$3:D69&gt;=0,ROW($D$3:D69)))))</f>
        <v/>
      </c>
      <c r="H69" s="14" t="str">
        <f t="shared" ref="H69:H100" si="5">IF(B69="","",IF(C69&lt;-3%,"是","否"))</f>
        <v/>
      </c>
      <c r="I69" s="14" t="str">
        <f t="shared" ref="I69:I127" si="6">IF(A69="","",IF(F69&gt;5%,"是","否"))</f>
        <v/>
      </c>
      <c r="J69" s="15" t="str">
        <f t="shared" ref="J69:J127" si="7">IF(A69="","",IF(G69&gt;=4,"是","否"))</f>
        <v/>
      </c>
    </row>
    <row r="70" spans="1:10">
      <c r="A70" s="7" t="str">
        <f>IF(子基金及业绩基准周净值!A88="","",子基金及业绩基准周净值!A88)</f>
        <v/>
      </c>
      <c r="B70" s="1" t="str">
        <f>IF(A70="","",VLOOKUP($A70,子基金及业绩基准周净值!$A:$AV,10))</f>
        <v/>
      </c>
      <c r="C70" s="8" t="str">
        <f t="shared" ref="C70:C127" si="8">IF(A70="","",(B70-B69)/B69)</f>
        <v/>
      </c>
      <c r="D70" s="9" t="str">
        <f>IF(A70="","",C70-(子基金及业绩基准周净值!AG88/子基金及业绩基准周净值!AG87-1))</f>
        <v/>
      </c>
      <c r="E70" s="12" t="str">
        <f>IF(A70="","",(MAX(B$3:B70)-B70)/MAX(B$3:B70))</f>
        <v/>
      </c>
      <c r="F70" s="12" t="str">
        <f>IF(A70="","",MAX(E$4:E70))</f>
        <v/>
      </c>
      <c r="G70" s="17" t="str">
        <f>IF(A70="","",MAX(FREQUENCY(IF($D$3:D70&lt;0,ROW($D$3:D70)),IF($D$3:D70&gt;=0,ROW($D$3:D70)))))</f>
        <v/>
      </c>
      <c r="H70" s="14" t="str">
        <f t="shared" si="5"/>
        <v/>
      </c>
      <c r="I70" s="14" t="str">
        <f t="shared" si="6"/>
        <v/>
      </c>
      <c r="J70" s="15" t="str">
        <f t="shared" si="7"/>
        <v/>
      </c>
    </row>
    <row r="71" spans="1:10">
      <c r="A71" s="7" t="str">
        <f>IF(子基金及业绩基准周净值!A89="","",子基金及业绩基准周净值!A89)</f>
        <v/>
      </c>
      <c r="B71" s="1" t="str">
        <f>IF(A71="","",VLOOKUP($A71,子基金及业绩基准周净值!$A:$AV,10))</f>
        <v/>
      </c>
      <c r="C71" s="8" t="str">
        <f t="shared" si="8"/>
        <v/>
      </c>
      <c r="D71" s="9" t="str">
        <f>IF(A71="","",C71-(子基金及业绩基准周净值!AG89/子基金及业绩基准周净值!AG88-1))</f>
        <v/>
      </c>
      <c r="E71" s="12" t="str">
        <f>IF(A71="","",(MAX(B$3:B71)-B71)/MAX(B$3:B71))</f>
        <v/>
      </c>
      <c r="F71" s="12" t="str">
        <f>IF(A71="","",MAX(E$4:E71))</f>
        <v/>
      </c>
      <c r="G71" s="17" t="str">
        <f>IF(A71="","",MAX(FREQUENCY(IF($D$3:D71&lt;0,ROW($D$3:D71)),IF($D$3:D71&gt;=0,ROW($D$3:D71)))))</f>
        <v/>
      </c>
      <c r="H71" s="14" t="str">
        <f t="shared" si="5"/>
        <v/>
      </c>
      <c r="I71" s="14" t="str">
        <f t="shared" si="6"/>
        <v/>
      </c>
      <c r="J71" s="15" t="str">
        <f t="shared" si="7"/>
        <v/>
      </c>
    </row>
    <row r="72" spans="1:10">
      <c r="A72" s="7" t="str">
        <f>IF(子基金及业绩基准周净值!A90="","",子基金及业绩基准周净值!A90)</f>
        <v/>
      </c>
      <c r="B72" s="1" t="str">
        <f>IF(A72="","",VLOOKUP($A72,子基金及业绩基准周净值!$A:$AV,10))</f>
        <v/>
      </c>
      <c r="C72" s="8" t="str">
        <f t="shared" si="8"/>
        <v/>
      </c>
      <c r="D72" s="9" t="str">
        <f>IF(A72="","",C72-(子基金及业绩基准周净值!AG90/子基金及业绩基准周净值!AG89-1))</f>
        <v/>
      </c>
      <c r="E72" s="12" t="str">
        <f>IF(A72="","",(MAX(B$3:B72)-B72)/MAX(B$3:B72))</f>
        <v/>
      </c>
      <c r="F72" s="12" t="str">
        <f>IF(A72="","",MAX(E$4:E72))</f>
        <v/>
      </c>
      <c r="G72" s="17" t="str">
        <f>IF(A72="","",MAX(FREQUENCY(IF($D$3:D72&lt;0,ROW($D$3:D72)),IF($D$3:D72&gt;=0,ROW($D$3:D72)))))</f>
        <v/>
      </c>
      <c r="H72" s="14" t="str">
        <f t="shared" si="5"/>
        <v/>
      </c>
      <c r="I72" s="14" t="str">
        <f t="shared" si="6"/>
        <v/>
      </c>
      <c r="J72" s="15" t="str">
        <f t="shared" si="7"/>
        <v/>
      </c>
    </row>
    <row r="73" spans="1:10">
      <c r="A73" s="7" t="str">
        <f>IF(子基金及业绩基准周净值!A91="","",子基金及业绩基准周净值!A91)</f>
        <v/>
      </c>
      <c r="B73" s="1" t="str">
        <f>IF(A73="","",VLOOKUP($A73,子基金及业绩基准周净值!$A:$AV,10))</f>
        <v/>
      </c>
      <c r="C73" s="8" t="str">
        <f t="shared" si="8"/>
        <v/>
      </c>
      <c r="D73" s="9" t="str">
        <f>IF(A73="","",C73-(子基金及业绩基准周净值!AG91/子基金及业绩基准周净值!AG90-1))</f>
        <v/>
      </c>
      <c r="E73" s="12" t="str">
        <f>IF(A73="","",(MAX(B$3:B73)-B73)/MAX(B$3:B73))</f>
        <v/>
      </c>
      <c r="F73" s="12" t="str">
        <f>IF(A73="","",MAX(E$4:E73))</f>
        <v/>
      </c>
      <c r="G73" s="17" t="str">
        <f>IF(A73="","",MAX(FREQUENCY(IF($D$3:D73&lt;0,ROW($D$3:D73)),IF($D$3:D73&gt;=0,ROW($D$3:D73)))))</f>
        <v/>
      </c>
      <c r="H73" s="14" t="str">
        <f t="shared" si="5"/>
        <v/>
      </c>
      <c r="I73" s="14" t="str">
        <f t="shared" si="6"/>
        <v/>
      </c>
      <c r="J73" s="15" t="str">
        <f t="shared" si="7"/>
        <v/>
      </c>
    </row>
    <row r="74" spans="1:10">
      <c r="A74" s="7" t="str">
        <f>IF(子基金及业绩基准周净值!A92="","",子基金及业绩基准周净值!A92)</f>
        <v/>
      </c>
      <c r="B74" s="1" t="str">
        <f>IF(A74="","",VLOOKUP($A74,子基金及业绩基准周净值!$A:$AV,10))</f>
        <v/>
      </c>
      <c r="C74" s="8" t="str">
        <f t="shared" si="8"/>
        <v/>
      </c>
      <c r="D74" s="9" t="str">
        <f>IF(A74="","",C74-(子基金及业绩基准周净值!AG92/子基金及业绩基准周净值!AG91-1))</f>
        <v/>
      </c>
      <c r="E74" s="12" t="str">
        <f>IF(A74="","",(MAX(B$3:B74)-B74)/MAX(B$3:B74))</f>
        <v/>
      </c>
      <c r="F74" s="12" t="str">
        <f>IF(A74="","",MAX(E$4:E74))</f>
        <v/>
      </c>
      <c r="G74" s="17" t="str">
        <f>IF(A74="","",MAX(FREQUENCY(IF($D$3:D74&lt;0,ROW($D$3:D74)),IF($D$3:D74&gt;=0,ROW($D$3:D74)))))</f>
        <v/>
      </c>
      <c r="H74" s="14" t="str">
        <f t="shared" si="5"/>
        <v/>
      </c>
      <c r="I74" s="14" t="str">
        <f t="shared" si="6"/>
        <v/>
      </c>
      <c r="J74" s="15" t="str">
        <f t="shared" si="7"/>
        <v/>
      </c>
    </row>
    <row r="75" spans="1:10">
      <c r="A75" s="7" t="str">
        <f>IF(子基金及业绩基准周净值!A93="","",子基金及业绩基准周净值!A93)</f>
        <v/>
      </c>
      <c r="B75" s="1" t="str">
        <f>IF(A75="","",VLOOKUP($A75,子基金及业绩基准周净值!$A:$AV,10))</f>
        <v/>
      </c>
      <c r="C75" s="8" t="str">
        <f t="shared" si="8"/>
        <v/>
      </c>
      <c r="D75" s="9" t="str">
        <f>IF(A75="","",C75-(子基金及业绩基准周净值!AG93/子基金及业绩基准周净值!AG92-1))</f>
        <v/>
      </c>
      <c r="E75" s="12" t="str">
        <f>IF(A75="","",(MAX(B$3:B75)-B75)/MAX(B$3:B75))</f>
        <v/>
      </c>
      <c r="F75" s="12" t="str">
        <f>IF(A75="","",MAX(E$4:E75))</f>
        <v/>
      </c>
      <c r="G75" s="17" t="str">
        <f>IF(A75="","",MAX(FREQUENCY(IF($D$3:D75&lt;0,ROW($D$3:D75)),IF($D$3:D75&gt;=0,ROW($D$3:D75)))))</f>
        <v/>
      </c>
      <c r="H75" s="14" t="str">
        <f t="shared" si="5"/>
        <v/>
      </c>
      <c r="I75" s="14" t="str">
        <f t="shared" si="6"/>
        <v/>
      </c>
      <c r="J75" s="15" t="str">
        <f t="shared" si="7"/>
        <v/>
      </c>
    </row>
    <row r="76" spans="1:10">
      <c r="A76" s="7" t="str">
        <f>IF(子基金及业绩基准周净值!A94="","",子基金及业绩基准周净值!A94)</f>
        <v/>
      </c>
      <c r="B76" s="1" t="str">
        <f>IF(A76="","",VLOOKUP($A76,子基金及业绩基准周净值!$A:$AV,10))</f>
        <v/>
      </c>
      <c r="C76" s="8" t="str">
        <f t="shared" si="8"/>
        <v/>
      </c>
      <c r="D76" s="9" t="str">
        <f>IF(A76="","",C76-(子基金及业绩基准周净值!AG94/子基金及业绩基准周净值!AG93-1))</f>
        <v/>
      </c>
      <c r="E76" s="12" t="str">
        <f>IF(A76="","",(MAX(B$3:B76)-B76)/MAX(B$3:B76))</f>
        <v/>
      </c>
      <c r="F76" s="12" t="str">
        <f>IF(A76="","",MAX(E$4:E76))</f>
        <v/>
      </c>
      <c r="G76" s="17" t="str">
        <f>IF(A76="","",MAX(FREQUENCY(IF($D$3:D76&lt;0,ROW($D$3:D76)),IF($D$3:D76&gt;=0,ROW($D$3:D76)))))</f>
        <v/>
      </c>
      <c r="H76" s="14" t="str">
        <f t="shared" si="5"/>
        <v/>
      </c>
      <c r="I76" s="14" t="str">
        <f t="shared" si="6"/>
        <v/>
      </c>
      <c r="J76" s="15" t="str">
        <f t="shared" si="7"/>
        <v/>
      </c>
    </row>
    <row r="77" spans="1:10">
      <c r="A77" s="7" t="str">
        <f>IF(子基金及业绩基准周净值!A95="","",子基金及业绩基准周净值!A95)</f>
        <v/>
      </c>
      <c r="B77" s="1" t="str">
        <f>IF(A77="","",VLOOKUP($A77,子基金及业绩基准周净值!$A:$AV,10))</f>
        <v/>
      </c>
      <c r="C77" s="8" t="str">
        <f t="shared" si="8"/>
        <v/>
      </c>
      <c r="D77" s="9" t="str">
        <f>IF(A77="","",C77-(子基金及业绩基准周净值!AG95/子基金及业绩基准周净值!AG94-1))</f>
        <v/>
      </c>
      <c r="E77" s="12" t="str">
        <f>IF(A77="","",(MAX(B$3:B77)-B77)/MAX(B$3:B77))</f>
        <v/>
      </c>
      <c r="F77" s="12" t="str">
        <f>IF(A77="","",MAX(E$4:E77))</f>
        <v/>
      </c>
      <c r="G77" s="17" t="str">
        <f>IF(A77="","",MAX(FREQUENCY(IF($D$3:D77&lt;0,ROW($D$3:D77)),IF($D$3:D77&gt;=0,ROW($D$3:D77)))))</f>
        <v/>
      </c>
      <c r="H77" s="14" t="str">
        <f t="shared" si="5"/>
        <v/>
      </c>
      <c r="I77" s="14" t="str">
        <f t="shared" si="6"/>
        <v/>
      </c>
      <c r="J77" s="15" t="str">
        <f t="shared" si="7"/>
        <v/>
      </c>
    </row>
    <row r="78" spans="1:10">
      <c r="A78" s="7" t="str">
        <f>IF(子基金及业绩基准周净值!A96="","",子基金及业绩基准周净值!A96)</f>
        <v/>
      </c>
      <c r="B78" s="1" t="str">
        <f>IF(A78="","",VLOOKUP($A78,子基金及业绩基准周净值!$A:$AV,10))</f>
        <v/>
      </c>
      <c r="C78" s="8" t="str">
        <f t="shared" si="8"/>
        <v/>
      </c>
      <c r="D78" s="9" t="str">
        <f>IF(A78="","",C78-(子基金及业绩基准周净值!AG96/子基金及业绩基准周净值!AG95-1))</f>
        <v/>
      </c>
      <c r="E78" s="12" t="str">
        <f>IF(A78="","",(MAX(B$3:B78)-B78)/MAX(B$3:B78))</f>
        <v/>
      </c>
      <c r="F78" s="12" t="str">
        <f>IF(A78="","",MAX(E$4:E78))</f>
        <v/>
      </c>
      <c r="G78" s="17" t="str">
        <f>IF(A78="","",MAX(FREQUENCY(IF($D$3:D78&lt;0,ROW($D$3:D78)),IF($D$3:D78&gt;=0,ROW($D$3:D78)))))</f>
        <v/>
      </c>
      <c r="H78" s="14" t="str">
        <f t="shared" si="5"/>
        <v/>
      </c>
      <c r="I78" s="14" t="str">
        <f t="shared" si="6"/>
        <v/>
      </c>
      <c r="J78" s="15" t="str">
        <f t="shared" si="7"/>
        <v/>
      </c>
    </row>
    <row r="79" spans="1:10">
      <c r="A79" s="7" t="str">
        <f>IF(子基金及业绩基准周净值!A97="","",子基金及业绩基准周净值!A97)</f>
        <v/>
      </c>
      <c r="B79" s="1" t="str">
        <f>IF(A79="","",VLOOKUP($A79,子基金及业绩基准周净值!$A:$AV,10))</f>
        <v/>
      </c>
      <c r="C79" s="8" t="str">
        <f t="shared" si="8"/>
        <v/>
      </c>
      <c r="D79" s="9" t="str">
        <f>IF(A79="","",C79-(子基金及业绩基准周净值!AG97/子基金及业绩基准周净值!AG96-1))</f>
        <v/>
      </c>
      <c r="E79" s="12" t="str">
        <f>IF(A79="","",(MAX(B$3:B79)-B79)/MAX(B$3:B79))</f>
        <v/>
      </c>
      <c r="F79" s="12" t="str">
        <f>IF(A79="","",MAX(E$4:E79))</f>
        <v/>
      </c>
      <c r="G79" s="17" t="str">
        <f>IF(A79="","",MAX(FREQUENCY(IF($D$3:D79&lt;0,ROW($D$3:D79)),IF($D$3:D79&gt;=0,ROW($D$3:D79)))))</f>
        <v/>
      </c>
      <c r="H79" s="14" t="str">
        <f t="shared" si="5"/>
        <v/>
      </c>
      <c r="I79" s="14" t="str">
        <f t="shared" si="6"/>
        <v/>
      </c>
      <c r="J79" s="15" t="str">
        <f t="shared" si="7"/>
        <v/>
      </c>
    </row>
    <row r="80" spans="1:10">
      <c r="A80" s="7" t="str">
        <f>IF(子基金及业绩基准周净值!A98="","",子基金及业绩基准周净值!A98)</f>
        <v/>
      </c>
      <c r="B80" s="1" t="str">
        <f>IF(A80="","",VLOOKUP($A80,子基金及业绩基准周净值!$A:$AV,10))</f>
        <v/>
      </c>
      <c r="C80" s="8" t="str">
        <f t="shared" si="8"/>
        <v/>
      </c>
      <c r="D80" s="9" t="str">
        <f>IF(A80="","",C80-(子基金及业绩基准周净值!AG98/子基金及业绩基准周净值!AG97-1))</f>
        <v/>
      </c>
      <c r="E80" s="12" t="str">
        <f>IF(A80="","",(MAX(B$3:B80)-B80)/MAX(B$3:B80))</f>
        <v/>
      </c>
      <c r="F80" s="12" t="str">
        <f>IF(A80="","",MAX(E$4:E80))</f>
        <v/>
      </c>
      <c r="G80" s="17" t="str">
        <f>IF(A80="","",MAX(FREQUENCY(IF($D$3:D80&lt;0,ROW($D$3:D80)),IF($D$3:D80&gt;=0,ROW($D$3:D80)))))</f>
        <v/>
      </c>
      <c r="H80" s="14" t="str">
        <f t="shared" si="5"/>
        <v/>
      </c>
      <c r="I80" s="14" t="str">
        <f t="shared" si="6"/>
        <v/>
      </c>
      <c r="J80" s="15" t="str">
        <f t="shared" si="7"/>
        <v/>
      </c>
    </row>
    <row r="81" spans="1:10">
      <c r="A81" s="7" t="str">
        <f>IF(子基金及业绩基准周净值!A99="","",子基金及业绩基准周净值!A99)</f>
        <v/>
      </c>
      <c r="B81" s="1" t="str">
        <f>IF(A81="","",VLOOKUP($A81,子基金及业绩基准周净值!$A:$AV,10))</f>
        <v/>
      </c>
      <c r="C81" s="8" t="str">
        <f t="shared" si="8"/>
        <v/>
      </c>
      <c r="D81" s="9" t="str">
        <f>IF(A81="","",C81-(子基金及业绩基准周净值!AG99/子基金及业绩基准周净值!AG98-1))</f>
        <v/>
      </c>
      <c r="E81" s="12" t="str">
        <f>IF(A81="","",(MAX(B$3:B81)-B81)/MAX(B$3:B81))</f>
        <v/>
      </c>
      <c r="F81" s="12" t="str">
        <f>IF(A81="","",MAX(E$4:E81))</f>
        <v/>
      </c>
      <c r="G81" s="17" t="str">
        <f>IF(A81="","",MAX(FREQUENCY(IF($D$3:D81&lt;0,ROW($D$3:D81)),IF($D$3:D81&gt;=0,ROW($D$3:D81)))))</f>
        <v/>
      </c>
      <c r="H81" s="14" t="str">
        <f t="shared" si="5"/>
        <v/>
      </c>
      <c r="I81" s="14" t="str">
        <f t="shared" si="6"/>
        <v/>
      </c>
      <c r="J81" s="15" t="str">
        <f t="shared" si="7"/>
        <v/>
      </c>
    </row>
    <row r="82" spans="1:10">
      <c r="A82" s="7" t="str">
        <f>IF(子基金及业绩基准周净值!A100="","",子基金及业绩基准周净值!A100)</f>
        <v/>
      </c>
      <c r="B82" s="1" t="str">
        <f>IF(A82="","",VLOOKUP($A82,子基金及业绩基准周净值!$A:$AV,10))</f>
        <v/>
      </c>
      <c r="C82" s="8" t="str">
        <f t="shared" si="8"/>
        <v/>
      </c>
      <c r="D82" s="9" t="str">
        <f>IF(A82="","",C82-(子基金及业绩基准周净值!AG100/子基金及业绩基准周净值!AG99-1))</f>
        <v/>
      </c>
      <c r="E82" s="12" t="str">
        <f>IF(A82="","",(MAX(B$3:B82)-B82)/MAX(B$3:B82))</f>
        <v/>
      </c>
      <c r="F82" s="12" t="str">
        <f>IF(A82="","",MAX(E$4:E82))</f>
        <v/>
      </c>
      <c r="G82" s="17" t="str">
        <f>IF(A82="","",MAX(FREQUENCY(IF($D$3:D82&lt;0,ROW($D$3:D82)),IF($D$3:D82&gt;=0,ROW($D$3:D82)))))</f>
        <v/>
      </c>
      <c r="H82" s="14" t="str">
        <f t="shared" si="5"/>
        <v/>
      </c>
      <c r="I82" s="14" t="str">
        <f t="shared" si="6"/>
        <v/>
      </c>
      <c r="J82" s="15" t="str">
        <f t="shared" si="7"/>
        <v/>
      </c>
    </row>
    <row r="83" spans="1:10">
      <c r="A83" s="7" t="str">
        <f>IF(子基金及业绩基准周净值!A101="","",子基金及业绩基准周净值!A101)</f>
        <v/>
      </c>
      <c r="B83" s="1" t="str">
        <f>IF(A83="","",VLOOKUP($A83,子基金及业绩基准周净值!$A:$AV,10))</f>
        <v/>
      </c>
      <c r="C83" s="8" t="str">
        <f t="shared" si="8"/>
        <v/>
      </c>
      <c r="D83" s="9" t="str">
        <f>IF(A83="","",C83-(子基金及业绩基准周净值!AG101/子基金及业绩基准周净值!AG100-1))</f>
        <v/>
      </c>
      <c r="E83" s="12" t="str">
        <f>IF(A83="","",(MAX(B$3:B83)-B83)/MAX(B$3:B83))</f>
        <v/>
      </c>
      <c r="F83" s="12" t="str">
        <f>IF(A83="","",MAX(E$4:E83))</f>
        <v/>
      </c>
      <c r="G83" s="17" t="str">
        <f>IF(A83="","",MAX(FREQUENCY(IF($D$3:D83&lt;0,ROW($D$3:D83)),IF($D$3:D83&gt;=0,ROW($D$3:D83)))))</f>
        <v/>
      </c>
      <c r="H83" s="14" t="str">
        <f t="shared" si="5"/>
        <v/>
      </c>
      <c r="I83" s="14" t="str">
        <f t="shared" si="6"/>
        <v/>
      </c>
      <c r="J83" s="15" t="str">
        <f t="shared" si="7"/>
        <v/>
      </c>
    </row>
    <row r="84" spans="1:10">
      <c r="A84" s="7" t="str">
        <f>IF(子基金及业绩基准周净值!A102="","",子基金及业绩基准周净值!A102)</f>
        <v/>
      </c>
      <c r="B84" s="1" t="str">
        <f>IF(A84="","",VLOOKUP($A84,子基金及业绩基准周净值!$A:$AV,10))</f>
        <v/>
      </c>
      <c r="C84" s="8" t="str">
        <f t="shared" si="8"/>
        <v/>
      </c>
      <c r="D84" s="9" t="str">
        <f>IF(A84="","",C84-(子基金及业绩基准周净值!AG102/子基金及业绩基准周净值!AG101-1))</f>
        <v/>
      </c>
      <c r="E84" s="12" t="str">
        <f>IF(A84="","",(MAX(B$3:B84)-B84)/MAX(B$3:B84))</f>
        <v/>
      </c>
      <c r="F84" s="12" t="str">
        <f>IF(A84="","",MAX(E$4:E84))</f>
        <v/>
      </c>
      <c r="G84" s="17" t="str">
        <f>IF(A84="","",MAX(FREQUENCY(IF($D$3:D84&lt;0,ROW($D$3:D84)),IF($D$3:D84&gt;=0,ROW($D$3:D84)))))</f>
        <v/>
      </c>
      <c r="H84" s="14" t="str">
        <f t="shared" si="5"/>
        <v/>
      </c>
      <c r="I84" s="14" t="str">
        <f t="shared" si="6"/>
        <v/>
      </c>
      <c r="J84" s="15" t="str">
        <f t="shared" si="7"/>
        <v/>
      </c>
    </row>
    <row r="85" spans="1:10">
      <c r="A85" s="7" t="str">
        <f>IF(子基金及业绩基准周净值!A103="","",子基金及业绩基准周净值!A103)</f>
        <v/>
      </c>
      <c r="B85" s="1" t="str">
        <f>IF(A85="","",VLOOKUP($A85,子基金及业绩基准周净值!$A:$AV,10))</f>
        <v/>
      </c>
      <c r="C85" s="8" t="str">
        <f t="shared" si="8"/>
        <v/>
      </c>
      <c r="D85" s="9" t="str">
        <f>IF(A85="","",C85-(子基金及业绩基准周净值!AG103/子基金及业绩基准周净值!AG102-1))</f>
        <v/>
      </c>
      <c r="E85" s="12" t="str">
        <f>IF(A85="","",(MAX(B$3:B85)-B85)/MAX(B$3:B85))</f>
        <v/>
      </c>
      <c r="F85" s="12" t="str">
        <f>IF(A85="","",MAX(E$4:E85))</f>
        <v/>
      </c>
      <c r="G85" s="17" t="str">
        <f>IF(A85="","",MAX(FREQUENCY(IF($D$3:D85&lt;0,ROW($D$3:D85)),IF($D$3:D85&gt;=0,ROW($D$3:D85)))))</f>
        <v/>
      </c>
      <c r="H85" s="14" t="str">
        <f t="shared" si="5"/>
        <v/>
      </c>
      <c r="I85" s="14" t="str">
        <f t="shared" si="6"/>
        <v/>
      </c>
      <c r="J85" s="15" t="str">
        <f t="shared" si="7"/>
        <v/>
      </c>
    </row>
    <row r="86" spans="1:10">
      <c r="A86" s="7" t="str">
        <f>IF(子基金及业绩基准周净值!A104="","",子基金及业绩基准周净值!A104)</f>
        <v/>
      </c>
      <c r="B86" s="1" t="str">
        <f>IF(A86="","",VLOOKUP($A86,子基金及业绩基准周净值!$A:$AV,10))</f>
        <v/>
      </c>
      <c r="C86" s="8" t="str">
        <f t="shared" si="8"/>
        <v/>
      </c>
      <c r="D86" s="9" t="str">
        <f>IF(A86="","",C86-(子基金及业绩基准周净值!AG104/子基金及业绩基准周净值!AG103-1))</f>
        <v/>
      </c>
      <c r="E86" s="12" t="str">
        <f>IF(A86="","",(MAX(B$3:B86)-B86)/MAX(B$3:B86))</f>
        <v/>
      </c>
      <c r="F86" s="12" t="str">
        <f>IF(A86="","",MAX(E$4:E86))</f>
        <v/>
      </c>
      <c r="G86" s="17" t="str">
        <f>IF(A86="","",MAX(FREQUENCY(IF($D$3:D86&lt;0,ROW($D$3:D86)),IF($D$3:D86&gt;=0,ROW($D$3:D86)))))</f>
        <v/>
      </c>
      <c r="H86" s="14" t="str">
        <f t="shared" si="5"/>
        <v/>
      </c>
      <c r="I86" s="14" t="str">
        <f t="shared" si="6"/>
        <v/>
      </c>
      <c r="J86" s="15" t="str">
        <f t="shared" si="7"/>
        <v/>
      </c>
    </row>
    <row r="87" spans="1:10">
      <c r="A87" s="7" t="str">
        <f>IF(子基金及业绩基准周净值!A105="","",子基金及业绩基准周净值!A105)</f>
        <v/>
      </c>
      <c r="B87" s="1" t="str">
        <f>IF(A87="","",VLOOKUP($A87,子基金及业绩基准周净值!$A:$AV,10))</f>
        <v/>
      </c>
      <c r="C87" s="8" t="str">
        <f t="shared" si="8"/>
        <v/>
      </c>
      <c r="D87" s="9" t="str">
        <f>IF(A87="","",C87-(子基金及业绩基准周净值!AG105/子基金及业绩基准周净值!AG104-1))</f>
        <v/>
      </c>
      <c r="E87" s="12" t="str">
        <f>IF(A87="","",(MAX(B$3:B87)-B87)/MAX(B$3:B87))</f>
        <v/>
      </c>
      <c r="F87" s="12" t="str">
        <f>IF(A87="","",MAX(E$4:E87))</f>
        <v/>
      </c>
      <c r="G87" s="17" t="str">
        <f>IF(A87="","",MAX(FREQUENCY(IF($D$3:D87&lt;0,ROW($D$3:D87)),IF($D$3:D87&gt;=0,ROW($D$3:D87)))))</f>
        <v/>
      </c>
      <c r="H87" s="14" t="str">
        <f t="shared" si="5"/>
        <v/>
      </c>
      <c r="I87" s="14" t="str">
        <f t="shared" si="6"/>
        <v/>
      </c>
      <c r="J87" s="15" t="str">
        <f t="shared" si="7"/>
        <v/>
      </c>
    </row>
    <row r="88" spans="1:10">
      <c r="A88" s="7" t="str">
        <f>IF(子基金及业绩基准周净值!A106="","",子基金及业绩基准周净值!A106)</f>
        <v/>
      </c>
      <c r="B88" s="1" t="str">
        <f>IF(A88="","",VLOOKUP($A88,子基金及业绩基准周净值!$A:$AV,10))</f>
        <v/>
      </c>
      <c r="C88" s="8" t="str">
        <f t="shared" si="8"/>
        <v/>
      </c>
      <c r="D88" s="9" t="str">
        <f>IF(A88="","",C88-(子基金及业绩基准周净值!AG106/子基金及业绩基准周净值!AG105-1))</f>
        <v/>
      </c>
      <c r="E88" s="12" t="str">
        <f>IF(A88="","",(MAX(B$3:B88)-B88)/MAX(B$3:B88))</f>
        <v/>
      </c>
      <c r="F88" s="12" t="str">
        <f>IF(A88="","",MAX(E$4:E88))</f>
        <v/>
      </c>
      <c r="G88" s="17" t="str">
        <f>IF(A88="","",MAX(FREQUENCY(IF($D$3:D88&lt;0,ROW($D$3:D88)),IF($D$3:D88&gt;=0,ROW($D$3:D88)))))</f>
        <v/>
      </c>
      <c r="H88" s="14" t="str">
        <f t="shared" si="5"/>
        <v/>
      </c>
      <c r="I88" s="14" t="str">
        <f t="shared" si="6"/>
        <v/>
      </c>
      <c r="J88" s="15" t="str">
        <f t="shared" si="7"/>
        <v/>
      </c>
    </row>
    <row r="89" spans="1:10">
      <c r="A89" s="7" t="str">
        <f>IF(子基金及业绩基准周净值!A107="","",子基金及业绩基准周净值!A107)</f>
        <v/>
      </c>
      <c r="B89" s="1" t="str">
        <f>IF(A89="","",VLOOKUP($A89,子基金及业绩基准周净值!$A:$AV,10))</f>
        <v/>
      </c>
      <c r="C89" s="8" t="str">
        <f t="shared" si="8"/>
        <v/>
      </c>
      <c r="D89" s="9" t="str">
        <f>IF(A89="","",C89-(子基金及业绩基准周净值!AG107/子基金及业绩基准周净值!AG106-1))</f>
        <v/>
      </c>
      <c r="E89" s="12" t="str">
        <f>IF(A89="","",(MAX(B$3:B89)-B89)/MAX(B$3:B89))</f>
        <v/>
      </c>
      <c r="F89" s="12" t="str">
        <f>IF(A89="","",MAX(E$4:E89))</f>
        <v/>
      </c>
      <c r="G89" s="17" t="str">
        <f>IF(A89="","",MAX(FREQUENCY(IF($D$3:D89&lt;0,ROW($D$3:D89)),IF($D$3:D89&gt;=0,ROW($D$3:D89)))))</f>
        <v/>
      </c>
      <c r="H89" s="14" t="str">
        <f t="shared" si="5"/>
        <v/>
      </c>
      <c r="I89" s="14" t="str">
        <f t="shared" si="6"/>
        <v/>
      </c>
      <c r="J89" s="15" t="str">
        <f t="shared" si="7"/>
        <v/>
      </c>
    </row>
    <row r="90" spans="1:10">
      <c r="A90" s="7" t="str">
        <f>IF(子基金及业绩基准周净值!A108="","",子基金及业绩基准周净值!A108)</f>
        <v/>
      </c>
      <c r="B90" s="1" t="str">
        <f>IF(A90="","",VLOOKUP($A90,子基金及业绩基准周净值!$A:$AV,10))</f>
        <v/>
      </c>
      <c r="C90" s="8" t="str">
        <f t="shared" si="8"/>
        <v/>
      </c>
      <c r="D90" s="9" t="str">
        <f>IF(A90="","",C90-(子基金及业绩基准周净值!AG108/子基金及业绩基准周净值!AG107-1))</f>
        <v/>
      </c>
      <c r="E90" s="12" t="str">
        <f>IF(A90="","",(MAX(B$3:B90)-B90)/MAX(B$3:B90))</f>
        <v/>
      </c>
      <c r="F90" s="12" t="str">
        <f>IF(A90="","",MAX(E$4:E90))</f>
        <v/>
      </c>
      <c r="G90" s="17" t="str">
        <f>IF(A90="","",MAX(FREQUENCY(IF($D$3:D90&lt;0,ROW($D$3:D90)),IF($D$3:D90&gt;=0,ROW($D$3:D90)))))</f>
        <v/>
      </c>
      <c r="H90" s="14" t="str">
        <f t="shared" si="5"/>
        <v/>
      </c>
      <c r="I90" s="14" t="str">
        <f t="shared" si="6"/>
        <v/>
      </c>
      <c r="J90" s="15" t="str">
        <f t="shared" si="7"/>
        <v/>
      </c>
    </row>
    <row r="91" spans="1:10">
      <c r="A91" s="7" t="str">
        <f>IF(子基金及业绩基准周净值!A109="","",子基金及业绩基准周净值!A109)</f>
        <v/>
      </c>
      <c r="B91" s="1" t="str">
        <f>IF(A91="","",VLOOKUP($A91,子基金及业绩基准周净值!$A:$AV,10))</f>
        <v/>
      </c>
      <c r="C91" s="8" t="str">
        <f t="shared" si="8"/>
        <v/>
      </c>
      <c r="D91" s="9" t="str">
        <f>IF(A91="","",C91-(子基金及业绩基准周净值!AG109/子基金及业绩基准周净值!AG108-1))</f>
        <v/>
      </c>
      <c r="E91" s="12" t="str">
        <f>IF(A91="","",(MAX(B$3:B91)-B91)/MAX(B$3:B91))</f>
        <v/>
      </c>
      <c r="F91" s="12" t="str">
        <f>IF(A91="","",MAX(E$4:E91))</f>
        <v/>
      </c>
      <c r="G91" s="17" t="str">
        <f>IF(A91="","",MAX(FREQUENCY(IF($D$3:D91&lt;0,ROW($D$3:D91)),IF($D$3:D91&gt;=0,ROW($D$3:D91)))))</f>
        <v/>
      </c>
      <c r="H91" s="14" t="str">
        <f t="shared" si="5"/>
        <v/>
      </c>
      <c r="I91" s="14" t="str">
        <f t="shared" si="6"/>
        <v/>
      </c>
      <c r="J91" s="15" t="str">
        <f t="shared" si="7"/>
        <v/>
      </c>
    </row>
    <row r="92" spans="1:10">
      <c r="A92" s="7" t="str">
        <f>IF(子基金及业绩基准周净值!A110="","",子基金及业绩基准周净值!A110)</f>
        <v/>
      </c>
      <c r="B92" s="1" t="str">
        <f>IF(A92="","",VLOOKUP($A92,子基金及业绩基准周净值!$A:$AV,10))</f>
        <v/>
      </c>
      <c r="C92" s="8" t="str">
        <f t="shared" si="8"/>
        <v/>
      </c>
      <c r="D92" s="9" t="str">
        <f>IF(A92="","",C92-(子基金及业绩基准周净值!AG110/子基金及业绩基准周净值!AG109-1))</f>
        <v/>
      </c>
      <c r="E92" s="12" t="str">
        <f>IF(A92="","",(MAX(B$3:B92)-B92)/MAX(B$3:B92))</f>
        <v/>
      </c>
      <c r="F92" s="12" t="str">
        <f>IF(A92="","",MAX(E$4:E92))</f>
        <v/>
      </c>
      <c r="G92" s="17" t="str">
        <f>IF(A92="","",MAX(FREQUENCY(IF($D$3:D92&lt;0,ROW($D$3:D92)),IF($D$3:D92&gt;=0,ROW($D$3:D92)))))</f>
        <v/>
      </c>
      <c r="H92" s="14" t="str">
        <f t="shared" si="5"/>
        <v/>
      </c>
      <c r="I92" s="14" t="str">
        <f t="shared" si="6"/>
        <v/>
      </c>
      <c r="J92" s="15" t="str">
        <f t="shared" si="7"/>
        <v/>
      </c>
    </row>
    <row r="93" spans="1:10">
      <c r="A93" s="7" t="str">
        <f>IF(子基金及业绩基准周净值!A111="","",子基金及业绩基准周净值!A111)</f>
        <v/>
      </c>
      <c r="B93" s="1" t="str">
        <f>IF(A93="","",VLOOKUP($A93,子基金及业绩基准周净值!$A:$AV,10))</f>
        <v/>
      </c>
      <c r="C93" s="8" t="str">
        <f t="shared" si="8"/>
        <v/>
      </c>
      <c r="D93" s="9" t="str">
        <f>IF(A93="","",C93-(子基金及业绩基准周净值!AG111/子基金及业绩基准周净值!AG110-1))</f>
        <v/>
      </c>
      <c r="E93" s="12" t="str">
        <f>IF(A93="","",(MAX(B$3:B93)-B93)/MAX(B$3:B93))</f>
        <v/>
      </c>
      <c r="F93" s="12" t="str">
        <f>IF(A93="","",MAX(E$4:E93))</f>
        <v/>
      </c>
      <c r="G93" s="17" t="str">
        <f>IF(A93="","",MAX(FREQUENCY(IF($D$3:D93&lt;0,ROW($D$3:D93)),IF($D$3:D93&gt;=0,ROW($D$3:D93)))))</f>
        <v/>
      </c>
      <c r="H93" s="14" t="str">
        <f t="shared" si="5"/>
        <v/>
      </c>
      <c r="I93" s="14" t="str">
        <f t="shared" si="6"/>
        <v/>
      </c>
      <c r="J93" s="15" t="str">
        <f t="shared" si="7"/>
        <v/>
      </c>
    </row>
    <row r="94" spans="1:10">
      <c r="A94" s="7" t="str">
        <f>IF(子基金及业绩基准周净值!A112="","",子基金及业绩基准周净值!A112)</f>
        <v/>
      </c>
      <c r="B94" s="1" t="str">
        <f>IF(A94="","",VLOOKUP($A94,子基金及业绩基准周净值!$A:$AV,10))</f>
        <v/>
      </c>
      <c r="C94" s="8" t="str">
        <f t="shared" si="8"/>
        <v/>
      </c>
      <c r="D94" s="9" t="str">
        <f>IF(A94="","",C94-(子基金及业绩基准周净值!AG112/子基金及业绩基准周净值!AG111-1))</f>
        <v/>
      </c>
      <c r="E94" s="12" t="str">
        <f>IF(A94="","",(MAX(B$3:B94)-B94)/MAX(B$3:B94))</f>
        <v/>
      </c>
      <c r="F94" s="12" t="str">
        <f>IF(A94="","",MAX(E$4:E94))</f>
        <v/>
      </c>
      <c r="G94" s="17" t="str">
        <f>IF(A94="","",MAX(FREQUENCY(IF($D$3:D94&lt;0,ROW($D$3:D94)),IF($D$3:D94&gt;=0,ROW($D$3:D94)))))</f>
        <v/>
      </c>
      <c r="H94" s="14" t="str">
        <f t="shared" si="5"/>
        <v/>
      </c>
      <c r="I94" s="14" t="str">
        <f t="shared" si="6"/>
        <v/>
      </c>
      <c r="J94" s="15" t="str">
        <f t="shared" si="7"/>
        <v/>
      </c>
    </row>
    <row r="95" spans="1:10">
      <c r="A95" s="7" t="str">
        <f>IF(子基金及业绩基准周净值!A113="","",子基金及业绩基准周净值!A113)</f>
        <v/>
      </c>
      <c r="B95" s="1" t="str">
        <f>IF(A95="","",VLOOKUP($A95,子基金及业绩基准周净值!$A:$AV,10))</f>
        <v/>
      </c>
      <c r="C95" s="8" t="str">
        <f t="shared" si="8"/>
        <v/>
      </c>
      <c r="D95" s="9" t="str">
        <f>IF(A95="","",C95-(子基金及业绩基准周净值!AG113/子基金及业绩基准周净值!AG112-1))</f>
        <v/>
      </c>
      <c r="E95" s="12" t="str">
        <f>IF(A95="","",(MAX(B$3:B95)-B95)/MAX(B$3:B95))</f>
        <v/>
      </c>
      <c r="F95" s="12" t="str">
        <f>IF(A95="","",MAX(E$4:E95))</f>
        <v/>
      </c>
      <c r="G95" s="17" t="str">
        <f>IF(A95="","",MAX(FREQUENCY(IF($D$3:D95&lt;0,ROW($D$3:D95)),IF($D$3:D95&gt;=0,ROW($D$3:D95)))))</f>
        <v/>
      </c>
      <c r="H95" s="14" t="str">
        <f t="shared" si="5"/>
        <v/>
      </c>
      <c r="I95" s="14" t="str">
        <f t="shared" si="6"/>
        <v/>
      </c>
      <c r="J95" s="15" t="str">
        <f t="shared" si="7"/>
        <v/>
      </c>
    </row>
    <row r="96" spans="1:10">
      <c r="A96" s="7" t="str">
        <f>IF(子基金及业绩基准周净值!A114="","",子基金及业绩基准周净值!A114)</f>
        <v/>
      </c>
      <c r="B96" s="1" t="str">
        <f>IF(A96="","",VLOOKUP($A96,子基金及业绩基准周净值!$A:$AV,10))</f>
        <v/>
      </c>
      <c r="C96" s="8" t="str">
        <f t="shared" si="8"/>
        <v/>
      </c>
      <c r="D96" s="9" t="str">
        <f>IF(A96="","",C96-(子基金及业绩基准周净值!AG114/子基金及业绩基准周净值!AG113-1))</f>
        <v/>
      </c>
      <c r="E96" s="12" t="str">
        <f>IF(A96="","",(MAX(B$3:B96)-B96)/MAX(B$3:B96))</f>
        <v/>
      </c>
      <c r="F96" s="12" t="str">
        <f>IF(A96="","",MAX(E$4:E96))</f>
        <v/>
      </c>
      <c r="G96" s="17" t="str">
        <f>IF(A96="","",MAX(FREQUENCY(IF($D$3:D96&lt;0,ROW($D$3:D96)),IF($D$3:D96&gt;=0,ROW($D$3:D96)))))</f>
        <v/>
      </c>
      <c r="H96" s="14" t="str">
        <f t="shared" si="5"/>
        <v/>
      </c>
      <c r="I96" s="14" t="str">
        <f t="shared" si="6"/>
        <v/>
      </c>
      <c r="J96" s="15" t="str">
        <f t="shared" si="7"/>
        <v/>
      </c>
    </row>
    <row r="97" spans="1:10">
      <c r="A97" s="7" t="str">
        <f>IF(子基金及业绩基准周净值!A115="","",子基金及业绩基准周净值!A115)</f>
        <v/>
      </c>
      <c r="B97" s="1" t="str">
        <f>IF(A97="","",VLOOKUP($A97,子基金及业绩基准周净值!$A:$AV,10))</f>
        <v/>
      </c>
      <c r="C97" s="8" t="str">
        <f t="shared" si="8"/>
        <v/>
      </c>
      <c r="D97" s="9" t="str">
        <f>IF(A97="","",C97-(子基金及业绩基准周净值!AG115/子基金及业绩基准周净值!AG114-1))</f>
        <v/>
      </c>
      <c r="E97" s="12" t="str">
        <f>IF(A97="","",(MAX(B$3:B97)-B97)/MAX(B$3:B97))</f>
        <v/>
      </c>
      <c r="F97" s="12" t="str">
        <f>IF(A97="","",MAX(E$4:E97))</f>
        <v/>
      </c>
      <c r="G97" s="17" t="str">
        <f>IF(A97="","",MAX(FREQUENCY(IF($D$3:D97&lt;0,ROW($D$3:D97)),IF($D$3:D97&gt;=0,ROW($D$3:D97)))))</f>
        <v/>
      </c>
      <c r="H97" s="14" t="str">
        <f t="shared" si="5"/>
        <v/>
      </c>
      <c r="I97" s="14" t="str">
        <f t="shared" si="6"/>
        <v/>
      </c>
      <c r="J97" s="15" t="str">
        <f t="shared" si="7"/>
        <v/>
      </c>
    </row>
    <row r="98" spans="1:10">
      <c r="A98" s="7" t="str">
        <f>IF(子基金及业绩基准周净值!A116="","",子基金及业绩基准周净值!A116)</f>
        <v/>
      </c>
      <c r="B98" s="1" t="str">
        <f>IF(A98="","",VLOOKUP($A98,子基金及业绩基准周净值!$A:$AV,10))</f>
        <v/>
      </c>
      <c r="C98" s="8" t="str">
        <f t="shared" si="8"/>
        <v/>
      </c>
      <c r="D98" s="9" t="str">
        <f>IF(A98="","",C98-(子基金及业绩基准周净值!AG116/子基金及业绩基准周净值!AG115-1))</f>
        <v/>
      </c>
      <c r="E98" s="12" t="str">
        <f>IF(A98="","",(MAX(B$3:B98)-B98)/MAX(B$3:B98))</f>
        <v/>
      </c>
      <c r="F98" s="12" t="str">
        <f>IF(A98="","",MAX(E$4:E98))</f>
        <v/>
      </c>
      <c r="G98" s="17" t="str">
        <f>IF(A98="","",MAX(FREQUENCY(IF($D$3:D98&lt;0,ROW($D$3:D98)),IF($D$3:D98&gt;=0,ROW($D$3:D98)))))</f>
        <v/>
      </c>
      <c r="H98" s="14" t="str">
        <f t="shared" si="5"/>
        <v/>
      </c>
      <c r="I98" s="14" t="str">
        <f t="shared" si="6"/>
        <v/>
      </c>
      <c r="J98" s="15" t="str">
        <f t="shared" si="7"/>
        <v/>
      </c>
    </row>
    <row r="99" spans="1:10">
      <c r="A99" s="7" t="str">
        <f>IF(子基金及业绩基准周净值!A117="","",子基金及业绩基准周净值!A117)</f>
        <v/>
      </c>
      <c r="B99" s="1" t="str">
        <f>IF(A99="","",VLOOKUP($A99,子基金及业绩基准周净值!$A:$AV,10))</f>
        <v/>
      </c>
      <c r="C99" s="8" t="str">
        <f t="shared" si="8"/>
        <v/>
      </c>
      <c r="D99" s="9" t="str">
        <f>IF(A99="","",C99-(子基金及业绩基准周净值!AG117/子基金及业绩基准周净值!AG116-1))</f>
        <v/>
      </c>
      <c r="E99" s="12" t="str">
        <f>IF(A99="","",(MAX(B$3:B99)-B99)/MAX(B$3:B99))</f>
        <v/>
      </c>
      <c r="F99" s="12" t="str">
        <f>IF(A99="","",MAX(E$4:E99))</f>
        <v/>
      </c>
      <c r="G99" s="17" t="str">
        <f>IF(A99="","",MAX(FREQUENCY(IF($D$3:D99&lt;0,ROW($D$3:D99)),IF($D$3:D99&gt;=0,ROW($D$3:D99)))))</f>
        <v/>
      </c>
      <c r="H99" s="14" t="str">
        <f t="shared" si="5"/>
        <v/>
      </c>
      <c r="I99" s="14" t="str">
        <f t="shared" si="6"/>
        <v/>
      </c>
      <c r="J99" s="15" t="str">
        <f t="shared" si="7"/>
        <v/>
      </c>
    </row>
    <row r="100" spans="1:10">
      <c r="A100" s="7" t="str">
        <f>IF(子基金及业绩基准周净值!A118="","",子基金及业绩基准周净值!A118)</f>
        <v/>
      </c>
      <c r="B100" s="1" t="str">
        <f>IF(A100="","",VLOOKUP($A100,子基金及业绩基准周净值!$A:$AV,10))</f>
        <v/>
      </c>
      <c r="C100" s="8" t="str">
        <f t="shared" si="8"/>
        <v/>
      </c>
      <c r="D100" s="9" t="str">
        <f>IF(A100="","",C100-(子基金及业绩基准周净值!AG118/子基金及业绩基准周净值!AG117-1))</f>
        <v/>
      </c>
      <c r="E100" s="12" t="str">
        <f>IF(A100="","",(MAX(B$3:B100)-B100)/MAX(B$3:B100))</f>
        <v/>
      </c>
      <c r="F100" s="12" t="str">
        <f>IF(A100="","",MAX(E$4:E100))</f>
        <v/>
      </c>
      <c r="G100" s="17" t="str">
        <f>IF(A100="","",MAX(FREQUENCY(IF($D$3:D100&lt;0,ROW($D$3:D100)),IF($D$3:D100&gt;=0,ROW($D$3:D100)))))</f>
        <v/>
      </c>
      <c r="H100" s="14" t="str">
        <f t="shared" si="5"/>
        <v/>
      </c>
      <c r="I100" s="14" t="str">
        <f t="shared" si="6"/>
        <v/>
      </c>
      <c r="J100" s="15" t="str">
        <f t="shared" si="7"/>
        <v/>
      </c>
    </row>
    <row r="101" spans="1:10">
      <c r="A101" s="7" t="str">
        <f>IF(子基金及业绩基准周净值!A119="","",子基金及业绩基准周净值!A119)</f>
        <v/>
      </c>
      <c r="B101" s="1" t="str">
        <f>IF(A101="","",VLOOKUP($A101,子基金及业绩基准周净值!$A:$AV,10))</f>
        <v/>
      </c>
      <c r="C101" s="8" t="str">
        <f t="shared" si="8"/>
        <v/>
      </c>
      <c r="D101" s="9" t="str">
        <f>IF(A101="","",C101-(子基金及业绩基准周净值!AG119/子基金及业绩基准周净值!AG118-1))</f>
        <v/>
      </c>
      <c r="E101" s="12" t="str">
        <f>IF(A101="","",(MAX(B$3:B101)-B101)/MAX(B$3:B101))</f>
        <v/>
      </c>
      <c r="F101" s="12" t="str">
        <f>IF(A101="","",MAX(E$4:E101))</f>
        <v/>
      </c>
      <c r="G101" s="17" t="str">
        <f>IF(A101="","",MAX(FREQUENCY(IF($D$3:D101&lt;0,ROW($D$3:D101)),IF($D$3:D101&gt;=0,ROW($D$3:D101)))))</f>
        <v/>
      </c>
      <c r="H101" s="14" t="str">
        <f t="shared" ref="H101:H127" si="9">IF(B101="","",IF(C101&lt;-3%,"是","否"))</f>
        <v/>
      </c>
      <c r="I101" s="14" t="str">
        <f t="shared" si="6"/>
        <v/>
      </c>
      <c r="J101" s="15" t="str">
        <f t="shared" si="7"/>
        <v/>
      </c>
    </row>
    <row r="102" spans="1:10">
      <c r="A102" s="7" t="str">
        <f>IF(子基金及业绩基准周净值!A120="","",子基金及业绩基准周净值!A120)</f>
        <v/>
      </c>
      <c r="B102" s="1" t="str">
        <f>IF(A102="","",VLOOKUP($A102,子基金及业绩基准周净值!$A:$AV,10))</f>
        <v/>
      </c>
      <c r="C102" s="8" t="str">
        <f t="shared" si="8"/>
        <v/>
      </c>
      <c r="D102" s="9" t="str">
        <f>IF(A102="","",C102-(子基金及业绩基准周净值!AG120/子基金及业绩基准周净值!AG119-1))</f>
        <v/>
      </c>
      <c r="E102" s="12" t="str">
        <f>IF(A102="","",(MAX(B$3:B102)-B102)/MAX(B$3:B102))</f>
        <v/>
      </c>
      <c r="F102" s="12" t="str">
        <f>IF(A102="","",MAX(E$4:E102))</f>
        <v/>
      </c>
      <c r="G102" s="17" t="str">
        <f>IF(A102="","",MAX(FREQUENCY(IF($D$3:D102&lt;0,ROW($D$3:D102)),IF($D$3:D102&gt;=0,ROW($D$3:D102)))))</f>
        <v/>
      </c>
      <c r="H102" s="14" t="str">
        <f t="shared" si="9"/>
        <v/>
      </c>
      <c r="I102" s="14" t="str">
        <f t="shared" si="6"/>
        <v/>
      </c>
      <c r="J102" s="15" t="str">
        <f t="shared" si="7"/>
        <v/>
      </c>
    </row>
    <row r="103" spans="1:10">
      <c r="A103" s="7" t="str">
        <f>IF(子基金及业绩基准周净值!A121="","",子基金及业绩基准周净值!A121)</f>
        <v/>
      </c>
      <c r="B103" s="1" t="str">
        <f>IF(A103="","",VLOOKUP($A103,子基金及业绩基准周净值!$A:$AV,10))</f>
        <v/>
      </c>
      <c r="C103" s="8" t="str">
        <f t="shared" si="8"/>
        <v/>
      </c>
      <c r="D103" s="9" t="str">
        <f>IF(A103="","",C103-(子基金及业绩基准周净值!AG121/子基金及业绩基准周净值!AG120-1))</f>
        <v/>
      </c>
      <c r="E103" s="12" t="str">
        <f>IF(A103="","",(MAX(B$3:B103)-B103)/MAX(B$3:B103))</f>
        <v/>
      </c>
      <c r="F103" s="12" t="str">
        <f>IF(A103="","",MAX(E$4:E103))</f>
        <v/>
      </c>
      <c r="G103" s="17" t="str">
        <f>IF(A103="","",MAX(FREQUENCY(IF($D$3:D103&lt;0,ROW($D$3:D103)),IF($D$3:D103&gt;=0,ROW($D$3:D103)))))</f>
        <v/>
      </c>
      <c r="H103" s="14" t="str">
        <f t="shared" si="9"/>
        <v/>
      </c>
      <c r="I103" s="14" t="str">
        <f t="shared" si="6"/>
        <v/>
      </c>
      <c r="J103" s="15" t="str">
        <f t="shared" si="7"/>
        <v/>
      </c>
    </row>
    <row r="104" spans="1:10">
      <c r="A104" s="7" t="str">
        <f>IF(子基金及业绩基准周净值!A122="","",子基金及业绩基准周净值!A122)</f>
        <v/>
      </c>
      <c r="B104" s="1" t="str">
        <f>IF(A104="","",VLOOKUP($A104,子基金及业绩基准周净值!$A:$AV,10))</f>
        <v/>
      </c>
      <c r="C104" s="8" t="str">
        <f t="shared" si="8"/>
        <v/>
      </c>
      <c r="D104" s="9" t="str">
        <f>IF(A104="","",C104-(子基金及业绩基准周净值!AG122/子基金及业绩基准周净值!AG121-1))</f>
        <v/>
      </c>
      <c r="E104" s="12" t="str">
        <f>IF(A104="","",(MAX(B$3:B104)-B104)/MAX(B$3:B104))</f>
        <v/>
      </c>
      <c r="F104" s="12" t="str">
        <f>IF(A104="","",MAX(E$4:E104))</f>
        <v/>
      </c>
      <c r="G104" s="17" t="str">
        <f>IF(A104="","",MAX(FREQUENCY(IF($D$3:D104&lt;0,ROW($D$3:D104)),IF($D$3:D104&gt;=0,ROW($D$3:D104)))))</f>
        <v/>
      </c>
      <c r="H104" s="14" t="str">
        <f t="shared" si="9"/>
        <v/>
      </c>
      <c r="I104" s="14" t="str">
        <f t="shared" si="6"/>
        <v/>
      </c>
      <c r="J104" s="15" t="str">
        <f t="shared" si="7"/>
        <v/>
      </c>
    </row>
    <row r="105" spans="1:10">
      <c r="A105" s="7" t="str">
        <f>IF(子基金及业绩基准周净值!A123="","",子基金及业绩基准周净值!A123)</f>
        <v/>
      </c>
      <c r="B105" s="1" t="str">
        <f>IF(A105="","",VLOOKUP($A105,子基金及业绩基准周净值!$A:$AV,10))</f>
        <v/>
      </c>
      <c r="C105" s="8" t="str">
        <f t="shared" si="8"/>
        <v/>
      </c>
      <c r="D105" s="9" t="str">
        <f>IF(A105="","",C105-(子基金及业绩基准周净值!AG123/子基金及业绩基准周净值!AG122-1))</f>
        <v/>
      </c>
      <c r="E105" s="12" t="str">
        <f>IF(A105="","",(MAX(B$3:B105)-B105)/MAX(B$3:B105))</f>
        <v/>
      </c>
      <c r="F105" s="12" t="str">
        <f>IF(A105="","",MAX(E$4:E105))</f>
        <v/>
      </c>
      <c r="G105" s="17" t="str">
        <f>IF(A105="","",MAX(FREQUENCY(IF($D$3:D105&lt;0,ROW($D$3:D105)),IF($D$3:D105&gt;=0,ROW($D$3:D105)))))</f>
        <v/>
      </c>
      <c r="H105" s="14" t="str">
        <f t="shared" si="9"/>
        <v/>
      </c>
      <c r="I105" s="14" t="str">
        <f t="shared" si="6"/>
        <v/>
      </c>
      <c r="J105" s="15" t="str">
        <f t="shared" si="7"/>
        <v/>
      </c>
    </row>
    <row r="106" spans="1:10">
      <c r="A106" s="7" t="str">
        <f>IF(子基金及业绩基准周净值!A124="","",子基金及业绩基准周净值!A124)</f>
        <v/>
      </c>
      <c r="B106" s="1" t="str">
        <f>IF(A106="","",VLOOKUP($A106,子基金及业绩基准周净值!$A:$AV,10))</f>
        <v/>
      </c>
      <c r="C106" s="8" t="str">
        <f t="shared" si="8"/>
        <v/>
      </c>
      <c r="D106" s="9" t="str">
        <f>IF(A106="","",C106-(子基金及业绩基准周净值!AG124/子基金及业绩基准周净值!AG123-1))</f>
        <v/>
      </c>
      <c r="E106" s="12" t="str">
        <f>IF(A106="","",(MAX(B$3:B106)-B106)/MAX(B$3:B106))</f>
        <v/>
      </c>
      <c r="F106" s="12" t="str">
        <f>IF(A106="","",MAX(E$4:E106))</f>
        <v/>
      </c>
      <c r="G106" s="17" t="str">
        <f>IF(A106="","",MAX(FREQUENCY(IF($D$3:D106&lt;0,ROW($D$3:D106)),IF($D$3:D106&gt;=0,ROW($D$3:D106)))))</f>
        <v/>
      </c>
      <c r="H106" s="14" t="str">
        <f t="shared" si="9"/>
        <v/>
      </c>
      <c r="I106" s="14" t="str">
        <f t="shared" si="6"/>
        <v/>
      </c>
      <c r="J106" s="15" t="str">
        <f t="shared" si="7"/>
        <v/>
      </c>
    </row>
    <row r="107" spans="1:10">
      <c r="A107" s="7" t="str">
        <f>IF(子基金及业绩基准周净值!A125="","",子基金及业绩基准周净值!A125)</f>
        <v/>
      </c>
      <c r="B107" s="1" t="str">
        <f>IF(A107="","",VLOOKUP($A107,子基金及业绩基准周净值!$A:$AV,10))</f>
        <v/>
      </c>
      <c r="C107" s="8" t="str">
        <f t="shared" si="8"/>
        <v/>
      </c>
      <c r="D107" s="9" t="str">
        <f>IF(A107="","",C107-(子基金及业绩基准周净值!AG125/子基金及业绩基准周净值!AG124-1))</f>
        <v/>
      </c>
      <c r="E107" s="12" t="str">
        <f>IF(A107="","",(MAX(B$3:B107)-B107)/MAX(B$3:B107))</f>
        <v/>
      </c>
      <c r="F107" s="12" t="str">
        <f>IF(A107="","",MAX(E$4:E107))</f>
        <v/>
      </c>
      <c r="G107" s="17" t="str">
        <f>IF(A107="","",MAX(FREQUENCY(IF($D$3:D107&lt;0,ROW($D$3:D107)),IF($D$3:D107&gt;=0,ROW($D$3:D107)))))</f>
        <v/>
      </c>
      <c r="H107" s="14" t="str">
        <f t="shared" si="9"/>
        <v/>
      </c>
      <c r="I107" s="14" t="str">
        <f t="shared" si="6"/>
        <v/>
      </c>
      <c r="J107" s="15" t="str">
        <f t="shared" si="7"/>
        <v/>
      </c>
    </row>
    <row r="108" spans="1:10">
      <c r="A108" s="7" t="str">
        <f>IF(子基金及业绩基准周净值!A126="","",子基金及业绩基准周净值!A126)</f>
        <v/>
      </c>
      <c r="B108" s="1" t="str">
        <f>IF(A108="","",VLOOKUP($A108,子基金及业绩基准周净值!$A:$AV,10))</f>
        <v/>
      </c>
      <c r="C108" s="8" t="str">
        <f t="shared" si="8"/>
        <v/>
      </c>
      <c r="D108" s="9" t="str">
        <f>IF(A108="","",C108-(子基金及业绩基准周净值!AG126/子基金及业绩基准周净值!AG125-1))</f>
        <v/>
      </c>
      <c r="E108" s="12" t="str">
        <f>IF(A108="","",(MAX(B$3:B108)-B108)/MAX(B$3:B108))</f>
        <v/>
      </c>
      <c r="F108" s="12" t="str">
        <f>IF(A108="","",MAX(E$4:E108))</f>
        <v/>
      </c>
      <c r="G108" s="17" t="str">
        <f>IF(A108="","",MAX(FREQUENCY(IF($D$3:D108&lt;0,ROW($D$3:D108)),IF($D$3:D108&gt;=0,ROW($D$3:D108)))))</f>
        <v/>
      </c>
      <c r="H108" s="14" t="str">
        <f t="shared" si="9"/>
        <v/>
      </c>
      <c r="I108" s="14" t="str">
        <f t="shared" si="6"/>
        <v/>
      </c>
      <c r="J108" s="15" t="str">
        <f t="shared" si="7"/>
        <v/>
      </c>
    </row>
    <row r="109" spans="1:10">
      <c r="A109" s="7" t="str">
        <f>IF(子基金及业绩基准周净值!A127="","",子基金及业绩基准周净值!A127)</f>
        <v/>
      </c>
      <c r="B109" s="1" t="str">
        <f>IF(A109="","",VLOOKUP($A109,子基金及业绩基准周净值!$A:$AV,10))</f>
        <v/>
      </c>
      <c r="C109" s="8" t="str">
        <f t="shared" si="8"/>
        <v/>
      </c>
      <c r="D109" s="9" t="str">
        <f>IF(A109="","",C109-(子基金及业绩基准周净值!AG127/子基金及业绩基准周净值!AG126-1))</f>
        <v/>
      </c>
      <c r="E109" s="12" t="str">
        <f>IF(A109="","",(MAX(B$3:B109)-B109)/MAX(B$3:B109))</f>
        <v/>
      </c>
      <c r="F109" s="12" t="str">
        <f>IF(A109="","",MAX(E$4:E109))</f>
        <v/>
      </c>
      <c r="G109" s="17" t="str">
        <f>IF(A109="","",MAX(FREQUENCY(IF($D$3:D109&lt;0,ROW($D$3:D109)),IF($D$3:D109&gt;=0,ROW($D$3:D109)))))</f>
        <v/>
      </c>
      <c r="H109" s="14" t="str">
        <f t="shared" si="9"/>
        <v/>
      </c>
      <c r="I109" s="14" t="str">
        <f t="shared" si="6"/>
        <v/>
      </c>
      <c r="J109" s="15" t="str">
        <f t="shared" si="7"/>
        <v/>
      </c>
    </row>
    <row r="110" spans="1:10">
      <c r="A110" s="7" t="str">
        <f>IF(子基金及业绩基准周净值!A128="","",子基金及业绩基准周净值!A128)</f>
        <v/>
      </c>
      <c r="B110" s="1" t="str">
        <f>IF(A110="","",VLOOKUP($A110,子基金及业绩基准周净值!$A:$AV,10))</f>
        <v/>
      </c>
      <c r="C110" s="8" t="str">
        <f t="shared" si="8"/>
        <v/>
      </c>
      <c r="D110" s="9" t="str">
        <f>IF(A110="","",C110-(子基金及业绩基准周净值!AG128/子基金及业绩基准周净值!AG127-1))</f>
        <v/>
      </c>
      <c r="E110" s="12" t="str">
        <f>IF(A110="","",(MAX(B$3:B110)-B110)/MAX(B$3:B110))</f>
        <v/>
      </c>
      <c r="F110" s="12" t="str">
        <f>IF(A110="","",MAX(E$4:E110))</f>
        <v/>
      </c>
      <c r="G110" s="17" t="str">
        <f>IF(A110="","",MAX(FREQUENCY(IF($D$3:D110&lt;0,ROW($D$3:D110)),IF($D$3:D110&gt;=0,ROW($D$3:D110)))))</f>
        <v/>
      </c>
      <c r="H110" s="14" t="str">
        <f t="shared" si="9"/>
        <v/>
      </c>
      <c r="I110" s="14" t="str">
        <f t="shared" si="6"/>
        <v/>
      </c>
      <c r="J110" s="15" t="str">
        <f t="shared" si="7"/>
        <v/>
      </c>
    </row>
    <row r="111" spans="1:10">
      <c r="A111" s="7" t="str">
        <f>IF(子基金及业绩基准周净值!A129="","",子基金及业绩基准周净值!A129)</f>
        <v/>
      </c>
      <c r="B111" s="1" t="str">
        <f>IF(A111="","",VLOOKUP($A111,子基金及业绩基准周净值!$A:$AV,10))</f>
        <v/>
      </c>
      <c r="C111" s="8" t="str">
        <f t="shared" si="8"/>
        <v/>
      </c>
      <c r="D111" s="9" t="str">
        <f>IF(A111="","",C111-(子基金及业绩基准周净值!AG129/子基金及业绩基准周净值!AG128-1))</f>
        <v/>
      </c>
      <c r="E111" s="12" t="str">
        <f>IF(A111="","",(MAX(B$3:B111)-B111)/MAX(B$3:B111))</f>
        <v/>
      </c>
      <c r="F111" s="12" t="str">
        <f>IF(A111="","",MAX(E$4:E111))</f>
        <v/>
      </c>
      <c r="G111" s="17" t="str">
        <f>IF(A111="","",MAX(FREQUENCY(IF($D$3:D111&lt;0,ROW($D$3:D111)),IF($D$3:D111&gt;=0,ROW($D$3:D111)))))</f>
        <v/>
      </c>
      <c r="H111" s="14" t="str">
        <f t="shared" si="9"/>
        <v/>
      </c>
      <c r="I111" s="14" t="str">
        <f t="shared" si="6"/>
        <v/>
      </c>
      <c r="J111" s="15" t="str">
        <f t="shared" si="7"/>
        <v/>
      </c>
    </row>
    <row r="112" spans="1:10">
      <c r="A112" s="7" t="str">
        <f>IF(子基金及业绩基准周净值!A130="","",子基金及业绩基准周净值!A130)</f>
        <v/>
      </c>
      <c r="B112" s="1" t="str">
        <f>IF(A112="","",VLOOKUP($A112,子基金及业绩基准周净值!$A:$AV,10))</f>
        <v/>
      </c>
      <c r="C112" s="8" t="str">
        <f t="shared" si="8"/>
        <v/>
      </c>
      <c r="D112" s="9" t="str">
        <f>IF(A112="","",C112-(子基金及业绩基准周净值!AG130/子基金及业绩基准周净值!AG129-1))</f>
        <v/>
      </c>
      <c r="E112" s="12" t="str">
        <f>IF(A112="","",(MAX(B$3:B112)-B112)/MAX(B$3:B112))</f>
        <v/>
      </c>
      <c r="F112" s="12" t="str">
        <f>IF(A112="","",MAX(E$4:E112))</f>
        <v/>
      </c>
      <c r="G112" s="17" t="str">
        <f>IF(A112="","",MAX(FREQUENCY(IF($D$3:D112&lt;0,ROW($D$3:D112)),IF($D$3:D112&gt;=0,ROW($D$3:D112)))))</f>
        <v/>
      </c>
      <c r="H112" s="14" t="str">
        <f t="shared" si="9"/>
        <v/>
      </c>
      <c r="I112" s="14" t="str">
        <f t="shared" si="6"/>
        <v/>
      </c>
      <c r="J112" s="15" t="str">
        <f t="shared" si="7"/>
        <v/>
      </c>
    </row>
    <row r="113" spans="1:10">
      <c r="A113" s="7" t="str">
        <f>IF(子基金及业绩基准周净值!A131="","",子基金及业绩基准周净值!A131)</f>
        <v/>
      </c>
      <c r="B113" s="1" t="str">
        <f>IF(A113="","",VLOOKUP($A113,子基金及业绩基准周净值!$A:$AV,10))</f>
        <v/>
      </c>
      <c r="C113" s="8" t="str">
        <f t="shared" si="8"/>
        <v/>
      </c>
      <c r="D113" s="9" t="str">
        <f>IF(A113="","",C113-(子基金及业绩基准周净值!AG131/子基金及业绩基准周净值!AG130-1))</f>
        <v/>
      </c>
      <c r="E113" s="12" t="str">
        <f>IF(A113="","",(MAX(B$3:B113)-B113)/MAX(B$3:B113))</f>
        <v/>
      </c>
      <c r="F113" s="12" t="str">
        <f>IF(A113="","",MAX(E$4:E113))</f>
        <v/>
      </c>
      <c r="G113" s="17" t="str">
        <f>IF(A113="","",MAX(FREQUENCY(IF($D$3:D113&lt;0,ROW($D$3:D113)),IF($D$3:D113&gt;=0,ROW($D$3:D113)))))</f>
        <v/>
      </c>
      <c r="H113" s="14" t="str">
        <f t="shared" si="9"/>
        <v/>
      </c>
      <c r="I113" s="14" t="str">
        <f t="shared" si="6"/>
        <v/>
      </c>
      <c r="J113" s="15" t="str">
        <f t="shared" si="7"/>
        <v/>
      </c>
    </row>
    <row r="114" spans="1:10">
      <c r="A114" s="7" t="str">
        <f>IF(子基金及业绩基准周净值!A132="","",子基金及业绩基准周净值!A132)</f>
        <v/>
      </c>
      <c r="B114" s="1" t="str">
        <f>IF(A114="","",VLOOKUP($A114,子基金及业绩基准周净值!$A:$AV,10))</f>
        <v/>
      </c>
      <c r="C114" s="8" t="str">
        <f t="shared" si="8"/>
        <v/>
      </c>
      <c r="D114" s="9" t="str">
        <f>IF(A114="","",C114-(子基金及业绩基准周净值!AG132/子基金及业绩基准周净值!AG131-1))</f>
        <v/>
      </c>
      <c r="E114" s="12" t="str">
        <f>IF(A114="","",(MAX(B$3:B114)-B114)/MAX(B$3:B114))</f>
        <v/>
      </c>
      <c r="F114" s="12" t="str">
        <f>IF(A114="","",MAX(E$4:E114))</f>
        <v/>
      </c>
      <c r="G114" s="17" t="str">
        <f>IF(A114="","",MAX(FREQUENCY(IF($D$3:D114&lt;0,ROW($D$3:D114)),IF($D$3:D114&gt;=0,ROW($D$3:D114)))))</f>
        <v/>
      </c>
      <c r="H114" s="14" t="str">
        <f t="shared" si="9"/>
        <v/>
      </c>
      <c r="I114" s="14" t="str">
        <f t="shared" si="6"/>
        <v/>
      </c>
      <c r="J114" s="15" t="str">
        <f t="shared" si="7"/>
        <v/>
      </c>
    </row>
    <row r="115" spans="1:10">
      <c r="A115" s="7" t="str">
        <f>IF(子基金及业绩基准周净值!A133="","",子基金及业绩基准周净值!A133)</f>
        <v/>
      </c>
      <c r="B115" s="1" t="str">
        <f>IF(A115="","",VLOOKUP($A115,子基金及业绩基准周净值!$A:$AV,10))</f>
        <v/>
      </c>
      <c r="C115" s="8" t="str">
        <f t="shared" si="8"/>
        <v/>
      </c>
      <c r="D115" s="9" t="str">
        <f>IF(A115="","",C115-(子基金及业绩基准周净值!AG133/子基金及业绩基准周净值!AG132-1))</f>
        <v/>
      </c>
      <c r="E115" s="12" t="str">
        <f>IF(A115="","",(MAX(B$3:B115)-B115)/MAX(B$3:B115))</f>
        <v/>
      </c>
      <c r="F115" s="12" t="str">
        <f>IF(A115="","",MAX(E$4:E115))</f>
        <v/>
      </c>
      <c r="G115" s="17" t="str">
        <f>IF(A115="","",MAX(FREQUENCY(IF($D$3:D115&lt;0,ROW($D$3:D115)),IF($D$3:D115&gt;=0,ROW($D$3:D115)))))</f>
        <v/>
      </c>
      <c r="H115" s="14" t="str">
        <f t="shared" si="9"/>
        <v/>
      </c>
      <c r="I115" s="14" t="str">
        <f t="shared" si="6"/>
        <v/>
      </c>
      <c r="J115" s="15" t="str">
        <f t="shared" si="7"/>
        <v/>
      </c>
    </row>
    <row r="116" spans="1:10">
      <c r="A116" s="7" t="str">
        <f>IF(子基金及业绩基准周净值!A134="","",子基金及业绩基准周净值!A134)</f>
        <v/>
      </c>
      <c r="B116" s="1" t="str">
        <f>IF(A116="","",VLOOKUP($A116,子基金及业绩基准周净值!$A:$AV,10))</f>
        <v/>
      </c>
      <c r="C116" s="8" t="str">
        <f t="shared" si="8"/>
        <v/>
      </c>
      <c r="D116" s="9" t="str">
        <f>IF(A116="","",C116-(子基金及业绩基准周净值!AG134/子基金及业绩基准周净值!AG133-1))</f>
        <v/>
      </c>
      <c r="E116" s="12" t="str">
        <f>IF(A116="","",(MAX(B$3:B116)-B116)/MAX(B$3:B116))</f>
        <v/>
      </c>
      <c r="F116" s="12" t="str">
        <f>IF(A116="","",MAX(E$4:E116))</f>
        <v/>
      </c>
      <c r="G116" s="17" t="str">
        <f>IF(A116="","",MAX(FREQUENCY(IF($D$3:D116&lt;0,ROW($D$3:D116)),IF($D$3:D116&gt;=0,ROW($D$3:D116)))))</f>
        <v/>
      </c>
      <c r="H116" s="14" t="str">
        <f t="shared" si="9"/>
        <v/>
      </c>
      <c r="I116" s="14" t="str">
        <f t="shared" si="6"/>
        <v/>
      </c>
      <c r="J116" s="15" t="str">
        <f t="shared" si="7"/>
        <v/>
      </c>
    </row>
    <row r="117" spans="1:10">
      <c r="A117" s="7" t="str">
        <f>IF(子基金及业绩基准周净值!A135="","",子基金及业绩基准周净值!A135)</f>
        <v/>
      </c>
      <c r="B117" s="1" t="str">
        <f>IF(A117="","",VLOOKUP($A117,子基金及业绩基准周净值!$A:$AV,10))</f>
        <v/>
      </c>
      <c r="C117" s="8" t="str">
        <f t="shared" si="8"/>
        <v/>
      </c>
      <c r="D117" s="9" t="str">
        <f>IF(A117="","",C117-(子基金及业绩基准周净值!AG135/子基金及业绩基准周净值!AG134-1))</f>
        <v/>
      </c>
      <c r="E117" s="12" t="str">
        <f>IF(A117="","",(MAX(B$3:B117)-B117)/MAX(B$3:B117))</f>
        <v/>
      </c>
      <c r="F117" s="12" t="str">
        <f>IF(A117="","",MAX(E$4:E117))</f>
        <v/>
      </c>
      <c r="G117" s="17" t="str">
        <f>IF(A117="","",MAX(FREQUENCY(IF($D$3:D117&lt;0,ROW($D$3:D117)),IF($D$3:D117&gt;=0,ROW($D$3:D117)))))</f>
        <v/>
      </c>
      <c r="H117" s="14" t="str">
        <f t="shared" si="9"/>
        <v/>
      </c>
      <c r="I117" s="14" t="str">
        <f t="shared" si="6"/>
        <v/>
      </c>
      <c r="J117" s="15" t="str">
        <f t="shared" si="7"/>
        <v/>
      </c>
    </row>
    <row r="118" spans="1:10">
      <c r="A118" s="7" t="str">
        <f>IF(子基金及业绩基准周净值!A136="","",子基金及业绩基准周净值!A136)</f>
        <v/>
      </c>
      <c r="B118" s="1" t="str">
        <f>IF(A118="","",VLOOKUP($A118,子基金及业绩基准周净值!$A:$AV,10))</f>
        <v/>
      </c>
      <c r="C118" s="8" t="str">
        <f t="shared" si="8"/>
        <v/>
      </c>
      <c r="D118" s="9" t="str">
        <f>IF(A118="","",C118-(子基金及业绩基准周净值!AG136/子基金及业绩基准周净值!AG135-1))</f>
        <v/>
      </c>
      <c r="E118" s="12" t="str">
        <f>IF(A118="","",(MAX(B$3:B118)-B118)/MAX(B$3:B118))</f>
        <v/>
      </c>
      <c r="F118" s="12" t="str">
        <f>IF(A118="","",MAX(E$4:E118))</f>
        <v/>
      </c>
      <c r="G118" s="17" t="str">
        <f>IF(A118="","",MAX(FREQUENCY(IF($D$3:D118&lt;0,ROW($D$3:D118)),IF($D$3:D118&gt;=0,ROW($D$3:D118)))))</f>
        <v/>
      </c>
      <c r="H118" s="14" t="str">
        <f t="shared" si="9"/>
        <v/>
      </c>
      <c r="I118" s="14" t="str">
        <f t="shared" si="6"/>
        <v/>
      </c>
      <c r="J118" s="15" t="str">
        <f t="shared" si="7"/>
        <v/>
      </c>
    </row>
    <row r="119" spans="1:10">
      <c r="A119" s="7" t="str">
        <f>IF(子基金及业绩基准周净值!A137="","",子基金及业绩基准周净值!A137)</f>
        <v/>
      </c>
      <c r="B119" s="1" t="str">
        <f>IF(A119="","",VLOOKUP($A119,子基金及业绩基准周净值!$A:$AV,10))</f>
        <v/>
      </c>
      <c r="C119" s="8" t="str">
        <f t="shared" si="8"/>
        <v/>
      </c>
      <c r="D119" s="9" t="str">
        <f>IF(A119="","",C119-(子基金及业绩基准周净值!AG137/子基金及业绩基准周净值!AG136-1))</f>
        <v/>
      </c>
      <c r="E119" s="12" t="str">
        <f>IF(A119="","",(MAX(B$3:B119)-B119)/MAX(B$3:B119))</f>
        <v/>
      </c>
      <c r="F119" s="12" t="str">
        <f>IF(A119="","",MAX(E$4:E119))</f>
        <v/>
      </c>
      <c r="G119" s="17" t="str">
        <f>IF(A119="","",MAX(FREQUENCY(IF($D$3:D119&lt;0,ROW($D$3:D119)),IF($D$3:D119&gt;=0,ROW($D$3:D119)))))</f>
        <v/>
      </c>
      <c r="H119" s="14" t="str">
        <f t="shared" si="9"/>
        <v/>
      </c>
      <c r="I119" s="14" t="str">
        <f t="shared" si="6"/>
        <v/>
      </c>
      <c r="J119" s="15" t="str">
        <f t="shared" si="7"/>
        <v/>
      </c>
    </row>
    <row r="120" spans="1:10">
      <c r="A120" s="7" t="str">
        <f>IF(子基金及业绩基准周净值!A138="","",子基金及业绩基准周净值!A138)</f>
        <v/>
      </c>
      <c r="B120" s="1" t="str">
        <f>IF(A120="","",VLOOKUP($A120,子基金及业绩基准周净值!$A:$AV,10))</f>
        <v/>
      </c>
      <c r="C120" s="8" t="str">
        <f t="shared" si="8"/>
        <v/>
      </c>
      <c r="D120" s="9" t="str">
        <f>IF(A120="","",C120-(子基金及业绩基准周净值!AG138/子基金及业绩基准周净值!AG137-1))</f>
        <v/>
      </c>
      <c r="E120" s="12" t="str">
        <f>IF(A120="","",(MAX(B$3:B120)-B120)/MAX(B$3:B120))</f>
        <v/>
      </c>
      <c r="F120" s="12" t="str">
        <f>IF(A120="","",MAX(E$4:E120))</f>
        <v/>
      </c>
      <c r="G120" s="17" t="str">
        <f>IF(A120="","",MAX(FREQUENCY(IF($D$3:D120&lt;0,ROW($D$3:D120)),IF($D$3:D120&gt;=0,ROW($D$3:D120)))))</f>
        <v/>
      </c>
      <c r="H120" s="14" t="str">
        <f t="shared" si="9"/>
        <v/>
      </c>
      <c r="I120" s="14" t="str">
        <f t="shared" si="6"/>
        <v/>
      </c>
      <c r="J120" s="15" t="str">
        <f t="shared" si="7"/>
        <v/>
      </c>
    </row>
    <row r="121" spans="1:10">
      <c r="A121" s="7" t="str">
        <f>IF(子基金及业绩基准周净值!A139="","",子基金及业绩基准周净值!A139)</f>
        <v/>
      </c>
      <c r="B121" s="1" t="str">
        <f>IF(A121="","",VLOOKUP($A121,子基金及业绩基准周净值!$A:$AV,10))</f>
        <v/>
      </c>
      <c r="C121" s="8" t="str">
        <f t="shared" si="8"/>
        <v/>
      </c>
      <c r="D121" s="9" t="str">
        <f>IF(A121="","",C121-(子基金及业绩基准周净值!AG139/子基金及业绩基准周净值!AG138-1))</f>
        <v/>
      </c>
      <c r="E121" s="12" t="str">
        <f>IF(A121="","",(MAX(B$3:B121)-B121)/MAX(B$3:B121))</f>
        <v/>
      </c>
      <c r="F121" s="12" t="str">
        <f>IF(A121="","",MAX(E$4:E121))</f>
        <v/>
      </c>
      <c r="G121" s="17" t="str">
        <f>IF(A121="","",MAX(FREQUENCY(IF($D$3:D121&lt;0,ROW($D$3:D121)),IF($D$3:D121&gt;=0,ROW($D$3:D121)))))</f>
        <v/>
      </c>
      <c r="H121" s="14" t="str">
        <f t="shared" si="9"/>
        <v/>
      </c>
      <c r="I121" s="14" t="str">
        <f t="shared" si="6"/>
        <v/>
      </c>
      <c r="J121" s="15" t="str">
        <f t="shared" si="7"/>
        <v/>
      </c>
    </row>
    <row r="122" spans="1:10">
      <c r="A122" s="7" t="str">
        <f>IF(子基金及业绩基准周净值!A140="","",子基金及业绩基准周净值!A140)</f>
        <v/>
      </c>
      <c r="B122" s="1" t="str">
        <f>IF(A122="","",VLOOKUP($A122,子基金及业绩基准周净值!$A:$AV,10))</f>
        <v/>
      </c>
      <c r="C122" s="8" t="str">
        <f t="shared" si="8"/>
        <v/>
      </c>
      <c r="D122" s="9" t="str">
        <f>IF(A122="","",C122-(子基金及业绩基准周净值!AG140/子基金及业绩基准周净值!AG139-1))</f>
        <v/>
      </c>
      <c r="E122" s="12" t="str">
        <f>IF(A122="","",(MAX(B$3:B122)-B122)/MAX(B$3:B122))</f>
        <v/>
      </c>
      <c r="F122" s="12" t="str">
        <f>IF(A122="","",MAX(E$4:E122))</f>
        <v/>
      </c>
      <c r="G122" s="17" t="str">
        <f>IF(A122="","",MAX(FREQUENCY(IF($D$3:D122&lt;0,ROW($D$3:D122)),IF($D$3:D122&gt;=0,ROW($D$3:D122)))))</f>
        <v/>
      </c>
      <c r="H122" s="14" t="str">
        <f t="shared" si="9"/>
        <v/>
      </c>
      <c r="I122" s="14" t="str">
        <f t="shared" si="6"/>
        <v/>
      </c>
      <c r="J122" s="15" t="str">
        <f t="shared" si="7"/>
        <v/>
      </c>
    </row>
    <row r="123" spans="1:10">
      <c r="A123" s="7" t="str">
        <f>IF(子基金及业绩基准周净值!A141="","",子基金及业绩基准周净值!A141)</f>
        <v/>
      </c>
      <c r="B123" s="1" t="str">
        <f>IF(A123="","",VLOOKUP($A123,子基金及业绩基准周净值!$A:$AV,10))</f>
        <v/>
      </c>
      <c r="C123" s="8" t="str">
        <f t="shared" si="8"/>
        <v/>
      </c>
      <c r="D123" s="9" t="str">
        <f>IF(A123="","",C123-(子基金及业绩基准周净值!AG141/子基金及业绩基准周净值!AG140-1))</f>
        <v/>
      </c>
      <c r="E123" s="12" t="str">
        <f>IF(A123="","",(MAX(B$3:B123)-B123)/MAX(B$3:B123))</f>
        <v/>
      </c>
      <c r="F123" s="12" t="str">
        <f>IF(A123="","",MAX(E$4:E123))</f>
        <v/>
      </c>
      <c r="G123" s="17" t="str">
        <f>IF(A123="","",MAX(FREQUENCY(IF($D$3:D123&lt;0,ROW($D$3:D123)),IF($D$3:D123&gt;=0,ROW($D$3:D123)))))</f>
        <v/>
      </c>
      <c r="H123" s="14" t="str">
        <f t="shared" si="9"/>
        <v/>
      </c>
      <c r="I123" s="14" t="str">
        <f t="shared" si="6"/>
        <v/>
      </c>
      <c r="J123" s="15" t="str">
        <f t="shared" si="7"/>
        <v/>
      </c>
    </row>
    <row r="124" spans="1:10">
      <c r="A124" s="7" t="str">
        <f>IF(子基金及业绩基准周净值!A142="","",子基金及业绩基准周净值!A142)</f>
        <v/>
      </c>
      <c r="B124" s="1" t="str">
        <f>IF(A124="","",VLOOKUP($A124,子基金及业绩基准周净值!$A:$AV,10))</f>
        <v/>
      </c>
      <c r="C124" s="8" t="str">
        <f t="shared" si="8"/>
        <v/>
      </c>
      <c r="D124" s="9" t="str">
        <f>IF(A124="","",C124-(子基金及业绩基准周净值!AG142/子基金及业绩基准周净值!AG141-1))</f>
        <v/>
      </c>
      <c r="E124" s="12" t="str">
        <f>IF(A124="","",(MAX(B$3:B124)-B124)/MAX(B$3:B124))</f>
        <v/>
      </c>
      <c r="F124" s="12" t="str">
        <f>IF(A124="","",MAX(E$4:E124))</f>
        <v/>
      </c>
      <c r="G124" s="17" t="str">
        <f>IF(A124="","",MAX(FREQUENCY(IF($D$3:D124&lt;0,ROW($D$3:D124)),IF($D$3:D124&gt;=0,ROW($D$3:D124)))))</f>
        <v/>
      </c>
      <c r="H124" s="14" t="str">
        <f t="shared" si="9"/>
        <v/>
      </c>
      <c r="I124" s="14" t="str">
        <f t="shared" si="6"/>
        <v/>
      </c>
      <c r="J124" s="15" t="str">
        <f t="shared" si="7"/>
        <v/>
      </c>
    </row>
    <row r="125" spans="1:10">
      <c r="A125" s="7" t="str">
        <f>IF(子基金及业绩基准周净值!A143="","",子基金及业绩基准周净值!A143)</f>
        <v/>
      </c>
      <c r="B125" s="1" t="str">
        <f>IF(A125="","",VLOOKUP($A125,子基金及业绩基准周净值!$A:$AV,10))</f>
        <v/>
      </c>
      <c r="C125" s="8" t="str">
        <f t="shared" si="8"/>
        <v/>
      </c>
      <c r="D125" s="9" t="str">
        <f>IF(A125="","",C125-(子基金及业绩基准周净值!AG143/子基金及业绩基准周净值!AG142-1))</f>
        <v/>
      </c>
      <c r="E125" s="12" t="str">
        <f>IF(A125="","",(MAX(B$3:B125)-B125)/MAX(B$3:B125))</f>
        <v/>
      </c>
      <c r="F125" s="12" t="str">
        <f>IF(A125="","",MAX(E$4:E125))</f>
        <v/>
      </c>
      <c r="G125" s="17" t="str">
        <f>IF(A125="","",MAX(FREQUENCY(IF($D$3:D125&lt;0,ROW($D$3:D125)),IF($D$3:D125&gt;=0,ROW($D$3:D125)))))</f>
        <v/>
      </c>
      <c r="H125" s="14" t="str">
        <f t="shared" si="9"/>
        <v/>
      </c>
      <c r="I125" s="14" t="str">
        <f t="shared" si="6"/>
        <v/>
      </c>
      <c r="J125" s="15" t="str">
        <f t="shared" si="7"/>
        <v/>
      </c>
    </row>
    <row r="126" spans="1:10">
      <c r="A126" s="7" t="str">
        <f>IF(子基金及业绩基准周净值!A144="","",子基金及业绩基准周净值!A144)</f>
        <v/>
      </c>
      <c r="B126" s="1" t="str">
        <f>IF(A126="","",VLOOKUP($A126,子基金及业绩基准周净值!$A:$AV,10))</f>
        <v/>
      </c>
      <c r="C126" s="8" t="str">
        <f t="shared" si="8"/>
        <v/>
      </c>
      <c r="D126" s="9" t="str">
        <f>IF(A126="","",C126-(子基金及业绩基准周净值!AG144/子基金及业绩基准周净值!AG143-1))</f>
        <v/>
      </c>
      <c r="E126" s="12" t="str">
        <f>IF(A126="","",(MAX(B$3:B126)-B126)/MAX(B$3:B126))</f>
        <v/>
      </c>
      <c r="F126" s="12" t="str">
        <f>IF(A126="","",MAX(E$4:E126))</f>
        <v/>
      </c>
      <c r="G126" s="17" t="str">
        <f>IF(A126="","",MAX(FREQUENCY(IF($D$3:D126&lt;0,ROW($D$3:D126)),IF($D$3:D126&gt;=0,ROW($D$3:D126)))))</f>
        <v/>
      </c>
      <c r="H126" s="14" t="str">
        <f t="shared" si="9"/>
        <v/>
      </c>
      <c r="I126" s="14" t="str">
        <f t="shared" si="6"/>
        <v/>
      </c>
      <c r="J126" s="15" t="str">
        <f t="shared" si="7"/>
        <v/>
      </c>
    </row>
    <row r="127" spans="1:10">
      <c r="A127" s="7" t="str">
        <f>IF(子基金及业绩基准周净值!A145="","",子基金及业绩基准周净值!A145)</f>
        <v/>
      </c>
      <c r="B127" s="1" t="str">
        <f>IF(A127="","",VLOOKUP($A127,子基金及业绩基准周净值!$A:$AV,10))</f>
        <v/>
      </c>
      <c r="C127" s="8" t="str">
        <f t="shared" si="8"/>
        <v/>
      </c>
      <c r="D127" s="9" t="str">
        <f>IF(A127="","",C127-(子基金及业绩基准周净值!AG145/子基金及业绩基准周净值!AG144-1))</f>
        <v/>
      </c>
      <c r="E127" s="12" t="str">
        <f>IF(A127="","",(MAX(B$3:B127)-B127)/MAX(B$3:B127))</f>
        <v/>
      </c>
      <c r="F127" s="12" t="str">
        <f>IF(A127="","",MAX(E$4:E127))</f>
        <v/>
      </c>
      <c r="G127" s="17" t="str">
        <f>IF(A127="","",MAX(FREQUENCY(IF($D$3:D127&lt;0,ROW($D$3:D127)),IF($D$3:D127&gt;=0,ROW($D$3:D127)))))</f>
        <v/>
      </c>
      <c r="H127" s="14" t="str">
        <f t="shared" si="9"/>
        <v/>
      </c>
      <c r="I127" s="14" t="str">
        <f t="shared" si="6"/>
        <v/>
      </c>
      <c r="J127" s="15" t="str">
        <f t="shared" si="7"/>
        <v/>
      </c>
    </row>
  </sheetData>
  <conditionalFormatting sqref="H4:H127">
    <cfRule type="containsText" dxfId="0" priority="1" operator="between" text="是">
      <formula>NOT(ISERROR(SEARCH("是",H4)))</formula>
    </cfRule>
  </conditionalFormatting>
  <conditionalFormatting sqref="J$1:J$1048576">
    <cfRule type="containsText" dxfId="0" priority="3" operator="between" text="是">
      <formula>NOT(ISERROR(SEARCH("是",J1)))</formula>
    </cfRule>
  </conditionalFormatting>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918"/>
  <sheetViews>
    <sheetView zoomScale="115" zoomScaleNormal="115" topLeftCell="A22" workbookViewId="0">
      <selection activeCell="G48" sqref="G48"/>
    </sheetView>
  </sheetViews>
  <sheetFormatPr defaultColWidth="9" defaultRowHeight="16.8"/>
  <cols>
    <col min="1" max="1" width="11.125" customWidth="1"/>
    <col min="2" max="2" width="15.125" customWidth="1"/>
    <col min="3" max="3" width="10.25" customWidth="1"/>
    <col min="4" max="4" width="12.25" style="2" customWidth="1"/>
    <col min="5" max="5" width="8.125" customWidth="1"/>
    <col min="6" max="6" width="10.25" customWidth="1"/>
    <col min="7" max="7" width="17.375" customWidth="1"/>
    <col min="8" max="9" width="22.125" customWidth="1"/>
    <col min="10" max="10" width="16.25" customWidth="1"/>
    <col min="11" max="11" width="6"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48</v>
      </c>
      <c r="C2" s="5" t="s">
        <v>310</v>
      </c>
      <c r="D2" s="6" t="s">
        <v>311</v>
      </c>
      <c r="F2" s="5" t="s">
        <v>22</v>
      </c>
      <c r="G2" s="10" t="s">
        <v>312</v>
      </c>
      <c r="H2" s="11" t="s">
        <v>313</v>
      </c>
      <c r="I2" s="11" t="s">
        <v>314</v>
      </c>
      <c r="J2" s="11" t="s">
        <v>315</v>
      </c>
      <c r="K2" s="5" t="s">
        <v>316</v>
      </c>
    </row>
    <row r="3" spans="1:2">
      <c r="A3" s="7">
        <f>IF(子基金及业绩基准周净值!A28="","",子基金及业绩基准周净值!A28)</f>
        <v>45639</v>
      </c>
      <c r="B3" s="1">
        <f>IF(A3="","",VLOOKUP($A3,子基金及业绩基准周净值!$A:$AV,11))</f>
        <v>1.6066</v>
      </c>
    </row>
    <row r="4" spans="1:10">
      <c r="A4" s="7">
        <f>IF(子基金及业绩基准周净值!A29="","",子基金及业绩基准周净值!A29)</f>
        <v>45646</v>
      </c>
      <c r="B4" s="1">
        <f>IF(A4="","",VLOOKUP($A4,子基金及业绩基准周净值!$A:$AV,11))</f>
        <v>1.6171</v>
      </c>
      <c r="C4" s="8">
        <f>IF(A4="","",(B4-B3)/B3)</f>
        <v>0.00653554089381299</v>
      </c>
      <c r="D4" s="9">
        <f>IF(A4="","",C4-子基金及业绩基准周净值!AI29)</f>
        <v>0.020235540893813</v>
      </c>
      <c r="E4" s="12">
        <f>IF(A4="","",(MAX(B$3:B4)-B4)/MAX(B$3:B4))</f>
        <v>0</v>
      </c>
      <c r="F4" s="12">
        <f>IF(A4="","",MAX(E$4:E4))</f>
        <v>0</v>
      </c>
      <c r="G4" s="17">
        <v>0</v>
      </c>
      <c r="H4" s="14" t="str">
        <f>IF(B4="","",IF(C4&lt;-3%,"是","否"))</f>
        <v>否</v>
      </c>
      <c r="I4" s="14" t="str">
        <f>IF(A4="","",IF(F4&gt;5%,"是","否"))</f>
        <v>否</v>
      </c>
      <c r="J4" s="15" t="str">
        <f>IF(A4="","",IF(G4&gt;=4,"是","否"))</f>
        <v>否</v>
      </c>
    </row>
    <row r="5" spans="1:10">
      <c r="A5" s="7">
        <f>IF(子基金及业绩基准周净值!A30="","",子基金及业绩基准周净值!A30)</f>
        <v>45653</v>
      </c>
      <c r="B5" s="1">
        <f>IF(A5="","",VLOOKUP($A5,子基金及业绩基准周净值!$A:$AV,11))</f>
        <v>1.6042</v>
      </c>
      <c r="C5" s="8">
        <f t="shared" ref="C5:C68" si="0">IF(A5="","",(B5-B4)/B4)</f>
        <v>-0.0079772432131593</v>
      </c>
      <c r="D5" s="9">
        <f>IF(A5="","",C5-子基金及业绩基准周净值!AI30)</f>
        <v>-0.0026772432131593</v>
      </c>
      <c r="E5" s="12">
        <f>IF(A5="","",(MAX(B$3:B5)-B5)/MAX(B$3:B5))</f>
        <v>0.0079772432131593</v>
      </c>
      <c r="F5" s="12">
        <f>IF(A5="","",MAX(E$4:E5))</f>
        <v>0.0079772432131593</v>
      </c>
      <c r="G5" s="17">
        <v>1</v>
      </c>
      <c r="H5" s="14" t="str">
        <f t="shared" ref="H5:H68" si="1">IF(B5="","",IF(C5&lt;-3%,"是","否"))</f>
        <v>否</v>
      </c>
      <c r="I5" s="14" t="str">
        <f t="shared" ref="I5:I68" si="2">IF(A5="","",IF(F5&gt;5%,"是","否"))</f>
        <v>否</v>
      </c>
      <c r="J5" s="15" t="str">
        <f t="shared" ref="J5:J68" si="3">IF(A5="","",IF(G5&gt;=4,"是","否"))</f>
        <v>否</v>
      </c>
    </row>
    <row r="6" spans="1:10">
      <c r="A6" s="7">
        <f>IF(子基金及业绩基准周净值!A31="","",子基金及业绩基准周净值!A31)</f>
        <v>45660</v>
      </c>
      <c r="B6" s="1">
        <f>IF(A6="","",VLOOKUP($A6,子基金及业绩基准周净值!$A:$AV,11))</f>
        <v>1.5944</v>
      </c>
      <c r="C6" s="8">
        <f t="shared" si="0"/>
        <v>-0.00610896396957987</v>
      </c>
      <c r="D6" s="9">
        <f>IF(A6="","",C6-子基金及业绩基准周净值!AI31)</f>
        <v>0.00329103603042013</v>
      </c>
      <c r="E6" s="12">
        <f>IF(A6="","",(MAX(B$3:B6)-B6)/MAX(B$3:B6))</f>
        <v>0.0140374744913734</v>
      </c>
      <c r="F6" s="12">
        <f>IF(A6="","",MAX(E$4:E6))</f>
        <v>0.0140374744913734</v>
      </c>
      <c r="G6" s="17">
        <v>0</v>
      </c>
      <c r="H6" s="14" t="str">
        <f t="shared" si="1"/>
        <v>否</v>
      </c>
      <c r="I6" s="14" t="str">
        <f t="shared" si="2"/>
        <v>否</v>
      </c>
      <c r="J6" s="15" t="str">
        <f t="shared" si="3"/>
        <v>否</v>
      </c>
    </row>
    <row r="7" spans="1:10">
      <c r="A7" s="7">
        <f>IF(子基金及业绩基准周净值!A32="","",子基金及业绩基准周净值!A32)</f>
        <v>45667</v>
      </c>
      <c r="B7" s="1">
        <f>IF(A7="","",VLOOKUP($A7,子基金及业绩基准周净值!$A:$AV,11))</f>
        <v>1.6351</v>
      </c>
      <c r="C7" s="8">
        <f t="shared" si="0"/>
        <v>0.0255268439538384</v>
      </c>
      <c r="D7" s="9">
        <f>IF(A7="","",C7-子基金及业绩基准周净值!AI32)</f>
        <v>0.0211268439538384</v>
      </c>
      <c r="E7" s="12">
        <f>IF(A7="","",(MAX(B$3:B7)-B7)/MAX(B$3:B7))</f>
        <v>0</v>
      </c>
      <c r="F7" s="12">
        <f>IF(A7="","",MAX(E$4:E7))</f>
        <v>0.0140374744913734</v>
      </c>
      <c r="G7" s="17">
        <v>0</v>
      </c>
      <c r="H7" s="14" t="str">
        <f t="shared" si="1"/>
        <v>否</v>
      </c>
      <c r="I7" s="14" t="str">
        <f t="shared" si="2"/>
        <v>否</v>
      </c>
      <c r="J7" s="15" t="str">
        <f t="shared" si="3"/>
        <v>否</v>
      </c>
    </row>
    <row r="8" spans="1:10">
      <c r="A8" s="7">
        <f>IF(子基金及业绩基准周净值!A33="","",子基金及业绩基准周净值!A33)</f>
        <v>45674</v>
      </c>
      <c r="B8" s="1">
        <f>IF(A8="","",VLOOKUP($A8,子基金及业绩基准周净值!$A:$AV,11))</f>
        <v>1.6292</v>
      </c>
      <c r="C8" s="8">
        <f t="shared" si="0"/>
        <v>-0.00360834199743136</v>
      </c>
      <c r="D8" s="9">
        <f>IF(A8="","",C8-子基金及业绩基准周净值!AI33)</f>
        <v>-0.0112083419974314</v>
      </c>
      <c r="E8" s="12">
        <f>IF(A8="","",(MAX(B$3:B8)-B8)/MAX(B$3:B8))</f>
        <v>0.00360834199743136</v>
      </c>
      <c r="F8" s="12">
        <f>IF(A8="","",MAX(E$4:E8))</f>
        <v>0.0140374744913734</v>
      </c>
      <c r="G8" s="17">
        <v>1</v>
      </c>
      <c r="H8" s="14" t="str">
        <f t="shared" si="1"/>
        <v>否</v>
      </c>
      <c r="I8" s="14" t="str">
        <f t="shared" si="2"/>
        <v>否</v>
      </c>
      <c r="J8" s="15" t="str">
        <f t="shared" si="3"/>
        <v>否</v>
      </c>
    </row>
    <row r="9" spans="1:10">
      <c r="A9" s="7">
        <f>IF(子基金及业绩基准周净值!A34="","",子基金及业绩基准周净值!A34)</f>
        <v>45681</v>
      </c>
      <c r="B9" s="1">
        <f>IF(A9="","",VLOOKUP($A9,子基金及业绩基准周净值!$A:$AV,11))</f>
        <v>1.6221</v>
      </c>
      <c r="C9" s="8">
        <f t="shared" si="0"/>
        <v>-0.00435796710041731</v>
      </c>
      <c r="D9" s="9">
        <f>IF(A9="","",C9-子基金及业绩基准周净值!AI34)</f>
        <v>-0.00195796710041731</v>
      </c>
      <c r="E9" s="12">
        <f>IF(A9="","",(MAX(B$3:B9)-B9)/MAX(B$3:B9))</f>
        <v>0.00795058406213681</v>
      </c>
      <c r="F9" s="12">
        <f>IF(A9="","",MAX(E$4:E9))</f>
        <v>0.0140374744913734</v>
      </c>
      <c r="G9" s="17">
        <v>2</v>
      </c>
      <c r="H9" s="14" t="str">
        <f t="shared" si="1"/>
        <v>否</v>
      </c>
      <c r="I9" s="14" t="str">
        <f t="shared" si="2"/>
        <v>否</v>
      </c>
      <c r="J9" s="15" t="str">
        <f t="shared" si="3"/>
        <v>否</v>
      </c>
    </row>
    <row r="10" spans="1:10">
      <c r="A10" s="7">
        <f>IF(子基金及业绩基准周净值!A35="","",子基金及业绩基准周净值!A35)</f>
        <v>45684</v>
      </c>
      <c r="B10" s="1">
        <f>IF(A10="","",VLOOKUP($A10,子基金及业绩基准周净值!$A:$AV,11))</f>
        <v>1.6213</v>
      </c>
      <c r="C10" s="8">
        <f t="shared" si="0"/>
        <v>-0.000493187842919755</v>
      </c>
      <c r="D10" s="9">
        <f>IF(A10="","",C10-子基金及业绩基准周净值!AI35)</f>
        <v>0.00420681215708025</v>
      </c>
      <c r="E10" s="12">
        <f>IF(A10="","",(MAX(B$3:B10)-B10)/MAX(B$3:B10))</f>
        <v>0.00843985077365301</v>
      </c>
      <c r="F10" s="12">
        <f>IF(A10="","",MAX(E$4:E10))</f>
        <v>0.0140374744913734</v>
      </c>
      <c r="G10" s="17">
        <v>0</v>
      </c>
      <c r="H10" s="14" t="str">
        <f t="shared" si="1"/>
        <v>否</v>
      </c>
      <c r="I10" s="14" t="str">
        <f t="shared" si="2"/>
        <v>否</v>
      </c>
      <c r="J10" s="15" t="str">
        <f t="shared" si="3"/>
        <v>否</v>
      </c>
    </row>
    <row r="11" spans="1:10">
      <c r="A11" s="7">
        <f>IF(子基金及业绩基准周净值!A36="","",子基金及业绩基准周净值!A36)</f>
        <v>45695</v>
      </c>
      <c r="B11" s="1">
        <f>IF(A11="","",VLOOKUP($A11,子基金及业绩基准周净值!$A:$AV,11))</f>
        <v>1.6231</v>
      </c>
      <c r="C11" s="8">
        <f t="shared" si="0"/>
        <v>0.00111022019367176</v>
      </c>
      <c r="D11" s="9">
        <f>IF(A11="","",C11-子基金及业绩基准周净值!AI36)</f>
        <v>-0.0161897798063282</v>
      </c>
      <c r="E11" s="12">
        <f>IF(A11="","",(MAX(B$3:B11)-B11)/MAX(B$3:B11))</f>
        <v>0.00733900067274173</v>
      </c>
      <c r="F11" s="12">
        <f>IF(A11="","",MAX(E$4:E11))</f>
        <v>0.0140374744913734</v>
      </c>
      <c r="G11" s="17">
        <v>1</v>
      </c>
      <c r="H11" s="14" t="str">
        <f t="shared" si="1"/>
        <v>否</v>
      </c>
      <c r="I11" s="14" t="str">
        <f t="shared" si="2"/>
        <v>否</v>
      </c>
      <c r="J11" s="15" t="str">
        <f t="shared" si="3"/>
        <v>否</v>
      </c>
    </row>
    <row r="12" spans="1:10">
      <c r="A12" s="7">
        <f>IF(子基金及业绩基准周净值!A37="","",子基金及业绩基准周净值!A37)</f>
        <v>45702</v>
      </c>
      <c r="B12" s="1">
        <f>IF(A12="","",VLOOKUP($A12,子基金及业绩基准周净值!$A:$AV,11))</f>
        <v>1.6656</v>
      </c>
      <c r="C12" s="8">
        <f t="shared" si="0"/>
        <v>0.0261844618322962</v>
      </c>
      <c r="D12" s="9">
        <f>IF(A12="","",C12-子基金及业绩基准周净值!AI37)</f>
        <v>0.0116844618322962</v>
      </c>
      <c r="E12" s="12">
        <f>IF(A12="","",(MAX(B$3:B12)-B12)/MAX(B$3:B12))</f>
        <v>0</v>
      </c>
      <c r="F12" s="12">
        <f>IF(A12="","",MAX(E$4:E12))</f>
        <v>0.0140374744913734</v>
      </c>
      <c r="G12" s="17">
        <v>0</v>
      </c>
      <c r="H12" s="14" t="str">
        <f t="shared" si="1"/>
        <v>否</v>
      </c>
      <c r="I12" s="14" t="str">
        <f t="shared" si="2"/>
        <v>否</v>
      </c>
      <c r="J12" s="15" t="str">
        <f t="shared" si="3"/>
        <v>否</v>
      </c>
    </row>
    <row r="13" spans="1:10">
      <c r="A13" s="7">
        <f>IF(子基金及业绩基准周净值!A38="","",子基金及业绩基准周净值!A38)</f>
        <v>45709</v>
      </c>
      <c r="B13" s="1">
        <f>IF(A13="","",VLOOKUP($A13,子基金及业绩基准周净值!$A:$AV,11))</f>
        <v>1.6977</v>
      </c>
      <c r="C13" s="8">
        <f t="shared" si="0"/>
        <v>0.0192723342939481</v>
      </c>
      <c r="D13" s="9">
        <f>IF(A13="","",C13-子基金及业绩基准周净值!AI38)</f>
        <v>-0.000127665706051862</v>
      </c>
      <c r="E13" s="12">
        <f>IF(A13="","",(MAX(B$3:B13)-B13)/MAX(B$3:B13))</f>
        <v>0</v>
      </c>
      <c r="F13" s="12">
        <f>IF(A13="","",MAX(E$4:E13))</f>
        <v>0.0140374744913734</v>
      </c>
      <c r="G13" s="17">
        <v>1</v>
      </c>
      <c r="H13" s="14" t="str">
        <f t="shared" si="1"/>
        <v>否</v>
      </c>
      <c r="I13" s="14" t="str">
        <f t="shared" si="2"/>
        <v>否</v>
      </c>
      <c r="J13" s="15" t="str">
        <f t="shared" si="3"/>
        <v>否</v>
      </c>
    </row>
    <row r="14" spans="1:10">
      <c r="A14" s="7">
        <f>IF(子基金及业绩基准周净值!A39="","",子基金及业绩基准周净值!A39)</f>
        <v>45716</v>
      </c>
      <c r="B14" s="1">
        <f>IF(A14="","",VLOOKUP($A14,子基金及业绩基准周净值!$A:$AV,11))</f>
        <v>1.7133</v>
      </c>
      <c r="C14" s="8">
        <f t="shared" si="0"/>
        <v>0.00918890263297406</v>
      </c>
      <c r="D14" s="9">
        <f>IF(A14="","",C14-子基金及业绩基准周净值!AI39)</f>
        <v>0.00558890263297406</v>
      </c>
      <c r="E14" s="12">
        <f>IF(A14="","",(MAX(B$3:B14)-B14)/MAX(B$3:B14))</f>
        <v>0</v>
      </c>
      <c r="F14" s="12">
        <f>IF(A14="","",MAX(E$4:E14))</f>
        <v>0.0140374744913734</v>
      </c>
      <c r="G14" s="17">
        <v>0</v>
      </c>
      <c r="H14" s="14" t="str">
        <f t="shared" si="1"/>
        <v>否</v>
      </c>
      <c r="I14" s="14" t="str">
        <f t="shared" si="2"/>
        <v>否</v>
      </c>
      <c r="J14" s="15" t="str">
        <f t="shared" si="3"/>
        <v>否</v>
      </c>
    </row>
    <row r="15" spans="1:10">
      <c r="A15" s="7">
        <f>IF(子基金及业绩基准周净值!A40="","",子基金及业绩基准周净值!A40)</f>
        <v>45723</v>
      </c>
      <c r="B15" s="1">
        <f>IF(A15="","",VLOOKUP($A15,子基金及业绩基准周净值!$A:$AV,11))</f>
        <v>1.7204</v>
      </c>
      <c r="C15" s="8">
        <f t="shared" si="0"/>
        <v>0.0041440494951263</v>
      </c>
      <c r="D15" s="9">
        <f>IF(A15="","",C15-子基金及业绩基准周净值!AI40)</f>
        <v>-0.0057559505048737</v>
      </c>
      <c r="E15" s="12">
        <f>IF(A15="","",(MAX(B$3:B15)-B15)/MAX(B$3:B15))</f>
        <v>0</v>
      </c>
      <c r="F15" s="12">
        <f>IF(A15="","",MAX(E$4:E15))</f>
        <v>0.0140374744913734</v>
      </c>
      <c r="G15" s="17">
        <v>1</v>
      </c>
      <c r="H15" s="14" t="str">
        <f t="shared" si="1"/>
        <v>否</v>
      </c>
      <c r="I15" s="14" t="str">
        <f t="shared" si="2"/>
        <v>否</v>
      </c>
      <c r="J15" s="15" t="str">
        <f t="shared" si="3"/>
        <v>否</v>
      </c>
    </row>
    <row r="16" spans="1:10">
      <c r="A16" s="7">
        <f>IF(子基金及业绩基准周净值!A41="","",子基金及业绩基准周净值!A41)</f>
        <v>45730</v>
      </c>
      <c r="B16" s="1">
        <f>IF(A16="","",VLOOKUP($A16,子基金及业绩基准周净值!$A:$AV,11))</f>
        <v>1.7116</v>
      </c>
      <c r="C16" s="8">
        <f t="shared" si="0"/>
        <v>-0.00511508951406645</v>
      </c>
      <c r="D16" s="9">
        <f>IF(A16="","",C16-子基金及业绩基准周净值!AI41)</f>
        <v>-0.0110150895140664</v>
      </c>
      <c r="E16" s="12">
        <f>IF(A16="","",(MAX(B$3:B16)-B16)/MAX(B$3:B16))</f>
        <v>0.00511508951406645</v>
      </c>
      <c r="F16" s="12">
        <f>IF(A16="","",MAX(E$4:E16))</f>
        <v>0.0140374744913734</v>
      </c>
      <c r="G16" s="17">
        <v>2</v>
      </c>
      <c r="H16" s="14" t="str">
        <f t="shared" si="1"/>
        <v>否</v>
      </c>
      <c r="I16" s="14" t="str">
        <f t="shared" si="2"/>
        <v>否</v>
      </c>
      <c r="J16" s="15" t="str">
        <f t="shared" si="3"/>
        <v>否</v>
      </c>
    </row>
    <row r="17" spans="1:10">
      <c r="A17" s="7">
        <f>IF(子基金及业绩基准周净值!A42="","",子基金及业绩基准周净值!A42)</f>
        <v>45737</v>
      </c>
      <c r="B17" s="1">
        <f>IF(A17="","",VLOOKUP($A17,子基金及业绩基准周净值!$A:$AV,11))</f>
        <v>1.7104</v>
      </c>
      <c r="C17" s="8">
        <f t="shared" si="0"/>
        <v>-0.000701098387473761</v>
      </c>
      <c r="D17" s="9">
        <f>IF(A17="","",C17-子基金及业绩基准周净值!AI42)</f>
        <v>-0.000801098387473761</v>
      </c>
      <c r="E17" s="12">
        <f>IF(A17="","",(MAX(B$3:B17)-B17)/MAX(B$3:B17))</f>
        <v>0.00581260172053011</v>
      </c>
      <c r="F17" s="12">
        <f>IF(A17="","",MAX(E$4:E17))</f>
        <v>0.0140374744913734</v>
      </c>
      <c r="G17" s="17">
        <v>3</v>
      </c>
      <c r="H17" s="14" t="str">
        <f t="shared" si="1"/>
        <v>否</v>
      </c>
      <c r="I17" s="14" t="str">
        <f t="shared" si="2"/>
        <v>否</v>
      </c>
      <c r="J17" s="15" t="str">
        <f t="shared" si="3"/>
        <v>否</v>
      </c>
    </row>
    <row r="18" spans="1:10">
      <c r="A18" s="7">
        <f>IF(子基金及业绩基准周净值!A43="","",子基金及业绩基准周净值!A43)</f>
        <v>45744</v>
      </c>
      <c r="B18" s="1">
        <f>IF(A18="","",VLOOKUP($A18,子基金及业绩基准周净值!$A:$AV,11))</f>
        <v>1.6997</v>
      </c>
      <c r="C18" s="8">
        <f t="shared" si="0"/>
        <v>-0.00625584658559397</v>
      </c>
      <c r="D18" s="9">
        <f>IF(A18="","",C18-子基金及业绩基准周净值!AI43)</f>
        <v>0.00384415341440603</v>
      </c>
      <c r="E18" s="12">
        <f>IF(A18="","",(MAX(B$3:B18)-B18)/MAX(B$3:B18))</f>
        <v>0.0120320855614973</v>
      </c>
      <c r="F18" s="12">
        <f>IF(A18="","",MAX(E$4:E18))</f>
        <v>0.0140374744913734</v>
      </c>
      <c r="G18" s="17">
        <v>0</v>
      </c>
      <c r="H18" s="14" t="str">
        <f t="shared" si="1"/>
        <v>否</v>
      </c>
      <c r="I18" s="14" t="str">
        <f t="shared" si="2"/>
        <v>否</v>
      </c>
      <c r="J18" s="15" t="str">
        <f t="shared" si="3"/>
        <v>否</v>
      </c>
    </row>
    <row r="19" spans="1:10">
      <c r="A19" s="7">
        <f>IF(子基金及业绩基准周净值!A44="","",子基金及业绩基准周净值!A44)</f>
        <v>45750</v>
      </c>
      <c r="B19" s="1">
        <f>IF(A19="","",VLOOKUP($A19,子基金及业绩基准周净值!$A:$AV,11))</f>
        <v>1.707</v>
      </c>
      <c r="C19" s="8">
        <f t="shared" si="0"/>
        <v>0.00429487556627645</v>
      </c>
      <c r="D19" s="9">
        <f>IF(A19="","",C19-子基金及业绩基准周净值!AI44)</f>
        <v>0.00279487556627645</v>
      </c>
      <c r="E19" s="12">
        <f>IF(A19="","",(MAX(B$3:B19)-B19)/MAX(B$3:B19))</f>
        <v>0.00778888630551026</v>
      </c>
      <c r="F19" s="12">
        <f>IF(A19="","",MAX(E$4:E19))</f>
        <v>0.0140374744913734</v>
      </c>
      <c r="G19" s="17">
        <v>0</v>
      </c>
      <c r="H19" s="14" t="str">
        <f t="shared" si="1"/>
        <v>否</v>
      </c>
      <c r="I19" s="14" t="str">
        <f t="shared" si="2"/>
        <v>否</v>
      </c>
      <c r="J19" s="15" t="str">
        <f t="shared" si="3"/>
        <v>否</v>
      </c>
    </row>
    <row r="20" spans="1:10">
      <c r="A20" s="7">
        <f>IF(子基金及业绩基准周净值!A45="","",子基金及业绩基准周净值!A45)</f>
        <v>45758</v>
      </c>
      <c r="B20" s="1">
        <f>IF(A20="","",VLOOKUP($A20,子基金及业绩基准周净值!$A:$AV,11))</f>
        <v>1.7245</v>
      </c>
      <c r="C20" s="8">
        <f t="shared" si="0"/>
        <v>0.0102519039250146</v>
      </c>
      <c r="D20" s="9">
        <f>IF(A20="","",C20-子基金及业绩基准周净值!AI45)</f>
        <v>-0.0194480960749854</v>
      </c>
      <c r="E20" s="12">
        <f>IF(A20="","",(MAX(B$3:B20)-B20)/MAX(B$3:B20))</f>
        <v>0</v>
      </c>
      <c r="F20" s="12">
        <f>IF(A20="","",MAX(E$4:E20))</f>
        <v>0.0140374744913734</v>
      </c>
      <c r="G20" s="17">
        <v>1</v>
      </c>
      <c r="H20" s="14" t="str">
        <f t="shared" si="1"/>
        <v>否</v>
      </c>
      <c r="I20" s="14" t="str">
        <f t="shared" si="2"/>
        <v>否</v>
      </c>
      <c r="J20" s="15" t="str">
        <f t="shared" si="3"/>
        <v>否</v>
      </c>
    </row>
    <row r="21" spans="1:10">
      <c r="A21" s="7">
        <f>IF(子基金及业绩基准周净值!A46="","",子基金及业绩基准周净值!A46)</f>
        <v>45765</v>
      </c>
      <c r="B21" s="1">
        <f>IF(A21="","",VLOOKUP($A21,子基金及业绩基准周净值!$A:$AV,11))</f>
        <v>1.7191</v>
      </c>
      <c r="C21" s="8">
        <f t="shared" si="0"/>
        <v>-0.00313134241809211</v>
      </c>
      <c r="D21" s="9">
        <f>IF(A21="","",C21-子基金及业绩基准周净值!AI46)</f>
        <v>-0.00583134241809211</v>
      </c>
      <c r="E21" s="12">
        <f>IF(A21="","",(MAX(B$3:B21)-B21)/MAX(B$3:B21))</f>
        <v>0.00313134241809211</v>
      </c>
      <c r="F21" s="12">
        <f>IF(A21="","",MAX(E$4:E21))</f>
        <v>0.0140374744913734</v>
      </c>
      <c r="G21" s="17">
        <v>2</v>
      </c>
      <c r="H21" s="14" t="str">
        <f t="shared" si="1"/>
        <v>否</v>
      </c>
      <c r="I21" s="14" t="str">
        <f t="shared" si="2"/>
        <v>否</v>
      </c>
      <c r="J21" s="15" t="str">
        <f t="shared" si="3"/>
        <v>否</v>
      </c>
    </row>
    <row r="22" spans="1:10">
      <c r="A22" s="7">
        <f>IF(子基金及业绩基准周净值!A47="","",子基金及业绩基准周净值!A47)</f>
        <v>45772</v>
      </c>
      <c r="B22" s="1">
        <f>IF(A22="","",VLOOKUP($A22,子基金及业绩基准周净值!$A:$AV,11))</f>
        <v>1.7336</v>
      </c>
      <c r="C22" s="8">
        <f t="shared" si="0"/>
        <v>0.00843464603571634</v>
      </c>
      <c r="D22" s="9">
        <f>IF(A22="","",C22-子基金及业绩基准周净值!AI47)</f>
        <v>0.0155346460357163</v>
      </c>
      <c r="E22" s="12">
        <f>IF(A22="","",(MAX(B$3:B22)-B22)/MAX(B$3:B22))</f>
        <v>0</v>
      </c>
      <c r="F22" s="12">
        <f>IF(A22="","",MAX(E$4:E22))</f>
        <v>0.0140374744913734</v>
      </c>
      <c r="G22" s="17">
        <v>0</v>
      </c>
      <c r="H22" s="14" t="str">
        <f t="shared" si="1"/>
        <v>否</v>
      </c>
      <c r="I22" s="14" t="str">
        <f t="shared" si="2"/>
        <v>否</v>
      </c>
      <c r="J22" s="15" t="str">
        <f t="shared" si="3"/>
        <v>否</v>
      </c>
    </row>
    <row r="23" spans="1:10">
      <c r="A23" s="7">
        <f>IF(子基金及业绩基准周净值!A48="","",子基金及业绩基准周净值!A48)</f>
        <v>45786</v>
      </c>
      <c r="B23" s="1">
        <f>IF(A23="","",VLOOKUP($A23,子基金及业绩基准周净值!$A:$AV,11))</f>
        <v>1.7077</v>
      </c>
      <c r="C23" s="8">
        <f t="shared" si="0"/>
        <v>-0.0149400092293494</v>
      </c>
      <c r="D23" s="9">
        <f>IF(A23="","",C23-子基金及业绩基准周净值!AI48)</f>
        <v>-0.0315400092293494</v>
      </c>
      <c r="E23" s="12">
        <f>IF(A23="","",(MAX(B$3:B23)-B23)/MAX(B$3:B23))</f>
        <v>0.0149400092293494</v>
      </c>
      <c r="F23" s="12">
        <f>IF(A23="","",MAX(E$4:E23))</f>
        <v>0.0149400092293494</v>
      </c>
      <c r="G23" s="17">
        <v>1</v>
      </c>
      <c r="H23" s="14" t="str">
        <f t="shared" si="1"/>
        <v>否</v>
      </c>
      <c r="I23" s="14" t="str">
        <f t="shared" si="2"/>
        <v>否</v>
      </c>
      <c r="J23" s="15" t="str">
        <f t="shared" si="3"/>
        <v>否</v>
      </c>
    </row>
    <row r="24" spans="1:10">
      <c r="A24" s="7">
        <f>IF(子基金及业绩基准周净值!A49="","",子基金及业绩基准周净值!A49)</f>
        <v>45793</v>
      </c>
      <c r="B24" s="1">
        <f>IF(A24="","",VLOOKUP($A24,子基金及业绩基准周净值!$A:$AV,11))</f>
        <v>1.6868</v>
      </c>
      <c r="C24" s="8">
        <f t="shared" si="0"/>
        <v>-0.0122386836095332</v>
      </c>
      <c r="D24" s="9">
        <f>IF(A24="","",C24-子基金及业绩基准周净值!AI49)</f>
        <v>-0.0217386836095332</v>
      </c>
      <c r="E24" s="12">
        <f>IF(A24="","",(MAX(B$3:B24)-B24)/MAX(B$3:B24))</f>
        <v>0.0269958467928011</v>
      </c>
      <c r="F24" s="12">
        <f>IF(A24="","",MAX(E$4:E24))</f>
        <v>0.0269958467928011</v>
      </c>
      <c r="G24" s="17">
        <v>2</v>
      </c>
      <c r="H24" s="14" t="str">
        <f t="shared" si="1"/>
        <v>否</v>
      </c>
      <c r="I24" s="14" t="str">
        <f t="shared" si="2"/>
        <v>否</v>
      </c>
      <c r="J24" s="15" t="str">
        <f t="shared" si="3"/>
        <v>否</v>
      </c>
    </row>
    <row r="25" spans="1:10">
      <c r="A25" s="7">
        <f>IF(子基金及业绩基准周净值!A50="","",子基金及业绩基准周净值!A50)</f>
        <v>45800</v>
      </c>
      <c r="B25" s="1">
        <f>IF(A25="","",VLOOKUP($A25,子基金及业绩基准周净值!$A:$AV,11))</f>
        <v>1.7057</v>
      </c>
      <c r="C25" s="8">
        <f t="shared" si="0"/>
        <v>0.0112046478539245</v>
      </c>
      <c r="D25" s="9">
        <f>IF(A25="","",C25-子基金及业绩基准周净值!AI50)</f>
        <v>0.00850464785392454</v>
      </c>
      <c r="E25" s="12">
        <f>IF(A25="","",(MAX(B$3:B25)-B25)/MAX(B$3:B25))</f>
        <v>0.0160936778957084</v>
      </c>
      <c r="F25" s="12">
        <f>IF(A25="","",MAX(E$4:E25))</f>
        <v>0.0269958467928011</v>
      </c>
      <c r="G25" s="17">
        <v>0</v>
      </c>
      <c r="H25" s="14" t="str">
        <f t="shared" si="1"/>
        <v>否</v>
      </c>
      <c r="I25" s="14" t="str">
        <f t="shared" si="2"/>
        <v>否</v>
      </c>
      <c r="J25" s="15" t="str">
        <f t="shared" si="3"/>
        <v>否</v>
      </c>
    </row>
    <row r="26" spans="1:10">
      <c r="A26" s="7">
        <f>IF(子基金及业绩基准周净值!A51="","",子基金及业绩基准周净值!A51)</f>
        <v>45807</v>
      </c>
      <c r="B26" s="1">
        <f>IF(A26="","",VLOOKUP($A26,子基金及业绩基准周净值!$A:$AV,11))</f>
        <v>1.6981</v>
      </c>
      <c r="C26" s="8">
        <f t="shared" si="0"/>
        <v>-0.00445564870727564</v>
      </c>
      <c r="D26" s="9">
        <f>IF(A26="","",C26-子基金及业绩基准周净值!AI51)</f>
        <v>-0.0184556487072756</v>
      </c>
      <c r="E26" s="12">
        <f>IF(A26="","",(MAX(B$3:B26)-B26)/MAX(B$3:B26))</f>
        <v>0.0204776188278727</v>
      </c>
      <c r="F26" s="12">
        <f>IF(A26="","",MAX(E$4:E26))</f>
        <v>0.0269958467928011</v>
      </c>
      <c r="G26" s="17">
        <v>1</v>
      </c>
      <c r="H26" s="14" t="str">
        <f t="shared" si="1"/>
        <v>否</v>
      </c>
      <c r="I26" s="14" t="str">
        <f t="shared" si="2"/>
        <v>否</v>
      </c>
      <c r="J26" s="15" t="str">
        <f t="shared" si="3"/>
        <v>否</v>
      </c>
    </row>
    <row r="27" spans="1:10">
      <c r="A27" s="7">
        <f>IF(子基金及业绩基准周净值!A52="","",子基金及业绩基准周净值!A52)</f>
        <v>45814</v>
      </c>
      <c r="B27" s="1">
        <f>IF(A27="","",VLOOKUP($A27,子基金及业绩基准周净值!$A:$AV,11))</f>
        <v>1.7072</v>
      </c>
      <c r="C27" s="8">
        <f t="shared" si="0"/>
        <v>0.00535893056946005</v>
      </c>
      <c r="D27" s="9">
        <f>IF(A27="","",C27-子基金及业绩基准周净值!AI52)</f>
        <v>0.000858930569460048</v>
      </c>
      <c r="E27" s="12">
        <f>IF(A27="","",(MAX(B$3:B27)-B27)/MAX(B$3:B27))</f>
        <v>0.0152284263959391</v>
      </c>
      <c r="F27" s="12">
        <f>IF(A27="","",MAX(E$4:E27))</f>
        <v>0.0269958467928011</v>
      </c>
      <c r="G27" s="17">
        <v>0</v>
      </c>
      <c r="H27" s="14" t="str">
        <f t="shared" si="1"/>
        <v>否</v>
      </c>
      <c r="I27" s="14" t="str">
        <f t="shared" si="2"/>
        <v>否</v>
      </c>
      <c r="J27" s="15" t="str">
        <f t="shared" si="3"/>
        <v>否</v>
      </c>
    </row>
    <row r="28" spans="1:10">
      <c r="A28" s="7">
        <f>IF(子基金及业绩基准周净值!A53="","",子基金及业绩基准周净值!A53)</f>
        <v>45821</v>
      </c>
      <c r="B28" s="1">
        <f>IF(A28="","",VLOOKUP($A28,子基金及业绩基准周净值!$A:$AV,11))</f>
        <v>1.6963</v>
      </c>
      <c r="C28" s="8">
        <f t="shared" si="0"/>
        <v>-0.00638472352389886</v>
      </c>
      <c r="D28" s="9">
        <f>IF(A28="","",C28-子基金及业绩基准周净值!AI53)</f>
        <v>-0.0100847235238989</v>
      </c>
      <c r="E28" s="12">
        <f>IF(A28="","",(MAX(B$3:B28)-B28)/MAX(B$3:B28))</f>
        <v>0.0215159206275958</v>
      </c>
      <c r="F28" s="12">
        <f>IF(A28="","",MAX(E$4:E28))</f>
        <v>0.0269958467928011</v>
      </c>
      <c r="G28" s="17">
        <v>1</v>
      </c>
      <c r="H28" s="14" t="str">
        <f t="shared" si="1"/>
        <v>否</v>
      </c>
      <c r="I28" s="14" t="str">
        <f t="shared" si="2"/>
        <v>否</v>
      </c>
      <c r="J28" s="15" t="str">
        <f t="shared" si="3"/>
        <v>否</v>
      </c>
    </row>
    <row r="29" spans="1:10">
      <c r="A29" s="7">
        <f>IF(子基金及业绩基准周净值!A54="","",子基金及业绩基准周净值!A54)</f>
        <v>45828</v>
      </c>
      <c r="B29" s="1">
        <f>IF(A29="","",VLOOKUP($A29,子基金及业绩基准周净值!$A:$AV,11))</f>
        <v>1.6871</v>
      </c>
      <c r="C29" s="8">
        <f t="shared" si="0"/>
        <v>-0.00542356894417254</v>
      </c>
      <c r="D29" s="9">
        <f>IF(A29="","",C29-子基金及业绩基准周净值!AI54)</f>
        <v>-0.0101235689441725</v>
      </c>
      <c r="E29" s="12">
        <f>IF(A29="","",(MAX(B$3:B29)-B29)/MAX(B$3:B29))</f>
        <v>0.0268227964928472</v>
      </c>
      <c r="F29" s="12">
        <f>IF(A29="","",MAX(E$4:E29))</f>
        <v>0.0269958467928011</v>
      </c>
      <c r="G29" s="17">
        <v>2</v>
      </c>
      <c r="H29" s="14" t="str">
        <f t="shared" si="1"/>
        <v>否</v>
      </c>
      <c r="I29" s="14" t="str">
        <f t="shared" si="2"/>
        <v>否</v>
      </c>
      <c r="J29" s="15" t="str">
        <f t="shared" si="3"/>
        <v>否</v>
      </c>
    </row>
    <row r="30" spans="1:10">
      <c r="A30" s="7">
        <f>IF(子基金及业绩基准周净值!A55="","",子基金及业绩基准周净值!A55)</f>
        <v>45835</v>
      </c>
      <c r="B30" s="1">
        <f>IF(A30="","",VLOOKUP($A30,子基金及业绩基准周净值!$A:$AV,11))</f>
        <v>1.6952</v>
      </c>
      <c r="C30" s="8">
        <f t="shared" si="0"/>
        <v>0.00480113804753719</v>
      </c>
      <c r="D30" s="9">
        <f>IF(A30="","",C30-子基金及业绩基准周净值!AI55)</f>
        <v>-0.0121988619524628</v>
      </c>
      <c r="E30" s="12">
        <f>IF(A30="","",(MAX(B$3:B30)-B30)/MAX(B$3:B30))</f>
        <v>0.0221504383940932</v>
      </c>
      <c r="F30" s="12">
        <f>IF(A30="","",MAX(E$4:E30))</f>
        <v>0.0269958467928011</v>
      </c>
      <c r="G30" s="17">
        <v>3</v>
      </c>
      <c r="H30" s="14" t="str">
        <f t="shared" si="1"/>
        <v>否</v>
      </c>
      <c r="I30" s="14" t="str">
        <f t="shared" si="2"/>
        <v>否</v>
      </c>
      <c r="J30" s="15" t="str">
        <f t="shared" si="3"/>
        <v>否</v>
      </c>
    </row>
    <row r="31" spans="1:10">
      <c r="A31" s="7">
        <f>IF(子基金及业绩基准周净值!A56="","",子基金及业绩基准周净值!A56)</f>
        <v>45842</v>
      </c>
      <c r="B31" s="1">
        <f>IF(A31="","",VLOOKUP($A31,子基金及业绩基准周净值!$A:$AV,11))</f>
        <v>1.704</v>
      </c>
      <c r="C31" s="8">
        <f t="shared" si="0"/>
        <v>0.00519112789051435</v>
      </c>
      <c r="D31" s="9">
        <f>IF(A31="","",C31-子基金及业绩基准周净值!AI56)</f>
        <v>0.00309112789051435</v>
      </c>
      <c r="E31" s="12">
        <f>IF(A31="","",(MAX(B$3:B31)-B31)/MAX(B$3:B31))</f>
        <v>0.0170742962621136</v>
      </c>
      <c r="F31" s="12">
        <f>IF(A31="","",MAX(E$4:E31))</f>
        <v>0.0269958467928011</v>
      </c>
      <c r="G31" s="17">
        <v>0</v>
      </c>
      <c r="H31" s="14" t="str">
        <f t="shared" si="1"/>
        <v>否</v>
      </c>
      <c r="I31" s="14" t="str">
        <f t="shared" si="2"/>
        <v>否</v>
      </c>
      <c r="J31" s="15" t="str">
        <f t="shared" si="3"/>
        <v>否</v>
      </c>
    </row>
    <row r="32" spans="1:10">
      <c r="A32" s="7">
        <f>IF(子基金及业绩基准周净值!A57="","",子基金及业绩基准周净值!A57)</f>
        <v>45849</v>
      </c>
      <c r="B32" s="1">
        <f>IF(A32="","",VLOOKUP($A32,子基金及业绩基准周净值!$A:$AV,11))</f>
        <v>1.672</v>
      </c>
      <c r="C32" s="8">
        <f t="shared" si="0"/>
        <v>-0.0187793427230047</v>
      </c>
      <c r="D32" s="9">
        <f>IF(A32="","",C32-子基金及业绩基准周净值!AI57)</f>
        <v>-0.0308793427230047</v>
      </c>
      <c r="E32" s="12">
        <f>IF(A32="","",(MAX(B$3:B32)-B32)/MAX(B$3:B32))</f>
        <v>0.0355329949238579</v>
      </c>
      <c r="F32" s="12">
        <f>IF(A32="","",MAX(E$4:E32))</f>
        <v>0.0355329949238579</v>
      </c>
      <c r="G32" s="17">
        <v>1</v>
      </c>
      <c r="H32" s="14" t="str">
        <f t="shared" si="1"/>
        <v>否</v>
      </c>
      <c r="I32" s="14" t="str">
        <f t="shared" si="2"/>
        <v>否</v>
      </c>
      <c r="J32" s="15" t="str">
        <f t="shared" si="3"/>
        <v>否</v>
      </c>
    </row>
    <row r="33" spans="1:10">
      <c r="A33" s="7">
        <f>IF(子基金及业绩基准周净值!A58="","",子基金及业绩基准周净值!A58)</f>
        <v>45856</v>
      </c>
      <c r="B33" s="1">
        <f>IF(A33="","",VLOOKUP($A33,子基金及业绩基准周净值!$A:$AV,11))</f>
        <v>1.6707</v>
      </c>
      <c r="C33" s="8">
        <f t="shared" si="0"/>
        <v>-0.000777511961722402</v>
      </c>
      <c r="D33" s="9">
        <f>IF(A33="","",C33-子基金及业绩基准周净值!AI58)</f>
        <v>-0.0061775119617224</v>
      </c>
      <c r="E33" s="12">
        <f>IF(A33="","",(MAX(B$3:B33)-B33)/MAX(B$3:B33))</f>
        <v>0.0362828795569912</v>
      </c>
      <c r="F33" s="12">
        <f>IF(A33="","",MAX(E$4:E33))</f>
        <v>0.0362828795569912</v>
      </c>
      <c r="G33" s="17">
        <v>2</v>
      </c>
      <c r="H33" s="14" t="str">
        <f t="shared" si="1"/>
        <v>否</v>
      </c>
      <c r="I33" s="14" t="str">
        <f t="shared" si="2"/>
        <v>否</v>
      </c>
      <c r="J33" s="15" t="str">
        <f t="shared" si="3"/>
        <v>否</v>
      </c>
    </row>
    <row r="34" spans="1:10">
      <c r="A34" s="7">
        <f>IF(子基金及业绩基准周净值!A59="","",子基金及业绩基准周净值!A59)</f>
        <v>45863</v>
      </c>
      <c r="B34" s="1">
        <f>IF(A34="","",VLOOKUP($A34,子基金及业绩基准周净值!$A:$AV,11))</f>
        <v>1.6618</v>
      </c>
      <c r="C34" s="8">
        <f t="shared" si="0"/>
        <v>-0.0053271083976777</v>
      </c>
      <c r="D34" s="9">
        <f>IF(A34="","",C34-子基金及业绩基准周净值!AI59)</f>
        <v>-0.0119271083976777</v>
      </c>
      <c r="E34" s="12">
        <f>IF(A34="","",(MAX(B$3:B34)-B34)/MAX(B$3:B34))</f>
        <v>0.0414167051222889</v>
      </c>
      <c r="F34" s="12">
        <f>IF(A34="","",MAX(E$4:E34))</f>
        <v>0.0414167051222889</v>
      </c>
      <c r="G34" s="17">
        <v>3</v>
      </c>
      <c r="H34" s="14" t="str">
        <f t="shared" si="1"/>
        <v>否</v>
      </c>
      <c r="I34" s="14" t="str">
        <f t="shared" si="2"/>
        <v>否</v>
      </c>
      <c r="J34" s="15" t="str">
        <f t="shared" si="3"/>
        <v>否</v>
      </c>
    </row>
    <row r="35" spans="1:10">
      <c r="A35" s="7">
        <f>IF(子基金及业绩基准周净值!A60="","",子基金及业绩基准周净值!A60)</f>
        <v>45870</v>
      </c>
      <c r="B35" s="1">
        <f>IF(A35="","",VLOOKUP($A35,子基金及业绩基准周净值!$A:$AV,11))</f>
        <v>1.668</v>
      </c>
      <c r="C35" s="8">
        <f t="shared" si="0"/>
        <v>0.00373089421109639</v>
      </c>
      <c r="D35" s="9">
        <f>IF(A35="","",C35-子基金及业绩基准周净值!AI60)</f>
        <v>-0.00326910578890361</v>
      </c>
      <c r="E35" s="12">
        <f>IF(A35="","",(MAX(B$3:B35)-B35)/MAX(B$3:B35))</f>
        <v>0.037840332256576</v>
      </c>
      <c r="F35" s="12">
        <f>IF(A35="","",MAX(E$4:E35))</f>
        <v>0.0414167051222889</v>
      </c>
      <c r="G35" s="17">
        <v>4</v>
      </c>
      <c r="H35" s="14" t="str">
        <f t="shared" si="1"/>
        <v>否</v>
      </c>
      <c r="I35" s="14" t="str">
        <f t="shared" si="2"/>
        <v>否</v>
      </c>
      <c r="J35" s="15" t="str">
        <f t="shared" si="3"/>
        <v>是</v>
      </c>
    </row>
    <row r="36" spans="1:10">
      <c r="A36" s="7">
        <f>IF(子基金及业绩基准周净值!A61="","",子基金及业绩基准周净值!A61)</f>
        <v>45877</v>
      </c>
      <c r="B36" s="1">
        <f>IF(A36="","",VLOOKUP($A36,子基金及业绩基准周净值!$A:$AV,11))</f>
        <v>1.6646</v>
      </c>
      <c r="C36" s="8">
        <f t="shared" si="0"/>
        <v>-0.00203836930455626</v>
      </c>
      <c r="D36" s="9">
        <f>IF(A36="","",C36-子基金及业绩基准周净值!AI61)</f>
        <v>-0.0205383693045563</v>
      </c>
      <c r="E36" s="12">
        <f>IF(A36="","",(MAX(B$3:B36)-B36)/MAX(B$3:B36))</f>
        <v>0.0398015689893862</v>
      </c>
      <c r="F36" s="12">
        <f>IF(A36="","",MAX(E$4:E36))</f>
        <v>0.0414167051222889</v>
      </c>
      <c r="G36" s="17">
        <v>5</v>
      </c>
      <c r="H36" s="14" t="str">
        <f t="shared" si="1"/>
        <v>否</v>
      </c>
      <c r="I36" s="14" t="str">
        <f t="shared" si="2"/>
        <v>否</v>
      </c>
      <c r="J36" s="15" t="str">
        <f t="shared" si="3"/>
        <v>是</v>
      </c>
    </row>
    <row r="37" spans="1:10">
      <c r="A37" s="7">
        <f>IF(子基金及业绩基准周净值!A62="","",子基金及业绩基准周净值!A62)</f>
        <v>45884</v>
      </c>
      <c r="B37" s="1">
        <f>IF(A37="","",VLOOKUP($A37,子基金及业绩基准周净值!$A:$AV,11))</f>
        <v>1.7047</v>
      </c>
      <c r="C37" s="8">
        <f t="shared" si="0"/>
        <v>0.0240898714405863</v>
      </c>
      <c r="D37" s="9">
        <f>IF(A37="","",C37-子基金及业绩基准周净值!AI62)</f>
        <v>-0.00211012855941366</v>
      </c>
      <c r="E37" s="12">
        <f>IF(A37="","",(MAX(B$3:B37)-B37)/MAX(B$3:B37))</f>
        <v>0.0166705122288878</v>
      </c>
      <c r="F37" s="12">
        <f>IF(A37="","",MAX(E$4:E37))</f>
        <v>0.0414167051222889</v>
      </c>
      <c r="G37" s="17">
        <v>6</v>
      </c>
      <c r="H37" s="14" t="str">
        <f t="shared" si="1"/>
        <v>否</v>
      </c>
      <c r="I37" s="14" t="str">
        <f t="shared" si="2"/>
        <v>否</v>
      </c>
      <c r="J37" s="15" t="str">
        <f t="shared" si="3"/>
        <v>是</v>
      </c>
    </row>
    <row r="38" spans="1:10">
      <c r="A38" s="7">
        <f>IF(子基金及业绩基准周净值!A63="","",子基金及业绩基准周净值!A63)</f>
        <v>45891</v>
      </c>
      <c r="B38" s="1">
        <f>IF(A38="","",VLOOKUP($A38,子基金及业绩基准周净值!$A:$AV,11))</f>
        <v>1.7047</v>
      </c>
      <c r="C38" s="8">
        <f t="shared" si="0"/>
        <v>0</v>
      </c>
      <c r="D38" s="9">
        <f>IF(A38="","",C38-子基金及业绩基准周净值!AI63)</f>
        <v>-0.0181</v>
      </c>
      <c r="E38" s="12">
        <f>IF(A38="","",(MAX(B$3:B38)-B38)/MAX(B$3:B38))</f>
        <v>0.0166705122288878</v>
      </c>
      <c r="F38" s="12">
        <f>IF(A38="","",MAX(E$4:E38))</f>
        <v>0.0414167051222889</v>
      </c>
      <c r="G38" s="17">
        <v>7</v>
      </c>
      <c r="H38" s="14" t="str">
        <f t="shared" si="1"/>
        <v>否</v>
      </c>
      <c r="I38" s="14" t="str">
        <f t="shared" si="2"/>
        <v>否</v>
      </c>
      <c r="J38" s="15" t="str">
        <f t="shared" si="3"/>
        <v>是</v>
      </c>
    </row>
    <row r="39" spans="1:10">
      <c r="A39" s="7">
        <f>IF(子基金及业绩基准周净值!A64="","",子基金及业绩基准周净值!A64)</f>
        <v>45898</v>
      </c>
      <c r="B39" s="1">
        <f>IF(A39="","",VLOOKUP($A39,子基金及业绩基准周净值!$A:$AV,11))</f>
        <v>1.6972</v>
      </c>
      <c r="C39" s="8">
        <f t="shared" si="0"/>
        <v>-0.00439960110283338</v>
      </c>
      <c r="D39" s="9">
        <f>IF(A39="","",C39-子基金及业绩基准周净值!AI64)</f>
        <v>-0.00879960110283338</v>
      </c>
      <c r="E39" s="12">
        <f>IF(A39="","",(MAX(B$3:B39)-B39)/MAX(B$3:B39))</f>
        <v>0.0209967697277342</v>
      </c>
      <c r="F39" s="12">
        <f>IF(A39="","",MAX(E$4:E39))</f>
        <v>0.0414167051222889</v>
      </c>
      <c r="G39" s="17">
        <v>8</v>
      </c>
      <c r="H39" s="14" t="str">
        <f t="shared" si="1"/>
        <v>否</v>
      </c>
      <c r="I39" s="14" t="str">
        <f t="shared" si="2"/>
        <v>否</v>
      </c>
      <c r="J39" s="15" t="str">
        <f t="shared" si="3"/>
        <v>是</v>
      </c>
    </row>
    <row r="40" spans="1:10">
      <c r="A40" s="7">
        <f>IF(子基金及业绩基准周净值!A65="","",子基金及业绩基准周净值!A65)</f>
        <v>45905</v>
      </c>
      <c r="B40" s="1">
        <f>IF(A40="","",VLOOKUP($A40,子基金及业绩基准周净值!$A:$AV,11))</f>
        <v>1.6874</v>
      </c>
      <c r="C40" s="8">
        <f t="shared" si="0"/>
        <v>-0.00577421635635166</v>
      </c>
      <c r="D40" s="9">
        <f>IF(A40="","",C40-子基金及业绩基准周净值!AI65)</f>
        <v>-0.00167421635635166</v>
      </c>
      <c r="E40" s="12">
        <f>IF(A40="","",(MAX(B$3:B40)-B40)/MAX(B$3:B40))</f>
        <v>0.0266497461928934</v>
      </c>
      <c r="F40" s="12">
        <f>IF(A40="","",MAX(E$4:E40))</f>
        <v>0.0414167051222889</v>
      </c>
      <c r="G40" s="17">
        <v>9</v>
      </c>
      <c r="H40" s="14" t="str">
        <f t="shared" si="1"/>
        <v>否</v>
      </c>
      <c r="I40" s="14" t="str">
        <f t="shared" si="2"/>
        <v>否</v>
      </c>
      <c r="J40" s="15" t="str">
        <f t="shared" si="3"/>
        <v>是</v>
      </c>
    </row>
    <row r="41" spans="1:10">
      <c r="A41" s="7">
        <f>IF(子基金及业绩基准周净值!A66="","",子基金及业绩基准周净值!A66)</f>
        <v>45912</v>
      </c>
      <c r="B41" s="1">
        <f>IF(A41="","",VLOOKUP($A41,子基金及业绩基准周净值!$A:$AV,11))</f>
        <v>1.7386</v>
      </c>
      <c r="C41" s="8">
        <f t="shared" si="0"/>
        <v>0.030342538817115</v>
      </c>
      <c r="D41" s="9">
        <f>IF(A41="","",C41-子基金及业绩基准周净值!AI66)</f>
        <v>0.012842538817115</v>
      </c>
      <c r="E41" s="12">
        <f>IF(A41="","",(MAX(B$3:B41)-B41)/MAX(B$3:B41))</f>
        <v>0</v>
      </c>
      <c r="F41" s="12">
        <f>IF(A41="","",MAX(E$4:E41))</f>
        <v>0.0414167051222889</v>
      </c>
      <c r="G41" s="17">
        <v>0</v>
      </c>
      <c r="H41" s="14" t="str">
        <f t="shared" si="1"/>
        <v>否</v>
      </c>
      <c r="I41" s="14" t="str">
        <f t="shared" si="2"/>
        <v>否</v>
      </c>
      <c r="J41" s="15" t="str">
        <f t="shared" si="3"/>
        <v>否</v>
      </c>
    </row>
    <row r="42" spans="1:10">
      <c r="A42" s="7">
        <f>IF(子基金及业绩基准周净值!A67="","",子基金及业绩基准周净值!A67)</f>
        <v>45919</v>
      </c>
      <c r="B42" s="1">
        <f>IF(A42="","",VLOOKUP($A42,子基金及业绩基准周净值!$A:$AV,11))</f>
        <v>1.7443</v>
      </c>
      <c r="C42" s="8">
        <f t="shared" si="0"/>
        <v>0.00327849994248248</v>
      </c>
      <c r="D42" s="9">
        <f>IF(A42="","",C42-子基金及业绩基准周净值!AI67)</f>
        <v>-0.00162150005751752</v>
      </c>
      <c r="E42" s="12">
        <f>IF(A42="","",(MAX(B$3:B42)-B42)/MAX(B$3:B42))</f>
        <v>0</v>
      </c>
      <c r="F42" s="12">
        <f>IF(A42="","",MAX(E$4:E42))</f>
        <v>0.0414167051222889</v>
      </c>
      <c r="G42" s="17">
        <v>1</v>
      </c>
      <c r="H42" s="14" t="str">
        <f t="shared" si="1"/>
        <v>否</v>
      </c>
      <c r="I42" s="14" t="str">
        <f t="shared" si="2"/>
        <v>否</v>
      </c>
      <c r="J42" s="15" t="str">
        <f t="shared" si="3"/>
        <v>否</v>
      </c>
    </row>
    <row r="43" spans="1:10">
      <c r="A43" s="7">
        <f>IF(子基金及业绩基准周净值!A68="","",子基金及业绩基准周净值!A68)</f>
        <v>45926</v>
      </c>
      <c r="B43" s="1">
        <f>IF(A43="","",VLOOKUP($A43,子基金及业绩基准周净值!$A:$AV,11))</f>
        <v>1.7382</v>
      </c>
      <c r="C43" s="8">
        <f t="shared" si="0"/>
        <v>-0.00349710485581608</v>
      </c>
      <c r="D43" s="9">
        <f>IF(A43="","",C43-子基金及业绩基准周净值!AI68)</f>
        <v>-0.00849710485581608</v>
      </c>
      <c r="E43" s="12">
        <f>IF(A43="","",(MAX(B$3:B43)-B43)/MAX(B$3:B43))</f>
        <v>0.00349710485581608</v>
      </c>
      <c r="F43" s="12">
        <f>IF(A43="","",MAX(E$4:E43))</f>
        <v>0.0414167051222889</v>
      </c>
      <c r="G43" s="17">
        <v>2</v>
      </c>
      <c r="H43" s="14" t="str">
        <f t="shared" si="1"/>
        <v>否</v>
      </c>
      <c r="I43" s="14" t="str">
        <f t="shared" si="2"/>
        <v>否</v>
      </c>
      <c r="J43" s="15" t="str">
        <f t="shared" si="3"/>
        <v>否</v>
      </c>
    </row>
    <row r="44" spans="1:10">
      <c r="A44" s="7">
        <f>IF(子基金及业绩基准周净值!A69="","",子基金及业绩基准周净值!A69)</f>
        <v>45940</v>
      </c>
      <c r="B44" s="1">
        <f>IF(A44="","",VLOOKUP($A44,子基金及业绩基准周净值!$A:$AV,11))</f>
        <v>1.7548</v>
      </c>
      <c r="C44" s="8">
        <f t="shared" si="0"/>
        <v>0.00955010930848001</v>
      </c>
      <c r="D44" s="9">
        <f>IF(A44="","",C44-子基金及业绩基准周净值!AI69)</f>
        <v>0.00495010930848001</v>
      </c>
      <c r="E44" s="12">
        <f>IF(A44="","",(MAX(B$3:B44)-B44)/MAX(B$3:B44))</f>
        <v>0</v>
      </c>
      <c r="F44" s="12">
        <f>IF(A44="","",MAX(E$4:E44))</f>
        <v>0.0414167051222889</v>
      </c>
      <c r="G44" s="17">
        <v>0</v>
      </c>
      <c r="H44" s="14" t="str">
        <f t="shared" si="1"/>
        <v>否</v>
      </c>
      <c r="I44" s="14" t="str">
        <f t="shared" si="2"/>
        <v>否</v>
      </c>
      <c r="J44" s="15" t="str">
        <f t="shared" si="3"/>
        <v>否</v>
      </c>
    </row>
    <row r="45" spans="1:10">
      <c r="A45" s="7">
        <f>IF(子基金及业绩基准周净值!A70="","",子基金及业绩基准周净值!A70)</f>
        <v>45947</v>
      </c>
      <c r="B45" s="1">
        <f>IF(A45="","",VLOOKUP($A45,子基金及业绩基准周净值!$A:$AV,11))</f>
        <v>1.7626</v>
      </c>
      <c r="C45" s="8">
        <f t="shared" si="0"/>
        <v>0.00444495099156601</v>
      </c>
      <c r="D45" s="9">
        <f>IF(A45="","",C45-子基金及业绩基准周净值!AI70)</f>
        <v>-0.000155049008433993</v>
      </c>
      <c r="E45" s="12">
        <f>IF(A45="","",(MAX(B$3:B45)-B45)/MAX(B$3:B45))</f>
        <v>0</v>
      </c>
      <c r="F45" s="12">
        <f>IF(A45="","",MAX(E$4:E45))</f>
        <v>0.0414167051222889</v>
      </c>
      <c r="G45" s="17">
        <v>1</v>
      </c>
      <c r="H45" s="14" t="str">
        <f t="shared" si="1"/>
        <v>否</v>
      </c>
      <c r="I45" s="14" t="str">
        <f t="shared" si="2"/>
        <v>否</v>
      </c>
      <c r="J45" s="15" t="str">
        <f t="shared" si="3"/>
        <v>否</v>
      </c>
    </row>
    <row r="46" spans="1:10">
      <c r="A46" s="7">
        <f>IF(子基金及业绩基准周净值!A71="","",子基金及业绩基准周净值!A71)</f>
        <v>45954</v>
      </c>
      <c r="B46" s="1">
        <f>IF(A46="","",VLOOKUP($A46,子基金及业绩基准周净值!$A:$AV,11))</f>
        <v>1.7521</v>
      </c>
      <c r="C46" s="8">
        <f t="shared" si="0"/>
        <v>-0.00595710881652102</v>
      </c>
      <c r="D46" s="9">
        <f>IF(A46="","",C46-子基金及业绩基准周净值!AI71)</f>
        <v>-0.00935710881652102</v>
      </c>
      <c r="E46" s="12">
        <f>IF(A46="","",(MAX(B$3:B46)-B46)/MAX(B$3:B46))</f>
        <v>0.00595710881652102</v>
      </c>
      <c r="F46" s="12">
        <f>IF(A46="","",MAX(E$4:E46))</f>
        <v>0.0414167051222889</v>
      </c>
      <c r="G46" s="17">
        <v>2</v>
      </c>
      <c r="H46" s="14" t="str">
        <f t="shared" si="1"/>
        <v>否</v>
      </c>
      <c r="I46" s="14" t="str">
        <f t="shared" si="2"/>
        <v>否</v>
      </c>
      <c r="J46" s="15" t="str">
        <f t="shared" si="3"/>
        <v>否</v>
      </c>
    </row>
    <row r="47" spans="1:10">
      <c r="A47" s="7">
        <f>IF(子基金及业绩基准周净值!A72="","",子基金及业绩基准周净值!A72)</f>
        <v>45961</v>
      </c>
      <c r="B47" s="1">
        <f>IF(A47="","",VLOOKUP($A47,子基金及业绩基准周净值!$A:$AV,11))</f>
        <v>1.7592</v>
      </c>
      <c r="C47" s="8">
        <f t="shared" si="0"/>
        <v>0.00405228012099772</v>
      </c>
      <c r="D47" s="9">
        <f>IF(A47="","",C47-子基金及业绩基准周净值!AI72)</f>
        <v>-0.00764771987900228</v>
      </c>
      <c r="E47" s="12">
        <f>IF(A47="","",(MAX(B$3:B47)-B47)/MAX(B$3:B47))</f>
        <v>0.00192896856915911</v>
      </c>
      <c r="F47" s="12">
        <f>IF(A47="","",MAX(E$4:E47))</f>
        <v>0.0414167051222889</v>
      </c>
      <c r="G47" s="17">
        <v>3</v>
      </c>
      <c r="H47" s="14" t="str">
        <f t="shared" si="1"/>
        <v>否</v>
      </c>
      <c r="I47" s="14" t="str">
        <f t="shared" si="2"/>
        <v>否</v>
      </c>
      <c r="J47" s="15" t="str">
        <f t="shared" si="3"/>
        <v>否</v>
      </c>
    </row>
    <row r="48" spans="1:10">
      <c r="A48" s="7" t="str">
        <f>IF(子基金及业绩基准周净值!A73="","",子基金及业绩基准周净值!A73)</f>
        <v/>
      </c>
      <c r="B48" s="1" t="str">
        <f>IF(A48="","",VLOOKUP($A48,子基金及业绩基准周净值!$A:$AV,11))</f>
        <v/>
      </c>
      <c r="C48" s="8" t="str">
        <f t="shared" si="0"/>
        <v/>
      </c>
      <c r="D48" s="9" t="str">
        <f>IF(A48="","",C48-子基金及业绩基准周净值!AI73)</f>
        <v/>
      </c>
      <c r="E48" s="12" t="str">
        <f>IF(A48="","",(MAX(B$3:B48)-B48)/MAX(B$3:B48))</f>
        <v/>
      </c>
      <c r="F48" s="12" t="str">
        <f>IF(A48="","",MAX(E$4:E48))</f>
        <v/>
      </c>
      <c r="G48" s="17"/>
      <c r="H48" s="14" t="str">
        <f t="shared" si="1"/>
        <v/>
      </c>
      <c r="I48" s="14" t="str">
        <f t="shared" si="2"/>
        <v/>
      </c>
      <c r="J48" s="15" t="str">
        <f t="shared" si="3"/>
        <v/>
      </c>
    </row>
    <row r="49" spans="1:10">
      <c r="A49" s="7" t="str">
        <f>IF(子基金及业绩基准周净值!A74="","",子基金及业绩基准周净值!A74)</f>
        <v/>
      </c>
      <c r="B49" s="1" t="str">
        <f>IF(A49="","",VLOOKUP($A49,子基金及业绩基准周净值!$A:$AV,11))</f>
        <v/>
      </c>
      <c r="C49" s="8" t="str">
        <f t="shared" si="0"/>
        <v/>
      </c>
      <c r="D49" s="9" t="str">
        <f>IF(A49="","",C49-子基金及业绩基准周净值!AI74)</f>
        <v/>
      </c>
      <c r="E49" s="12" t="str">
        <f>IF(A49="","",(MAX(B$3:B49)-B49)/MAX(B$3:B49))</f>
        <v/>
      </c>
      <c r="F49" s="12" t="str">
        <f>IF(A49="","",MAX(E$4:E49))</f>
        <v/>
      </c>
      <c r="G49" s="17"/>
      <c r="H49" s="14" t="str">
        <f t="shared" si="1"/>
        <v/>
      </c>
      <c r="I49" s="14" t="str">
        <f t="shared" si="2"/>
        <v/>
      </c>
      <c r="J49" s="15" t="str">
        <f t="shared" si="3"/>
        <v/>
      </c>
    </row>
    <row r="50" spans="1:10">
      <c r="A50" s="7" t="str">
        <f>IF(子基金及业绩基准周净值!A75="","",子基金及业绩基准周净值!A75)</f>
        <v/>
      </c>
      <c r="B50" s="1" t="str">
        <f>IF(A50="","",VLOOKUP($A50,子基金及业绩基准周净值!$A:$AV,11))</f>
        <v/>
      </c>
      <c r="C50" s="8" t="str">
        <f t="shared" si="0"/>
        <v/>
      </c>
      <c r="D50" s="9" t="str">
        <f>IF(A50="","",C50-子基金及业绩基准周净值!AI75)</f>
        <v/>
      </c>
      <c r="E50" s="12" t="str">
        <f>IF(A50="","",(MAX(B$3:B50)-B50)/MAX(B$3:B50))</f>
        <v/>
      </c>
      <c r="F50" s="12" t="str">
        <f>IF(A50="","",MAX(E$4:E50))</f>
        <v/>
      </c>
      <c r="G50" s="17"/>
      <c r="H50" s="14" t="str">
        <f t="shared" si="1"/>
        <v/>
      </c>
      <c r="I50" s="14" t="str">
        <f t="shared" si="2"/>
        <v/>
      </c>
      <c r="J50" s="15" t="str">
        <f t="shared" si="3"/>
        <v/>
      </c>
    </row>
    <row r="51" spans="1:10">
      <c r="A51" s="7" t="str">
        <f>IF(子基金及业绩基准周净值!A76="","",子基金及业绩基准周净值!A76)</f>
        <v/>
      </c>
      <c r="B51" s="1" t="str">
        <f>IF(A51="","",VLOOKUP($A51,子基金及业绩基准周净值!$A:$AV,11))</f>
        <v/>
      </c>
      <c r="C51" s="8" t="str">
        <f t="shared" si="0"/>
        <v/>
      </c>
      <c r="D51" s="9" t="str">
        <f>IF(A51="","",C51-子基金及业绩基准周净值!AI76)</f>
        <v/>
      </c>
      <c r="E51" s="12" t="str">
        <f>IF(A51="","",(MAX(B$3:B51)-B51)/MAX(B$3:B51))</f>
        <v/>
      </c>
      <c r="F51" s="12" t="str">
        <f>IF(A51="","",MAX(E$4:E51))</f>
        <v/>
      </c>
      <c r="G51" s="17"/>
      <c r="H51" s="14" t="str">
        <f t="shared" si="1"/>
        <v/>
      </c>
      <c r="I51" s="14" t="str">
        <f t="shared" si="2"/>
        <v/>
      </c>
      <c r="J51" s="15" t="str">
        <f t="shared" si="3"/>
        <v/>
      </c>
    </row>
    <row r="52" spans="1:10">
      <c r="A52" s="7" t="str">
        <f>IF(子基金及业绩基准周净值!A77="","",子基金及业绩基准周净值!A77)</f>
        <v/>
      </c>
      <c r="B52" s="1" t="str">
        <f>IF(A52="","",VLOOKUP($A52,子基金及业绩基准周净值!$A:$AV,11))</f>
        <v/>
      </c>
      <c r="C52" s="8" t="str">
        <f t="shared" si="0"/>
        <v/>
      </c>
      <c r="D52" s="9" t="str">
        <f>IF(A52="","",C52-子基金及业绩基准周净值!AI77)</f>
        <v/>
      </c>
      <c r="E52" s="12" t="str">
        <f>IF(A52="","",(MAX(B$3:B52)-B52)/MAX(B$3:B52))</f>
        <v/>
      </c>
      <c r="F52" s="12" t="str">
        <f>IF(A52="","",MAX(E$4:E52))</f>
        <v/>
      </c>
      <c r="G52" s="17"/>
      <c r="H52" s="14" t="str">
        <f t="shared" si="1"/>
        <v/>
      </c>
      <c r="I52" s="14" t="str">
        <f t="shared" si="2"/>
        <v/>
      </c>
      <c r="J52" s="15" t="str">
        <f t="shared" si="3"/>
        <v/>
      </c>
    </row>
    <row r="53" spans="1:10">
      <c r="A53" s="7" t="str">
        <f>IF(子基金及业绩基准周净值!A78="","",子基金及业绩基准周净值!A78)</f>
        <v/>
      </c>
      <c r="B53" s="1" t="str">
        <f>IF(A53="","",VLOOKUP($A53,子基金及业绩基准周净值!$A:$AV,11))</f>
        <v/>
      </c>
      <c r="C53" s="8" t="str">
        <f t="shared" si="0"/>
        <v/>
      </c>
      <c r="D53" s="9" t="str">
        <f>IF(A53="","",C53-子基金及业绩基准周净值!AI78)</f>
        <v/>
      </c>
      <c r="E53" s="12" t="str">
        <f>IF(A53="","",(MAX(B$3:B53)-B53)/MAX(B$3:B53))</f>
        <v/>
      </c>
      <c r="F53" s="12" t="str">
        <f>IF(A53="","",MAX(E$4:E53))</f>
        <v/>
      </c>
      <c r="G53" s="17"/>
      <c r="H53" s="14" t="str">
        <f t="shared" si="1"/>
        <v/>
      </c>
      <c r="I53" s="14" t="str">
        <f t="shared" si="2"/>
        <v/>
      </c>
      <c r="J53" s="15" t="str">
        <f t="shared" si="3"/>
        <v/>
      </c>
    </row>
    <row r="54" spans="1:10">
      <c r="A54" s="7" t="str">
        <f>IF(子基金及业绩基准周净值!A79="","",子基金及业绩基准周净值!A79)</f>
        <v/>
      </c>
      <c r="B54" s="1" t="str">
        <f>IF(A54="","",VLOOKUP($A54,子基金及业绩基准周净值!$A:$AV,11))</f>
        <v/>
      </c>
      <c r="C54" s="8" t="str">
        <f t="shared" si="0"/>
        <v/>
      </c>
      <c r="D54" s="9" t="str">
        <f>IF(A54="","",C54-子基金及业绩基准周净值!AI79)</f>
        <v/>
      </c>
      <c r="E54" s="12" t="str">
        <f>IF(A54="","",(MAX(B$3:B54)-B54)/MAX(B$3:B54))</f>
        <v/>
      </c>
      <c r="F54" s="12" t="str">
        <f>IF(A54="","",MAX(E$4:E54))</f>
        <v/>
      </c>
      <c r="G54" s="17"/>
      <c r="H54" s="14" t="str">
        <f t="shared" si="1"/>
        <v/>
      </c>
      <c r="I54" s="14" t="str">
        <f t="shared" si="2"/>
        <v/>
      </c>
      <c r="J54" s="15" t="str">
        <f t="shared" si="3"/>
        <v/>
      </c>
    </row>
    <row r="55" spans="1:10">
      <c r="A55" s="7" t="str">
        <f>IF(子基金及业绩基准周净值!A80="","",子基金及业绩基准周净值!A80)</f>
        <v/>
      </c>
      <c r="B55" s="1" t="str">
        <f>IF(A55="","",VLOOKUP($A55,子基金及业绩基准周净值!$A:$AV,11))</f>
        <v/>
      </c>
      <c r="C55" s="8" t="str">
        <f t="shared" si="0"/>
        <v/>
      </c>
      <c r="D55" s="9" t="str">
        <f>IF(A55="","",C55-子基金及业绩基准周净值!AI80)</f>
        <v/>
      </c>
      <c r="E55" s="12" t="str">
        <f>IF(A55="","",(MAX(B$3:B55)-B55)/MAX(B$3:B55))</f>
        <v/>
      </c>
      <c r="F55" s="12" t="str">
        <f>IF(A55="","",MAX(E$4:E55))</f>
        <v/>
      </c>
      <c r="G55" s="17"/>
      <c r="H55" s="14" t="str">
        <f t="shared" si="1"/>
        <v/>
      </c>
      <c r="I55" s="14" t="str">
        <f t="shared" si="2"/>
        <v/>
      </c>
      <c r="J55" s="15" t="str">
        <f t="shared" si="3"/>
        <v/>
      </c>
    </row>
    <row r="56" spans="1:10">
      <c r="A56" s="7" t="str">
        <f>IF(子基金及业绩基准周净值!A81="","",子基金及业绩基准周净值!A81)</f>
        <v/>
      </c>
      <c r="B56" s="1" t="str">
        <f>IF(A56="","",VLOOKUP($A56,子基金及业绩基准周净值!$A:$AV,11))</f>
        <v/>
      </c>
      <c r="C56" s="8" t="str">
        <f t="shared" si="0"/>
        <v/>
      </c>
      <c r="D56" s="9" t="str">
        <f>IF(A56="","",C56-子基金及业绩基准周净值!AI81)</f>
        <v/>
      </c>
      <c r="E56" s="12" t="str">
        <f>IF(A56="","",(MAX(B$3:B56)-B56)/MAX(B$3:B56))</f>
        <v/>
      </c>
      <c r="F56" s="12" t="str">
        <f>IF(A56="","",MAX(E$4:E56))</f>
        <v/>
      </c>
      <c r="G56" s="17"/>
      <c r="H56" s="14" t="str">
        <f t="shared" si="1"/>
        <v/>
      </c>
      <c r="I56" s="14" t="str">
        <f t="shared" si="2"/>
        <v/>
      </c>
      <c r="J56" s="15" t="str">
        <f t="shared" si="3"/>
        <v/>
      </c>
    </row>
    <row r="57" spans="1:10">
      <c r="A57" s="7" t="str">
        <f>IF(子基金及业绩基准周净值!A82="","",子基金及业绩基准周净值!A82)</f>
        <v/>
      </c>
      <c r="B57" s="1" t="str">
        <f>IF(A57="","",VLOOKUP($A57,子基金及业绩基准周净值!$A:$AV,11))</f>
        <v/>
      </c>
      <c r="C57" s="8" t="str">
        <f t="shared" si="0"/>
        <v/>
      </c>
      <c r="D57" s="9" t="str">
        <f>IF(A57="","",C57-子基金及业绩基准周净值!AI82)</f>
        <v/>
      </c>
      <c r="E57" s="12" t="str">
        <f>IF(A57="","",(MAX(B$3:B57)-B57)/MAX(B$3:B57))</f>
        <v/>
      </c>
      <c r="F57" s="12" t="str">
        <f>IF(A57="","",MAX(E$4:E57))</f>
        <v/>
      </c>
      <c r="G57" s="17"/>
      <c r="H57" s="14" t="str">
        <f t="shared" si="1"/>
        <v/>
      </c>
      <c r="I57" s="14" t="str">
        <f t="shared" si="2"/>
        <v/>
      </c>
      <c r="J57" s="15" t="str">
        <f t="shared" si="3"/>
        <v/>
      </c>
    </row>
    <row r="58" spans="1:10">
      <c r="A58" s="7" t="str">
        <f>IF(子基金及业绩基准周净值!A83="","",子基金及业绩基准周净值!A83)</f>
        <v/>
      </c>
      <c r="B58" s="1" t="str">
        <f>IF(A58="","",VLOOKUP($A58,子基金及业绩基准周净值!$A:$AV,11))</f>
        <v/>
      </c>
      <c r="C58" s="8" t="str">
        <f t="shared" si="0"/>
        <v/>
      </c>
      <c r="D58" s="9" t="str">
        <f>IF(A58="","",C58-子基金及业绩基准周净值!AI83)</f>
        <v/>
      </c>
      <c r="E58" s="12" t="str">
        <f>IF(A58="","",(MAX(B$3:B58)-B58)/MAX(B$3:B58))</f>
        <v/>
      </c>
      <c r="F58" s="12" t="str">
        <f>IF(A58="","",MAX(E$4:E58))</f>
        <v/>
      </c>
      <c r="G58" s="17"/>
      <c r="H58" s="14" t="str">
        <f t="shared" si="1"/>
        <v/>
      </c>
      <c r="I58" s="14" t="str">
        <f t="shared" si="2"/>
        <v/>
      </c>
      <c r="J58" s="15" t="str">
        <f t="shared" si="3"/>
        <v/>
      </c>
    </row>
    <row r="59" spans="1:10">
      <c r="A59" s="7" t="str">
        <f>IF(子基金及业绩基准周净值!A84="","",子基金及业绩基准周净值!A84)</f>
        <v/>
      </c>
      <c r="B59" s="1" t="str">
        <f>IF(A59="","",VLOOKUP($A59,子基金及业绩基准周净值!$A:$AV,11))</f>
        <v/>
      </c>
      <c r="C59" s="8" t="str">
        <f t="shared" si="0"/>
        <v/>
      </c>
      <c r="D59" s="9" t="str">
        <f>IF(A59="","",C59-子基金及业绩基准周净值!AI84)</f>
        <v/>
      </c>
      <c r="E59" s="12" t="str">
        <f>IF(A59="","",(MAX(B$3:B59)-B59)/MAX(B$3:B59))</f>
        <v/>
      </c>
      <c r="F59" s="12" t="str">
        <f>IF(A59="","",MAX(E$4:E59))</f>
        <v/>
      </c>
      <c r="G59" s="17"/>
      <c r="H59" s="14" t="str">
        <f t="shared" si="1"/>
        <v/>
      </c>
      <c r="I59" s="14" t="str">
        <f t="shared" si="2"/>
        <v/>
      </c>
      <c r="J59" s="15" t="str">
        <f t="shared" si="3"/>
        <v/>
      </c>
    </row>
    <row r="60" spans="1:10">
      <c r="A60" s="7" t="str">
        <f>IF(子基金及业绩基准周净值!A85="","",子基金及业绩基准周净值!A85)</f>
        <v/>
      </c>
      <c r="B60" s="1" t="str">
        <f>IF(A60="","",VLOOKUP($A60,子基金及业绩基准周净值!$A:$AV,11))</f>
        <v/>
      </c>
      <c r="C60" s="8" t="str">
        <f t="shared" si="0"/>
        <v/>
      </c>
      <c r="D60" s="9" t="str">
        <f>IF(A60="","",C60-子基金及业绩基准周净值!AI85)</f>
        <v/>
      </c>
      <c r="E60" s="12" t="str">
        <f>IF(A60="","",(MAX(B$3:B60)-B60)/MAX(B$3:B60))</f>
        <v/>
      </c>
      <c r="F60" s="12" t="str">
        <f>IF(A60="","",MAX(E$4:E60))</f>
        <v/>
      </c>
      <c r="G60" s="17"/>
      <c r="H60" s="14" t="str">
        <f t="shared" si="1"/>
        <v/>
      </c>
      <c r="I60" s="14" t="str">
        <f t="shared" si="2"/>
        <v/>
      </c>
      <c r="J60" s="15" t="str">
        <f t="shared" si="3"/>
        <v/>
      </c>
    </row>
    <row r="61" spans="1:10">
      <c r="A61" s="7" t="str">
        <f>IF(子基金及业绩基准周净值!A86="","",子基金及业绩基准周净值!A86)</f>
        <v/>
      </c>
      <c r="B61" s="1" t="str">
        <f>IF(A61="","",VLOOKUP($A61,子基金及业绩基准周净值!$A:$AV,11))</f>
        <v/>
      </c>
      <c r="C61" s="8" t="str">
        <f t="shared" si="0"/>
        <v/>
      </c>
      <c r="D61" s="9" t="str">
        <f>IF(A61="","",C61-子基金及业绩基准周净值!AI86)</f>
        <v/>
      </c>
      <c r="E61" s="12" t="str">
        <f>IF(A61="","",(MAX(B$3:B61)-B61)/MAX(B$3:B61))</f>
        <v/>
      </c>
      <c r="F61" s="12" t="str">
        <f>IF(A61="","",MAX(E$4:E61))</f>
        <v/>
      </c>
      <c r="G61" s="17"/>
      <c r="H61" s="14" t="str">
        <f t="shared" si="1"/>
        <v/>
      </c>
      <c r="I61" s="14" t="str">
        <f t="shared" si="2"/>
        <v/>
      </c>
      <c r="J61" s="15" t="str">
        <f t="shared" si="3"/>
        <v/>
      </c>
    </row>
    <row r="62" spans="1:10">
      <c r="A62" s="7" t="str">
        <f>IF(子基金及业绩基准周净值!A87="","",子基金及业绩基准周净值!A87)</f>
        <v/>
      </c>
      <c r="B62" s="1" t="str">
        <f>IF(A62="","",VLOOKUP($A62,子基金及业绩基准周净值!$A:$AV,11))</f>
        <v/>
      </c>
      <c r="C62" s="8" t="str">
        <f t="shared" si="0"/>
        <v/>
      </c>
      <c r="D62" s="9" t="str">
        <f>IF(A62="","",C62-子基金及业绩基准周净值!AI87)</f>
        <v/>
      </c>
      <c r="E62" s="12" t="str">
        <f>IF(A62="","",(MAX(B$3:B62)-B62)/MAX(B$3:B62))</f>
        <v/>
      </c>
      <c r="F62" s="12" t="str">
        <f>IF(A62="","",MAX(E$4:E62))</f>
        <v/>
      </c>
      <c r="G62" s="17"/>
      <c r="H62" s="14" t="str">
        <f t="shared" si="1"/>
        <v/>
      </c>
      <c r="I62" s="14" t="str">
        <f t="shared" si="2"/>
        <v/>
      </c>
      <c r="J62" s="15" t="str">
        <f t="shared" si="3"/>
        <v/>
      </c>
    </row>
    <row r="63" spans="1:10">
      <c r="A63" s="7" t="str">
        <f>IF(子基金及业绩基准周净值!A88="","",子基金及业绩基准周净值!A88)</f>
        <v/>
      </c>
      <c r="B63" s="1" t="str">
        <f>IF(A63="","",VLOOKUP($A63,子基金及业绩基准周净值!$A:$AV,11))</f>
        <v/>
      </c>
      <c r="C63" s="8" t="str">
        <f t="shared" si="0"/>
        <v/>
      </c>
      <c r="D63" s="9" t="str">
        <f>IF(A63="","",C63-子基金及业绩基准周净值!AI88)</f>
        <v/>
      </c>
      <c r="E63" s="12" t="str">
        <f>IF(A63="","",(MAX(B$3:B63)-B63)/MAX(B$3:B63))</f>
        <v/>
      </c>
      <c r="F63" s="12" t="str">
        <f>IF(A63="","",MAX(E$4:E63))</f>
        <v/>
      </c>
      <c r="G63" s="17"/>
      <c r="H63" s="14" t="str">
        <f t="shared" si="1"/>
        <v/>
      </c>
      <c r="I63" s="14" t="str">
        <f t="shared" si="2"/>
        <v/>
      </c>
      <c r="J63" s="15" t="str">
        <f t="shared" si="3"/>
        <v/>
      </c>
    </row>
    <row r="64" spans="1:10">
      <c r="A64" s="7" t="str">
        <f>IF(子基金及业绩基准周净值!A89="","",子基金及业绩基准周净值!A89)</f>
        <v/>
      </c>
      <c r="B64" s="1" t="str">
        <f>IF(A64="","",VLOOKUP($A64,子基金及业绩基准周净值!$A:$AV,11))</f>
        <v/>
      </c>
      <c r="C64" s="8" t="str">
        <f t="shared" si="0"/>
        <v/>
      </c>
      <c r="D64" s="9" t="str">
        <f>IF(A64="","",C64-子基金及业绩基准周净值!AI89)</f>
        <v/>
      </c>
      <c r="E64" s="12" t="str">
        <f>IF(A64="","",(MAX(B$3:B64)-B64)/MAX(B$3:B64))</f>
        <v/>
      </c>
      <c r="F64" s="12" t="str">
        <f>IF(A64="","",MAX(E$4:E64))</f>
        <v/>
      </c>
      <c r="G64" s="17"/>
      <c r="H64" s="14" t="str">
        <f t="shared" si="1"/>
        <v/>
      </c>
      <c r="I64" s="14" t="str">
        <f t="shared" si="2"/>
        <v/>
      </c>
      <c r="J64" s="15" t="str">
        <f t="shared" si="3"/>
        <v/>
      </c>
    </row>
    <row r="65" spans="1:10">
      <c r="A65" s="7" t="str">
        <f>IF(子基金及业绩基准周净值!A90="","",子基金及业绩基准周净值!A90)</f>
        <v/>
      </c>
      <c r="B65" s="1" t="str">
        <f>IF(A65="","",VLOOKUP($A65,子基金及业绩基准周净值!$A:$AV,11))</f>
        <v/>
      </c>
      <c r="C65" s="8" t="str">
        <f t="shared" si="0"/>
        <v/>
      </c>
      <c r="D65" s="9" t="str">
        <f>IF(A65="","",C65-子基金及业绩基准周净值!AI90)</f>
        <v/>
      </c>
      <c r="E65" s="12" t="str">
        <f>IF(A65="","",(MAX(B$3:B65)-B65)/MAX(B$3:B65))</f>
        <v/>
      </c>
      <c r="F65" s="12" t="str">
        <f>IF(A65="","",MAX(E$4:E65))</f>
        <v/>
      </c>
      <c r="G65" s="17"/>
      <c r="H65" s="14" t="str">
        <f t="shared" si="1"/>
        <v/>
      </c>
      <c r="I65" s="14" t="str">
        <f t="shared" si="2"/>
        <v/>
      </c>
      <c r="J65" s="15" t="str">
        <f t="shared" si="3"/>
        <v/>
      </c>
    </row>
    <row r="66" spans="1:10">
      <c r="A66" s="7" t="str">
        <f>IF(子基金及业绩基准周净值!A91="","",子基金及业绩基准周净值!A91)</f>
        <v/>
      </c>
      <c r="B66" s="1" t="str">
        <f>IF(A66="","",VLOOKUP($A66,子基金及业绩基准周净值!$A:$AV,11))</f>
        <v/>
      </c>
      <c r="C66" s="8" t="str">
        <f t="shared" si="0"/>
        <v/>
      </c>
      <c r="D66" s="9" t="str">
        <f>IF(A66="","",C66-子基金及业绩基准周净值!AI91)</f>
        <v/>
      </c>
      <c r="E66" s="12" t="str">
        <f>IF(A66="","",(MAX(B$3:B66)-B66)/MAX(B$3:B66))</f>
        <v/>
      </c>
      <c r="F66" s="12" t="str">
        <f>IF(A66="","",MAX(E$4:E66))</f>
        <v/>
      </c>
      <c r="G66" s="17"/>
      <c r="H66" s="14" t="str">
        <f t="shared" si="1"/>
        <v/>
      </c>
      <c r="I66" s="14" t="str">
        <f t="shared" si="2"/>
        <v/>
      </c>
      <c r="J66" s="15" t="str">
        <f t="shared" si="3"/>
        <v/>
      </c>
    </row>
    <row r="67" spans="1:10">
      <c r="A67" s="7" t="str">
        <f>IF(子基金及业绩基准周净值!A92="","",子基金及业绩基准周净值!A92)</f>
        <v/>
      </c>
      <c r="B67" s="1" t="str">
        <f>IF(A67="","",VLOOKUP($A67,子基金及业绩基准周净值!$A:$AV,11))</f>
        <v/>
      </c>
      <c r="C67" s="8" t="str">
        <f t="shared" si="0"/>
        <v/>
      </c>
      <c r="D67" s="9" t="str">
        <f>IF(A67="","",C67-子基金及业绩基准周净值!AI92)</f>
        <v/>
      </c>
      <c r="E67" s="12" t="str">
        <f>IF(A67="","",(MAX(B$3:B67)-B67)/MAX(B$3:B67))</f>
        <v/>
      </c>
      <c r="F67" s="12" t="str">
        <f>IF(A67="","",MAX(E$4:E67))</f>
        <v/>
      </c>
      <c r="G67" s="17"/>
      <c r="H67" s="14" t="str">
        <f t="shared" si="1"/>
        <v/>
      </c>
      <c r="I67" s="14" t="str">
        <f t="shared" si="2"/>
        <v/>
      </c>
      <c r="J67" s="15" t="str">
        <f t="shared" si="3"/>
        <v/>
      </c>
    </row>
    <row r="68" spans="1:10">
      <c r="A68" s="7" t="str">
        <f>IF(子基金及业绩基准周净值!A93="","",子基金及业绩基准周净值!A93)</f>
        <v/>
      </c>
      <c r="B68" s="1" t="str">
        <f>IF(A68="","",VLOOKUP($A68,子基金及业绩基准周净值!$A:$AV,11))</f>
        <v/>
      </c>
      <c r="C68" s="8" t="str">
        <f t="shared" si="0"/>
        <v/>
      </c>
      <c r="D68" s="9" t="str">
        <f>IF(A68="","",C68-子基金及业绩基准周净值!AI93)</f>
        <v/>
      </c>
      <c r="E68" s="12" t="str">
        <f>IF(A68="","",(MAX(B$3:B68)-B68)/MAX(B$3:B68))</f>
        <v/>
      </c>
      <c r="F68" s="12" t="str">
        <f>IF(A68="","",MAX(E$4:E68))</f>
        <v/>
      </c>
      <c r="G68" s="17"/>
      <c r="H68" s="14" t="str">
        <f t="shared" si="1"/>
        <v/>
      </c>
      <c r="I68" s="14" t="str">
        <f t="shared" si="2"/>
        <v/>
      </c>
      <c r="J68" s="15" t="str">
        <f t="shared" si="3"/>
        <v/>
      </c>
    </row>
    <row r="69" spans="1:10">
      <c r="A69" s="7" t="str">
        <f>IF(子基金及业绩基准周净值!A94="","",子基金及业绩基准周净值!A94)</f>
        <v/>
      </c>
      <c r="B69" s="1" t="str">
        <f>IF(A69="","",VLOOKUP($A69,子基金及业绩基准周净值!$A:$AV,11))</f>
        <v/>
      </c>
      <c r="C69" s="8" t="str">
        <f t="shared" ref="C69:C132" si="4">IF(A69="","",(B69-B68)/B68)</f>
        <v/>
      </c>
      <c r="D69" s="9" t="str">
        <f>IF(A69="","",C69-子基金及业绩基准周净值!AI94)</f>
        <v/>
      </c>
      <c r="E69" s="12" t="str">
        <f>IF(A69="","",(MAX(B$3:B69)-B69)/MAX(B$3:B69))</f>
        <v/>
      </c>
      <c r="F69" s="12" t="str">
        <f>IF(A69="","",MAX(E$4:E69))</f>
        <v/>
      </c>
      <c r="G69" s="17"/>
      <c r="H69" s="14" t="str">
        <f t="shared" ref="H69:H132" si="5">IF(B69="","",IF(C69&lt;-3%,"是","否"))</f>
        <v/>
      </c>
      <c r="I69" s="14" t="str">
        <f t="shared" ref="I69:I132" si="6">IF(A69="","",IF(F69&gt;5%,"是","否"))</f>
        <v/>
      </c>
      <c r="J69" s="15" t="str">
        <f t="shared" ref="J69:J132" si="7">IF(A69="","",IF(G69&gt;=4,"是","否"))</f>
        <v/>
      </c>
    </row>
    <row r="70" spans="1:10">
      <c r="A70" s="7" t="str">
        <f>IF(子基金及业绩基准周净值!A95="","",子基金及业绩基准周净值!A95)</f>
        <v/>
      </c>
      <c r="B70" s="1" t="str">
        <f>IF(A70="","",VLOOKUP($A70,子基金及业绩基准周净值!$A:$AV,11))</f>
        <v/>
      </c>
      <c r="C70" s="8" t="str">
        <f t="shared" si="4"/>
        <v/>
      </c>
      <c r="D70" s="9" t="str">
        <f>IF(A70="","",C70-子基金及业绩基准周净值!AI95)</f>
        <v/>
      </c>
      <c r="E70" s="12" t="str">
        <f>IF(A70="","",(MAX(B$3:B70)-B70)/MAX(B$3:B70))</f>
        <v/>
      </c>
      <c r="F70" s="12" t="str">
        <f>IF(A70="","",MAX(E$4:E70))</f>
        <v/>
      </c>
      <c r="G70" s="17"/>
      <c r="H70" s="14" t="str">
        <f t="shared" si="5"/>
        <v/>
      </c>
      <c r="I70" s="14" t="str">
        <f t="shared" si="6"/>
        <v/>
      </c>
      <c r="J70" s="15" t="str">
        <f t="shared" si="7"/>
        <v/>
      </c>
    </row>
    <row r="71" spans="1:10">
      <c r="A71" s="7" t="str">
        <f>IF(子基金及业绩基准周净值!A96="","",子基金及业绩基准周净值!A96)</f>
        <v/>
      </c>
      <c r="B71" s="1" t="str">
        <f>IF(A71="","",VLOOKUP($A71,子基金及业绩基准周净值!$A:$AV,11))</f>
        <v/>
      </c>
      <c r="C71" s="8" t="str">
        <f t="shared" si="4"/>
        <v/>
      </c>
      <c r="D71" s="9" t="str">
        <f>IF(A71="","",C71-子基金及业绩基准周净值!AI96)</f>
        <v/>
      </c>
      <c r="E71" s="12" t="str">
        <f>IF(A71="","",(MAX(B$3:B71)-B71)/MAX(B$3:B71))</f>
        <v/>
      </c>
      <c r="F71" s="12" t="str">
        <f>IF(A71="","",MAX(E$4:E71))</f>
        <v/>
      </c>
      <c r="G71" s="17"/>
      <c r="H71" s="14" t="str">
        <f t="shared" si="5"/>
        <v/>
      </c>
      <c r="I71" s="14" t="str">
        <f t="shared" si="6"/>
        <v/>
      </c>
      <c r="J71" s="15" t="str">
        <f t="shared" si="7"/>
        <v/>
      </c>
    </row>
    <row r="72" spans="1:10">
      <c r="A72" s="7" t="str">
        <f>IF(子基金及业绩基准周净值!A97="","",子基金及业绩基准周净值!A97)</f>
        <v/>
      </c>
      <c r="B72" s="1" t="str">
        <f>IF(A72="","",VLOOKUP($A72,子基金及业绩基准周净值!$A:$AV,11))</f>
        <v/>
      </c>
      <c r="C72" s="8" t="str">
        <f t="shared" si="4"/>
        <v/>
      </c>
      <c r="D72" s="9" t="str">
        <f>IF(A72="","",C72-子基金及业绩基准周净值!AI97)</f>
        <v/>
      </c>
      <c r="E72" s="12" t="str">
        <f>IF(A72="","",(MAX(B$3:B72)-B72)/MAX(B$3:B72))</f>
        <v/>
      </c>
      <c r="F72" s="12" t="str">
        <f>IF(A72="","",MAX(E$4:E72))</f>
        <v/>
      </c>
      <c r="G72" s="17"/>
      <c r="H72" s="14" t="str">
        <f t="shared" si="5"/>
        <v/>
      </c>
      <c r="I72" s="14" t="str">
        <f t="shared" si="6"/>
        <v/>
      </c>
      <c r="J72" s="15" t="str">
        <f t="shared" si="7"/>
        <v/>
      </c>
    </row>
    <row r="73" spans="1:10">
      <c r="A73" s="7" t="str">
        <f>IF(子基金及业绩基准周净值!A98="","",子基金及业绩基准周净值!A98)</f>
        <v/>
      </c>
      <c r="B73" s="1" t="str">
        <f>IF(A73="","",VLOOKUP($A73,子基金及业绩基准周净值!$A:$AV,11))</f>
        <v/>
      </c>
      <c r="C73" s="8" t="str">
        <f t="shared" si="4"/>
        <v/>
      </c>
      <c r="D73" s="9" t="str">
        <f>IF(A73="","",C73-子基金及业绩基准周净值!AI98)</f>
        <v/>
      </c>
      <c r="E73" s="12" t="str">
        <f>IF(A73="","",(MAX(B$3:B73)-B73)/MAX(B$3:B73))</f>
        <v/>
      </c>
      <c r="F73" s="12" t="str">
        <f>IF(A73="","",MAX(E$4:E73))</f>
        <v/>
      </c>
      <c r="G73" s="17"/>
      <c r="H73" s="14" t="str">
        <f t="shared" si="5"/>
        <v/>
      </c>
      <c r="I73" s="14" t="str">
        <f t="shared" si="6"/>
        <v/>
      </c>
      <c r="J73" s="15" t="str">
        <f t="shared" si="7"/>
        <v/>
      </c>
    </row>
    <row r="74" spans="1:10">
      <c r="A74" s="7" t="str">
        <f>IF(子基金及业绩基准周净值!A99="","",子基金及业绩基准周净值!A99)</f>
        <v/>
      </c>
      <c r="B74" s="1" t="str">
        <f>IF(A74="","",VLOOKUP($A74,子基金及业绩基准周净值!$A:$AV,11))</f>
        <v/>
      </c>
      <c r="C74" s="8" t="str">
        <f t="shared" si="4"/>
        <v/>
      </c>
      <c r="D74" s="9" t="str">
        <f>IF(A74="","",C74-子基金及业绩基准周净值!AI99)</f>
        <v/>
      </c>
      <c r="E74" s="12" t="str">
        <f>IF(A74="","",(MAX(B$3:B74)-B74)/MAX(B$3:B74))</f>
        <v/>
      </c>
      <c r="F74" s="12" t="str">
        <f>IF(A74="","",MAX(E$4:E74))</f>
        <v/>
      </c>
      <c r="G74" s="17"/>
      <c r="H74" s="14" t="str">
        <f t="shared" si="5"/>
        <v/>
      </c>
      <c r="I74" s="14" t="str">
        <f t="shared" si="6"/>
        <v/>
      </c>
      <c r="J74" s="15" t="str">
        <f t="shared" si="7"/>
        <v/>
      </c>
    </row>
    <row r="75" spans="1:10">
      <c r="A75" s="7" t="str">
        <f>IF(子基金及业绩基准周净值!A100="","",子基金及业绩基准周净值!A100)</f>
        <v/>
      </c>
      <c r="B75" s="1" t="str">
        <f>IF(A75="","",VLOOKUP($A75,子基金及业绩基准周净值!$A:$AV,11))</f>
        <v/>
      </c>
      <c r="C75" s="8" t="str">
        <f t="shared" si="4"/>
        <v/>
      </c>
      <c r="D75" s="9" t="str">
        <f>IF(A75="","",C75-子基金及业绩基准周净值!AI100)</f>
        <v/>
      </c>
      <c r="E75" s="12" t="str">
        <f>IF(A75="","",(MAX(B$3:B75)-B75)/MAX(B$3:B75))</f>
        <v/>
      </c>
      <c r="F75" s="12" t="str">
        <f>IF(A75="","",MAX(E$4:E75))</f>
        <v/>
      </c>
      <c r="G75" s="17"/>
      <c r="H75" s="14" t="str">
        <f t="shared" si="5"/>
        <v/>
      </c>
      <c r="I75" s="14" t="str">
        <f t="shared" si="6"/>
        <v/>
      </c>
      <c r="J75" s="15" t="str">
        <f t="shared" si="7"/>
        <v/>
      </c>
    </row>
    <row r="76" spans="1:10">
      <c r="A76" s="7" t="str">
        <f>IF(子基金及业绩基准周净值!A101="","",子基金及业绩基准周净值!A101)</f>
        <v/>
      </c>
      <c r="B76" s="1" t="str">
        <f>IF(A76="","",VLOOKUP($A76,子基金及业绩基准周净值!$A:$AV,11))</f>
        <v/>
      </c>
      <c r="C76" s="8" t="str">
        <f t="shared" si="4"/>
        <v/>
      </c>
      <c r="D76" s="9" t="str">
        <f>IF(A76="","",C76-子基金及业绩基准周净值!AI101)</f>
        <v/>
      </c>
      <c r="E76" s="12" t="str">
        <f>IF(A76="","",(MAX(B$3:B76)-B76)/MAX(B$3:B76))</f>
        <v/>
      </c>
      <c r="F76" s="12" t="str">
        <f>IF(A76="","",MAX(E$4:E76))</f>
        <v/>
      </c>
      <c r="G76" s="17"/>
      <c r="H76" s="14" t="str">
        <f t="shared" si="5"/>
        <v/>
      </c>
      <c r="I76" s="14" t="str">
        <f t="shared" si="6"/>
        <v/>
      </c>
      <c r="J76" s="15" t="str">
        <f t="shared" si="7"/>
        <v/>
      </c>
    </row>
    <row r="77" spans="1:10">
      <c r="A77" s="7" t="str">
        <f>IF(子基金及业绩基准周净值!A102="","",子基金及业绩基准周净值!A102)</f>
        <v/>
      </c>
      <c r="B77" s="1" t="str">
        <f>IF(A77="","",VLOOKUP($A77,子基金及业绩基准周净值!$A:$AV,11))</f>
        <v/>
      </c>
      <c r="C77" s="8" t="str">
        <f t="shared" si="4"/>
        <v/>
      </c>
      <c r="D77" s="9" t="str">
        <f>IF(A77="","",C77-子基金及业绩基准周净值!AI102)</f>
        <v/>
      </c>
      <c r="E77" s="12" t="str">
        <f>IF(A77="","",(MAX(B$3:B77)-B77)/MAX(B$3:B77))</f>
        <v/>
      </c>
      <c r="F77" s="12" t="str">
        <f>IF(A77="","",MAX(E$4:E77))</f>
        <v/>
      </c>
      <c r="G77" s="17"/>
      <c r="H77" s="14" t="str">
        <f t="shared" si="5"/>
        <v/>
      </c>
      <c r="I77" s="14" t="str">
        <f t="shared" si="6"/>
        <v/>
      </c>
      <c r="J77" s="15" t="str">
        <f t="shared" si="7"/>
        <v/>
      </c>
    </row>
    <row r="78" spans="1:10">
      <c r="A78" s="7" t="str">
        <f>IF(子基金及业绩基准周净值!A103="","",子基金及业绩基准周净值!A103)</f>
        <v/>
      </c>
      <c r="B78" s="1" t="str">
        <f>IF(A78="","",VLOOKUP($A78,子基金及业绩基准周净值!$A:$AV,11))</f>
        <v/>
      </c>
      <c r="C78" s="8" t="str">
        <f t="shared" si="4"/>
        <v/>
      </c>
      <c r="D78" s="9" t="str">
        <f>IF(A78="","",C78-子基金及业绩基准周净值!AI103)</f>
        <v/>
      </c>
      <c r="E78" s="12" t="str">
        <f>IF(A78="","",(MAX(B$3:B78)-B78)/MAX(B$3:B78))</f>
        <v/>
      </c>
      <c r="F78" s="12" t="str">
        <f>IF(A78="","",MAX(E$4:E78))</f>
        <v/>
      </c>
      <c r="G78" s="17"/>
      <c r="H78" s="14" t="str">
        <f t="shared" si="5"/>
        <v/>
      </c>
      <c r="I78" s="14" t="str">
        <f t="shared" si="6"/>
        <v/>
      </c>
      <c r="J78" s="15" t="str">
        <f t="shared" si="7"/>
        <v/>
      </c>
    </row>
    <row r="79" spans="1:10">
      <c r="A79" s="7" t="str">
        <f>IF(子基金及业绩基准周净值!A104="","",子基金及业绩基准周净值!A104)</f>
        <v/>
      </c>
      <c r="B79" s="1" t="str">
        <f>IF(A79="","",VLOOKUP($A79,子基金及业绩基准周净值!$A:$AV,11))</f>
        <v/>
      </c>
      <c r="C79" s="8" t="str">
        <f t="shared" si="4"/>
        <v/>
      </c>
      <c r="D79" s="9" t="str">
        <f>IF(A79="","",C79-子基金及业绩基准周净值!AI104)</f>
        <v/>
      </c>
      <c r="E79" s="12" t="str">
        <f>IF(A79="","",(MAX(B$3:B79)-B79)/MAX(B$3:B79))</f>
        <v/>
      </c>
      <c r="F79" s="12" t="str">
        <f>IF(A79="","",MAX(E$4:E79))</f>
        <v/>
      </c>
      <c r="G79" s="17"/>
      <c r="H79" s="14" t="str">
        <f t="shared" si="5"/>
        <v/>
      </c>
      <c r="I79" s="14" t="str">
        <f t="shared" si="6"/>
        <v/>
      </c>
      <c r="J79" s="15" t="str">
        <f t="shared" si="7"/>
        <v/>
      </c>
    </row>
    <row r="80" spans="1:10">
      <c r="A80" s="7" t="str">
        <f>IF(子基金及业绩基准周净值!A105="","",子基金及业绩基准周净值!A105)</f>
        <v/>
      </c>
      <c r="B80" s="1" t="str">
        <f>IF(A80="","",VLOOKUP($A80,子基金及业绩基准周净值!$A:$AV,11))</f>
        <v/>
      </c>
      <c r="C80" s="8" t="str">
        <f t="shared" si="4"/>
        <v/>
      </c>
      <c r="D80" s="9" t="str">
        <f>IF(A80="","",C80-子基金及业绩基准周净值!AI105)</f>
        <v/>
      </c>
      <c r="E80" s="12" t="str">
        <f>IF(A80="","",(MAX(B$3:B80)-B80)/MAX(B$3:B80))</f>
        <v/>
      </c>
      <c r="F80" s="12" t="str">
        <f>IF(A80="","",MAX(E$4:E80))</f>
        <v/>
      </c>
      <c r="G80" s="17"/>
      <c r="H80" s="14" t="str">
        <f t="shared" si="5"/>
        <v/>
      </c>
      <c r="I80" s="14" t="str">
        <f t="shared" si="6"/>
        <v/>
      </c>
      <c r="J80" s="15" t="str">
        <f t="shared" si="7"/>
        <v/>
      </c>
    </row>
    <row r="81" spans="1:10">
      <c r="A81" s="7" t="str">
        <f>IF(子基金及业绩基准周净值!A106="","",子基金及业绩基准周净值!A106)</f>
        <v/>
      </c>
      <c r="B81" s="1" t="str">
        <f>IF(A81="","",VLOOKUP($A81,子基金及业绩基准周净值!$A:$AV,11))</f>
        <v/>
      </c>
      <c r="C81" s="8" t="str">
        <f t="shared" si="4"/>
        <v/>
      </c>
      <c r="D81" s="9" t="str">
        <f>IF(A81="","",C81-子基金及业绩基准周净值!AI106)</f>
        <v/>
      </c>
      <c r="E81" s="12" t="str">
        <f>IF(A81="","",(MAX(B$3:B81)-B81)/MAX(B$3:B81))</f>
        <v/>
      </c>
      <c r="F81" s="12" t="str">
        <f>IF(A81="","",MAX(E$4:E81))</f>
        <v/>
      </c>
      <c r="G81" s="17"/>
      <c r="H81" s="14" t="str">
        <f t="shared" si="5"/>
        <v/>
      </c>
      <c r="I81" s="14" t="str">
        <f t="shared" si="6"/>
        <v/>
      </c>
      <c r="J81" s="15" t="str">
        <f t="shared" si="7"/>
        <v/>
      </c>
    </row>
    <row r="82" spans="1:10">
      <c r="A82" s="7" t="str">
        <f>IF(子基金及业绩基准周净值!A107="","",子基金及业绩基准周净值!A107)</f>
        <v/>
      </c>
      <c r="B82" s="1" t="str">
        <f>IF(A82="","",VLOOKUP($A82,子基金及业绩基准周净值!$A:$AV,11))</f>
        <v/>
      </c>
      <c r="C82" s="8" t="str">
        <f t="shared" si="4"/>
        <v/>
      </c>
      <c r="D82" s="9" t="str">
        <f>IF(A82="","",C82-子基金及业绩基准周净值!AI107)</f>
        <v/>
      </c>
      <c r="E82" s="12" t="str">
        <f>IF(A82="","",(MAX(B$3:B82)-B82)/MAX(B$3:B82))</f>
        <v/>
      </c>
      <c r="F82" s="12" t="str">
        <f>IF(A82="","",MAX(E$4:E82))</f>
        <v/>
      </c>
      <c r="G82" s="17"/>
      <c r="H82" s="14" t="str">
        <f t="shared" si="5"/>
        <v/>
      </c>
      <c r="I82" s="14" t="str">
        <f t="shared" si="6"/>
        <v/>
      </c>
      <c r="J82" s="15" t="str">
        <f t="shared" si="7"/>
        <v/>
      </c>
    </row>
    <row r="83" spans="1:10">
      <c r="A83" s="7" t="str">
        <f>IF(子基金及业绩基准周净值!A108="","",子基金及业绩基准周净值!A108)</f>
        <v/>
      </c>
      <c r="B83" s="1" t="str">
        <f>IF(A83="","",VLOOKUP($A83,子基金及业绩基准周净值!$A:$AV,11))</f>
        <v/>
      </c>
      <c r="C83" s="8" t="str">
        <f t="shared" si="4"/>
        <v/>
      </c>
      <c r="D83" s="9" t="str">
        <f>IF(A83="","",C83-子基金及业绩基准周净值!AI108)</f>
        <v/>
      </c>
      <c r="E83" s="12" t="str">
        <f>IF(A83="","",(MAX(B$3:B83)-B83)/MAX(B$3:B83))</f>
        <v/>
      </c>
      <c r="F83" s="12" t="str">
        <f>IF(A83="","",MAX(E$4:E83))</f>
        <v/>
      </c>
      <c r="G83" s="17"/>
      <c r="H83" s="14" t="str">
        <f t="shared" si="5"/>
        <v/>
      </c>
      <c r="I83" s="14" t="str">
        <f t="shared" si="6"/>
        <v/>
      </c>
      <c r="J83" s="15" t="str">
        <f t="shared" si="7"/>
        <v/>
      </c>
    </row>
    <row r="84" spans="1:10">
      <c r="A84" s="7" t="str">
        <f>IF(子基金及业绩基准周净值!A109="","",子基金及业绩基准周净值!A109)</f>
        <v/>
      </c>
      <c r="B84" s="1" t="str">
        <f>IF(A84="","",VLOOKUP($A84,子基金及业绩基准周净值!$A:$AV,11))</f>
        <v/>
      </c>
      <c r="C84" s="8" t="str">
        <f t="shared" si="4"/>
        <v/>
      </c>
      <c r="D84" s="9" t="str">
        <f>IF(A84="","",C84-子基金及业绩基准周净值!AI109)</f>
        <v/>
      </c>
      <c r="E84" s="12" t="str">
        <f>IF(A84="","",(MAX(B$3:B84)-B84)/MAX(B$3:B84))</f>
        <v/>
      </c>
      <c r="F84" s="12" t="str">
        <f>IF(A84="","",MAX(E$4:E84))</f>
        <v/>
      </c>
      <c r="G84" s="17"/>
      <c r="H84" s="14" t="str">
        <f t="shared" si="5"/>
        <v/>
      </c>
      <c r="I84" s="14" t="str">
        <f t="shared" si="6"/>
        <v/>
      </c>
      <c r="J84" s="15" t="str">
        <f t="shared" si="7"/>
        <v/>
      </c>
    </row>
    <row r="85" spans="1:10">
      <c r="A85" s="7" t="str">
        <f>IF(子基金及业绩基准周净值!A110="","",子基金及业绩基准周净值!A110)</f>
        <v/>
      </c>
      <c r="B85" s="1" t="str">
        <f>IF(A85="","",VLOOKUP($A85,子基金及业绩基准周净值!$A:$AV,11))</f>
        <v/>
      </c>
      <c r="C85" s="8" t="str">
        <f t="shared" si="4"/>
        <v/>
      </c>
      <c r="D85" s="9" t="str">
        <f>IF(A85="","",C85-子基金及业绩基准周净值!AI110)</f>
        <v/>
      </c>
      <c r="E85" s="12" t="str">
        <f>IF(A85="","",(MAX(B$3:B85)-B85)/MAX(B$3:B85))</f>
        <v/>
      </c>
      <c r="F85" s="12" t="str">
        <f>IF(A85="","",MAX(E$4:E85))</f>
        <v/>
      </c>
      <c r="G85" s="17"/>
      <c r="H85" s="14" t="str">
        <f t="shared" si="5"/>
        <v/>
      </c>
      <c r="I85" s="14" t="str">
        <f t="shared" si="6"/>
        <v/>
      </c>
      <c r="J85" s="15" t="str">
        <f t="shared" si="7"/>
        <v/>
      </c>
    </row>
    <row r="86" spans="1:10">
      <c r="A86" s="7" t="str">
        <f>IF(子基金及业绩基准周净值!A111="","",子基金及业绩基准周净值!A111)</f>
        <v/>
      </c>
      <c r="B86" s="1" t="str">
        <f>IF(A86="","",VLOOKUP($A86,子基金及业绩基准周净值!$A:$AV,11))</f>
        <v/>
      </c>
      <c r="C86" s="8" t="str">
        <f t="shared" si="4"/>
        <v/>
      </c>
      <c r="D86" s="9" t="str">
        <f>IF(A86="","",C86-子基金及业绩基准周净值!AI111)</f>
        <v/>
      </c>
      <c r="E86" s="12" t="str">
        <f>IF(A86="","",(MAX(B$3:B86)-B86)/MAX(B$3:B86))</f>
        <v/>
      </c>
      <c r="F86" s="12" t="str">
        <f>IF(A86="","",MAX(E$4:E86))</f>
        <v/>
      </c>
      <c r="G86" s="17"/>
      <c r="H86" s="14" t="str">
        <f t="shared" si="5"/>
        <v/>
      </c>
      <c r="I86" s="14" t="str">
        <f t="shared" si="6"/>
        <v/>
      </c>
      <c r="J86" s="15" t="str">
        <f t="shared" si="7"/>
        <v/>
      </c>
    </row>
    <row r="87" spans="1:10">
      <c r="A87" s="7" t="str">
        <f>IF(子基金及业绩基准周净值!A112="","",子基金及业绩基准周净值!A112)</f>
        <v/>
      </c>
      <c r="B87" s="1" t="str">
        <f>IF(A87="","",VLOOKUP($A87,子基金及业绩基准周净值!$A:$AV,11))</f>
        <v/>
      </c>
      <c r="C87" s="8" t="str">
        <f t="shared" si="4"/>
        <v/>
      </c>
      <c r="D87" s="9" t="str">
        <f>IF(A87="","",C87-子基金及业绩基准周净值!AI112)</f>
        <v/>
      </c>
      <c r="E87" s="12" t="str">
        <f>IF(A87="","",(MAX(B$3:B87)-B87)/MAX(B$3:B87))</f>
        <v/>
      </c>
      <c r="F87" s="12" t="str">
        <f>IF(A87="","",MAX(E$4:E87))</f>
        <v/>
      </c>
      <c r="G87" s="17"/>
      <c r="H87" s="14" t="str">
        <f t="shared" si="5"/>
        <v/>
      </c>
      <c r="I87" s="14" t="str">
        <f t="shared" si="6"/>
        <v/>
      </c>
      <c r="J87" s="15" t="str">
        <f t="shared" si="7"/>
        <v/>
      </c>
    </row>
    <row r="88" spans="1:10">
      <c r="A88" s="7" t="str">
        <f>IF(子基金及业绩基准周净值!A113="","",子基金及业绩基准周净值!A113)</f>
        <v/>
      </c>
      <c r="B88" s="1" t="str">
        <f>IF(A88="","",VLOOKUP($A88,子基金及业绩基准周净值!$A:$AV,11))</f>
        <v/>
      </c>
      <c r="C88" s="8" t="str">
        <f t="shared" si="4"/>
        <v/>
      </c>
      <c r="D88" s="9" t="str">
        <f>IF(A88="","",C88-子基金及业绩基准周净值!AI113)</f>
        <v/>
      </c>
      <c r="E88" s="12" t="str">
        <f>IF(A88="","",(MAX(B$3:B88)-B88)/MAX(B$3:B88))</f>
        <v/>
      </c>
      <c r="F88" s="12" t="str">
        <f>IF(A88="","",MAX(E$4:E88))</f>
        <v/>
      </c>
      <c r="G88" s="17"/>
      <c r="H88" s="14" t="str">
        <f t="shared" si="5"/>
        <v/>
      </c>
      <c r="I88" s="14" t="str">
        <f t="shared" si="6"/>
        <v/>
      </c>
      <c r="J88" s="15" t="str">
        <f t="shared" si="7"/>
        <v/>
      </c>
    </row>
    <row r="89" spans="1:10">
      <c r="A89" s="7" t="str">
        <f>IF(子基金及业绩基准周净值!A114="","",子基金及业绩基准周净值!A114)</f>
        <v/>
      </c>
      <c r="B89" s="1" t="str">
        <f>IF(A89="","",VLOOKUP($A89,子基金及业绩基准周净值!$A:$AV,11))</f>
        <v/>
      </c>
      <c r="C89" s="8" t="str">
        <f t="shared" si="4"/>
        <v/>
      </c>
      <c r="D89" s="9" t="str">
        <f>IF(A89="","",C89-子基金及业绩基准周净值!AI114)</f>
        <v/>
      </c>
      <c r="E89" s="12" t="str">
        <f>IF(A89="","",(MAX(B$3:B89)-B89)/MAX(B$3:B89))</f>
        <v/>
      </c>
      <c r="F89" s="12" t="str">
        <f>IF(A89="","",MAX(E$4:E89))</f>
        <v/>
      </c>
      <c r="G89" s="17"/>
      <c r="H89" s="14" t="str">
        <f t="shared" si="5"/>
        <v/>
      </c>
      <c r="I89" s="14" t="str">
        <f t="shared" si="6"/>
        <v/>
      </c>
      <c r="J89" s="15" t="str">
        <f t="shared" si="7"/>
        <v/>
      </c>
    </row>
    <row r="90" spans="1:10">
      <c r="A90" s="7" t="str">
        <f>IF(子基金及业绩基准周净值!A115="","",子基金及业绩基准周净值!A115)</f>
        <v/>
      </c>
      <c r="B90" s="1" t="str">
        <f>IF(A90="","",VLOOKUP($A90,子基金及业绩基准周净值!$A:$AV,11))</f>
        <v/>
      </c>
      <c r="C90" s="8" t="str">
        <f t="shared" si="4"/>
        <v/>
      </c>
      <c r="D90" s="9" t="str">
        <f>IF(A90="","",C90-子基金及业绩基准周净值!AI115)</f>
        <v/>
      </c>
      <c r="E90" s="12" t="str">
        <f>IF(A90="","",(MAX(B$3:B90)-B90)/MAX(B$3:B90))</f>
        <v/>
      </c>
      <c r="F90" s="12" t="str">
        <f>IF(A90="","",MAX(E$4:E90))</f>
        <v/>
      </c>
      <c r="G90" s="17"/>
      <c r="H90" s="14" t="str">
        <f t="shared" si="5"/>
        <v/>
      </c>
      <c r="I90" s="14" t="str">
        <f t="shared" si="6"/>
        <v/>
      </c>
      <c r="J90" s="15" t="str">
        <f t="shared" si="7"/>
        <v/>
      </c>
    </row>
    <row r="91" spans="1:10">
      <c r="A91" s="7" t="str">
        <f>IF(子基金及业绩基准周净值!A116="","",子基金及业绩基准周净值!A116)</f>
        <v/>
      </c>
      <c r="B91" s="1" t="str">
        <f>IF(A91="","",VLOOKUP($A91,子基金及业绩基准周净值!$A:$AV,11))</f>
        <v/>
      </c>
      <c r="C91" s="8" t="str">
        <f t="shared" si="4"/>
        <v/>
      </c>
      <c r="D91" s="9" t="str">
        <f>IF(A91="","",C91-子基金及业绩基准周净值!AI116)</f>
        <v/>
      </c>
      <c r="E91" s="12" t="str">
        <f>IF(A91="","",(MAX(B$3:B91)-B91)/MAX(B$3:B91))</f>
        <v/>
      </c>
      <c r="F91" s="12" t="str">
        <f>IF(A91="","",MAX(E$4:E91))</f>
        <v/>
      </c>
      <c r="G91" s="17"/>
      <c r="H91" s="14" t="str">
        <f t="shared" si="5"/>
        <v/>
      </c>
      <c r="I91" s="14" t="str">
        <f t="shared" si="6"/>
        <v/>
      </c>
      <c r="J91" s="15" t="str">
        <f t="shared" si="7"/>
        <v/>
      </c>
    </row>
    <row r="92" spans="1:10">
      <c r="A92" s="7" t="str">
        <f>IF(子基金及业绩基准周净值!A117="","",子基金及业绩基准周净值!A117)</f>
        <v/>
      </c>
      <c r="B92" s="1" t="str">
        <f>IF(A92="","",VLOOKUP($A92,子基金及业绩基准周净值!$A:$AV,11))</f>
        <v/>
      </c>
      <c r="C92" s="8" t="str">
        <f t="shared" si="4"/>
        <v/>
      </c>
      <c r="D92" s="9" t="str">
        <f>IF(A92="","",C92-子基金及业绩基准周净值!AI117)</f>
        <v/>
      </c>
      <c r="E92" s="12" t="str">
        <f>IF(A92="","",(MAX(B$3:B92)-B92)/MAX(B$3:B92))</f>
        <v/>
      </c>
      <c r="F92" s="12" t="str">
        <f>IF(A92="","",MAX(E$4:E92))</f>
        <v/>
      </c>
      <c r="G92" s="17"/>
      <c r="H92" s="14" t="str">
        <f t="shared" si="5"/>
        <v/>
      </c>
      <c r="I92" s="14" t="str">
        <f t="shared" si="6"/>
        <v/>
      </c>
      <c r="J92" s="15" t="str">
        <f t="shared" si="7"/>
        <v/>
      </c>
    </row>
    <row r="93" spans="1:10">
      <c r="A93" s="7" t="str">
        <f>IF(子基金及业绩基准周净值!A118="","",子基金及业绩基准周净值!A118)</f>
        <v/>
      </c>
      <c r="B93" s="1" t="str">
        <f>IF(A93="","",VLOOKUP($A93,子基金及业绩基准周净值!$A:$AV,11))</f>
        <v/>
      </c>
      <c r="C93" s="8" t="str">
        <f t="shared" si="4"/>
        <v/>
      </c>
      <c r="D93" s="9" t="str">
        <f>IF(A93="","",C93-子基金及业绩基准周净值!AI118)</f>
        <v/>
      </c>
      <c r="E93" s="12" t="str">
        <f>IF(A93="","",(MAX(B$3:B93)-B93)/MAX(B$3:B93))</f>
        <v/>
      </c>
      <c r="F93" s="12" t="str">
        <f>IF(A93="","",MAX(E$4:E93))</f>
        <v/>
      </c>
      <c r="G93" s="17"/>
      <c r="H93" s="14" t="str">
        <f t="shared" si="5"/>
        <v/>
      </c>
      <c r="I93" s="14" t="str">
        <f t="shared" si="6"/>
        <v/>
      </c>
      <c r="J93" s="15" t="str">
        <f t="shared" si="7"/>
        <v/>
      </c>
    </row>
    <row r="94" spans="1:10">
      <c r="A94" s="7" t="str">
        <f>IF(子基金及业绩基准周净值!A119="","",子基金及业绩基准周净值!A119)</f>
        <v/>
      </c>
      <c r="B94" s="1" t="str">
        <f>IF(A94="","",VLOOKUP($A94,子基金及业绩基准周净值!$A:$AV,11))</f>
        <v/>
      </c>
      <c r="C94" s="8" t="str">
        <f t="shared" si="4"/>
        <v/>
      </c>
      <c r="D94" s="9" t="str">
        <f>IF(A94="","",C94-子基金及业绩基准周净值!AI119)</f>
        <v/>
      </c>
      <c r="E94" s="12" t="str">
        <f>IF(A94="","",(MAX(B$3:B94)-B94)/MAX(B$3:B94))</f>
        <v/>
      </c>
      <c r="F94" s="12" t="str">
        <f>IF(A94="","",MAX(E$4:E94))</f>
        <v/>
      </c>
      <c r="G94" s="17"/>
      <c r="H94" s="14" t="str">
        <f t="shared" si="5"/>
        <v/>
      </c>
      <c r="I94" s="14" t="str">
        <f t="shared" si="6"/>
        <v/>
      </c>
      <c r="J94" s="15" t="str">
        <f t="shared" si="7"/>
        <v/>
      </c>
    </row>
    <row r="95" spans="1:10">
      <c r="A95" s="7" t="str">
        <f>IF(子基金及业绩基准周净值!A120="","",子基金及业绩基准周净值!A120)</f>
        <v/>
      </c>
      <c r="B95" s="1" t="str">
        <f>IF(A95="","",VLOOKUP($A95,子基金及业绩基准周净值!$A:$AV,11))</f>
        <v/>
      </c>
      <c r="C95" s="8" t="str">
        <f t="shared" si="4"/>
        <v/>
      </c>
      <c r="D95" s="9" t="str">
        <f>IF(A95="","",C95-子基金及业绩基准周净值!AI120)</f>
        <v/>
      </c>
      <c r="E95" s="12" t="str">
        <f>IF(A95="","",(MAX(B$3:B95)-B95)/MAX(B$3:B95))</f>
        <v/>
      </c>
      <c r="F95" s="12" t="str">
        <f>IF(A95="","",MAX(E$4:E95))</f>
        <v/>
      </c>
      <c r="G95" s="17"/>
      <c r="H95" s="14" t="str">
        <f t="shared" si="5"/>
        <v/>
      </c>
      <c r="I95" s="14" t="str">
        <f t="shared" si="6"/>
        <v/>
      </c>
      <c r="J95" s="15" t="str">
        <f t="shared" si="7"/>
        <v/>
      </c>
    </row>
    <row r="96" spans="1:10">
      <c r="A96" s="7" t="str">
        <f>IF(子基金及业绩基准周净值!A121="","",子基金及业绩基准周净值!A121)</f>
        <v/>
      </c>
      <c r="B96" s="1" t="str">
        <f>IF(A96="","",VLOOKUP($A96,子基金及业绩基准周净值!$A:$AV,11))</f>
        <v/>
      </c>
      <c r="C96" s="8" t="str">
        <f t="shared" si="4"/>
        <v/>
      </c>
      <c r="D96" s="9" t="str">
        <f>IF(A96="","",C96-子基金及业绩基准周净值!AI121)</f>
        <v/>
      </c>
      <c r="E96" s="12" t="str">
        <f>IF(A96="","",(MAX(B$3:B96)-B96)/MAX(B$3:B96))</f>
        <v/>
      </c>
      <c r="F96" s="12" t="str">
        <f>IF(A96="","",MAX(E$4:E96))</f>
        <v/>
      </c>
      <c r="G96" s="17"/>
      <c r="H96" s="14" t="str">
        <f t="shared" si="5"/>
        <v/>
      </c>
      <c r="I96" s="14" t="str">
        <f t="shared" si="6"/>
        <v/>
      </c>
      <c r="J96" s="15" t="str">
        <f t="shared" si="7"/>
        <v/>
      </c>
    </row>
    <row r="97" spans="1:10">
      <c r="A97" s="7" t="str">
        <f>IF(子基金及业绩基准周净值!A122="","",子基金及业绩基准周净值!A122)</f>
        <v/>
      </c>
      <c r="B97" s="1" t="str">
        <f>IF(A97="","",VLOOKUP($A97,子基金及业绩基准周净值!$A:$AV,11))</f>
        <v/>
      </c>
      <c r="C97" s="8" t="str">
        <f t="shared" si="4"/>
        <v/>
      </c>
      <c r="D97" s="9" t="str">
        <f>IF(A97="","",C97-子基金及业绩基准周净值!AI122)</f>
        <v/>
      </c>
      <c r="E97" s="12" t="str">
        <f>IF(A97="","",(MAX(B$3:B97)-B97)/MAX(B$3:B97))</f>
        <v/>
      </c>
      <c r="F97" s="12" t="str">
        <f>IF(A97="","",MAX(E$4:E97))</f>
        <v/>
      </c>
      <c r="G97" s="17"/>
      <c r="H97" s="14" t="str">
        <f t="shared" si="5"/>
        <v/>
      </c>
      <c r="I97" s="14" t="str">
        <f t="shared" si="6"/>
        <v/>
      </c>
      <c r="J97" s="15" t="str">
        <f t="shared" si="7"/>
        <v/>
      </c>
    </row>
    <row r="98" spans="1:10">
      <c r="A98" s="7" t="str">
        <f>IF(子基金及业绩基准周净值!A123="","",子基金及业绩基准周净值!A123)</f>
        <v/>
      </c>
      <c r="B98" s="1" t="str">
        <f>IF(A98="","",VLOOKUP($A98,子基金及业绩基准周净值!$A:$AV,11))</f>
        <v/>
      </c>
      <c r="C98" s="8" t="str">
        <f t="shared" si="4"/>
        <v/>
      </c>
      <c r="D98" s="9" t="str">
        <f>IF(A98="","",C98-子基金及业绩基准周净值!AI123)</f>
        <v/>
      </c>
      <c r="E98" s="12" t="str">
        <f>IF(A98="","",(MAX(B$3:B98)-B98)/MAX(B$3:B98))</f>
        <v/>
      </c>
      <c r="F98" s="12" t="str">
        <f>IF(A98="","",MAX(E$4:E98))</f>
        <v/>
      </c>
      <c r="G98" s="17"/>
      <c r="H98" s="14" t="str">
        <f t="shared" si="5"/>
        <v/>
      </c>
      <c r="I98" s="14" t="str">
        <f t="shared" si="6"/>
        <v/>
      </c>
      <c r="J98" s="15" t="str">
        <f t="shared" si="7"/>
        <v/>
      </c>
    </row>
    <row r="99" spans="1:10">
      <c r="A99" s="7" t="str">
        <f>IF(子基金及业绩基准周净值!A124="","",子基金及业绩基准周净值!A124)</f>
        <v/>
      </c>
      <c r="B99" s="1" t="str">
        <f>IF(A99="","",VLOOKUP($A99,子基金及业绩基准周净值!$A:$AV,11))</f>
        <v/>
      </c>
      <c r="C99" s="8" t="str">
        <f t="shared" si="4"/>
        <v/>
      </c>
      <c r="D99" s="9" t="str">
        <f>IF(A99="","",C99-子基金及业绩基准周净值!AI124)</f>
        <v/>
      </c>
      <c r="E99" s="12" t="str">
        <f>IF(A99="","",(MAX(B$3:B99)-B99)/MAX(B$3:B99))</f>
        <v/>
      </c>
      <c r="F99" s="12" t="str">
        <f>IF(A99="","",MAX(E$4:E99))</f>
        <v/>
      </c>
      <c r="G99" s="17"/>
      <c r="H99" s="14" t="str">
        <f t="shared" si="5"/>
        <v/>
      </c>
      <c r="I99" s="14" t="str">
        <f t="shared" si="6"/>
        <v/>
      </c>
      <c r="J99" s="15" t="str">
        <f t="shared" si="7"/>
        <v/>
      </c>
    </row>
    <row r="100" spans="1:10">
      <c r="A100" s="7" t="str">
        <f>IF(子基金及业绩基准周净值!A125="","",子基金及业绩基准周净值!A125)</f>
        <v/>
      </c>
      <c r="B100" s="1" t="str">
        <f>IF(A100="","",VLOOKUP($A100,子基金及业绩基准周净值!$A:$AV,11))</f>
        <v/>
      </c>
      <c r="C100" s="8" t="str">
        <f t="shared" si="4"/>
        <v/>
      </c>
      <c r="D100" s="9" t="str">
        <f>IF(A100="","",C100-子基金及业绩基准周净值!AI125)</f>
        <v/>
      </c>
      <c r="E100" s="12" t="str">
        <f>IF(A100="","",(MAX(B$3:B100)-B100)/MAX(B$3:B100))</f>
        <v/>
      </c>
      <c r="F100" s="12" t="str">
        <f>IF(A100="","",MAX(E$4:E100))</f>
        <v/>
      </c>
      <c r="G100" s="17"/>
      <c r="H100" s="14" t="str">
        <f t="shared" si="5"/>
        <v/>
      </c>
      <c r="I100" s="14" t="str">
        <f t="shared" si="6"/>
        <v/>
      </c>
      <c r="J100" s="15" t="str">
        <f t="shared" si="7"/>
        <v/>
      </c>
    </row>
    <row r="101" spans="1:10">
      <c r="A101" s="7" t="str">
        <f>IF(子基金及业绩基准周净值!A126="","",子基金及业绩基准周净值!A126)</f>
        <v/>
      </c>
      <c r="B101" s="1" t="str">
        <f>IF(A101="","",VLOOKUP($A101,子基金及业绩基准周净值!$A:$AV,11))</f>
        <v/>
      </c>
      <c r="C101" s="8" t="str">
        <f t="shared" si="4"/>
        <v/>
      </c>
      <c r="D101" s="9" t="str">
        <f>IF(A101="","",C101-子基金及业绩基准周净值!AI126)</f>
        <v/>
      </c>
      <c r="E101" s="12" t="str">
        <f>IF(A101="","",(MAX(B$3:B101)-B101)/MAX(B$3:B101))</f>
        <v/>
      </c>
      <c r="F101" s="12" t="str">
        <f>IF(A101="","",MAX(E$4:E101))</f>
        <v/>
      </c>
      <c r="G101" s="17"/>
      <c r="H101" s="14" t="str">
        <f t="shared" si="5"/>
        <v/>
      </c>
      <c r="I101" s="14" t="str">
        <f t="shared" si="6"/>
        <v/>
      </c>
      <c r="J101" s="15" t="str">
        <f t="shared" si="7"/>
        <v/>
      </c>
    </row>
    <row r="102" spans="1:10">
      <c r="A102" s="7" t="str">
        <f>IF(子基金及业绩基准周净值!A127="","",子基金及业绩基准周净值!A127)</f>
        <v/>
      </c>
      <c r="B102" s="1" t="str">
        <f>IF(A102="","",VLOOKUP($A102,子基金及业绩基准周净值!$A:$AV,11))</f>
        <v/>
      </c>
      <c r="C102" s="8" t="str">
        <f t="shared" si="4"/>
        <v/>
      </c>
      <c r="D102" s="9" t="str">
        <f>IF(A102="","",C102-子基金及业绩基准周净值!AI127)</f>
        <v/>
      </c>
      <c r="E102" s="12" t="str">
        <f>IF(A102="","",(MAX(B$3:B102)-B102)/MAX(B$3:B102))</f>
        <v/>
      </c>
      <c r="F102" s="12" t="str">
        <f>IF(A102="","",MAX(E$4:E102))</f>
        <v/>
      </c>
      <c r="G102" s="17"/>
      <c r="H102" s="14" t="str">
        <f t="shared" si="5"/>
        <v/>
      </c>
      <c r="I102" s="14" t="str">
        <f t="shared" si="6"/>
        <v/>
      </c>
      <c r="J102" s="15" t="str">
        <f t="shared" si="7"/>
        <v/>
      </c>
    </row>
    <row r="103" spans="1:10">
      <c r="A103" s="7" t="str">
        <f>IF(子基金及业绩基准周净值!A128="","",子基金及业绩基准周净值!A128)</f>
        <v/>
      </c>
      <c r="B103" s="1" t="str">
        <f>IF(A103="","",VLOOKUP($A103,子基金及业绩基准周净值!$A:$AV,11))</f>
        <v/>
      </c>
      <c r="C103" s="8" t="str">
        <f t="shared" si="4"/>
        <v/>
      </c>
      <c r="D103" s="9" t="str">
        <f>IF(A103="","",C103-子基金及业绩基准周净值!AI128)</f>
        <v/>
      </c>
      <c r="E103" s="12" t="str">
        <f>IF(A103="","",(MAX(B$3:B103)-B103)/MAX(B$3:B103))</f>
        <v/>
      </c>
      <c r="F103" s="12" t="str">
        <f>IF(A103="","",MAX(E$4:E103))</f>
        <v/>
      </c>
      <c r="G103" s="17"/>
      <c r="H103" s="14" t="str">
        <f t="shared" si="5"/>
        <v/>
      </c>
      <c r="I103" s="14" t="str">
        <f t="shared" si="6"/>
        <v/>
      </c>
      <c r="J103" s="15" t="str">
        <f t="shared" si="7"/>
        <v/>
      </c>
    </row>
    <row r="104" spans="1:10">
      <c r="A104" s="7" t="str">
        <f>IF(子基金及业绩基准周净值!A129="","",子基金及业绩基准周净值!A129)</f>
        <v/>
      </c>
      <c r="B104" s="1" t="str">
        <f>IF(A104="","",VLOOKUP($A104,子基金及业绩基准周净值!$A:$AV,11))</f>
        <v/>
      </c>
      <c r="C104" s="8" t="str">
        <f t="shared" si="4"/>
        <v/>
      </c>
      <c r="D104" s="9" t="str">
        <f>IF(A104="","",C104-子基金及业绩基准周净值!AI129)</f>
        <v/>
      </c>
      <c r="E104" s="12" t="str">
        <f>IF(A104="","",(MAX(B$3:B104)-B104)/MAX(B$3:B104))</f>
        <v/>
      </c>
      <c r="F104" s="12" t="str">
        <f>IF(A104="","",MAX(E$4:E104))</f>
        <v/>
      </c>
      <c r="G104" s="17"/>
      <c r="H104" s="14" t="str">
        <f t="shared" si="5"/>
        <v/>
      </c>
      <c r="I104" s="14" t="str">
        <f t="shared" si="6"/>
        <v/>
      </c>
      <c r="J104" s="15" t="str">
        <f t="shared" si="7"/>
        <v/>
      </c>
    </row>
    <row r="105" spans="1:10">
      <c r="A105" s="7" t="str">
        <f>IF(子基金及业绩基准周净值!A130="","",子基金及业绩基准周净值!A130)</f>
        <v/>
      </c>
      <c r="B105" s="1" t="str">
        <f>IF(A105="","",VLOOKUP($A105,子基金及业绩基准周净值!$A:$AV,11))</f>
        <v/>
      </c>
      <c r="C105" s="8" t="str">
        <f t="shared" si="4"/>
        <v/>
      </c>
      <c r="D105" s="9" t="str">
        <f>IF(A105="","",C105-子基金及业绩基准周净值!AI130)</f>
        <v/>
      </c>
      <c r="E105" s="12" t="str">
        <f>IF(A105="","",(MAX(B$3:B105)-B105)/MAX(B$3:B105))</f>
        <v/>
      </c>
      <c r="F105" s="12" t="str">
        <f>IF(A105="","",MAX(E$4:E105))</f>
        <v/>
      </c>
      <c r="G105" s="17"/>
      <c r="H105" s="14" t="str">
        <f t="shared" si="5"/>
        <v/>
      </c>
      <c r="I105" s="14" t="str">
        <f t="shared" si="6"/>
        <v/>
      </c>
      <c r="J105" s="15" t="str">
        <f t="shared" si="7"/>
        <v/>
      </c>
    </row>
    <row r="106" spans="1:10">
      <c r="A106" s="7" t="str">
        <f>IF(子基金及业绩基准周净值!A131="","",子基金及业绩基准周净值!A131)</f>
        <v/>
      </c>
      <c r="B106" s="1" t="str">
        <f>IF(A106="","",VLOOKUP($A106,子基金及业绩基准周净值!$A:$AV,11))</f>
        <v/>
      </c>
      <c r="C106" s="8" t="str">
        <f t="shared" si="4"/>
        <v/>
      </c>
      <c r="D106" s="9" t="str">
        <f>IF(A106="","",C106-子基金及业绩基准周净值!AI131)</f>
        <v/>
      </c>
      <c r="E106" s="12" t="str">
        <f>IF(A106="","",(MAX(B$3:B106)-B106)/MAX(B$3:B106))</f>
        <v/>
      </c>
      <c r="F106" s="12" t="str">
        <f>IF(A106="","",MAX(E$4:E106))</f>
        <v/>
      </c>
      <c r="G106" s="17"/>
      <c r="H106" s="14" t="str">
        <f t="shared" si="5"/>
        <v/>
      </c>
      <c r="I106" s="14" t="str">
        <f t="shared" si="6"/>
        <v/>
      </c>
      <c r="J106" s="15" t="str">
        <f t="shared" si="7"/>
        <v/>
      </c>
    </row>
    <row r="107" spans="1:10">
      <c r="A107" s="7" t="str">
        <f>IF(子基金及业绩基准周净值!A132="","",子基金及业绩基准周净值!A132)</f>
        <v/>
      </c>
      <c r="B107" s="1" t="str">
        <f>IF(A107="","",VLOOKUP($A107,子基金及业绩基准周净值!$A:$AV,11))</f>
        <v/>
      </c>
      <c r="C107" s="8" t="str">
        <f t="shared" si="4"/>
        <v/>
      </c>
      <c r="D107" s="9" t="str">
        <f>IF(A107="","",C107-子基金及业绩基准周净值!AI132)</f>
        <v/>
      </c>
      <c r="E107" s="12" t="str">
        <f>IF(A107="","",(MAX(B$3:B107)-B107)/MAX(B$3:B107))</f>
        <v/>
      </c>
      <c r="F107" s="12" t="str">
        <f>IF(A107="","",MAX(E$4:E107))</f>
        <v/>
      </c>
      <c r="G107" s="17"/>
      <c r="H107" s="14" t="str">
        <f t="shared" si="5"/>
        <v/>
      </c>
      <c r="I107" s="14" t="str">
        <f t="shared" si="6"/>
        <v/>
      </c>
      <c r="J107" s="15" t="str">
        <f t="shared" si="7"/>
        <v/>
      </c>
    </row>
    <row r="108" spans="1:10">
      <c r="A108" s="7" t="str">
        <f>IF(子基金及业绩基准周净值!A133="","",子基金及业绩基准周净值!A133)</f>
        <v/>
      </c>
      <c r="B108" s="1" t="str">
        <f>IF(A108="","",VLOOKUP($A108,子基金及业绩基准周净值!$A:$AV,11))</f>
        <v/>
      </c>
      <c r="C108" s="8" t="str">
        <f t="shared" si="4"/>
        <v/>
      </c>
      <c r="D108" s="9" t="str">
        <f>IF(A108="","",C108-子基金及业绩基准周净值!AI133)</f>
        <v/>
      </c>
      <c r="E108" s="12" t="str">
        <f>IF(A108="","",(MAX(B$3:B108)-B108)/MAX(B$3:B108))</f>
        <v/>
      </c>
      <c r="F108" s="12" t="str">
        <f>IF(A108="","",MAX(E$4:E108))</f>
        <v/>
      </c>
      <c r="G108" s="17"/>
      <c r="H108" s="14" t="str">
        <f t="shared" si="5"/>
        <v/>
      </c>
      <c r="I108" s="14" t="str">
        <f t="shared" si="6"/>
        <v/>
      </c>
      <c r="J108" s="15" t="str">
        <f t="shared" si="7"/>
        <v/>
      </c>
    </row>
    <row r="109" spans="1:10">
      <c r="A109" s="7" t="str">
        <f>IF(子基金及业绩基准周净值!A134="","",子基金及业绩基准周净值!A134)</f>
        <v/>
      </c>
      <c r="B109" s="1" t="str">
        <f>IF(A109="","",VLOOKUP($A109,子基金及业绩基准周净值!$A:$AV,11))</f>
        <v/>
      </c>
      <c r="C109" s="8" t="str">
        <f t="shared" si="4"/>
        <v/>
      </c>
      <c r="D109" s="9" t="str">
        <f>IF(A109="","",C109-子基金及业绩基准周净值!AI134)</f>
        <v/>
      </c>
      <c r="E109" s="12" t="str">
        <f>IF(A109="","",(MAX(B$3:B109)-B109)/MAX(B$3:B109))</f>
        <v/>
      </c>
      <c r="F109" s="12" t="str">
        <f>IF(A109="","",MAX(E$4:E109))</f>
        <v/>
      </c>
      <c r="G109" s="17"/>
      <c r="H109" s="14" t="str">
        <f t="shared" si="5"/>
        <v/>
      </c>
      <c r="I109" s="14" t="str">
        <f t="shared" si="6"/>
        <v/>
      </c>
      <c r="J109" s="15" t="str">
        <f t="shared" si="7"/>
        <v/>
      </c>
    </row>
    <row r="110" spans="1:10">
      <c r="A110" s="7" t="str">
        <f>IF(子基金及业绩基准周净值!A135="","",子基金及业绩基准周净值!A135)</f>
        <v/>
      </c>
      <c r="B110" s="1" t="str">
        <f>IF(A110="","",VLOOKUP($A110,子基金及业绩基准周净值!$A:$AV,11))</f>
        <v/>
      </c>
      <c r="C110" s="8" t="str">
        <f t="shared" si="4"/>
        <v/>
      </c>
      <c r="D110" s="9" t="str">
        <f>IF(A110="","",C110-子基金及业绩基准周净值!AI135)</f>
        <v/>
      </c>
      <c r="E110" s="12" t="str">
        <f>IF(A110="","",(MAX(B$3:B110)-B110)/MAX(B$3:B110))</f>
        <v/>
      </c>
      <c r="F110" s="12" t="str">
        <f>IF(A110="","",MAX(E$4:E110))</f>
        <v/>
      </c>
      <c r="G110" s="17"/>
      <c r="H110" s="14" t="str">
        <f t="shared" si="5"/>
        <v/>
      </c>
      <c r="I110" s="14" t="str">
        <f t="shared" si="6"/>
        <v/>
      </c>
      <c r="J110" s="15" t="str">
        <f t="shared" si="7"/>
        <v/>
      </c>
    </row>
    <row r="111" spans="1:10">
      <c r="A111" s="7" t="str">
        <f>IF(子基金及业绩基准周净值!A136="","",子基金及业绩基准周净值!A136)</f>
        <v/>
      </c>
      <c r="B111" s="1" t="str">
        <f>IF(A111="","",VLOOKUP($A111,子基金及业绩基准周净值!$A:$AV,11))</f>
        <v/>
      </c>
      <c r="C111" s="8" t="str">
        <f t="shared" si="4"/>
        <v/>
      </c>
      <c r="D111" s="9" t="str">
        <f>IF(A111="","",C111-子基金及业绩基准周净值!AI136)</f>
        <v/>
      </c>
      <c r="E111" s="12" t="str">
        <f>IF(A111="","",(MAX(B$3:B111)-B111)/MAX(B$3:B111))</f>
        <v/>
      </c>
      <c r="F111" s="12" t="str">
        <f>IF(A111="","",MAX(E$4:E111))</f>
        <v/>
      </c>
      <c r="G111" s="17"/>
      <c r="H111" s="14" t="str">
        <f t="shared" si="5"/>
        <v/>
      </c>
      <c r="I111" s="14" t="str">
        <f t="shared" si="6"/>
        <v/>
      </c>
      <c r="J111" s="15" t="str">
        <f t="shared" si="7"/>
        <v/>
      </c>
    </row>
    <row r="112" spans="1:10">
      <c r="A112" s="7" t="str">
        <f>IF(子基金及业绩基准周净值!A137="","",子基金及业绩基准周净值!A137)</f>
        <v/>
      </c>
      <c r="B112" s="1" t="str">
        <f>IF(A112="","",VLOOKUP($A112,子基金及业绩基准周净值!$A:$AV,11))</f>
        <v/>
      </c>
      <c r="C112" s="8" t="str">
        <f t="shared" si="4"/>
        <v/>
      </c>
      <c r="D112" s="9" t="str">
        <f>IF(A112="","",C112-子基金及业绩基准周净值!AI137)</f>
        <v/>
      </c>
      <c r="E112" s="12" t="str">
        <f>IF(A112="","",(MAX(B$3:B112)-B112)/MAX(B$3:B112))</f>
        <v/>
      </c>
      <c r="F112" s="12" t="str">
        <f>IF(A112="","",MAX(E$4:E112))</f>
        <v/>
      </c>
      <c r="G112" s="17"/>
      <c r="H112" s="14" t="str">
        <f t="shared" si="5"/>
        <v/>
      </c>
      <c r="I112" s="14" t="str">
        <f t="shared" si="6"/>
        <v/>
      </c>
      <c r="J112" s="15" t="str">
        <f t="shared" si="7"/>
        <v/>
      </c>
    </row>
    <row r="113" spans="1:10">
      <c r="A113" s="7" t="str">
        <f>IF(子基金及业绩基准周净值!A138="","",子基金及业绩基准周净值!A138)</f>
        <v/>
      </c>
      <c r="B113" s="1" t="str">
        <f>IF(A113="","",VLOOKUP($A113,子基金及业绩基准周净值!$A:$AV,11))</f>
        <v/>
      </c>
      <c r="C113" s="8" t="str">
        <f t="shared" si="4"/>
        <v/>
      </c>
      <c r="D113" s="9" t="str">
        <f>IF(A113="","",C113-子基金及业绩基准周净值!AI138)</f>
        <v/>
      </c>
      <c r="E113" s="12" t="str">
        <f>IF(A113="","",(MAX(B$3:B113)-B113)/MAX(B$3:B113))</f>
        <v/>
      </c>
      <c r="F113" s="12" t="str">
        <f>IF(A113="","",MAX(E$4:E113))</f>
        <v/>
      </c>
      <c r="G113" s="17"/>
      <c r="H113" s="14" t="str">
        <f t="shared" si="5"/>
        <v/>
      </c>
      <c r="I113" s="14" t="str">
        <f t="shared" si="6"/>
        <v/>
      </c>
      <c r="J113" s="15" t="str">
        <f t="shared" si="7"/>
        <v/>
      </c>
    </row>
    <row r="114" spans="1:10">
      <c r="A114" s="7" t="str">
        <f>IF(子基金及业绩基准周净值!A139="","",子基金及业绩基准周净值!A139)</f>
        <v/>
      </c>
      <c r="B114" s="1" t="str">
        <f>IF(A114="","",VLOOKUP($A114,子基金及业绩基准周净值!$A:$AV,11))</f>
        <v/>
      </c>
      <c r="C114" s="8" t="str">
        <f t="shared" si="4"/>
        <v/>
      </c>
      <c r="D114" s="9" t="str">
        <f>IF(A114="","",C114-子基金及业绩基准周净值!AI139)</f>
        <v/>
      </c>
      <c r="E114" s="12" t="str">
        <f>IF(A114="","",(MAX(B$3:B114)-B114)/MAX(B$3:B114))</f>
        <v/>
      </c>
      <c r="F114" s="12" t="str">
        <f>IF(A114="","",MAX(E$4:E114))</f>
        <v/>
      </c>
      <c r="G114" s="17"/>
      <c r="H114" s="14" t="str">
        <f t="shared" si="5"/>
        <v/>
      </c>
      <c r="I114" s="14" t="str">
        <f t="shared" si="6"/>
        <v/>
      </c>
      <c r="J114" s="15" t="str">
        <f t="shared" si="7"/>
        <v/>
      </c>
    </row>
    <row r="115" spans="1:10">
      <c r="A115" s="7" t="str">
        <f>IF(子基金及业绩基准周净值!A140="","",子基金及业绩基准周净值!A140)</f>
        <v/>
      </c>
      <c r="B115" s="1" t="str">
        <f>IF(A115="","",VLOOKUP($A115,子基金及业绩基准周净值!$A:$AV,11))</f>
        <v/>
      </c>
      <c r="C115" s="8" t="str">
        <f t="shared" si="4"/>
        <v/>
      </c>
      <c r="D115" s="9" t="str">
        <f>IF(A115="","",C115-子基金及业绩基准周净值!AI140)</f>
        <v/>
      </c>
      <c r="E115" s="12" t="str">
        <f>IF(A115="","",(MAX(B$3:B115)-B115)/MAX(B$3:B115))</f>
        <v/>
      </c>
      <c r="F115" s="12" t="str">
        <f>IF(A115="","",MAX(E$4:E115))</f>
        <v/>
      </c>
      <c r="G115" s="17"/>
      <c r="H115" s="14" t="str">
        <f t="shared" si="5"/>
        <v/>
      </c>
      <c r="I115" s="14" t="str">
        <f t="shared" si="6"/>
        <v/>
      </c>
      <c r="J115" s="15" t="str">
        <f t="shared" si="7"/>
        <v/>
      </c>
    </row>
    <row r="116" spans="1:10">
      <c r="A116" s="7" t="str">
        <f>IF(子基金及业绩基准周净值!A141="","",子基金及业绩基准周净值!A141)</f>
        <v/>
      </c>
      <c r="B116" s="1" t="str">
        <f>IF(A116="","",VLOOKUP($A116,子基金及业绩基准周净值!$A:$AV,11))</f>
        <v/>
      </c>
      <c r="C116" s="8" t="str">
        <f t="shared" si="4"/>
        <v/>
      </c>
      <c r="D116" s="9" t="str">
        <f>IF(A116="","",C116-子基金及业绩基准周净值!AI141)</f>
        <v/>
      </c>
      <c r="E116" s="12" t="str">
        <f>IF(A116="","",(MAX(B$3:B116)-B116)/MAX(B$3:B116))</f>
        <v/>
      </c>
      <c r="F116" s="12" t="str">
        <f>IF(A116="","",MAX(E$4:E116))</f>
        <v/>
      </c>
      <c r="G116" s="17"/>
      <c r="H116" s="14" t="str">
        <f t="shared" si="5"/>
        <v/>
      </c>
      <c r="I116" s="14" t="str">
        <f t="shared" si="6"/>
        <v/>
      </c>
      <c r="J116" s="15" t="str">
        <f t="shared" si="7"/>
        <v/>
      </c>
    </row>
    <row r="117" spans="1:10">
      <c r="A117" s="7" t="str">
        <f>IF(子基金及业绩基准周净值!A142="","",子基金及业绩基准周净值!A142)</f>
        <v/>
      </c>
      <c r="B117" s="1" t="str">
        <f>IF(A117="","",VLOOKUP($A117,子基金及业绩基准周净值!$A:$AV,11))</f>
        <v/>
      </c>
      <c r="C117" s="8" t="str">
        <f t="shared" si="4"/>
        <v/>
      </c>
      <c r="D117" s="9" t="str">
        <f>IF(A117="","",C117-子基金及业绩基准周净值!AI142)</f>
        <v/>
      </c>
      <c r="E117" s="12" t="str">
        <f>IF(A117="","",(MAX(B$3:B117)-B117)/MAX(B$3:B117))</f>
        <v/>
      </c>
      <c r="F117" s="12" t="str">
        <f>IF(A117="","",MAX(E$4:E117))</f>
        <v/>
      </c>
      <c r="G117" s="17"/>
      <c r="H117" s="14" t="str">
        <f t="shared" si="5"/>
        <v/>
      </c>
      <c r="I117" s="14" t="str">
        <f t="shared" si="6"/>
        <v/>
      </c>
      <c r="J117" s="15" t="str">
        <f t="shared" si="7"/>
        <v/>
      </c>
    </row>
    <row r="118" spans="1:10">
      <c r="A118" s="7" t="str">
        <f>IF(子基金及业绩基准周净值!A143="","",子基金及业绩基准周净值!A143)</f>
        <v/>
      </c>
      <c r="B118" s="1" t="str">
        <f>IF(A118="","",VLOOKUP($A118,子基金及业绩基准周净值!$A:$AV,11))</f>
        <v/>
      </c>
      <c r="C118" s="8" t="str">
        <f t="shared" si="4"/>
        <v/>
      </c>
      <c r="D118" s="9" t="str">
        <f>IF(A118="","",C118-子基金及业绩基准周净值!AI143)</f>
        <v/>
      </c>
      <c r="E118" s="12" t="str">
        <f>IF(A118="","",(MAX(B$3:B118)-B118)/MAX(B$3:B118))</f>
        <v/>
      </c>
      <c r="F118" s="12" t="str">
        <f>IF(A118="","",MAX(E$4:E118))</f>
        <v/>
      </c>
      <c r="G118" s="17"/>
      <c r="H118" s="14" t="str">
        <f t="shared" si="5"/>
        <v/>
      </c>
      <c r="I118" s="14" t="str">
        <f t="shared" si="6"/>
        <v/>
      </c>
      <c r="J118" s="15" t="str">
        <f t="shared" si="7"/>
        <v/>
      </c>
    </row>
    <row r="119" spans="1:10">
      <c r="A119" s="7" t="str">
        <f>IF(子基金及业绩基准周净值!A144="","",子基金及业绩基准周净值!A144)</f>
        <v/>
      </c>
      <c r="B119" s="1" t="str">
        <f>IF(A119="","",VLOOKUP($A119,子基金及业绩基准周净值!$A:$AV,11))</f>
        <v/>
      </c>
      <c r="C119" s="8" t="str">
        <f t="shared" si="4"/>
        <v/>
      </c>
      <c r="D119" s="9" t="str">
        <f>IF(A119="","",C119-子基金及业绩基准周净值!AI144)</f>
        <v/>
      </c>
      <c r="E119" s="12" t="str">
        <f>IF(A119="","",(MAX(B$3:B119)-B119)/MAX(B$3:B119))</f>
        <v/>
      </c>
      <c r="F119" s="12" t="str">
        <f>IF(A119="","",MAX(E$4:E119))</f>
        <v/>
      </c>
      <c r="G119" s="17"/>
      <c r="H119" s="14" t="str">
        <f t="shared" si="5"/>
        <v/>
      </c>
      <c r="I119" s="14" t="str">
        <f t="shared" si="6"/>
        <v/>
      </c>
      <c r="J119" s="15" t="str">
        <f t="shared" si="7"/>
        <v/>
      </c>
    </row>
    <row r="120" spans="1:10">
      <c r="A120" s="7" t="str">
        <f>IF(子基金及业绩基准周净值!A145="","",子基金及业绩基准周净值!A145)</f>
        <v/>
      </c>
      <c r="B120" s="1" t="str">
        <f>IF(A120="","",VLOOKUP($A120,子基金及业绩基准周净值!$A:$AV,11))</f>
        <v/>
      </c>
      <c r="C120" s="8" t="str">
        <f t="shared" si="4"/>
        <v/>
      </c>
      <c r="D120" s="9" t="str">
        <f>IF(A120="","",C120-子基金及业绩基准周净值!AI145)</f>
        <v/>
      </c>
      <c r="E120" s="12" t="str">
        <f>IF(A120="","",(MAX(B$3:B120)-B120)/MAX(B$3:B120))</f>
        <v/>
      </c>
      <c r="F120" s="12" t="str">
        <f>IF(A120="","",MAX(E$4:E120))</f>
        <v/>
      </c>
      <c r="G120" s="17"/>
      <c r="H120" s="14" t="str">
        <f t="shared" si="5"/>
        <v/>
      </c>
      <c r="I120" s="14" t="str">
        <f t="shared" si="6"/>
        <v/>
      </c>
      <c r="J120" s="15" t="str">
        <f t="shared" si="7"/>
        <v/>
      </c>
    </row>
    <row r="121" spans="1:10">
      <c r="A121" s="7" t="str">
        <f>IF(子基金及业绩基准周净值!A146="","",子基金及业绩基准周净值!A146)</f>
        <v/>
      </c>
      <c r="B121" s="1" t="str">
        <f>IF(A121="","",VLOOKUP($A121,子基金及业绩基准周净值!$A:$AV,11))</f>
        <v/>
      </c>
      <c r="C121" s="8" t="str">
        <f t="shared" si="4"/>
        <v/>
      </c>
      <c r="D121" s="9" t="str">
        <f>IF(A121="","",C121-子基金及业绩基准周净值!AI146)</f>
        <v/>
      </c>
      <c r="E121" s="12" t="str">
        <f>IF(A121="","",(MAX(B$3:B121)-B121)/MAX(B$3:B121))</f>
        <v/>
      </c>
      <c r="F121" s="12" t="str">
        <f>IF(A121="","",MAX(E$4:E121))</f>
        <v/>
      </c>
      <c r="G121" s="17"/>
      <c r="H121" s="14" t="str">
        <f t="shared" si="5"/>
        <v/>
      </c>
      <c r="I121" s="14" t="str">
        <f t="shared" si="6"/>
        <v/>
      </c>
      <c r="J121" s="15" t="str">
        <f t="shared" si="7"/>
        <v/>
      </c>
    </row>
    <row r="122" spans="1:10">
      <c r="A122" s="7" t="str">
        <f>IF(子基金及业绩基准周净值!A147="","",子基金及业绩基准周净值!A147)</f>
        <v/>
      </c>
      <c r="B122" s="1" t="str">
        <f>IF(A122="","",VLOOKUP($A122,子基金及业绩基准周净值!$A:$AV,11))</f>
        <v/>
      </c>
      <c r="C122" s="8" t="str">
        <f t="shared" si="4"/>
        <v/>
      </c>
      <c r="D122" s="9" t="str">
        <f>IF(A122="","",C122-子基金及业绩基准周净值!AI147)</f>
        <v/>
      </c>
      <c r="E122" s="12" t="str">
        <f>IF(A122="","",(MAX(B$3:B122)-B122)/MAX(B$3:B122))</f>
        <v/>
      </c>
      <c r="F122" s="12" t="str">
        <f>IF(A122="","",MAX(E$4:E122))</f>
        <v/>
      </c>
      <c r="G122" s="17"/>
      <c r="H122" s="14" t="str">
        <f t="shared" si="5"/>
        <v/>
      </c>
      <c r="I122" s="14" t="str">
        <f t="shared" si="6"/>
        <v/>
      </c>
      <c r="J122" s="15" t="str">
        <f t="shared" si="7"/>
        <v/>
      </c>
    </row>
    <row r="123" spans="1:10">
      <c r="A123" s="7" t="str">
        <f>IF(子基金及业绩基准周净值!A148="","",子基金及业绩基准周净值!A148)</f>
        <v/>
      </c>
      <c r="B123" s="1" t="str">
        <f>IF(A123="","",VLOOKUP($A123,子基金及业绩基准周净值!$A:$AV,11))</f>
        <v/>
      </c>
      <c r="C123" s="8" t="str">
        <f t="shared" si="4"/>
        <v/>
      </c>
      <c r="D123" s="9" t="str">
        <f>IF(A123="","",C123-子基金及业绩基准周净值!AI148)</f>
        <v/>
      </c>
      <c r="E123" s="12" t="str">
        <f>IF(A123="","",(MAX(B$3:B123)-B123)/MAX(B$3:B123))</f>
        <v/>
      </c>
      <c r="F123" s="12" t="str">
        <f>IF(A123="","",MAX(E$4:E123))</f>
        <v/>
      </c>
      <c r="G123" s="17"/>
      <c r="H123" s="14" t="str">
        <f t="shared" si="5"/>
        <v/>
      </c>
      <c r="I123" s="14" t="str">
        <f t="shared" si="6"/>
        <v/>
      </c>
      <c r="J123" s="15" t="str">
        <f t="shared" si="7"/>
        <v/>
      </c>
    </row>
    <row r="124" spans="1:10">
      <c r="A124" s="7" t="str">
        <f>IF(子基金及业绩基准周净值!A149="","",子基金及业绩基准周净值!A149)</f>
        <v/>
      </c>
      <c r="B124" s="1" t="str">
        <f>IF(A124="","",VLOOKUP($A124,子基金及业绩基准周净值!$A:$AV,11))</f>
        <v/>
      </c>
      <c r="C124" s="8" t="str">
        <f t="shared" si="4"/>
        <v/>
      </c>
      <c r="D124" s="9" t="str">
        <f>IF(A124="","",C124-子基金及业绩基准周净值!AI149)</f>
        <v/>
      </c>
      <c r="E124" s="12" t="str">
        <f>IF(A124="","",(MAX(B$3:B124)-B124)/MAX(B$3:B124))</f>
        <v/>
      </c>
      <c r="F124" s="12" t="str">
        <f>IF(A124="","",MAX(E$4:E124))</f>
        <v/>
      </c>
      <c r="G124" s="17"/>
      <c r="H124" s="14" t="str">
        <f t="shared" si="5"/>
        <v/>
      </c>
      <c r="I124" s="14" t="str">
        <f t="shared" si="6"/>
        <v/>
      </c>
      <c r="J124" s="15" t="str">
        <f t="shared" si="7"/>
        <v/>
      </c>
    </row>
    <row r="125" spans="1:10">
      <c r="A125" s="7" t="str">
        <f>IF(子基金及业绩基准周净值!A150="","",子基金及业绩基准周净值!A150)</f>
        <v/>
      </c>
      <c r="B125" s="1" t="str">
        <f>IF(A125="","",VLOOKUP($A125,子基金及业绩基准周净值!$A:$AV,11))</f>
        <v/>
      </c>
      <c r="C125" s="8" t="str">
        <f t="shared" si="4"/>
        <v/>
      </c>
      <c r="D125" s="9" t="str">
        <f>IF(A125="","",C125-子基金及业绩基准周净值!AI150)</f>
        <v/>
      </c>
      <c r="E125" s="12" t="str">
        <f>IF(A125="","",(MAX(B$3:B125)-B125)/MAX(B$3:B125))</f>
        <v/>
      </c>
      <c r="F125" s="12" t="str">
        <f>IF(A125="","",MAX(E$4:E125))</f>
        <v/>
      </c>
      <c r="G125" s="17"/>
      <c r="H125" s="14" t="str">
        <f t="shared" si="5"/>
        <v/>
      </c>
      <c r="I125" s="14" t="str">
        <f t="shared" si="6"/>
        <v/>
      </c>
      <c r="J125" s="15" t="str">
        <f t="shared" si="7"/>
        <v/>
      </c>
    </row>
    <row r="126" spans="1:10">
      <c r="A126" s="7" t="str">
        <f>IF(子基金及业绩基准周净值!A151="","",子基金及业绩基准周净值!A151)</f>
        <v/>
      </c>
      <c r="B126" s="1" t="str">
        <f>IF(A126="","",VLOOKUP($A126,子基金及业绩基准周净值!$A:$AV,11))</f>
        <v/>
      </c>
      <c r="C126" s="8" t="str">
        <f t="shared" si="4"/>
        <v/>
      </c>
      <c r="D126" s="9" t="str">
        <f>IF(A126="","",C126-子基金及业绩基准周净值!AI151)</f>
        <v/>
      </c>
      <c r="E126" s="12" t="str">
        <f>IF(A126="","",(MAX(B$3:B126)-B126)/MAX(B$3:B126))</f>
        <v/>
      </c>
      <c r="F126" s="12" t="str">
        <f>IF(A126="","",MAX(E$4:E126))</f>
        <v/>
      </c>
      <c r="G126" s="17"/>
      <c r="H126" s="14" t="str">
        <f t="shared" si="5"/>
        <v/>
      </c>
      <c r="I126" s="14" t="str">
        <f t="shared" si="6"/>
        <v/>
      </c>
      <c r="J126" s="15" t="str">
        <f t="shared" si="7"/>
        <v/>
      </c>
    </row>
    <row r="127" spans="1:10">
      <c r="A127" s="7" t="str">
        <f>IF(子基金及业绩基准周净值!A152="","",子基金及业绩基准周净值!A152)</f>
        <v/>
      </c>
      <c r="B127" s="1" t="str">
        <f>IF(A127="","",VLOOKUP($A127,子基金及业绩基准周净值!$A:$AV,11))</f>
        <v/>
      </c>
      <c r="C127" s="8" t="str">
        <f t="shared" si="4"/>
        <v/>
      </c>
      <c r="D127" s="9" t="str">
        <f>IF(A127="","",C127-子基金及业绩基准周净值!AI152)</f>
        <v/>
      </c>
      <c r="E127" s="12" t="str">
        <f>IF(A127="","",(MAX(B$3:B127)-B127)/MAX(B$3:B127))</f>
        <v/>
      </c>
      <c r="F127" s="12" t="str">
        <f>IF(A127="","",MAX(E$4:E127))</f>
        <v/>
      </c>
      <c r="G127" s="17"/>
      <c r="H127" s="14" t="str">
        <f t="shared" si="5"/>
        <v/>
      </c>
      <c r="I127" s="14" t="str">
        <f t="shared" si="6"/>
        <v/>
      </c>
      <c r="J127" s="15" t="str">
        <f t="shared" si="7"/>
        <v/>
      </c>
    </row>
    <row r="128" spans="1:10">
      <c r="A128" s="7" t="str">
        <f>IF(子基金及业绩基准周净值!A153="","",子基金及业绩基准周净值!A153)</f>
        <v/>
      </c>
      <c r="B128" s="1" t="str">
        <f>IF(A128="","",VLOOKUP($A128,子基金及业绩基准周净值!$A:$AV,11))</f>
        <v/>
      </c>
      <c r="C128" s="8" t="str">
        <f t="shared" si="4"/>
        <v/>
      </c>
      <c r="D128" s="9" t="str">
        <f>IF(A128="","",C128-子基金及业绩基准周净值!AI153)</f>
        <v/>
      </c>
      <c r="E128" s="12" t="str">
        <f>IF(A128="","",(MAX(B$3:B128)-B128)/MAX(B$3:B128))</f>
        <v/>
      </c>
      <c r="F128" s="12" t="str">
        <f>IF(A128="","",MAX(E$4:E128))</f>
        <v/>
      </c>
      <c r="G128" s="17"/>
      <c r="H128" s="14" t="str">
        <f t="shared" si="5"/>
        <v/>
      </c>
      <c r="I128" s="14" t="str">
        <f t="shared" si="6"/>
        <v/>
      </c>
      <c r="J128" s="15" t="str">
        <f t="shared" si="7"/>
        <v/>
      </c>
    </row>
    <row r="129" spans="1:10">
      <c r="A129" s="7" t="str">
        <f>IF(子基金及业绩基准周净值!A154="","",子基金及业绩基准周净值!A154)</f>
        <v/>
      </c>
      <c r="B129" s="1" t="str">
        <f>IF(A129="","",VLOOKUP($A129,子基金及业绩基准周净值!$A:$AV,11))</f>
        <v/>
      </c>
      <c r="C129" s="8" t="str">
        <f t="shared" si="4"/>
        <v/>
      </c>
      <c r="D129" s="9" t="str">
        <f>IF(A129="","",C129-子基金及业绩基准周净值!AI154)</f>
        <v/>
      </c>
      <c r="E129" s="12" t="str">
        <f>IF(A129="","",(MAX(B$3:B129)-B129)/MAX(B$3:B129))</f>
        <v/>
      </c>
      <c r="F129" s="12" t="str">
        <f>IF(A129="","",MAX(E$4:E129))</f>
        <v/>
      </c>
      <c r="G129" s="17"/>
      <c r="H129" s="14" t="str">
        <f t="shared" si="5"/>
        <v/>
      </c>
      <c r="I129" s="14" t="str">
        <f t="shared" si="6"/>
        <v/>
      </c>
      <c r="J129" s="15" t="str">
        <f t="shared" si="7"/>
        <v/>
      </c>
    </row>
    <row r="130" spans="1:10">
      <c r="A130" s="7" t="str">
        <f>IF(子基金及业绩基准周净值!A155="","",子基金及业绩基准周净值!A155)</f>
        <v/>
      </c>
      <c r="B130" s="1" t="str">
        <f>IF(A130="","",VLOOKUP($A130,子基金及业绩基准周净值!$A:$AV,11))</f>
        <v/>
      </c>
      <c r="C130" s="8" t="str">
        <f t="shared" si="4"/>
        <v/>
      </c>
      <c r="D130" s="9" t="str">
        <f>IF(A130="","",C130-子基金及业绩基准周净值!AI155)</f>
        <v/>
      </c>
      <c r="E130" s="12" t="str">
        <f>IF(A130="","",(MAX(B$3:B130)-B130)/MAX(B$3:B130))</f>
        <v/>
      </c>
      <c r="F130" s="12" t="str">
        <f>IF(A130="","",MAX(E$4:E130))</f>
        <v/>
      </c>
      <c r="G130" s="17"/>
      <c r="H130" s="14" t="str">
        <f t="shared" si="5"/>
        <v/>
      </c>
      <c r="I130" s="14" t="str">
        <f t="shared" si="6"/>
        <v/>
      </c>
      <c r="J130" s="15" t="str">
        <f t="shared" si="7"/>
        <v/>
      </c>
    </row>
    <row r="131" spans="1:10">
      <c r="A131" s="7" t="str">
        <f>IF(子基金及业绩基准周净值!A156="","",子基金及业绩基准周净值!A156)</f>
        <v/>
      </c>
      <c r="B131" s="1" t="str">
        <f>IF(A131="","",VLOOKUP($A131,子基金及业绩基准周净值!$A:$AV,11))</f>
        <v/>
      </c>
      <c r="C131" s="8" t="str">
        <f t="shared" si="4"/>
        <v/>
      </c>
      <c r="D131" s="9" t="str">
        <f>IF(A131="","",C131-子基金及业绩基准周净值!AI156)</f>
        <v/>
      </c>
      <c r="E131" s="12" t="str">
        <f>IF(A131="","",(MAX(B$3:B131)-B131)/MAX(B$3:B131))</f>
        <v/>
      </c>
      <c r="F131" s="12" t="str">
        <f>IF(A131="","",MAX(E$4:E131))</f>
        <v/>
      </c>
      <c r="G131" s="17"/>
      <c r="H131" s="14" t="str">
        <f t="shared" si="5"/>
        <v/>
      </c>
      <c r="I131" s="14" t="str">
        <f t="shared" si="6"/>
        <v/>
      </c>
      <c r="J131" s="15" t="str">
        <f t="shared" si="7"/>
        <v/>
      </c>
    </row>
    <row r="132" spans="1:10">
      <c r="A132" s="7" t="str">
        <f>IF(子基金及业绩基准周净值!A157="","",子基金及业绩基准周净值!A157)</f>
        <v/>
      </c>
      <c r="B132" s="1" t="str">
        <f>IF(A132="","",VLOOKUP($A132,子基金及业绩基准周净值!$A:$AV,11))</f>
        <v/>
      </c>
      <c r="C132" s="8" t="str">
        <f t="shared" si="4"/>
        <v/>
      </c>
      <c r="D132" s="9" t="str">
        <f>IF(A132="","",C132-子基金及业绩基准周净值!AI157)</f>
        <v/>
      </c>
      <c r="E132" s="12" t="str">
        <f>IF(A132="","",(MAX(B$3:B132)-B132)/MAX(B$3:B132))</f>
        <v/>
      </c>
      <c r="F132" s="12" t="str">
        <f>IF(A132="","",MAX(E$4:E132))</f>
        <v/>
      </c>
      <c r="G132" s="17"/>
      <c r="H132" s="14" t="str">
        <f t="shared" si="5"/>
        <v/>
      </c>
      <c r="I132" s="14" t="str">
        <f t="shared" si="6"/>
        <v/>
      </c>
      <c r="J132" s="15" t="str">
        <f t="shared" si="7"/>
        <v/>
      </c>
    </row>
    <row r="133" spans="1:10">
      <c r="A133" s="7" t="str">
        <f>IF(子基金及业绩基准周净值!A158="","",子基金及业绩基准周净值!A158)</f>
        <v/>
      </c>
      <c r="B133" s="1" t="str">
        <f>IF(A133="","",VLOOKUP($A133,子基金及业绩基准周净值!$A:$AV,11))</f>
        <v/>
      </c>
      <c r="C133" s="8" t="str">
        <f t="shared" ref="C133:C196" si="8">IF(A133="","",(B133-B132)/B132)</f>
        <v/>
      </c>
      <c r="D133" s="9" t="str">
        <f>IF(A133="","",C133-子基金及业绩基准周净值!AI158)</f>
        <v/>
      </c>
      <c r="E133" s="12" t="str">
        <f>IF(A133="","",(MAX(B$3:B133)-B133)/MAX(B$3:B133))</f>
        <v/>
      </c>
      <c r="F133" s="12" t="str">
        <f>IF(A133="","",MAX(E$4:E133))</f>
        <v/>
      </c>
      <c r="G133" s="17"/>
      <c r="H133" s="14" t="str">
        <f t="shared" ref="H133:H196" si="9">IF(B133="","",IF(C133&lt;-3%,"是","否"))</f>
        <v/>
      </c>
      <c r="I133" s="14" t="str">
        <f t="shared" ref="I133:I196" si="10">IF(A133="","",IF(F133&gt;5%,"是","否"))</f>
        <v/>
      </c>
      <c r="J133" s="15" t="str">
        <f t="shared" ref="J133:J196" si="11">IF(A133="","",IF(G133&gt;=4,"是","否"))</f>
        <v/>
      </c>
    </row>
    <row r="134" spans="1:10">
      <c r="A134" s="7" t="str">
        <f>IF(子基金及业绩基准周净值!A159="","",子基金及业绩基准周净值!A159)</f>
        <v/>
      </c>
      <c r="B134" s="1" t="str">
        <f>IF(A134="","",VLOOKUP($A134,子基金及业绩基准周净值!$A:$AV,11))</f>
        <v/>
      </c>
      <c r="C134" s="8" t="str">
        <f t="shared" si="8"/>
        <v/>
      </c>
      <c r="D134" s="9" t="str">
        <f>IF(A134="","",C134-子基金及业绩基准周净值!AI159)</f>
        <v/>
      </c>
      <c r="E134" s="12" t="str">
        <f>IF(A134="","",(MAX(B$3:B134)-B134)/MAX(B$3:B134))</f>
        <v/>
      </c>
      <c r="F134" s="12" t="str">
        <f>IF(A134="","",MAX(E$4:E134))</f>
        <v/>
      </c>
      <c r="G134" s="17"/>
      <c r="H134" s="14" t="str">
        <f t="shared" si="9"/>
        <v/>
      </c>
      <c r="I134" s="14" t="str">
        <f t="shared" si="10"/>
        <v/>
      </c>
      <c r="J134" s="15" t="str">
        <f t="shared" si="11"/>
        <v/>
      </c>
    </row>
    <row r="135" spans="1:10">
      <c r="A135" s="7" t="str">
        <f>IF(子基金及业绩基准周净值!A160="","",子基金及业绩基准周净值!A160)</f>
        <v/>
      </c>
      <c r="B135" s="1" t="str">
        <f>IF(A135="","",VLOOKUP($A135,子基金及业绩基准周净值!$A:$AV,11))</f>
        <v/>
      </c>
      <c r="C135" s="8" t="str">
        <f t="shared" si="8"/>
        <v/>
      </c>
      <c r="D135" s="9" t="str">
        <f>IF(A135="","",C135-子基金及业绩基准周净值!AI160)</f>
        <v/>
      </c>
      <c r="E135" s="12" t="str">
        <f>IF(A135="","",(MAX(B$3:B135)-B135)/MAX(B$3:B135))</f>
        <v/>
      </c>
      <c r="F135" s="12" t="str">
        <f>IF(A135="","",MAX(E$4:E135))</f>
        <v/>
      </c>
      <c r="G135" s="17"/>
      <c r="H135" s="14" t="str">
        <f t="shared" si="9"/>
        <v/>
      </c>
      <c r="I135" s="14" t="str">
        <f t="shared" si="10"/>
        <v/>
      </c>
      <c r="J135" s="15" t="str">
        <f t="shared" si="11"/>
        <v/>
      </c>
    </row>
    <row r="136" spans="1:10">
      <c r="A136" s="7" t="str">
        <f>IF(子基金及业绩基准周净值!A161="","",子基金及业绩基准周净值!A161)</f>
        <v/>
      </c>
      <c r="B136" s="1" t="str">
        <f>IF(A136="","",VLOOKUP($A136,子基金及业绩基准周净值!$A:$AV,11))</f>
        <v/>
      </c>
      <c r="C136" s="8" t="str">
        <f t="shared" si="8"/>
        <v/>
      </c>
      <c r="D136" s="9" t="str">
        <f>IF(A136="","",C136-子基金及业绩基准周净值!AI161)</f>
        <v/>
      </c>
      <c r="E136" s="12" t="str">
        <f>IF(A136="","",(MAX(B$3:B136)-B136)/MAX(B$3:B136))</f>
        <v/>
      </c>
      <c r="F136" s="12" t="str">
        <f>IF(A136="","",MAX(E$4:E136))</f>
        <v/>
      </c>
      <c r="G136" s="17"/>
      <c r="H136" s="14" t="str">
        <f t="shared" si="9"/>
        <v/>
      </c>
      <c r="I136" s="14" t="str">
        <f t="shared" si="10"/>
        <v/>
      </c>
      <c r="J136" s="15" t="str">
        <f t="shared" si="11"/>
        <v/>
      </c>
    </row>
    <row r="137" spans="1:10">
      <c r="A137" s="7" t="str">
        <f>IF(子基金及业绩基准周净值!A162="","",子基金及业绩基准周净值!A162)</f>
        <v/>
      </c>
      <c r="B137" s="1" t="str">
        <f>IF(A137="","",VLOOKUP($A137,子基金及业绩基准周净值!$A:$AV,11))</f>
        <v/>
      </c>
      <c r="C137" s="8" t="str">
        <f t="shared" si="8"/>
        <v/>
      </c>
      <c r="D137" s="9" t="str">
        <f>IF(A137="","",C137-子基金及业绩基准周净值!AI162)</f>
        <v/>
      </c>
      <c r="E137" s="12" t="str">
        <f>IF(A137="","",(MAX(B$3:B137)-B137)/MAX(B$3:B137))</f>
        <v/>
      </c>
      <c r="F137" s="12" t="str">
        <f>IF(A137="","",MAX(E$4:E137))</f>
        <v/>
      </c>
      <c r="G137" s="17"/>
      <c r="H137" s="14" t="str">
        <f t="shared" si="9"/>
        <v/>
      </c>
      <c r="I137" s="14" t="str">
        <f t="shared" si="10"/>
        <v/>
      </c>
      <c r="J137" s="15" t="str">
        <f t="shared" si="11"/>
        <v/>
      </c>
    </row>
    <row r="138" spans="1:10">
      <c r="A138" s="7" t="str">
        <f>IF(子基金及业绩基准周净值!A163="","",子基金及业绩基准周净值!A163)</f>
        <v/>
      </c>
      <c r="B138" s="1" t="str">
        <f>IF(A138="","",VLOOKUP($A138,子基金及业绩基准周净值!$A:$AV,11))</f>
        <v/>
      </c>
      <c r="C138" s="8" t="str">
        <f t="shared" si="8"/>
        <v/>
      </c>
      <c r="D138" s="9" t="str">
        <f>IF(A138="","",C138-子基金及业绩基准周净值!AI163)</f>
        <v/>
      </c>
      <c r="E138" s="12" t="str">
        <f>IF(A138="","",(MAX(B$3:B138)-B138)/MAX(B$3:B138))</f>
        <v/>
      </c>
      <c r="F138" s="12" t="str">
        <f>IF(A138="","",MAX(E$4:E138))</f>
        <v/>
      </c>
      <c r="G138" s="17"/>
      <c r="H138" s="14" t="str">
        <f t="shared" si="9"/>
        <v/>
      </c>
      <c r="I138" s="14" t="str">
        <f t="shared" si="10"/>
        <v/>
      </c>
      <c r="J138" s="15" t="str">
        <f t="shared" si="11"/>
        <v/>
      </c>
    </row>
    <row r="139" spans="1:10">
      <c r="A139" s="7" t="str">
        <f>IF(子基金及业绩基准周净值!A164="","",子基金及业绩基准周净值!A164)</f>
        <v/>
      </c>
      <c r="B139" s="1" t="str">
        <f>IF(A139="","",VLOOKUP($A139,子基金及业绩基准周净值!$A:$AV,11))</f>
        <v/>
      </c>
      <c r="C139" s="8" t="str">
        <f t="shared" si="8"/>
        <v/>
      </c>
      <c r="D139" s="9" t="str">
        <f>IF(A139="","",C139-子基金及业绩基准周净值!AI164)</f>
        <v/>
      </c>
      <c r="E139" s="12" t="str">
        <f>IF(A139="","",(MAX(B$3:B139)-B139)/MAX(B$3:B139))</f>
        <v/>
      </c>
      <c r="F139" s="12" t="str">
        <f>IF(A139="","",MAX(E$4:E139))</f>
        <v/>
      </c>
      <c r="G139" s="17"/>
      <c r="H139" s="14" t="str">
        <f t="shared" si="9"/>
        <v/>
      </c>
      <c r="I139" s="14" t="str">
        <f t="shared" si="10"/>
        <v/>
      </c>
      <c r="J139" s="15" t="str">
        <f t="shared" si="11"/>
        <v/>
      </c>
    </row>
    <row r="140" spans="1:10">
      <c r="A140" s="7" t="str">
        <f>IF(子基金及业绩基准周净值!A165="","",子基金及业绩基准周净值!A165)</f>
        <v/>
      </c>
      <c r="B140" s="1" t="str">
        <f>IF(A140="","",VLOOKUP($A140,子基金及业绩基准周净值!$A:$AV,11))</f>
        <v/>
      </c>
      <c r="C140" s="8" t="str">
        <f t="shared" si="8"/>
        <v/>
      </c>
      <c r="D140" s="9" t="str">
        <f>IF(A140="","",C140-子基金及业绩基准周净值!AI165)</f>
        <v/>
      </c>
      <c r="E140" s="12" t="str">
        <f>IF(A140="","",(MAX(B$3:B140)-B140)/MAX(B$3:B140))</f>
        <v/>
      </c>
      <c r="F140" s="12" t="str">
        <f>IF(A140="","",MAX(E$4:E140))</f>
        <v/>
      </c>
      <c r="G140" s="17"/>
      <c r="H140" s="14" t="str">
        <f t="shared" si="9"/>
        <v/>
      </c>
      <c r="I140" s="14" t="str">
        <f t="shared" si="10"/>
        <v/>
      </c>
      <c r="J140" s="15" t="str">
        <f t="shared" si="11"/>
        <v/>
      </c>
    </row>
    <row r="141" spans="1:10">
      <c r="A141" s="7" t="str">
        <f>IF(子基金及业绩基准周净值!A166="","",子基金及业绩基准周净值!A166)</f>
        <v/>
      </c>
      <c r="B141" s="1" t="str">
        <f>IF(A141="","",VLOOKUP($A141,子基金及业绩基准周净值!$A:$AV,11))</f>
        <v/>
      </c>
      <c r="C141" s="8" t="str">
        <f t="shared" si="8"/>
        <v/>
      </c>
      <c r="D141" s="9" t="str">
        <f>IF(A141="","",C141-子基金及业绩基准周净值!AI166)</f>
        <v/>
      </c>
      <c r="E141" s="12" t="str">
        <f>IF(A141="","",(MAX(B$3:B141)-B141)/MAX(B$3:B141))</f>
        <v/>
      </c>
      <c r="F141" s="12" t="str">
        <f>IF(A141="","",MAX(E$4:E141))</f>
        <v/>
      </c>
      <c r="G141" s="17"/>
      <c r="H141" s="14" t="str">
        <f t="shared" si="9"/>
        <v/>
      </c>
      <c r="I141" s="14" t="str">
        <f t="shared" si="10"/>
        <v/>
      </c>
      <c r="J141" s="15" t="str">
        <f t="shared" si="11"/>
        <v/>
      </c>
    </row>
    <row r="142" spans="1:10">
      <c r="A142" s="7" t="str">
        <f>IF(子基金及业绩基准周净值!A167="","",子基金及业绩基准周净值!A167)</f>
        <v/>
      </c>
      <c r="B142" s="1" t="str">
        <f>IF(A142="","",VLOOKUP($A142,子基金及业绩基准周净值!$A:$AV,11))</f>
        <v/>
      </c>
      <c r="C142" s="8" t="str">
        <f t="shared" si="8"/>
        <v/>
      </c>
      <c r="D142" s="9" t="str">
        <f>IF(A142="","",C142-子基金及业绩基准周净值!AI167)</f>
        <v/>
      </c>
      <c r="E142" s="12" t="str">
        <f>IF(A142="","",(MAX(B$3:B142)-B142)/MAX(B$3:B142))</f>
        <v/>
      </c>
      <c r="F142" s="12" t="str">
        <f>IF(A142="","",MAX(E$4:E142))</f>
        <v/>
      </c>
      <c r="G142" s="17"/>
      <c r="H142" s="14" t="str">
        <f t="shared" si="9"/>
        <v/>
      </c>
      <c r="I142" s="14" t="str">
        <f t="shared" si="10"/>
        <v/>
      </c>
      <c r="J142" s="15" t="str">
        <f t="shared" si="11"/>
        <v/>
      </c>
    </row>
    <row r="143" spans="1:10">
      <c r="A143" s="7" t="str">
        <f>IF(子基金及业绩基准周净值!A168="","",子基金及业绩基准周净值!A168)</f>
        <v/>
      </c>
      <c r="B143" s="1" t="str">
        <f>IF(A143="","",VLOOKUP($A143,子基金及业绩基准周净值!$A:$AV,11))</f>
        <v/>
      </c>
      <c r="C143" s="8" t="str">
        <f t="shared" si="8"/>
        <v/>
      </c>
      <c r="D143" s="9" t="str">
        <f>IF(A143="","",C143-子基金及业绩基准周净值!AI168)</f>
        <v/>
      </c>
      <c r="E143" s="12" t="str">
        <f>IF(A143="","",(MAX(B$3:B143)-B143)/MAX(B$3:B143))</f>
        <v/>
      </c>
      <c r="F143" s="12" t="str">
        <f>IF(A143="","",MAX(E$4:E143))</f>
        <v/>
      </c>
      <c r="G143" s="17"/>
      <c r="H143" s="14" t="str">
        <f t="shared" si="9"/>
        <v/>
      </c>
      <c r="I143" s="14" t="str">
        <f t="shared" si="10"/>
        <v/>
      </c>
      <c r="J143" s="15" t="str">
        <f t="shared" si="11"/>
        <v/>
      </c>
    </row>
    <row r="144" spans="1:10">
      <c r="A144" s="7" t="str">
        <f>IF(子基金及业绩基准周净值!A169="","",子基金及业绩基准周净值!A169)</f>
        <v/>
      </c>
      <c r="B144" s="1" t="str">
        <f>IF(A144="","",VLOOKUP($A144,子基金及业绩基准周净值!$A:$AV,11))</f>
        <v/>
      </c>
      <c r="C144" s="8" t="str">
        <f t="shared" si="8"/>
        <v/>
      </c>
      <c r="D144" s="9" t="str">
        <f>IF(A144="","",C144-子基金及业绩基准周净值!AI169)</f>
        <v/>
      </c>
      <c r="E144" s="12" t="str">
        <f>IF(A144="","",(MAX(B$3:B144)-B144)/MAX(B$3:B144))</f>
        <v/>
      </c>
      <c r="F144" s="12" t="str">
        <f>IF(A144="","",MAX(E$4:E144))</f>
        <v/>
      </c>
      <c r="G144" s="17"/>
      <c r="H144" s="14" t="str">
        <f t="shared" si="9"/>
        <v/>
      </c>
      <c r="I144" s="14" t="str">
        <f t="shared" si="10"/>
        <v/>
      </c>
      <c r="J144" s="15" t="str">
        <f t="shared" si="11"/>
        <v/>
      </c>
    </row>
    <row r="145" spans="1:10">
      <c r="A145" s="7" t="str">
        <f>IF(子基金及业绩基准周净值!A170="","",子基金及业绩基准周净值!A170)</f>
        <v/>
      </c>
      <c r="B145" s="1" t="str">
        <f>IF(A145="","",VLOOKUP($A145,子基金及业绩基准周净值!$A:$AV,11))</f>
        <v/>
      </c>
      <c r="C145" s="8" t="str">
        <f t="shared" si="8"/>
        <v/>
      </c>
      <c r="D145" s="9" t="str">
        <f>IF(A145="","",C145-子基金及业绩基准周净值!AI170)</f>
        <v/>
      </c>
      <c r="E145" s="12" t="str">
        <f>IF(A145="","",(MAX(B$3:B145)-B145)/MAX(B$3:B145))</f>
        <v/>
      </c>
      <c r="F145" s="12" t="str">
        <f>IF(A145="","",MAX(E$4:E145))</f>
        <v/>
      </c>
      <c r="G145" s="17"/>
      <c r="H145" s="14" t="str">
        <f t="shared" si="9"/>
        <v/>
      </c>
      <c r="I145" s="14" t="str">
        <f t="shared" si="10"/>
        <v/>
      </c>
      <c r="J145" s="15" t="str">
        <f t="shared" si="11"/>
        <v/>
      </c>
    </row>
    <row r="146" spans="1:10">
      <c r="A146" s="7" t="str">
        <f>IF(子基金及业绩基准周净值!A171="","",子基金及业绩基准周净值!A171)</f>
        <v/>
      </c>
      <c r="B146" s="1" t="str">
        <f>IF(A146="","",VLOOKUP($A146,子基金及业绩基准周净值!$A:$AV,11))</f>
        <v/>
      </c>
      <c r="C146" s="8" t="str">
        <f t="shared" si="8"/>
        <v/>
      </c>
      <c r="D146" s="9" t="str">
        <f>IF(A146="","",C146-子基金及业绩基准周净值!AI171)</f>
        <v/>
      </c>
      <c r="E146" s="12" t="str">
        <f>IF(A146="","",(MAX(B$3:B146)-B146)/MAX(B$3:B146))</f>
        <v/>
      </c>
      <c r="F146" s="12" t="str">
        <f>IF(A146="","",MAX(E$4:E146))</f>
        <v/>
      </c>
      <c r="G146" s="17"/>
      <c r="H146" s="14" t="str">
        <f t="shared" si="9"/>
        <v/>
      </c>
      <c r="I146" s="14" t="str">
        <f t="shared" si="10"/>
        <v/>
      </c>
      <c r="J146" s="15" t="str">
        <f t="shared" si="11"/>
        <v/>
      </c>
    </row>
    <row r="147" spans="1:10">
      <c r="A147" s="7" t="str">
        <f>IF(子基金及业绩基准周净值!A172="","",子基金及业绩基准周净值!A172)</f>
        <v/>
      </c>
      <c r="B147" s="1" t="str">
        <f>IF(A147="","",VLOOKUP($A147,子基金及业绩基准周净值!$A:$AV,11))</f>
        <v/>
      </c>
      <c r="C147" s="8" t="str">
        <f t="shared" si="8"/>
        <v/>
      </c>
      <c r="D147" s="9" t="str">
        <f>IF(A147="","",C147-子基金及业绩基准周净值!AI172)</f>
        <v/>
      </c>
      <c r="E147" s="12" t="str">
        <f>IF(A147="","",(MAX(B$3:B147)-B147)/MAX(B$3:B147))</f>
        <v/>
      </c>
      <c r="F147" s="12" t="str">
        <f>IF(A147="","",MAX(E$4:E147))</f>
        <v/>
      </c>
      <c r="G147" s="17"/>
      <c r="H147" s="14" t="str">
        <f t="shared" si="9"/>
        <v/>
      </c>
      <c r="I147" s="14" t="str">
        <f t="shared" si="10"/>
        <v/>
      </c>
      <c r="J147" s="15" t="str">
        <f t="shared" si="11"/>
        <v/>
      </c>
    </row>
    <row r="148" spans="1:10">
      <c r="A148" s="7" t="str">
        <f>IF(子基金及业绩基准周净值!A173="","",子基金及业绩基准周净值!A173)</f>
        <v/>
      </c>
      <c r="B148" s="1" t="str">
        <f>IF(A148="","",VLOOKUP($A148,子基金及业绩基准周净值!$A:$AV,11))</f>
        <v/>
      </c>
      <c r="C148" s="8" t="str">
        <f t="shared" si="8"/>
        <v/>
      </c>
      <c r="D148" s="9" t="str">
        <f>IF(A148="","",C148-子基金及业绩基准周净值!AI173)</f>
        <v/>
      </c>
      <c r="E148" s="12" t="str">
        <f>IF(A148="","",(MAX(B$3:B148)-B148)/MAX(B$3:B148))</f>
        <v/>
      </c>
      <c r="F148" s="12" t="str">
        <f>IF(A148="","",MAX(E$4:E148))</f>
        <v/>
      </c>
      <c r="G148" s="17"/>
      <c r="H148" s="14" t="str">
        <f t="shared" si="9"/>
        <v/>
      </c>
      <c r="I148" s="14" t="str">
        <f t="shared" si="10"/>
        <v/>
      </c>
      <c r="J148" s="15" t="str">
        <f t="shared" si="11"/>
        <v/>
      </c>
    </row>
    <row r="149" spans="1:10">
      <c r="A149" s="7" t="str">
        <f>IF(子基金及业绩基准周净值!A174="","",子基金及业绩基准周净值!A174)</f>
        <v/>
      </c>
      <c r="B149" s="1" t="str">
        <f>IF(A149="","",VLOOKUP($A149,子基金及业绩基准周净值!$A:$AV,11))</f>
        <v/>
      </c>
      <c r="C149" s="8" t="str">
        <f t="shared" si="8"/>
        <v/>
      </c>
      <c r="D149" s="9" t="str">
        <f>IF(A149="","",C149-子基金及业绩基准周净值!AI174)</f>
        <v/>
      </c>
      <c r="E149" s="12" t="str">
        <f>IF(A149="","",(MAX(B$3:B149)-B149)/MAX(B$3:B149))</f>
        <v/>
      </c>
      <c r="F149" s="12" t="str">
        <f>IF(A149="","",MAX(E$4:E149))</f>
        <v/>
      </c>
      <c r="G149" s="17"/>
      <c r="H149" s="14" t="str">
        <f t="shared" si="9"/>
        <v/>
      </c>
      <c r="I149" s="14" t="str">
        <f t="shared" si="10"/>
        <v/>
      </c>
      <c r="J149" s="15" t="str">
        <f t="shared" si="11"/>
        <v/>
      </c>
    </row>
    <row r="150" spans="1:10">
      <c r="A150" s="7" t="str">
        <f>IF(子基金及业绩基准周净值!A175="","",子基金及业绩基准周净值!A175)</f>
        <v/>
      </c>
      <c r="B150" s="1" t="str">
        <f>IF(A150="","",VLOOKUP($A150,子基金及业绩基准周净值!$A:$AV,11))</f>
        <v/>
      </c>
      <c r="C150" s="8" t="str">
        <f t="shared" si="8"/>
        <v/>
      </c>
      <c r="D150" s="9" t="str">
        <f>IF(A150="","",C150-子基金及业绩基准周净值!AI175)</f>
        <v/>
      </c>
      <c r="E150" s="12" t="str">
        <f>IF(A150="","",(MAX(B$3:B150)-B150)/MAX(B$3:B150))</f>
        <v/>
      </c>
      <c r="F150" s="12" t="str">
        <f>IF(A150="","",MAX(E$4:E150))</f>
        <v/>
      </c>
      <c r="G150" s="17"/>
      <c r="H150" s="14" t="str">
        <f t="shared" si="9"/>
        <v/>
      </c>
      <c r="I150" s="14" t="str">
        <f t="shared" si="10"/>
        <v/>
      </c>
      <c r="J150" s="15" t="str">
        <f t="shared" si="11"/>
        <v/>
      </c>
    </row>
    <row r="151" spans="1:10">
      <c r="A151" s="7" t="str">
        <f>IF(子基金及业绩基准周净值!A176="","",子基金及业绩基准周净值!A176)</f>
        <v/>
      </c>
      <c r="B151" s="1" t="str">
        <f>IF(A151="","",VLOOKUP($A151,子基金及业绩基准周净值!$A:$AV,11))</f>
        <v/>
      </c>
      <c r="C151" s="8" t="str">
        <f t="shared" si="8"/>
        <v/>
      </c>
      <c r="D151" s="9" t="str">
        <f>IF(A151="","",C151-子基金及业绩基准周净值!AI176)</f>
        <v/>
      </c>
      <c r="E151" s="12" t="str">
        <f>IF(A151="","",(MAX(B$3:B151)-B151)/MAX(B$3:B151))</f>
        <v/>
      </c>
      <c r="F151" s="12" t="str">
        <f>IF(A151="","",MAX(E$4:E151))</f>
        <v/>
      </c>
      <c r="G151" s="17"/>
      <c r="H151" s="14" t="str">
        <f t="shared" si="9"/>
        <v/>
      </c>
      <c r="I151" s="14" t="str">
        <f t="shared" si="10"/>
        <v/>
      </c>
      <c r="J151" s="15" t="str">
        <f t="shared" si="11"/>
        <v/>
      </c>
    </row>
    <row r="152" spans="1:10">
      <c r="A152" s="7" t="str">
        <f>IF(子基金及业绩基准周净值!A177="","",子基金及业绩基准周净值!A177)</f>
        <v/>
      </c>
      <c r="B152" s="1" t="str">
        <f>IF(A152="","",VLOOKUP($A152,子基金及业绩基准周净值!$A:$AV,11))</f>
        <v/>
      </c>
      <c r="C152" s="8" t="str">
        <f t="shared" si="8"/>
        <v/>
      </c>
      <c r="D152" s="9" t="str">
        <f>IF(A152="","",C152-子基金及业绩基准周净值!AI177)</f>
        <v/>
      </c>
      <c r="E152" s="12" t="str">
        <f>IF(A152="","",(MAX(B$3:B152)-B152)/MAX(B$3:B152))</f>
        <v/>
      </c>
      <c r="F152" s="12" t="str">
        <f>IF(A152="","",MAX(E$4:E152))</f>
        <v/>
      </c>
      <c r="G152" s="17"/>
      <c r="H152" s="14" t="str">
        <f t="shared" si="9"/>
        <v/>
      </c>
      <c r="I152" s="14" t="str">
        <f t="shared" si="10"/>
        <v/>
      </c>
      <c r="J152" s="15" t="str">
        <f t="shared" si="11"/>
        <v/>
      </c>
    </row>
    <row r="153" spans="1:10">
      <c r="A153" s="7" t="str">
        <f>IF(子基金及业绩基准周净值!A178="","",子基金及业绩基准周净值!A178)</f>
        <v/>
      </c>
      <c r="B153" s="1" t="str">
        <f>IF(A153="","",VLOOKUP($A153,子基金及业绩基准周净值!$A:$AV,11))</f>
        <v/>
      </c>
      <c r="C153" s="8" t="str">
        <f t="shared" si="8"/>
        <v/>
      </c>
      <c r="D153" s="9" t="str">
        <f>IF(A153="","",C153-子基金及业绩基准周净值!AI178)</f>
        <v/>
      </c>
      <c r="E153" s="12" t="str">
        <f>IF(A153="","",(MAX(B$3:B153)-B153)/MAX(B$3:B153))</f>
        <v/>
      </c>
      <c r="F153" s="12" t="str">
        <f>IF(A153="","",MAX(E$4:E153))</f>
        <v/>
      </c>
      <c r="G153" s="17"/>
      <c r="H153" s="14" t="str">
        <f t="shared" si="9"/>
        <v/>
      </c>
      <c r="I153" s="14" t="str">
        <f t="shared" si="10"/>
        <v/>
      </c>
      <c r="J153" s="15" t="str">
        <f t="shared" si="11"/>
        <v/>
      </c>
    </row>
    <row r="154" spans="1:10">
      <c r="A154" s="7" t="str">
        <f>IF(子基金及业绩基准周净值!A179="","",子基金及业绩基准周净值!A179)</f>
        <v/>
      </c>
      <c r="B154" s="1" t="str">
        <f>IF(A154="","",VLOOKUP($A154,子基金及业绩基准周净值!$A:$AV,11))</f>
        <v/>
      </c>
      <c r="C154" s="8" t="str">
        <f t="shared" si="8"/>
        <v/>
      </c>
      <c r="D154" s="9" t="str">
        <f>IF(A154="","",C154-子基金及业绩基准周净值!AI179)</f>
        <v/>
      </c>
      <c r="E154" s="12" t="str">
        <f>IF(A154="","",(MAX(B$3:B154)-B154)/MAX(B$3:B154))</f>
        <v/>
      </c>
      <c r="F154" s="12" t="str">
        <f>IF(A154="","",MAX(E$4:E154))</f>
        <v/>
      </c>
      <c r="G154" s="17"/>
      <c r="H154" s="14" t="str">
        <f t="shared" si="9"/>
        <v/>
      </c>
      <c r="I154" s="14" t="str">
        <f t="shared" si="10"/>
        <v/>
      </c>
      <c r="J154" s="15" t="str">
        <f t="shared" si="11"/>
        <v/>
      </c>
    </row>
    <row r="155" spans="1:10">
      <c r="A155" s="7" t="str">
        <f>IF(子基金及业绩基准周净值!A180="","",子基金及业绩基准周净值!A180)</f>
        <v/>
      </c>
      <c r="B155" s="1" t="str">
        <f>IF(A155="","",VLOOKUP($A155,子基金及业绩基准周净值!$A:$AV,11))</f>
        <v/>
      </c>
      <c r="C155" s="8" t="str">
        <f t="shared" si="8"/>
        <v/>
      </c>
      <c r="D155" s="9" t="str">
        <f>IF(A155="","",C155-子基金及业绩基准周净值!AI180)</f>
        <v/>
      </c>
      <c r="E155" s="12" t="str">
        <f>IF(A155="","",(MAX(B$3:B155)-B155)/MAX(B$3:B155))</f>
        <v/>
      </c>
      <c r="F155" s="12" t="str">
        <f>IF(A155="","",MAX(E$4:E155))</f>
        <v/>
      </c>
      <c r="G155" s="17"/>
      <c r="H155" s="14" t="str">
        <f t="shared" si="9"/>
        <v/>
      </c>
      <c r="I155" s="14" t="str">
        <f t="shared" si="10"/>
        <v/>
      </c>
      <c r="J155" s="15" t="str">
        <f t="shared" si="11"/>
        <v/>
      </c>
    </row>
    <row r="156" spans="1:10">
      <c r="A156" s="7" t="str">
        <f>IF(子基金及业绩基准周净值!A181="","",子基金及业绩基准周净值!A181)</f>
        <v/>
      </c>
      <c r="B156" s="1" t="str">
        <f>IF(A156="","",VLOOKUP($A156,子基金及业绩基准周净值!$A:$AV,11))</f>
        <v/>
      </c>
      <c r="C156" s="8" t="str">
        <f t="shared" si="8"/>
        <v/>
      </c>
      <c r="D156" s="9" t="str">
        <f>IF(A156="","",C156-子基金及业绩基准周净值!AI181)</f>
        <v/>
      </c>
      <c r="E156" s="12" t="str">
        <f>IF(A156="","",(MAX(B$3:B156)-B156)/MAX(B$3:B156))</f>
        <v/>
      </c>
      <c r="F156" s="12" t="str">
        <f>IF(A156="","",MAX(E$4:E156))</f>
        <v/>
      </c>
      <c r="G156" s="17"/>
      <c r="H156" s="14" t="str">
        <f t="shared" si="9"/>
        <v/>
      </c>
      <c r="I156" s="14" t="str">
        <f t="shared" si="10"/>
        <v/>
      </c>
      <c r="J156" s="15" t="str">
        <f t="shared" si="11"/>
        <v/>
      </c>
    </row>
    <row r="157" spans="1:10">
      <c r="A157" s="7" t="str">
        <f>IF(子基金及业绩基准周净值!A182="","",子基金及业绩基准周净值!A182)</f>
        <v/>
      </c>
      <c r="B157" s="1" t="str">
        <f>IF(A157="","",VLOOKUP($A157,子基金及业绩基准周净值!$A:$AV,11))</f>
        <v/>
      </c>
      <c r="C157" s="8" t="str">
        <f t="shared" si="8"/>
        <v/>
      </c>
      <c r="D157" s="9" t="str">
        <f>IF(A157="","",C157-子基金及业绩基准周净值!AI182)</f>
        <v/>
      </c>
      <c r="E157" s="12" t="str">
        <f>IF(A157="","",(MAX(B$3:B157)-B157)/MAX(B$3:B157))</f>
        <v/>
      </c>
      <c r="F157" s="12" t="str">
        <f>IF(A157="","",MAX(E$4:E157))</f>
        <v/>
      </c>
      <c r="G157" s="17"/>
      <c r="H157" s="14" t="str">
        <f t="shared" si="9"/>
        <v/>
      </c>
      <c r="I157" s="14" t="str">
        <f t="shared" si="10"/>
        <v/>
      </c>
      <c r="J157" s="15" t="str">
        <f t="shared" si="11"/>
        <v/>
      </c>
    </row>
    <row r="158" spans="1:10">
      <c r="A158" s="7" t="str">
        <f>IF(子基金及业绩基准周净值!A183="","",子基金及业绩基准周净值!A183)</f>
        <v/>
      </c>
      <c r="B158" s="1" t="str">
        <f>IF(A158="","",VLOOKUP($A158,子基金及业绩基准周净值!$A:$AV,11))</f>
        <v/>
      </c>
      <c r="C158" s="8" t="str">
        <f t="shared" si="8"/>
        <v/>
      </c>
      <c r="D158" s="9" t="str">
        <f>IF(A158="","",C158-子基金及业绩基准周净值!AI183)</f>
        <v/>
      </c>
      <c r="E158" s="12" t="str">
        <f>IF(A158="","",(MAX(B$3:B158)-B158)/MAX(B$3:B158))</f>
        <v/>
      </c>
      <c r="F158" s="12" t="str">
        <f>IF(A158="","",MAX(E$4:E158))</f>
        <v/>
      </c>
      <c r="G158" s="17"/>
      <c r="H158" s="14" t="str">
        <f t="shared" si="9"/>
        <v/>
      </c>
      <c r="I158" s="14" t="str">
        <f t="shared" si="10"/>
        <v/>
      </c>
      <c r="J158" s="15" t="str">
        <f t="shared" si="11"/>
        <v/>
      </c>
    </row>
    <row r="159" spans="1:10">
      <c r="A159" s="7" t="str">
        <f>IF(子基金及业绩基准周净值!A184="","",子基金及业绩基准周净值!A184)</f>
        <v/>
      </c>
      <c r="B159" s="1" t="str">
        <f>IF(A159="","",VLOOKUP($A159,子基金及业绩基准周净值!$A:$AV,11))</f>
        <v/>
      </c>
      <c r="C159" s="8" t="str">
        <f t="shared" si="8"/>
        <v/>
      </c>
      <c r="D159" s="9" t="str">
        <f>IF(A159="","",C159-子基金及业绩基准周净值!AI184)</f>
        <v/>
      </c>
      <c r="E159" s="12" t="str">
        <f>IF(A159="","",(MAX(B$3:B159)-B159)/MAX(B$3:B159))</f>
        <v/>
      </c>
      <c r="F159" s="12" t="str">
        <f>IF(A159="","",MAX(E$4:E159))</f>
        <v/>
      </c>
      <c r="G159" s="17"/>
      <c r="H159" s="14" t="str">
        <f t="shared" si="9"/>
        <v/>
      </c>
      <c r="I159" s="14" t="str">
        <f t="shared" si="10"/>
        <v/>
      </c>
      <c r="J159" s="15" t="str">
        <f t="shared" si="11"/>
        <v/>
      </c>
    </row>
    <row r="160" spans="1:10">
      <c r="A160" s="7" t="str">
        <f>IF(子基金及业绩基准周净值!A185="","",子基金及业绩基准周净值!A185)</f>
        <v/>
      </c>
      <c r="B160" s="1" t="str">
        <f>IF(A160="","",VLOOKUP($A160,子基金及业绩基准周净值!$A:$AV,11))</f>
        <v/>
      </c>
      <c r="C160" s="8" t="str">
        <f t="shared" si="8"/>
        <v/>
      </c>
      <c r="D160" s="9" t="str">
        <f>IF(A160="","",C160-子基金及业绩基准周净值!AI185)</f>
        <v/>
      </c>
      <c r="E160" s="12" t="str">
        <f>IF(A160="","",(MAX(B$3:B160)-B160)/MAX(B$3:B160))</f>
        <v/>
      </c>
      <c r="F160" s="12" t="str">
        <f>IF(A160="","",MAX(E$4:E160))</f>
        <v/>
      </c>
      <c r="G160" s="17"/>
      <c r="H160" s="14" t="str">
        <f t="shared" si="9"/>
        <v/>
      </c>
      <c r="I160" s="14" t="str">
        <f t="shared" si="10"/>
        <v/>
      </c>
      <c r="J160" s="15" t="str">
        <f t="shared" si="11"/>
        <v/>
      </c>
    </row>
    <row r="161" spans="1:10">
      <c r="A161" s="7" t="str">
        <f>IF(子基金及业绩基准周净值!A186="","",子基金及业绩基准周净值!A186)</f>
        <v/>
      </c>
      <c r="B161" s="1" t="str">
        <f>IF(A161="","",VLOOKUP($A161,子基金及业绩基准周净值!$A:$AV,11))</f>
        <v/>
      </c>
      <c r="C161" s="8" t="str">
        <f t="shared" si="8"/>
        <v/>
      </c>
      <c r="D161" s="9" t="str">
        <f>IF(A161="","",C161-子基金及业绩基准周净值!AI186)</f>
        <v/>
      </c>
      <c r="E161" s="12" t="str">
        <f>IF(A161="","",(MAX(B$3:B161)-B161)/MAX(B$3:B161))</f>
        <v/>
      </c>
      <c r="F161" s="12" t="str">
        <f>IF(A161="","",MAX(E$4:E161))</f>
        <v/>
      </c>
      <c r="G161" s="17"/>
      <c r="H161" s="14" t="str">
        <f t="shared" si="9"/>
        <v/>
      </c>
      <c r="I161" s="14" t="str">
        <f t="shared" si="10"/>
        <v/>
      </c>
      <c r="J161" s="15" t="str">
        <f t="shared" si="11"/>
        <v/>
      </c>
    </row>
    <row r="162" spans="1:10">
      <c r="A162" s="7" t="str">
        <f>IF(子基金及业绩基准周净值!A187="","",子基金及业绩基准周净值!A187)</f>
        <v/>
      </c>
      <c r="B162" s="1" t="str">
        <f>IF(A162="","",VLOOKUP($A162,子基金及业绩基准周净值!$A:$AV,11))</f>
        <v/>
      </c>
      <c r="C162" s="8" t="str">
        <f t="shared" si="8"/>
        <v/>
      </c>
      <c r="D162" s="9" t="str">
        <f>IF(A162="","",C162-子基金及业绩基准周净值!AI187)</f>
        <v/>
      </c>
      <c r="E162" s="12" t="str">
        <f>IF(A162="","",(MAX(B$3:B162)-B162)/MAX(B$3:B162))</f>
        <v/>
      </c>
      <c r="F162" s="12" t="str">
        <f>IF(A162="","",MAX(E$4:E162))</f>
        <v/>
      </c>
      <c r="G162" s="17"/>
      <c r="H162" s="14" t="str">
        <f t="shared" si="9"/>
        <v/>
      </c>
      <c r="I162" s="14" t="str">
        <f t="shared" si="10"/>
        <v/>
      </c>
      <c r="J162" s="15" t="str">
        <f t="shared" si="11"/>
        <v/>
      </c>
    </row>
    <row r="163" spans="1:10">
      <c r="A163" s="7" t="str">
        <f>IF(子基金及业绩基准周净值!A188="","",子基金及业绩基准周净值!A188)</f>
        <v/>
      </c>
      <c r="B163" s="1" t="str">
        <f>IF(A163="","",VLOOKUP($A163,子基金及业绩基准周净值!$A:$AV,11))</f>
        <v/>
      </c>
      <c r="C163" s="8" t="str">
        <f t="shared" si="8"/>
        <v/>
      </c>
      <c r="D163" s="9" t="str">
        <f>IF(A163="","",C163-子基金及业绩基准周净值!AI188)</f>
        <v/>
      </c>
      <c r="E163" s="12" t="str">
        <f>IF(A163="","",(MAX(B$3:B163)-B163)/MAX(B$3:B163))</f>
        <v/>
      </c>
      <c r="F163" s="12" t="str">
        <f>IF(A163="","",MAX(E$4:E163))</f>
        <v/>
      </c>
      <c r="G163" s="17"/>
      <c r="H163" s="14" t="str">
        <f t="shared" si="9"/>
        <v/>
      </c>
      <c r="I163" s="14" t="str">
        <f t="shared" si="10"/>
        <v/>
      </c>
      <c r="J163" s="15" t="str">
        <f t="shared" si="11"/>
        <v/>
      </c>
    </row>
    <row r="164" spans="1:10">
      <c r="A164" s="7" t="str">
        <f>IF(子基金及业绩基准周净值!A189="","",子基金及业绩基准周净值!A189)</f>
        <v/>
      </c>
      <c r="B164" s="1" t="str">
        <f>IF(A164="","",VLOOKUP($A164,子基金及业绩基准周净值!$A:$AV,11))</f>
        <v/>
      </c>
      <c r="C164" s="8" t="str">
        <f t="shared" si="8"/>
        <v/>
      </c>
      <c r="D164" s="9" t="str">
        <f>IF(A164="","",C164-子基金及业绩基准周净值!AI189)</f>
        <v/>
      </c>
      <c r="E164" s="12" t="str">
        <f>IF(A164="","",(MAX(B$3:B164)-B164)/MAX(B$3:B164))</f>
        <v/>
      </c>
      <c r="F164" s="12" t="str">
        <f>IF(A164="","",MAX(E$4:E164))</f>
        <v/>
      </c>
      <c r="G164" s="17"/>
      <c r="H164" s="14" t="str">
        <f t="shared" si="9"/>
        <v/>
      </c>
      <c r="I164" s="14" t="str">
        <f t="shared" si="10"/>
        <v/>
      </c>
      <c r="J164" s="15" t="str">
        <f t="shared" si="11"/>
        <v/>
      </c>
    </row>
    <row r="165" spans="1:10">
      <c r="A165" s="7" t="str">
        <f>IF(子基金及业绩基准周净值!A190="","",子基金及业绩基准周净值!A190)</f>
        <v/>
      </c>
      <c r="B165" s="1" t="str">
        <f>IF(A165="","",VLOOKUP($A165,子基金及业绩基准周净值!$A:$AV,11))</f>
        <v/>
      </c>
      <c r="C165" s="8" t="str">
        <f t="shared" si="8"/>
        <v/>
      </c>
      <c r="D165" s="9" t="str">
        <f>IF(A165="","",C165-子基金及业绩基准周净值!AI190)</f>
        <v/>
      </c>
      <c r="E165" s="12" t="str">
        <f>IF(A165="","",(MAX(B$3:B165)-B165)/MAX(B$3:B165))</f>
        <v/>
      </c>
      <c r="F165" s="12" t="str">
        <f>IF(A165="","",MAX(E$4:E165))</f>
        <v/>
      </c>
      <c r="G165" s="17"/>
      <c r="H165" s="14" t="str">
        <f t="shared" si="9"/>
        <v/>
      </c>
      <c r="I165" s="14" t="str">
        <f t="shared" si="10"/>
        <v/>
      </c>
      <c r="J165" s="15" t="str">
        <f t="shared" si="11"/>
        <v/>
      </c>
    </row>
    <row r="166" spans="1:10">
      <c r="A166" s="7" t="str">
        <f>IF(子基金及业绩基准周净值!A191="","",子基金及业绩基准周净值!A191)</f>
        <v/>
      </c>
      <c r="B166" s="1" t="str">
        <f>IF(A166="","",VLOOKUP($A166,子基金及业绩基准周净值!$A:$AV,11))</f>
        <v/>
      </c>
      <c r="C166" s="8" t="str">
        <f t="shared" si="8"/>
        <v/>
      </c>
      <c r="D166" s="9" t="str">
        <f>IF(A166="","",C166-子基金及业绩基准周净值!AI191)</f>
        <v/>
      </c>
      <c r="E166" s="12" t="str">
        <f>IF(A166="","",(MAX(B$3:B166)-B166)/MAX(B$3:B166))</f>
        <v/>
      </c>
      <c r="F166" s="12" t="str">
        <f>IF(A166="","",MAX(E$4:E166))</f>
        <v/>
      </c>
      <c r="G166" s="17"/>
      <c r="H166" s="14" t="str">
        <f t="shared" si="9"/>
        <v/>
      </c>
      <c r="I166" s="14" t="str">
        <f t="shared" si="10"/>
        <v/>
      </c>
      <c r="J166" s="15" t="str">
        <f t="shared" si="11"/>
        <v/>
      </c>
    </row>
    <row r="167" spans="1:10">
      <c r="A167" s="7" t="str">
        <f>IF(子基金及业绩基准周净值!A192="","",子基金及业绩基准周净值!A192)</f>
        <v/>
      </c>
      <c r="B167" s="1" t="str">
        <f>IF(A167="","",VLOOKUP($A167,子基金及业绩基准周净值!$A:$AV,11))</f>
        <v/>
      </c>
      <c r="C167" s="8" t="str">
        <f t="shared" si="8"/>
        <v/>
      </c>
      <c r="D167" s="9" t="str">
        <f>IF(A167="","",C167-子基金及业绩基准周净值!AI192)</f>
        <v/>
      </c>
      <c r="E167" s="12" t="str">
        <f>IF(A167="","",(MAX(B$3:B167)-B167)/MAX(B$3:B167))</f>
        <v/>
      </c>
      <c r="F167" s="12" t="str">
        <f>IF(A167="","",MAX(E$4:E167))</f>
        <v/>
      </c>
      <c r="G167" s="17"/>
      <c r="H167" s="14" t="str">
        <f t="shared" si="9"/>
        <v/>
      </c>
      <c r="I167" s="14" t="str">
        <f t="shared" si="10"/>
        <v/>
      </c>
      <c r="J167" s="15" t="str">
        <f t="shared" si="11"/>
        <v/>
      </c>
    </row>
    <row r="168" spans="1:10">
      <c r="A168" s="7" t="str">
        <f>IF(子基金及业绩基准周净值!A193="","",子基金及业绩基准周净值!A193)</f>
        <v/>
      </c>
      <c r="B168" s="1" t="str">
        <f>IF(A168="","",VLOOKUP($A168,子基金及业绩基准周净值!$A:$AV,11))</f>
        <v/>
      </c>
      <c r="C168" s="8" t="str">
        <f t="shared" si="8"/>
        <v/>
      </c>
      <c r="D168" s="9" t="str">
        <f>IF(A168="","",C168-子基金及业绩基准周净值!AI193)</f>
        <v/>
      </c>
      <c r="E168" s="12" t="str">
        <f>IF(A168="","",(MAX(B$3:B168)-B168)/MAX(B$3:B168))</f>
        <v/>
      </c>
      <c r="F168" s="12" t="str">
        <f>IF(A168="","",MAX(E$4:E168))</f>
        <v/>
      </c>
      <c r="G168" s="17"/>
      <c r="H168" s="14" t="str">
        <f t="shared" si="9"/>
        <v/>
      </c>
      <c r="I168" s="14" t="str">
        <f t="shared" si="10"/>
        <v/>
      </c>
      <c r="J168" s="15" t="str">
        <f t="shared" si="11"/>
        <v/>
      </c>
    </row>
    <row r="169" spans="1:10">
      <c r="A169" s="7" t="str">
        <f>IF(子基金及业绩基准周净值!A194="","",子基金及业绩基准周净值!A194)</f>
        <v/>
      </c>
      <c r="B169" s="1" t="str">
        <f>IF(A169="","",VLOOKUP($A169,子基金及业绩基准周净值!$A:$AV,11))</f>
        <v/>
      </c>
      <c r="C169" s="8" t="str">
        <f t="shared" si="8"/>
        <v/>
      </c>
      <c r="D169" s="9" t="str">
        <f>IF(A169="","",C169-子基金及业绩基准周净值!AI194)</f>
        <v/>
      </c>
      <c r="E169" s="12" t="str">
        <f>IF(A169="","",(MAX(B$3:B169)-B169)/MAX(B$3:B169))</f>
        <v/>
      </c>
      <c r="F169" s="12" t="str">
        <f>IF(A169="","",MAX(E$4:E169))</f>
        <v/>
      </c>
      <c r="G169" s="17"/>
      <c r="H169" s="14" t="str">
        <f t="shared" si="9"/>
        <v/>
      </c>
      <c r="I169" s="14" t="str">
        <f t="shared" si="10"/>
        <v/>
      </c>
      <c r="J169" s="15" t="str">
        <f t="shared" si="11"/>
        <v/>
      </c>
    </row>
    <row r="170" spans="1:10">
      <c r="A170" s="7" t="str">
        <f>IF(子基金及业绩基准周净值!A195="","",子基金及业绩基准周净值!A195)</f>
        <v/>
      </c>
      <c r="B170" s="1" t="str">
        <f>IF(A170="","",VLOOKUP($A170,子基金及业绩基准周净值!$A:$AV,11))</f>
        <v/>
      </c>
      <c r="C170" s="8" t="str">
        <f t="shared" si="8"/>
        <v/>
      </c>
      <c r="D170" s="9" t="str">
        <f>IF(A170="","",C170-子基金及业绩基准周净值!AI195)</f>
        <v/>
      </c>
      <c r="E170" s="12" t="str">
        <f>IF(A170="","",(MAX(B$3:B170)-B170)/MAX(B$3:B170))</f>
        <v/>
      </c>
      <c r="F170" s="12" t="str">
        <f>IF(A170="","",MAX(E$4:E170))</f>
        <v/>
      </c>
      <c r="G170" s="17"/>
      <c r="H170" s="14" t="str">
        <f t="shared" si="9"/>
        <v/>
      </c>
      <c r="I170" s="14" t="str">
        <f t="shared" si="10"/>
        <v/>
      </c>
      <c r="J170" s="15" t="str">
        <f t="shared" si="11"/>
        <v/>
      </c>
    </row>
    <row r="171" spans="1:10">
      <c r="A171" s="7" t="str">
        <f>IF(子基金及业绩基准周净值!A196="","",子基金及业绩基准周净值!A196)</f>
        <v/>
      </c>
      <c r="B171" s="1" t="str">
        <f>IF(A171="","",VLOOKUP($A171,子基金及业绩基准周净值!$A:$AV,11))</f>
        <v/>
      </c>
      <c r="C171" s="8" t="str">
        <f t="shared" si="8"/>
        <v/>
      </c>
      <c r="D171" s="9" t="str">
        <f>IF(A171="","",C171-子基金及业绩基准周净值!AI196)</f>
        <v/>
      </c>
      <c r="E171" s="12" t="str">
        <f>IF(A171="","",(MAX(B$3:B171)-B171)/MAX(B$3:B171))</f>
        <v/>
      </c>
      <c r="F171" s="12" t="str">
        <f>IF(A171="","",MAX(E$4:E171))</f>
        <v/>
      </c>
      <c r="G171" s="17"/>
      <c r="H171" s="14" t="str">
        <f t="shared" si="9"/>
        <v/>
      </c>
      <c r="I171" s="14" t="str">
        <f t="shared" si="10"/>
        <v/>
      </c>
      <c r="J171" s="15" t="str">
        <f t="shared" si="11"/>
        <v/>
      </c>
    </row>
    <row r="172" spans="1:10">
      <c r="A172" s="7" t="str">
        <f>IF(子基金及业绩基准周净值!A197="","",子基金及业绩基准周净值!A197)</f>
        <v/>
      </c>
      <c r="B172" s="1" t="str">
        <f>IF(A172="","",VLOOKUP($A172,子基金及业绩基准周净值!$A:$AV,11))</f>
        <v/>
      </c>
      <c r="C172" s="8" t="str">
        <f t="shared" si="8"/>
        <v/>
      </c>
      <c r="D172" s="9" t="str">
        <f>IF(A172="","",C172-子基金及业绩基准周净值!AI197)</f>
        <v/>
      </c>
      <c r="E172" s="12" t="str">
        <f>IF(A172="","",(MAX(B$3:B172)-B172)/MAX(B$3:B172))</f>
        <v/>
      </c>
      <c r="F172" s="12" t="str">
        <f>IF(A172="","",MAX(E$4:E172))</f>
        <v/>
      </c>
      <c r="G172" s="17"/>
      <c r="H172" s="14" t="str">
        <f t="shared" si="9"/>
        <v/>
      </c>
      <c r="I172" s="14" t="str">
        <f t="shared" si="10"/>
        <v/>
      </c>
      <c r="J172" s="15" t="str">
        <f t="shared" si="11"/>
        <v/>
      </c>
    </row>
    <row r="173" spans="1:10">
      <c r="A173" s="7" t="str">
        <f>IF(子基金及业绩基准周净值!A198="","",子基金及业绩基准周净值!A198)</f>
        <v/>
      </c>
      <c r="B173" s="1" t="str">
        <f>IF(A173="","",VLOOKUP($A173,子基金及业绩基准周净值!$A:$AV,11))</f>
        <v/>
      </c>
      <c r="C173" s="8" t="str">
        <f t="shared" si="8"/>
        <v/>
      </c>
      <c r="D173" s="9" t="str">
        <f>IF(A173="","",C173-子基金及业绩基准周净值!AI198)</f>
        <v/>
      </c>
      <c r="E173" s="12" t="str">
        <f>IF(A173="","",(MAX(B$3:B173)-B173)/MAX(B$3:B173))</f>
        <v/>
      </c>
      <c r="F173" s="12" t="str">
        <f>IF(A173="","",MAX(E$4:E173))</f>
        <v/>
      </c>
      <c r="G173" s="17"/>
      <c r="H173" s="14" t="str">
        <f t="shared" si="9"/>
        <v/>
      </c>
      <c r="I173" s="14" t="str">
        <f t="shared" si="10"/>
        <v/>
      </c>
      <c r="J173" s="15" t="str">
        <f t="shared" si="11"/>
        <v/>
      </c>
    </row>
    <row r="174" spans="1:10">
      <c r="A174" s="7" t="str">
        <f>IF(子基金及业绩基准周净值!A199="","",子基金及业绩基准周净值!A199)</f>
        <v/>
      </c>
      <c r="B174" s="1" t="str">
        <f>IF(A174="","",VLOOKUP($A174,子基金及业绩基准周净值!$A:$AV,11))</f>
        <v/>
      </c>
      <c r="C174" s="8" t="str">
        <f t="shared" si="8"/>
        <v/>
      </c>
      <c r="D174" s="9" t="str">
        <f>IF(A174="","",C174-子基金及业绩基准周净值!AI199)</f>
        <v/>
      </c>
      <c r="E174" s="12" t="str">
        <f>IF(A174="","",(MAX(B$3:B174)-B174)/MAX(B$3:B174))</f>
        <v/>
      </c>
      <c r="F174" s="12" t="str">
        <f>IF(A174="","",MAX(E$4:E174))</f>
        <v/>
      </c>
      <c r="G174" s="17"/>
      <c r="H174" s="14" t="str">
        <f t="shared" si="9"/>
        <v/>
      </c>
      <c r="I174" s="14" t="str">
        <f t="shared" si="10"/>
        <v/>
      </c>
      <c r="J174" s="15" t="str">
        <f t="shared" si="11"/>
        <v/>
      </c>
    </row>
    <row r="175" spans="1:10">
      <c r="A175" s="7" t="str">
        <f>IF(子基金及业绩基准周净值!A200="","",子基金及业绩基准周净值!A200)</f>
        <v/>
      </c>
      <c r="B175" s="1" t="str">
        <f>IF(A175="","",VLOOKUP($A175,子基金及业绩基准周净值!$A:$AV,11))</f>
        <v/>
      </c>
      <c r="C175" s="8" t="str">
        <f t="shared" si="8"/>
        <v/>
      </c>
      <c r="D175" s="9" t="str">
        <f>IF(A175="","",C175-子基金及业绩基准周净值!AI200)</f>
        <v/>
      </c>
      <c r="E175" s="12" t="str">
        <f>IF(A175="","",(MAX(B$3:B175)-B175)/MAX(B$3:B175))</f>
        <v/>
      </c>
      <c r="F175" s="12" t="str">
        <f>IF(A175="","",MAX(E$4:E175))</f>
        <v/>
      </c>
      <c r="G175" s="17"/>
      <c r="H175" s="14" t="str">
        <f t="shared" si="9"/>
        <v/>
      </c>
      <c r="I175" s="14" t="str">
        <f t="shared" si="10"/>
        <v/>
      </c>
      <c r="J175" s="15" t="str">
        <f t="shared" si="11"/>
        <v/>
      </c>
    </row>
    <row r="176" spans="1:10">
      <c r="A176" s="7" t="str">
        <f>IF(子基金及业绩基准周净值!A201="","",子基金及业绩基准周净值!A201)</f>
        <v/>
      </c>
      <c r="B176" s="1" t="str">
        <f>IF(A176="","",VLOOKUP($A176,子基金及业绩基准周净值!$A:$AV,11))</f>
        <v/>
      </c>
      <c r="C176" s="8" t="str">
        <f t="shared" si="8"/>
        <v/>
      </c>
      <c r="D176" s="9" t="str">
        <f>IF(A176="","",C176-子基金及业绩基准周净值!AI201)</f>
        <v/>
      </c>
      <c r="E176" s="12" t="str">
        <f>IF(A176="","",(MAX(B$3:B176)-B176)/MAX(B$3:B176))</f>
        <v/>
      </c>
      <c r="F176" s="12" t="str">
        <f>IF(A176="","",MAX(E$4:E176))</f>
        <v/>
      </c>
      <c r="G176" s="17"/>
      <c r="H176" s="14" t="str">
        <f t="shared" si="9"/>
        <v/>
      </c>
      <c r="I176" s="14" t="str">
        <f t="shared" si="10"/>
        <v/>
      </c>
      <c r="J176" s="15" t="str">
        <f t="shared" si="11"/>
        <v/>
      </c>
    </row>
    <row r="177" spans="1:10">
      <c r="A177" s="7" t="str">
        <f>IF(子基金及业绩基准周净值!A202="","",子基金及业绩基准周净值!A202)</f>
        <v/>
      </c>
      <c r="B177" s="1" t="str">
        <f>IF(A177="","",VLOOKUP($A177,子基金及业绩基准周净值!$A:$AV,11))</f>
        <v/>
      </c>
      <c r="C177" s="8" t="str">
        <f t="shared" si="8"/>
        <v/>
      </c>
      <c r="D177" s="9" t="str">
        <f>IF(A177="","",C177-子基金及业绩基准周净值!AI202)</f>
        <v/>
      </c>
      <c r="E177" s="12" t="str">
        <f>IF(A177="","",(MAX(B$3:B177)-B177)/MAX(B$3:B177))</f>
        <v/>
      </c>
      <c r="F177" s="12" t="str">
        <f>IF(A177="","",MAX(E$4:E177))</f>
        <v/>
      </c>
      <c r="G177" s="17"/>
      <c r="H177" s="14" t="str">
        <f t="shared" si="9"/>
        <v/>
      </c>
      <c r="I177" s="14" t="str">
        <f t="shared" si="10"/>
        <v/>
      </c>
      <c r="J177" s="15" t="str">
        <f t="shared" si="11"/>
        <v/>
      </c>
    </row>
    <row r="178" spans="1:10">
      <c r="A178" s="7" t="str">
        <f>IF(子基金及业绩基准周净值!A203="","",子基金及业绩基准周净值!A203)</f>
        <v/>
      </c>
      <c r="B178" s="1" t="str">
        <f>IF(A178="","",VLOOKUP($A178,子基金及业绩基准周净值!$A:$AV,11))</f>
        <v/>
      </c>
      <c r="C178" s="8" t="str">
        <f t="shared" si="8"/>
        <v/>
      </c>
      <c r="D178" s="9" t="str">
        <f>IF(A178="","",C178-子基金及业绩基准周净值!AI203)</f>
        <v/>
      </c>
      <c r="E178" s="12" t="str">
        <f>IF(A178="","",(MAX(B$3:B178)-B178)/MAX(B$3:B178))</f>
        <v/>
      </c>
      <c r="F178" s="12" t="str">
        <f>IF(A178="","",MAX(E$4:E178))</f>
        <v/>
      </c>
      <c r="G178" s="17"/>
      <c r="H178" s="14" t="str">
        <f t="shared" si="9"/>
        <v/>
      </c>
      <c r="I178" s="14" t="str">
        <f t="shared" si="10"/>
        <v/>
      </c>
      <c r="J178" s="15" t="str">
        <f t="shared" si="11"/>
        <v/>
      </c>
    </row>
    <row r="179" spans="1:10">
      <c r="A179" s="7" t="str">
        <f>IF(子基金及业绩基准周净值!A204="","",子基金及业绩基准周净值!A204)</f>
        <v/>
      </c>
      <c r="B179" s="1" t="str">
        <f>IF(A179="","",VLOOKUP($A179,子基金及业绩基准周净值!$A:$AV,11))</f>
        <v/>
      </c>
      <c r="C179" s="8" t="str">
        <f t="shared" si="8"/>
        <v/>
      </c>
      <c r="D179" s="9" t="str">
        <f>IF(A179="","",C179-子基金及业绩基准周净值!AI204)</f>
        <v/>
      </c>
      <c r="E179" s="12" t="str">
        <f>IF(A179="","",(MAX(B$3:B179)-B179)/MAX(B$3:B179))</f>
        <v/>
      </c>
      <c r="F179" s="12" t="str">
        <f>IF(A179="","",MAX(E$4:E179))</f>
        <v/>
      </c>
      <c r="G179" s="17"/>
      <c r="H179" s="14" t="str">
        <f t="shared" si="9"/>
        <v/>
      </c>
      <c r="I179" s="14" t="str">
        <f t="shared" si="10"/>
        <v/>
      </c>
      <c r="J179" s="15" t="str">
        <f t="shared" si="11"/>
        <v/>
      </c>
    </row>
    <row r="180" spans="1:10">
      <c r="A180" s="7" t="str">
        <f>IF(子基金及业绩基准周净值!A205="","",子基金及业绩基准周净值!A205)</f>
        <v/>
      </c>
      <c r="B180" s="1" t="str">
        <f>IF(A180="","",VLOOKUP($A180,子基金及业绩基准周净值!$A:$AV,11))</f>
        <v/>
      </c>
      <c r="C180" s="8" t="str">
        <f t="shared" si="8"/>
        <v/>
      </c>
      <c r="D180" s="9" t="str">
        <f>IF(A180="","",C180-子基金及业绩基准周净值!AI205)</f>
        <v/>
      </c>
      <c r="E180" s="12" t="str">
        <f>IF(A180="","",(MAX(B$3:B180)-B180)/MAX(B$3:B180))</f>
        <v/>
      </c>
      <c r="F180" s="12" t="str">
        <f>IF(A180="","",MAX(E$4:E180))</f>
        <v/>
      </c>
      <c r="G180" s="17"/>
      <c r="H180" s="14" t="str">
        <f t="shared" si="9"/>
        <v/>
      </c>
      <c r="I180" s="14" t="str">
        <f t="shared" si="10"/>
        <v/>
      </c>
      <c r="J180" s="15" t="str">
        <f t="shared" si="11"/>
        <v/>
      </c>
    </row>
    <row r="181" spans="1:10">
      <c r="A181" s="7" t="str">
        <f>IF(子基金及业绩基准周净值!A206="","",子基金及业绩基准周净值!A206)</f>
        <v/>
      </c>
      <c r="B181" s="1" t="str">
        <f>IF(A181="","",VLOOKUP($A181,子基金及业绩基准周净值!$A:$AV,11))</f>
        <v/>
      </c>
      <c r="C181" s="8" t="str">
        <f t="shared" si="8"/>
        <v/>
      </c>
      <c r="D181" s="9" t="str">
        <f>IF(A181="","",C181-子基金及业绩基准周净值!AI206)</f>
        <v/>
      </c>
      <c r="E181" s="12" t="str">
        <f>IF(A181="","",(MAX(B$3:B181)-B181)/MAX(B$3:B181))</f>
        <v/>
      </c>
      <c r="F181" s="12" t="str">
        <f>IF(A181="","",MAX(E$4:E181))</f>
        <v/>
      </c>
      <c r="G181" s="17"/>
      <c r="H181" s="14" t="str">
        <f t="shared" si="9"/>
        <v/>
      </c>
      <c r="I181" s="14" t="str">
        <f t="shared" si="10"/>
        <v/>
      </c>
      <c r="J181" s="15" t="str">
        <f t="shared" si="11"/>
        <v/>
      </c>
    </row>
    <row r="182" spans="1:10">
      <c r="A182" s="7" t="str">
        <f>IF(子基金及业绩基准周净值!A207="","",子基金及业绩基准周净值!A207)</f>
        <v/>
      </c>
      <c r="B182" s="1" t="str">
        <f>IF(A182="","",VLOOKUP($A182,子基金及业绩基准周净值!$A:$AV,11))</f>
        <v/>
      </c>
      <c r="C182" s="8" t="str">
        <f t="shared" si="8"/>
        <v/>
      </c>
      <c r="D182" s="9" t="str">
        <f>IF(A182="","",C182-子基金及业绩基准周净值!AI207)</f>
        <v/>
      </c>
      <c r="E182" s="12" t="str">
        <f>IF(A182="","",(MAX(B$3:B182)-B182)/MAX(B$3:B182))</f>
        <v/>
      </c>
      <c r="F182" s="12" t="str">
        <f>IF(A182="","",MAX(E$4:E182))</f>
        <v/>
      </c>
      <c r="G182" s="17"/>
      <c r="H182" s="14" t="str">
        <f t="shared" si="9"/>
        <v/>
      </c>
      <c r="I182" s="14" t="str">
        <f t="shared" si="10"/>
        <v/>
      </c>
      <c r="J182" s="15" t="str">
        <f t="shared" si="11"/>
        <v/>
      </c>
    </row>
    <row r="183" spans="1:10">
      <c r="A183" s="7" t="str">
        <f>IF(子基金及业绩基准周净值!A208="","",子基金及业绩基准周净值!A208)</f>
        <v/>
      </c>
      <c r="B183" s="1" t="str">
        <f>IF(A183="","",VLOOKUP($A183,子基金及业绩基准周净值!$A:$AV,11))</f>
        <v/>
      </c>
      <c r="C183" s="8" t="str">
        <f t="shared" si="8"/>
        <v/>
      </c>
      <c r="D183" s="9" t="str">
        <f>IF(A183="","",C183-子基金及业绩基准周净值!AI208)</f>
        <v/>
      </c>
      <c r="E183" s="12" t="str">
        <f>IF(A183="","",(MAX(B$3:B183)-B183)/MAX(B$3:B183))</f>
        <v/>
      </c>
      <c r="F183" s="12" t="str">
        <f>IF(A183="","",MAX(E$4:E183))</f>
        <v/>
      </c>
      <c r="G183" s="17"/>
      <c r="H183" s="14" t="str">
        <f t="shared" si="9"/>
        <v/>
      </c>
      <c r="I183" s="14" t="str">
        <f t="shared" si="10"/>
        <v/>
      </c>
      <c r="J183" s="15" t="str">
        <f t="shared" si="11"/>
        <v/>
      </c>
    </row>
    <row r="184" spans="1:10">
      <c r="A184" s="7" t="str">
        <f>IF(子基金及业绩基准周净值!A209="","",子基金及业绩基准周净值!A209)</f>
        <v/>
      </c>
      <c r="B184" s="1" t="str">
        <f>IF(A184="","",VLOOKUP($A184,子基金及业绩基准周净值!$A:$AV,11))</f>
        <v/>
      </c>
      <c r="C184" s="8" t="str">
        <f t="shared" si="8"/>
        <v/>
      </c>
      <c r="D184" s="9" t="str">
        <f>IF(A184="","",C184-子基金及业绩基准周净值!AI209)</f>
        <v/>
      </c>
      <c r="E184" s="12" t="str">
        <f>IF(A184="","",(MAX(B$3:B184)-B184)/MAX(B$3:B184))</f>
        <v/>
      </c>
      <c r="F184" s="12" t="str">
        <f>IF(A184="","",MAX(E$4:E184))</f>
        <v/>
      </c>
      <c r="G184" s="17"/>
      <c r="H184" s="14" t="str">
        <f t="shared" si="9"/>
        <v/>
      </c>
      <c r="I184" s="14" t="str">
        <f t="shared" si="10"/>
        <v/>
      </c>
      <c r="J184" s="15" t="str">
        <f t="shared" si="11"/>
        <v/>
      </c>
    </row>
    <row r="185" spans="1:10">
      <c r="A185" s="7" t="str">
        <f>IF(子基金及业绩基准周净值!A210="","",子基金及业绩基准周净值!A210)</f>
        <v/>
      </c>
      <c r="B185" s="1" t="str">
        <f>IF(A185="","",VLOOKUP($A185,子基金及业绩基准周净值!$A:$AV,11))</f>
        <v/>
      </c>
      <c r="C185" s="8" t="str">
        <f t="shared" si="8"/>
        <v/>
      </c>
      <c r="D185" s="9" t="str">
        <f>IF(A185="","",C185-子基金及业绩基准周净值!AI210)</f>
        <v/>
      </c>
      <c r="E185" s="12" t="str">
        <f>IF(A185="","",(MAX(B$3:B185)-B185)/MAX(B$3:B185))</f>
        <v/>
      </c>
      <c r="F185" s="12" t="str">
        <f>IF(A185="","",MAX(E$4:E185))</f>
        <v/>
      </c>
      <c r="G185" s="17"/>
      <c r="H185" s="14" t="str">
        <f t="shared" si="9"/>
        <v/>
      </c>
      <c r="I185" s="14" t="str">
        <f t="shared" si="10"/>
        <v/>
      </c>
      <c r="J185" s="15" t="str">
        <f t="shared" si="11"/>
        <v/>
      </c>
    </row>
    <row r="186" spans="1:10">
      <c r="A186" s="7" t="str">
        <f>IF(子基金及业绩基准周净值!A211="","",子基金及业绩基准周净值!A211)</f>
        <v/>
      </c>
      <c r="B186" s="1" t="str">
        <f>IF(A186="","",VLOOKUP($A186,子基金及业绩基准周净值!$A:$AV,11))</f>
        <v/>
      </c>
      <c r="C186" s="8" t="str">
        <f t="shared" si="8"/>
        <v/>
      </c>
      <c r="D186" s="9" t="str">
        <f>IF(A186="","",C186-子基金及业绩基准周净值!AI211)</f>
        <v/>
      </c>
      <c r="E186" s="12" t="str">
        <f>IF(A186="","",(MAX(B$3:B186)-B186)/MAX(B$3:B186))</f>
        <v/>
      </c>
      <c r="F186" s="12" t="str">
        <f>IF(A186="","",MAX(E$4:E186))</f>
        <v/>
      </c>
      <c r="G186" s="17"/>
      <c r="H186" s="14" t="str">
        <f t="shared" si="9"/>
        <v/>
      </c>
      <c r="I186" s="14" t="str">
        <f t="shared" si="10"/>
        <v/>
      </c>
      <c r="J186" s="15" t="str">
        <f t="shared" si="11"/>
        <v/>
      </c>
    </row>
    <row r="187" spans="1:10">
      <c r="A187" s="7" t="str">
        <f>IF(子基金及业绩基准周净值!A212="","",子基金及业绩基准周净值!A212)</f>
        <v/>
      </c>
      <c r="B187" s="1" t="str">
        <f>IF(A187="","",VLOOKUP($A187,子基金及业绩基准周净值!$A:$AV,11))</f>
        <v/>
      </c>
      <c r="C187" s="8" t="str">
        <f t="shared" si="8"/>
        <v/>
      </c>
      <c r="D187" s="9" t="str">
        <f>IF(A187="","",C187-子基金及业绩基准周净值!AI212)</f>
        <v/>
      </c>
      <c r="E187" s="12" t="str">
        <f>IF(A187="","",(MAX(B$3:B187)-B187)/MAX(B$3:B187))</f>
        <v/>
      </c>
      <c r="F187" s="12" t="str">
        <f>IF(A187="","",MAX(E$4:E187))</f>
        <v/>
      </c>
      <c r="G187" s="17"/>
      <c r="H187" s="14" t="str">
        <f t="shared" si="9"/>
        <v/>
      </c>
      <c r="I187" s="14" t="str">
        <f t="shared" si="10"/>
        <v/>
      </c>
      <c r="J187" s="15" t="str">
        <f t="shared" si="11"/>
        <v/>
      </c>
    </row>
    <row r="188" spans="1:10">
      <c r="A188" s="7" t="str">
        <f>IF(子基金及业绩基准周净值!A213="","",子基金及业绩基准周净值!A213)</f>
        <v/>
      </c>
      <c r="B188" s="1" t="str">
        <f>IF(A188="","",VLOOKUP($A188,子基金及业绩基准周净值!$A:$AV,11))</f>
        <v/>
      </c>
      <c r="C188" s="8" t="str">
        <f t="shared" si="8"/>
        <v/>
      </c>
      <c r="D188" s="9" t="str">
        <f>IF(A188="","",C188-子基金及业绩基准周净值!AI213)</f>
        <v/>
      </c>
      <c r="E188" s="12" t="str">
        <f>IF(A188="","",(MAX(B$3:B188)-B188)/MAX(B$3:B188))</f>
        <v/>
      </c>
      <c r="F188" s="12" t="str">
        <f>IF(A188="","",MAX(E$4:E188))</f>
        <v/>
      </c>
      <c r="G188" s="17"/>
      <c r="H188" s="14" t="str">
        <f t="shared" si="9"/>
        <v/>
      </c>
      <c r="I188" s="14" t="str">
        <f t="shared" si="10"/>
        <v/>
      </c>
      <c r="J188" s="15" t="str">
        <f t="shared" si="11"/>
        <v/>
      </c>
    </row>
    <row r="189" spans="1:10">
      <c r="A189" s="7" t="str">
        <f>IF(子基金及业绩基准周净值!A214="","",子基金及业绩基准周净值!A214)</f>
        <v/>
      </c>
      <c r="B189" s="1" t="str">
        <f>IF(A189="","",VLOOKUP($A189,子基金及业绩基准周净值!$A:$AV,11))</f>
        <v/>
      </c>
      <c r="C189" s="8" t="str">
        <f t="shared" si="8"/>
        <v/>
      </c>
      <c r="D189" s="9" t="str">
        <f>IF(A189="","",C189-子基金及业绩基准周净值!AI214)</f>
        <v/>
      </c>
      <c r="E189" s="12" t="str">
        <f>IF(A189="","",(MAX(B$3:B189)-B189)/MAX(B$3:B189))</f>
        <v/>
      </c>
      <c r="F189" s="12" t="str">
        <f>IF(A189="","",MAX(E$4:E189))</f>
        <v/>
      </c>
      <c r="G189" s="17"/>
      <c r="H189" s="14" t="str">
        <f t="shared" si="9"/>
        <v/>
      </c>
      <c r="I189" s="14" t="str">
        <f t="shared" si="10"/>
        <v/>
      </c>
      <c r="J189" s="15" t="str">
        <f t="shared" si="11"/>
        <v/>
      </c>
    </row>
    <row r="190" spans="1:10">
      <c r="A190" s="7" t="str">
        <f>IF(子基金及业绩基准周净值!A215="","",子基金及业绩基准周净值!A215)</f>
        <v/>
      </c>
      <c r="B190" s="1" t="str">
        <f>IF(A190="","",VLOOKUP($A190,子基金及业绩基准周净值!$A:$AV,11))</f>
        <v/>
      </c>
      <c r="C190" s="8" t="str">
        <f t="shared" si="8"/>
        <v/>
      </c>
      <c r="D190" s="9" t="str">
        <f>IF(A190="","",C190-子基金及业绩基准周净值!AI215)</f>
        <v/>
      </c>
      <c r="E190" s="12" t="str">
        <f>IF(A190="","",(MAX(B$3:B190)-B190)/MAX(B$3:B190))</f>
        <v/>
      </c>
      <c r="F190" s="12" t="str">
        <f>IF(A190="","",MAX(E$4:E190))</f>
        <v/>
      </c>
      <c r="G190" s="17"/>
      <c r="H190" s="14" t="str">
        <f t="shared" si="9"/>
        <v/>
      </c>
      <c r="I190" s="14" t="str">
        <f t="shared" si="10"/>
        <v/>
      </c>
      <c r="J190" s="15" t="str">
        <f t="shared" si="11"/>
        <v/>
      </c>
    </row>
    <row r="191" spans="1:10">
      <c r="A191" s="7" t="str">
        <f>IF(子基金及业绩基准周净值!A216="","",子基金及业绩基准周净值!A216)</f>
        <v/>
      </c>
      <c r="B191" s="1" t="str">
        <f>IF(A191="","",VLOOKUP($A191,子基金及业绩基准周净值!$A:$AV,11))</f>
        <v/>
      </c>
      <c r="C191" s="8" t="str">
        <f t="shared" si="8"/>
        <v/>
      </c>
      <c r="D191" s="9" t="str">
        <f>IF(A191="","",C191-子基金及业绩基准周净值!AI216)</f>
        <v/>
      </c>
      <c r="E191" s="12" t="str">
        <f>IF(A191="","",(MAX(B$3:B191)-B191)/MAX(B$3:B191))</f>
        <v/>
      </c>
      <c r="F191" s="12" t="str">
        <f>IF(A191="","",MAX(E$4:E191))</f>
        <v/>
      </c>
      <c r="G191" s="17"/>
      <c r="H191" s="14" t="str">
        <f t="shared" si="9"/>
        <v/>
      </c>
      <c r="I191" s="14" t="str">
        <f t="shared" si="10"/>
        <v/>
      </c>
      <c r="J191" s="15" t="str">
        <f t="shared" si="11"/>
        <v/>
      </c>
    </row>
    <row r="192" spans="1:10">
      <c r="A192" s="7" t="str">
        <f>IF(子基金及业绩基准周净值!A217="","",子基金及业绩基准周净值!A217)</f>
        <v/>
      </c>
      <c r="B192" s="1" t="str">
        <f>IF(A192="","",VLOOKUP($A192,子基金及业绩基准周净值!$A:$AV,11))</f>
        <v/>
      </c>
      <c r="C192" s="8" t="str">
        <f t="shared" si="8"/>
        <v/>
      </c>
      <c r="D192" s="9" t="str">
        <f>IF(A192="","",C192-子基金及业绩基准周净值!AI217)</f>
        <v/>
      </c>
      <c r="E192" s="12" t="str">
        <f>IF(A192="","",(MAX(B$3:B192)-B192)/MAX(B$3:B192))</f>
        <v/>
      </c>
      <c r="F192" s="12" t="str">
        <f>IF(A192="","",MAX(E$4:E192))</f>
        <v/>
      </c>
      <c r="G192" s="17"/>
      <c r="H192" s="14" t="str">
        <f t="shared" si="9"/>
        <v/>
      </c>
      <c r="I192" s="14" t="str">
        <f t="shared" si="10"/>
        <v/>
      </c>
      <c r="J192" s="15" t="str">
        <f t="shared" si="11"/>
        <v/>
      </c>
    </row>
    <row r="193" spans="1:10">
      <c r="A193" s="7" t="str">
        <f>IF(子基金及业绩基准周净值!A218="","",子基金及业绩基准周净值!A218)</f>
        <v/>
      </c>
      <c r="B193" s="1" t="str">
        <f>IF(A193="","",VLOOKUP($A193,子基金及业绩基准周净值!$A:$AV,11))</f>
        <v/>
      </c>
      <c r="C193" s="8" t="str">
        <f t="shared" si="8"/>
        <v/>
      </c>
      <c r="D193" s="9" t="str">
        <f>IF(A193="","",C193-子基金及业绩基准周净值!AI218)</f>
        <v/>
      </c>
      <c r="E193" s="12" t="str">
        <f>IF(A193="","",(MAX(B$3:B193)-B193)/MAX(B$3:B193))</f>
        <v/>
      </c>
      <c r="F193" s="12" t="str">
        <f>IF(A193="","",MAX(E$4:E193))</f>
        <v/>
      </c>
      <c r="G193" s="17"/>
      <c r="H193" s="14" t="str">
        <f t="shared" si="9"/>
        <v/>
      </c>
      <c r="I193" s="14" t="str">
        <f t="shared" si="10"/>
        <v/>
      </c>
      <c r="J193" s="15" t="str">
        <f t="shared" si="11"/>
        <v/>
      </c>
    </row>
    <row r="194" spans="1:10">
      <c r="A194" s="7" t="str">
        <f>IF(子基金及业绩基准周净值!A219="","",子基金及业绩基准周净值!A219)</f>
        <v/>
      </c>
      <c r="B194" s="1" t="str">
        <f>IF(A194="","",VLOOKUP($A194,子基金及业绩基准周净值!$A:$AV,11))</f>
        <v/>
      </c>
      <c r="C194" s="8" t="str">
        <f t="shared" si="8"/>
        <v/>
      </c>
      <c r="D194" s="9" t="str">
        <f>IF(A194="","",C194-子基金及业绩基准周净值!AI219)</f>
        <v/>
      </c>
      <c r="E194" s="12" t="str">
        <f>IF(A194="","",(MAX(B$3:B194)-B194)/MAX(B$3:B194))</f>
        <v/>
      </c>
      <c r="F194" s="12" t="str">
        <f>IF(A194="","",MAX(E$4:E194))</f>
        <v/>
      </c>
      <c r="G194" s="17"/>
      <c r="H194" s="14" t="str">
        <f t="shared" si="9"/>
        <v/>
      </c>
      <c r="I194" s="14" t="str">
        <f t="shared" si="10"/>
        <v/>
      </c>
      <c r="J194" s="15" t="str">
        <f t="shared" si="11"/>
        <v/>
      </c>
    </row>
    <row r="195" spans="1:10">
      <c r="A195" s="7" t="str">
        <f>IF(子基金及业绩基准周净值!A220="","",子基金及业绩基准周净值!A220)</f>
        <v/>
      </c>
      <c r="B195" s="1" t="str">
        <f>IF(A195="","",VLOOKUP($A195,子基金及业绩基准周净值!$A:$AV,11))</f>
        <v/>
      </c>
      <c r="C195" s="8" t="str">
        <f t="shared" si="8"/>
        <v/>
      </c>
      <c r="D195" s="9" t="str">
        <f>IF(A195="","",C195-子基金及业绩基准周净值!AI220)</f>
        <v/>
      </c>
      <c r="E195" s="12" t="str">
        <f>IF(A195="","",(MAX(B$3:B195)-B195)/MAX(B$3:B195))</f>
        <v/>
      </c>
      <c r="F195" s="12" t="str">
        <f>IF(A195="","",MAX(E$4:E195))</f>
        <v/>
      </c>
      <c r="G195" s="17"/>
      <c r="H195" s="14" t="str">
        <f t="shared" si="9"/>
        <v/>
      </c>
      <c r="I195" s="14" t="str">
        <f t="shared" si="10"/>
        <v/>
      </c>
      <c r="J195" s="15" t="str">
        <f t="shared" si="11"/>
        <v/>
      </c>
    </row>
    <row r="196" spans="1:10">
      <c r="A196" s="7" t="str">
        <f>IF(子基金及业绩基准周净值!A221="","",子基金及业绩基准周净值!A221)</f>
        <v/>
      </c>
      <c r="B196" s="1" t="str">
        <f>IF(A196="","",VLOOKUP($A196,子基金及业绩基准周净值!$A:$AV,11))</f>
        <v/>
      </c>
      <c r="C196" s="8" t="str">
        <f t="shared" si="8"/>
        <v/>
      </c>
      <c r="D196" s="9" t="str">
        <f>IF(A196="","",C196-子基金及业绩基准周净值!AI221)</f>
        <v/>
      </c>
      <c r="E196" s="12" t="str">
        <f>IF(A196="","",(MAX(B$3:B196)-B196)/MAX(B$3:B196))</f>
        <v/>
      </c>
      <c r="F196" s="12" t="str">
        <f>IF(A196="","",MAX(E$4:E196))</f>
        <v/>
      </c>
      <c r="G196" s="17"/>
      <c r="H196" s="14" t="str">
        <f t="shared" si="9"/>
        <v/>
      </c>
      <c r="I196" s="14" t="str">
        <f t="shared" si="10"/>
        <v/>
      </c>
      <c r="J196" s="15" t="str">
        <f t="shared" si="11"/>
        <v/>
      </c>
    </row>
    <row r="197" spans="1:10">
      <c r="A197" s="7" t="str">
        <f>IF(子基金及业绩基准周净值!A222="","",子基金及业绩基准周净值!A222)</f>
        <v/>
      </c>
      <c r="B197" s="1" t="str">
        <f>IF(A197="","",VLOOKUP($A197,子基金及业绩基准周净值!$A:$AV,11))</f>
        <v/>
      </c>
      <c r="C197" s="8" t="str">
        <f t="shared" ref="C197:C260" si="12">IF(A197="","",(B197-B196)/B196)</f>
        <v/>
      </c>
      <c r="D197" s="9" t="str">
        <f>IF(A197="","",C197-子基金及业绩基准周净值!AI222)</f>
        <v/>
      </c>
      <c r="E197" s="12" t="str">
        <f>IF(A197="","",(MAX(B$3:B197)-B197)/MAX(B$3:B197))</f>
        <v/>
      </c>
      <c r="F197" s="12" t="str">
        <f>IF(A197="","",MAX(E$4:E197))</f>
        <v/>
      </c>
      <c r="G197" s="17"/>
      <c r="H197" s="14" t="str">
        <f t="shared" ref="H197:H260" si="13">IF(B197="","",IF(C197&lt;-3%,"是","否"))</f>
        <v/>
      </c>
      <c r="I197" s="14" t="str">
        <f t="shared" ref="I197:I260" si="14">IF(A197="","",IF(F197&gt;5%,"是","否"))</f>
        <v/>
      </c>
      <c r="J197" s="15" t="str">
        <f t="shared" ref="J197:J260" si="15">IF(A197="","",IF(G197&gt;=4,"是","否"))</f>
        <v/>
      </c>
    </row>
    <row r="198" spans="1:10">
      <c r="A198" s="7" t="str">
        <f>IF(子基金及业绩基准周净值!A223="","",子基金及业绩基准周净值!A223)</f>
        <v/>
      </c>
      <c r="B198" s="1" t="str">
        <f>IF(A198="","",VLOOKUP($A198,子基金及业绩基准周净值!$A:$AV,11))</f>
        <v/>
      </c>
      <c r="C198" s="8" t="str">
        <f t="shared" si="12"/>
        <v/>
      </c>
      <c r="D198" s="9" t="str">
        <f>IF(A198="","",C198-子基金及业绩基准周净值!AI223)</f>
        <v/>
      </c>
      <c r="E198" s="12" t="str">
        <f>IF(A198="","",(MAX(B$3:B198)-B198)/MAX(B$3:B198))</f>
        <v/>
      </c>
      <c r="F198" s="12" t="str">
        <f>IF(A198="","",MAX(E$4:E198))</f>
        <v/>
      </c>
      <c r="G198" s="17"/>
      <c r="H198" s="14" t="str">
        <f t="shared" si="13"/>
        <v/>
      </c>
      <c r="I198" s="14" t="str">
        <f t="shared" si="14"/>
        <v/>
      </c>
      <c r="J198" s="15" t="str">
        <f t="shared" si="15"/>
        <v/>
      </c>
    </row>
    <row r="199" spans="1:10">
      <c r="A199" s="7" t="str">
        <f>IF(子基金及业绩基准周净值!A224="","",子基金及业绩基准周净值!A224)</f>
        <v/>
      </c>
      <c r="B199" s="1" t="str">
        <f>IF(A199="","",VLOOKUP($A199,子基金及业绩基准周净值!$A:$AV,11))</f>
        <v/>
      </c>
      <c r="C199" s="8" t="str">
        <f t="shared" si="12"/>
        <v/>
      </c>
      <c r="D199" s="9" t="str">
        <f>IF(A199="","",C199-子基金及业绩基准周净值!AI224)</f>
        <v/>
      </c>
      <c r="E199" s="12" t="str">
        <f>IF(A199="","",(MAX(B$3:B199)-B199)/MAX(B$3:B199))</f>
        <v/>
      </c>
      <c r="F199" s="12" t="str">
        <f>IF(A199="","",MAX(E$4:E199))</f>
        <v/>
      </c>
      <c r="G199" s="17"/>
      <c r="H199" s="14" t="str">
        <f t="shared" si="13"/>
        <v/>
      </c>
      <c r="I199" s="14" t="str">
        <f t="shared" si="14"/>
        <v/>
      </c>
      <c r="J199" s="15" t="str">
        <f t="shared" si="15"/>
        <v/>
      </c>
    </row>
    <row r="200" spans="1:10">
      <c r="A200" s="7" t="str">
        <f>IF(子基金及业绩基准周净值!A225="","",子基金及业绩基准周净值!A225)</f>
        <v/>
      </c>
      <c r="B200" s="1" t="str">
        <f>IF(A200="","",VLOOKUP($A200,子基金及业绩基准周净值!$A:$AV,11))</f>
        <v/>
      </c>
      <c r="C200" s="8" t="str">
        <f t="shared" si="12"/>
        <v/>
      </c>
      <c r="D200" s="9" t="str">
        <f>IF(A200="","",C200-子基金及业绩基准周净值!AI225)</f>
        <v/>
      </c>
      <c r="E200" s="12" t="str">
        <f>IF(A200="","",(MAX(B$3:B200)-B200)/MAX(B$3:B200))</f>
        <v/>
      </c>
      <c r="F200" s="12" t="str">
        <f>IF(A200="","",MAX(E$4:E200))</f>
        <v/>
      </c>
      <c r="G200" s="17"/>
      <c r="H200" s="14" t="str">
        <f t="shared" si="13"/>
        <v/>
      </c>
      <c r="I200" s="14" t="str">
        <f t="shared" si="14"/>
        <v/>
      </c>
      <c r="J200" s="15" t="str">
        <f t="shared" si="15"/>
        <v/>
      </c>
    </row>
    <row r="201" spans="1:10">
      <c r="A201" s="7" t="str">
        <f>IF(子基金及业绩基准周净值!A226="","",子基金及业绩基准周净值!A226)</f>
        <v/>
      </c>
      <c r="B201" s="1" t="str">
        <f>IF(A201="","",VLOOKUP($A201,子基金及业绩基准周净值!$A:$AV,11))</f>
        <v/>
      </c>
      <c r="C201" s="8" t="str">
        <f t="shared" si="12"/>
        <v/>
      </c>
      <c r="D201" s="9" t="str">
        <f>IF(A201="","",C201-子基金及业绩基准周净值!AI226)</f>
        <v/>
      </c>
      <c r="E201" s="12" t="str">
        <f>IF(A201="","",(MAX(B$3:B201)-B201)/MAX(B$3:B201))</f>
        <v/>
      </c>
      <c r="F201" s="12" t="str">
        <f>IF(A201="","",MAX(E$4:E201))</f>
        <v/>
      </c>
      <c r="G201" s="17"/>
      <c r="H201" s="14" t="str">
        <f t="shared" si="13"/>
        <v/>
      </c>
      <c r="I201" s="14" t="str">
        <f t="shared" si="14"/>
        <v/>
      </c>
      <c r="J201" s="15" t="str">
        <f t="shared" si="15"/>
        <v/>
      </c>
    </row>
    <row r="202" spans="1:10">
      <c r="A202" s="7" t="str">
        <f>IF(子基金及业绩基准周净值!A227="","",子基金及业绩基准周净值!A227)</f>
        <v/>
      </c>
      <c r="B202" s="1" t="str">
        <f>IF(A202="","",VLOOKUP($A202,子基金及业绩基准周净值!$A:$AV,11))</f>
        <v/>
      </c>
      <c r="C202" s="8" t="str">
        <f t="shared" si="12"/>
        <v/>
      </c>
      <c r="D202" s="9" t="str">
        <f>IF(A202="","",C202-子基金及业绩基准周净值!AI227)</f>
        <v/>
      </c>
      <c r="E202" s="12" t="str">
        <f>IF(A202="","",(MAX(B$3:B202)-B202)/MAX(B$3:B202))</f>
        <v/>
      </c>
      <c r="F202" s="12" t="str">
        <f>IF(A202="","",MAX(E$4:E202))</f>
        <v/>
      </c>
      <c r="G202" s="17"/>
      <c r="H202" s="14" t="str">
        <f t="shared" si="13"/>
        <v/>
      </c>
      <c r="I202" s="14" t="str">
        <f t="shared" si="14"/>
        <v/>
      </c>
      <c r="J202" s="15" t="str">
        <f t="shared" si="15"/>
        <v/>
      </c>
    </row>
    <row r="203" spans="1:10">
      <c r="A203" s="7" t="str">
        <f>IF(子基金及业绩基准周净值!A228="","",子基金及业绩基准周净值!A228)</f>
        <v/>
      </c>
      <c r="B203" s="1" t="str">
        <f>IF(A203="","",VLOOKUP($A203,子基金及业绩基准周净值!$A:$AV,11))</f>
        <v/>
      </c>
      <c r="C203" s="8" t="str">
        <f t="shared" si="12"/>
        <v/>
      </c>
      <c r="D203" s="9" t="str">
        <f>IF(A203="","",C203-子基金及业绩基准周净值!AI228)</f>
        <v/>
      </c>
      <c r="E203" s="12" t="str">
        <f>IF(A203="","",(MAX(B$3:B203)-B203)/MAX(B$3:B203))</f>
        <v/>
      </c>
      <c r="F203" s="12" t="str">
        <f>IF(A203="","",MAX(E$4:E203))</f>
        <v/>
      </c>
      <c r="G203" s="17"/>
      <c r="H203" s="14" t="str">
        <f t="shared" si="13"/>
        <v/>
      </c>
      <c r="I203" s="14" t="str">
        <f t="shared" si="14"/>
        <v/>
      </c>
      <c r="J203" s="15" t="str">
        <f t="shared" si="15"/>
        <v/>
      </c>
    </row>
    <row r="204" spans="1:10">
      <c r="A204" s="7" t="str">
        <f>IF(子基金及业绩基准周净值!A229="","",子基金及业绩基准周净值!A229)</f>
        <v/>
      </c>
      <c r="B204" s="1" t="str">
        <f>IF(A204="","",VLOOKUP($A204,子基金及业绩基准周净值!$A:$AV,11))</f>
        <v/>
      </c>
      <c r="C204" s="8" t="str">
        <f t="shared" si="12"/>
        <v/>
      </c>
      <c r="D204" s="9" t="str">
        <f>IF(A204="","",C204-子基金及业绩基准周净值!AI229)</f>
        <v/>
      </c>
      <c r="E204" s="12" t="str">
        <f>IF(A204="","",(MAX(B$3:B204)-B204)/MAX(B$3:B204))</f>
        <v/>
      </c>
      <c r="F204" s="12" t="str">
        <f>IF(A204="","",MAX(E$4:E204))</f>
        <v/>
      </c>
      <c r="G204" s="17"/>
      <c r="H204" s="14" t="str">
        <f t="shared" si="13"/>
        <v/>
      </c>
      <c r="I204" s="14" t="str">
        <f t="shared" si="14"/>
        <v/>
      </c>
      <c r="J204" s="15" t="str">
        <f t="shared" si="15"/>
        <v/>
      </c>
    </row>
    <row r="205" spans="1:10">
      <c r="A205" s="7" t="str">
        <f>IF(子基金及业绩基准周净值!A230="","",子基金及业绩基准周净值!A230)</f>
        <v/>
      </c>
      <c r="B205" s="1" t="str">
        <f>IF(A205="","",VLOOKUP($A205,子基金及业绩基准周净值!$A:$AV,11))</f>
        <v/>
      </c>
      <c r="C205" s="8" t="str">
        <f t="shared" si="12"/>
        <v/>
      </c>
      <c r="D205" s="9" t="str">
        <f>IF(A205="","",C205-子基金及业绩基准周净值!AI230)</f>
        <v/>
      </c>
      <c r="E205" s="12" t="str">
        <f>IF(A205="","",(MAX(B$3:B205)-B205)/MAX(B$3:B205))</f>
        <v/>
      </c>
      <c r="F205" s="12" t="str">
        <f>IF(A205="","",MAX(E$4:E205))</f>
        <v/>
      </c>
      <c r="G205" s="17"/>
      <c r="H205" s="14" t="str">
        <f t="shared" si="13"/>
        <v/>
      </c>
      <c r="I205" s="14" t="str">
        <f t="shared" si="14"/>
        <v/>
      </c>
      <c r="J205" s="15" t="str">
        <f t="shared" si="15"/>
        <v/>
      </c>
    </row>
    <row r="206" spans="1:10">
      <c r="A206" s="7" t="str">
        <f>IF(子基金及业绩基准周净值!A231="","",子基金及业绩基准周净值!A231)</f>
        <v/>
      </c>
      <c r="B206" s="1" t="str">
        <f>IF(A206="","",VLOOKUP($A206,子基金及业绩基准周净值!$A:$AV,11))</f>
        <v/>
      </c>
      <c r="C206" s="8" t="str">
        <f t="shared" si="12"/>
        <v/>
      </c>
      <c r="D206" s="9" t="str">
        <f>IF(A206="","",C206-子基金及业绩基准周净值!AI231)</f>
        <v/>
      </c>
      <c r="E206" s="12" t="str">
        <f>IF(A206="","",(MAX(B$3:B206)-B206)/MAX(B$3:B206))</f>
        <v/>
      </c>
      <c r="F206" s="12" t="str">
        <f>IF(A206="","",MAX(E$4:E206))</f>
        <v/>
      </c>
      <c r="G206" s="17"/>
      <c r="H206" s="14" t="str">
        <f t="shared" si="13"/>
        <v/>
      </c>
      <c r="I206" s="14" t="str">
        <f t="shared" si="14"/>
        <v/>
      </c>
      <c r="J206" s="15" t="str">
        <f t="shared" si="15"/>
        <v/>
      </c>
    </row>
    <row r="207" spans="1:10">
      <c r="A207" s="7" t="str">
        <f>IF(子基金及业绩基准周净值!A232="","",子基金及业绩基准周净值!A232)</f>
        <v/>
      </c>
      <c r="B207" s="1" t="str">
        <f>IF(A207="","",VLOOKUP($A207,子基金及业绩基准周净值!$A:$AV,11))</f>
        <v/>
      </c>
      <c r="C207" s="8" t="str">
        <f t="shared" si="12"/>
        <v/>
      </c>
      <c r="D207" s="9" t="str">
        <f>IF(A207="","",C207-子基金及业绩基准周净值!AI232)</f>
        <v/>
      </c>
      <c r="E207" s="12" t="str">
        <f>IF(A207="","",(MAX(B$3:B207)-B207)/MAX(B$3:B207))</f>
        <v/>
      </c>
      <c r="F207" s="12" t="str">
        <f>IF(A207="","",MAX(E$4:E207))</f>
        <v/>
      </c>
      <c r="G207" s="17"/>
      <c r="H207" s="14" t="str">
        <f t="shared" si="13"/>
        <v/>
      </c>
      <c r="I207" s="14" t="str">
        <f t="shared" si="14"/>
        <v/>
      </c>
      <c r="J207" s="15" t="str">
        <f t="shared" si="15"/>
        <v/>
      </c>
    </row>
    <row r="208" spans="1:10">
      <c r="A208" s="7" t="str">
        <f>IF(子基金及业绩基准周净值!A233="","",子基金及业绩基准周净值!A233)</f>
        <v/>
      </c>
      <c r="B208" s="1" t="str">
        <f>IF(A208="","",VLOOKUP($A208,子基金及业绩基准周净值!$A:$AV,11))</f>
        <v/>
      </c>
      <c r="C208" s="8" t="str">
        <f t="shared" si="12"/>
        <v/>
      </c>
      <c r="D208" s="9" t="str">
        <f>IF(A208="","",C208-子基金及业绩基准周净值!AI233)</f>
        <v/>
      </c>
      <c r="E208" s="12" t="str">
        <f>IF(A208="","",(MAX(B$3:B208)-B208)/MAX(B$3:B208))</f>
        <v/>
      </c>
      <c r="F208" s="12" t="str">
        <f>IF(A208="","",MAX(E$4:E208))</f>
        <v/>
      </c>
      <c r="G208" s="17"/>
      <c r="H208" s="14" t="str">
        <f t="shared" si="13"/>
        <v/>
      </c>
      <c r="I208" s="14" t="str">
        <f t="shared" si="14"/>
        <v/>
      </c>
      <c r="J208" s="15" t="str">
        <f t="shared" si="15"/>
        <v/>
      </c>
    </row>
    <row r="209" spans="1:10">
      <c r="A209" s="7" t="str">
        <f>IF(子基金及业绩基准周净值!A234="","",子基金及业绩基准周净值!A234)</f>
        <v/>
      </c>
      <c r="B209" s="1" t="str">
        <f>IF(A209="","",VLOOKUP($A209,子基金及业绩基准周净值!$A:$AV,11))</f>
        <v/>
      </c>
      <c r="C209" s="8" t="str">
        <f t="shared" si="12"/>
        <v/>
      </c>
      <c r="D209" s="9" t="str">
        <f>IF(A209="","",C209-子基金及业绩基准周净值!AI234)</f>
        <v/>
      </c>
      <c r="E209" s="12" t="str">
        <f>IF(A209="","",(MAX(B$3:B209)-B209)/MAX(B$3:B209))</f>
        <v/>
      </c>
      <c r="F209" s="12" t="str">
        <f>IF(A209="","",MAX(E$4:E209))</f>
        <v/>
      </c>
      <c r="G209" s="17"/>
      <c r="H209" s="14" t="str">
        <f t="shared" si="13"/>
        <v/>
      </c>
      <c r="I209" s="14" t="str">
        <f t="shared" si="14"/>
        <v/>
      </c>
      <c r="J209" s="15" t="str">
        <f t="shared" si="15"/>
        <v/>
      </c>
    </row>
    <row r="210" spans="1:10">
      <c r="A210" s="7" t="str">
        <f>IF(子基金及业绩基准周净值!A235="","",子基金及业绩基准周净值!A235)</f>
        <v/>
      </c>
      <c r="B210" s="1" t="str">
        <f>IF(A210="","",VLOOKUP($A210,子基金及业绩基准周净值!$A:$AV,11))</f>
        <v/>
      </c>
      <c r="C210" s="8" t="str">
        <f t="shared" si="12"/>
        <v/>
      </c>
      <c r="D210" s="9" t="str">
        <f>IF(A210="","",C210-子基金及业绩基准周净值!AI235)</f>
        <v/>
      </c>
      <c r="E210" s="12" t="str">
        <f>IF(A210="","",(MAX(B$3:B210)-B210)/MAX(B$3:B210))</f>
        <v/>
      </c>
      <c r="F210" s="12" t="str">
        <f>IF(A210="","",MAX(E$4:E210))</f>
        <v/>
      </c>
      <c r="G210" s="17"/>
      <c r="H210" s="14" t="str">
        <f t="shared" si="13"/>
        <v/>
      </c>
      <c r="I210" s="14" t="str">
        <f t="shared" si="14"/>
        <v/>
      </c>
      <c r="J210" s="15" t="str">
        <f t="shared" si="15"/>
        <v/>
      </c>
    </row>
    <row r="211" spans="1:10">
      <c r="A211" s="7" t="str">
        <f>IF(子基金及业绩基准周净值!A236="","",子基金及业绩基准周净值!A236)</f>
        <v/>
      </c>
      <c r="B211" s="1" t="str">
        <f>IF(A211="","",VLOOKUP($A211,子基金及业绩基准周净值!$A:$AV,11))</f>
        <v/>
      </c>
      <c r="C211" s="8" t="str">
        <f t="shared" si="12"/>
        <v/>
      </c>
      <c r="D211" s="9" t="str">
        <f>IF(A211="","",C211-子基金及业绩基准周净值!AI236)</f>
        <v/>
      </c>
      <c r="E211" s="12" t="str">
        <f>IF(A211="","",(MAX(B$3:B211)-B211)/MAX(B$3:B211))</f>
        <v/>
      </c>
      <c r="F211" s="12" t="str">
        <f>IF(A211="","",MAX(E$4:E211))</f>
        <v/>
      </c>
      <c r="G211" s="17"/>
      <c r="H211" s="14" t="str">
        <f t="shared" si="13"/>
        <v/>
      </c>
      <c r="I211" s="14" t="str">
        <f t="shared" si="14"/>
        <v/>
      </c>
      <c r="J211" s="15" t="str">
        <f t="shared" si="15"/>
        <v/>
      </c>
    </row>
    <row r="212" spans="1:10">
      <c r="A212" s="7" t="str">
        <f>IF(子基金及业绩基准周净值!A237="","",子基金及业绩基准周净值!A237)</f>
        <v/>
      </c>
      <c r="B212" s="1" t="str">
        <f>IF(A212="","",VLOOKUP($A212,子基金及业绩基准周净值!$A:$AV,11))</f>
        <v/>
      </c>
      <c r="C212" s="8" t="str">
        <f t="shared" si="12"/>
        <v/>
      </c>
      <c r="D212" s="9" t="str">
        <f>IF(A212="","",C212-子基金及业绩基准周净值!AI237)</f>
        <v/>
      </c>
      <c r="E212" s="12" t="str">
        <f>IF(A212="","",(MAX(B$3:B212)-B212)/MAX(B$3:B212))</f>
        <v/>
      </c>
      <c r="F212" s="12" t="str">
        <f>IF(A212="","",MAX(E$4:E212))</f>
        <v/>
      </c>
      <c r="G212" s="17"/>
      <c r="H212" s="14" t="str">
        <f t="shared" si="13"/>
        <v/>
      </c>
      <c r="I212" s="14" t="str">
        <f t="shared" si="14"/>
        <v/>
      </c>
      <c r="J212" s="15" t="str">
        <f t="shared" si="15"/>
        <v/>
      </c>
    </row>
    <row r="213" spans="1:10">
      <c r="A213" s="7" t="str">
        <f>IF(子基金及业绩基准周净值!A238="","",子基金及业绩基准周净值!A238)</f>
        <v/>
      </c>
      <c r="B213" s="1" t="str">
        <f>IF(A213="","",VLOOKUP($A213,子基金及业绩基准周净值!$A:$AV,11))</f>
        <v/>
      </c>
      <c r="C213" s="8" t="str">
        <f t="shared" si="12"/>
        <v/>
      </c>
      <c r="D213" s="9" t="str">
        <f>IF(A213="","",C213-子基金及业绩基准周净值!AI238)</f>
        <v/>
      </c>
      <c r="E213" s="12" t="str">
        <f>IF(A213="","",(MAX(B$3:B213)-B213)/MAX(B$3:B213))</f>
        <v/>
      </c>
      <c r="F213" s="12" t="str">
        <f>IF(A213="","",MAX(E$4:E213))</f>
        <v/>
      </c>
      <c r="G213" s="17"/>
      <c r="H213" s="14" t="str">
        <f t="shared" si="13"/>
        <v/>
      </c>
      <c r="I213" s="14" t="str">
        <f t="shared" si="14"/>
        <v/>
      </c>
      <c r="J213" s="15" t="str">
        <f t="shared" si="15"/>
        <v/>
      </c>
    </row>
    <row r="214" spans="1:10">
      <c r="A214" s="7" t="str">
        <f>IF(子基金及业绩基准周净值!A239="","",子基金及业绩基准周净值!A239)</f>
        <v/>
      </c>
      <c r="B214" s="1" t="str">
        <f>IF(A214="","",VLOOKUP($A214,子基金及业绩基准周净值!$A:$AV,11))</f>
        <v/>
      </c>
      <c r="C214" s="8" t="str">
        <f t="shared" si="12"/>
        <v/>
      </c>
      <c r="D214" s="9" t="str">
        <f>IF(A214="","",C214-子基金及业绩基准周净值!AI239)</f>
        <v/>
      </c>
      <c r="E214" s="12" t="str">
        <f>IF(A214="","",(MAX(B$3:B214)-B214)/MAX(B$3:B214))</f>
        <v/>
      </c>
      <c r="F214" s="12" t="str">
        <f>IF(A214="","",MAX(E$4:E214))</f>
        <v/>
      </c>
      <c r="G214" s="17"/>
      <c r="H214" s="14" t="str">
        <f t="shared" si="13"/>
        <v/>
      </c>
      <c r="I214" s="14" t="str">
        <f t="shared" si="14"/>
        <v/>
      </c>
      <c r="J214" s="15" t="str">
        <f t="shared" si="15"/>
        <v/>
      </c>
    </row>
    <row r="215" spans="1:10">
      <c r="A215" s="7" t="str">
        <f>IF(子基金及业绩基准周净值!A240="","",子基金及业绩基准周净值!A240)</f>
        <v/>
      </c>
      <c r="B215" s="1" t="str">
        <f>IF(A215="","",VLOOKUP($A215,子基金及业绩基准周净值!$A:$AV,11))</f>
        <v/>
      </c>
      <c r="C215" s="8" t="str">
        <f t="shared" si="12"/>
        <v/>
      </c>
      <c r="D215" s="9" t="str">
        <f>IF(A215="","",C215-子基金及业绩基准周净值!AI240)</f>
        <v/>
      </c>
      <c r="E215" s="12" t="str">
        <f>IF(A215="","",(MAX(B$3:B215)-B215)/MAX(B$3:B215))</f>
        <v/>
      </c>
      <c r="F215" s="12" t="str">
        <f>IF(A215="","",MAX(E$4:E215))</f>
        <v/>
      </c>
      <c r="G215" s="17"/>
      <c r="H215" s="14" t="str">
        <f t="shared" si="13"/>
        <v/>
      </c>
      <c r="I215" s="14" t="str">
        <f t="shared" si="14"/>
        <v/>
      </c>
      <c r="J215" s="15" t="str">
        <f t="shared" si="15"/>
        <v/>
      </c>
    </row>
    <row r="216" spans="1:10">
      <c r="A216" s="7" t="str">
        <f>IF(子基金及业绩基准周净值!A241="","",子基金及业绩基准周净值!A241)</f>
        <v/>
      </c>
      <c r="B216" s="1" t="str">
        <f>IF(A216="","",VLOOKUP($A216,子基金及业绩基准周净值!$A:$AV,11))</f>
        <v/>
      </c>
      <c r="C216" s="8" t="str">
        <f t="shared" si="12"/>
        <v/>
      </c>
      <c r="D216" s="9" t="str">
        <f>IF(A216="","",C216-子基金及业绩基准周净值!AI241)</f>
        <v/>
      </c>
      <c r="E216" s="12" t="str">
        <f>IF(A216="","",(MAX(B$3:B216)-B216)/MAX(B$3:B216))</f>
        <v/>
      </c>
      <c r="F216" s="12" t="str">
        <f>IF(A216="","",MAX(E$4:E216))</f>
        <v/>
      </c>
      <c r="G216" s="17"/>
      <c r="H216" s="14" t="str">
        <f t="shared" si="13"/>
        <v/>
      </c>
      <c r="I216" s="14" t="str">
        <f t="shared" si="14"/>
        <v/>
      </c>
      <c r="J216" s="15" t="str">
        <f t="shared" si="15"/>
        <v/>
      </c>
    </row>
    <row r="217" spans="1:10">
      <c r="A217" s="7" t="str">
        <f>IF(子基金及业绩基准周净值!A242="","",子基金及业绩基准周净值!A242)</f>
        <v/>
      </c>
      <c r="B217" s="1" t="str">
        <f>IF(A217="","",VLOOKUP($A217,子基金及业绩基准周净值!$A:$AV,11))</f>
        <v/>
      </c>
      <c r="C217" s="8" t="str">
        <f t="shared" si="12"/>
        <v/>
      </c>
      <c r="D217" s="9" t="str">
        <f>IF(A217="","",C217-子基金及业绩基准周净值!AI242)</f>
        <v/>
      </c>
      <c r="E217" s="12" t="str">
        <f>IF(A217="","",(MAX(B$3:B217)-B217)/MAX(B$3:B217))</f>
        <v/>
      </c>
      <c r="F217" s="12" t="str">
        <f>IF(A217="","",MAX(E$4:E217))</f>
        <v/>
      </c>
      <c r="G217" s="17"/>
      <c r="H217" s="14" t="str">
        <f t="shared" si="13"/>
        <v/>
      </c>
      <c r="I217" s="14" t="str">
        <f t="shared" si="14"/>
        <v/>
      </c>
      <c r="J217" s="15" t="str">
        <f t="shared" si="15"/>
        <v/>
      </c>
    </row>
    <row r="218" spans="1:10">
      <c r="A218" s="7" t="str">
        <f>IF(子基金及业绩基准周净值!A243="","",子基金及业绩基准周净值!A243)</f>
        <v/>
      </c>
      <c r="B218" s="1" t="str">
        <f>IF(A218="","",VLOOKUP($A218,子基金及业绩基准周净值!$A:$AV,11))</f>
        <v/>
      </c>
      <c r="C218" s="8" t="str">
        <f t="shared" si="12"/>
        <v/>
      </c>
      <c r="D218" s="9" t="str">
        <f>IF(A218="","",C218-子基金及业绩基准周净值!AI243)</f>
        <v/>
      </c>
      <c r="E218" s="12" t="str">
        <f>IF(A218="","",(MAX(B$3:B218)-B218)/MAX(B$3:B218))</f>
        <v/>
      </c>
      <c r="F218" s="12" t="str">
        <f>IF(A218="","",MAX(E$4:E218))</f>
        <v/>
      </c>
      <c r="G218" s="17"/>
      <c r="H218" s="14" t="str">
        <f t="shared" si="13"/>
        <v/>
      </c>
      <c r="I218" s="14" t="str">
        <f t="shared" si="14"/>
        <v/>
      </c>
      <c r="J218" s="15" t="str">
        <f t="shared" si="15"/>
        <v/>
      </c>
    </row>
    <row r="219" spans="1:10">
      <c r="A219" s="7" t="str">
        <f>IF(子基金及业绩基准周净值!A244="","",子基金及业绩基准周净值!A244)</f>
        <v/>
      </c>
      <c r="B219" s="1" t="str">
        <f>IF(A219="","",VLOOKUP($A219,子基金及业绩基准周净值!$A:$AV,11))</f>
        <v/>
      </c>
      <c r="C219" s="8" t="str">
        <f t="shared" si="12"/>
        <v/>
      </c>
      <c r="D219" s="9" t="str">
        <f>IF(A219="","",C219-子基金及业绩基准周净值!AI244)</f>
        <v/>
      </c>
      <c r="E219" s="12" t="str">
        <f>IF(A219="","",(MAX(B$3:B219)-B219)/MAX(B$3:B219))</f>
        <v/>
      </c>
      <c r="F219" s="12" t="str">
        <f>IF(A219="","",MAX(E$4:E219))</f>
        <v/>
      </c>
      <c r="G219" s="17"/>
      <c r="H219" s="14" t="str">
        <f t="shared" si="13"/>
        <v/>
      </c>
      <c r="I219" s="14" t="str">
        <f t="shared" si="14"/>
        <v/>
      </c>
      <c r="J219" s="15" t="str">
        <f t="shared" si="15"/>
        <v/>
      </c>
    </row>
    <row r="220" spans="1:10">
      <c r="A220" s="7" t="str">
        <f>IF(子基金及业绩基准周净值!A245="","",子基金及业绩基准周净值!A245)</f>
        <v/>
      </c>
      <c r="B220" s="1" t="str">
        <f>IF(A220="","",VLOOKUP($A220,子基金及业绩基准周净值!$A:$AV,11))</f>
        <v/>
      </c>
      <c r="C220" s="8" t="str">
        <f t="shared" si="12"/>
        <v/>
      </c>
      <c r="D220" s="9" t="str">
        <f>IF(A220="","",C220-子基金及业绩基准周净值!AI245)</f>
        <v/>
      </c>
      <c r="E220" s="12" t="str">
        <f>IF(A220="","",(MAX(B$3:B220)-B220)/MAX(B$3:B220))</f>
        <v/>
      </c>
      <c r="F220" s="12" t="str">
        <f>IF(A220="","",MAX(E$4:E220))</f>
        <v/>
      </c>
      <c r="G220" s="17"/>
      <c r="H220" s="14" t="str">
        <f t="shared" si="13"/>
        <v/>
      </c>
      <c r="I220" s="14" t="str">
        <f t="shared" si="14"/>
        <v/>
      </c>
      <c r="J220" s="15" t="str">
        <f t="shared" si="15"/>
        <v/>
      </c>
    </row>
    <row r="221" spans="1:10">
      <c r="A221" s="7" t="str">
        <f>IF(子基金及业绩基准周净值!A246="","",子基金及业绩基准周净值!A246)</f>
        <v/>
      </c>
      <c r="B221" s="1" t="str">
        <f>IF(A221="","",VLOOKUP($A221,子基金及业绩基准周净值!$A:$AV,11))</f>
        <v/>
      </c>
      <c r="C221" s="8" t="str">
        <f t="shared" si="12"/>
        <v/>
      </c>
      <c r="D221" s="9" t="str">
        <f>IF(A221="","",C221-子基金及业绩基准周净值!AI246)</f>
        <v/>
      </c>
      <c r="E221" s="12" t="str">
        <f>IF(A221="","",(MAX(B$3:B221)-B221)/MAX(B$3:B221))</f>
        <v/>
      </c>
      <c r="F221" s="12" t="str">
        <f>IF(A221="","",MAX(E$4:E221))</f>
        <v/>
      </c>
      <c r="G221" s="17"/>
      <c r="H221" s="14" t="str">
        <f t="shared" si="13"/>
        <v/>
      </c>
      <c r="I221" s="14" t="str">
        <f t="shared" si="14"/>
        <v/>
      </c>
      <c r="J221" s="15" t="str">
        <f t="shared" si="15"/>
        <v/>
      </c>
    </row>
    <row r="222" spans="1:10">
      <c r="A222" s="7" t="str">
        <f>IF(子基金及业绩基准周净值!A247="","",子基金及业绩基准周净值!A247)</f>
        <v/>
      </c>
      <c r="B222" s="1" t="str">
        <f>IF(A222="","",VLOOKUP($A222,子基金及业绩基准周净值!$A:$AV,11))</f>
        <v/>
      </c>
      <c r="C222" s="8" t="str">
        <f t="shared" si="12"/>
        <v/>
      </c>
      <c r="D222" s="9" t="str">
        <f>IF(A222="","",C222-子基金及业绩基准周净值!AI247)</f>
        <v/>
      </c>
      <c r="E222" s="12" t="str">
        <f>IF(A222="","",(MAX(B$3:B222)-B222)/MAX(B$3:B222))</f>
        <v/>
      </c>
      <c r="F222" s="12" t="str">
        <f>IF(A222="","",MAX(E$4:E222))</f>
        <v/>
      </c>
      <c r="G222" s="17"/>
      <c r="H222" s="14" t="str">
        <f t="shared" si="13"/>
        <v/>
      </c>
      <c r="I222" s="14" t="str">
        <f t="shared" si="14"/>
        <v/>
      </c>
      <c r="J222" s="15" t="str">
        <f t="shared" si="15"/>
        <v/>
      </c>
    </row>
    <row r="223" spans="1:10">
      <c r="A223" s="7" t="str">
        <f>IF(子基金及业绩基准周净值!A248="","",子基金及业绩基准周净值!A248)</f>
        <v/>
      </c>
      <c r="B223" s="1" t="str">
        <f>IF(A223="","",VLOOKUP($A223,子基金及业绩基准周净值!$A:$AV,11))</f>
        <v/>
      </c>
      <c r="C223" s="8" t="str">
        <f t="shared" si="12"/>
        <v/>
      </c>
      <c r="D223" s="9" t="str">
        <f>IF(A223="","",C223-子基金及业绩基准周净值!AI248)</f>
        <v/>
      </c>
      <c r="E223" s="12" t="str">
        <f>IF(A223="","",(MAX(B$3:B223)-B223)/MAX(B$3:B223))</f>
        <v/>
      </c>
      <c r="F223" s="12" t="str">
        <f>IF(A223="","",MAX(E$4:E223))</f>
        <v/>
      </c>
      <c r="G223" s="17"/>
      <c r="H223" s="14" t="str">
        <f t="shared" si="13"/>
        <v/>
      </c>
      <c r="I223" s="14" t="str">
        <f t="shared" si="14"/>
        <v/>
      </c>
      <c r="J223" s="15" t="str">
        <f t="shared" si="15"/>
        <v/>
      </c>
    </row>
    <row r="224" spans="1:10">
      <c r="A224" s="7" t="str">
        <f>IF(子基金及业绩基准周净值!A249="","",子基金及业绩基准周净值!A249)</f>
        <v/>
      </c>
      <c r="B224" s="1" t="str">
        <f>IF(A224="","",VLOOKUP($A224,子基金及业绩基准周净值!$A:$AV,11))</f>
        <v/>
      </c>
      <c r="C224" s="8" t="str">
        <f t="shared" si="12"/>
        <v/>
      </c>
      <c r="D224" s="9" t="str">
        <f>IF(A224="","",C224-子基金及业绩基准周净值!AI249)</f>
        <v/>
      </c>
      <c r="E224" s="12" t="str">
        <f>IF(A224="","",(MAX(B$3:B224)-B224)/MAX(B$3:B224))</f>
        <v/>
      </c>
      <c r="F224" s="12" t="str">
        <f>IF(A224="","",MAX(E$4:E224))</f>
        <v/>
      </c>
      <c r="G224" s="17"/>
      <c r="H224" s="14" t="str">
        <f t="shared" si="13"/>
        <v/>
      </c>
      <c r="I224" s="14" t="str">
        <f t="shared" si="14"/>
        <v/>
      </c>
      <c r="J224" s="15" t="str">
        <f t="shared" si="15"/>
        <v/>
      </c>
    </row>
    <row r="225" spans="1:10">
      <c r="A225" s="7" t="str">
        <f>IF(子基金及业绩基准周净值!A250="","",子基金及业绩基准周净值!A250)</f>
        <v/>
      </c>
      <c r="B225" s="1" t="str">
        <f>IF(A225="","",VLOOKUP($A225,子基金及业绩基准周净值!$A:$AV,11))</f>
        <v/>
      </c>
      <c r="C225" s="8" t="str">
        <f t="shared" si="12"/>
        <v/>
      </c>
      <c r="D225" s="9" t="str">
        <f>IF(A225="","",C225-子基金及业绩基准周净值!AI250)</f>
        <v/>
      </c>
      <c r="E225" s="12" t="str">
        <f>IF(A225="","",(MAX(B$3:B225)-B225)/MAX(B$3:B225))</f>
        <v/>
      </c>
      <c r="F225" s="12" t="str">
        <f>IF(A225="","",MAX(E$4:E225))</f>
        <v/>
      </c>
      <c r="G225" s="17"/>
      <c r="H225" s="14" t="str">
        <f t="shared" si="13"/>
        <v/>
      </c>
      <c r="I225" s="14" t="str">
        <f t="shared" si="14"/>
        <v/>
      </c>
      <c r="J225" s="15" t="str">
        <f t="shared" si="15"/>
        <v/>
      </c>
    </row>
    <row r="226" spans="1:10">
      <c r="A226" s="7" t="str">
        <f>IF(子基金及业绩基准周净值!A251="","",子基金及业绩基准周净值!A251)</f>
        <v/>
      </c>
      <c r="B226" s="1" t="str">
        <f>IF(A226="","",VLOOKUP($A226,子基金及业绩基准周净值!$A:$AV,11))</f>
        <v/>
      </c>
      <c r="C226" s="8" t="str">
        <f t="shared" si="12"/>
        <v/>
      </c>
      <c r="D226" s="9" t="str">
        <f>IF(A226="","",C226-子基金及业绩基准周净值!AI251)</f>
        <v/>
      </c>
      <c r="E226" s="12" t="str">
        <f>IF(A226="","",(MAX(B$3:B226)-B226)/MAX(B$3:B226))</f>
        <v/>
      </c>
      <c r="F226" s="12" t="str">
        <f>IF(A226="","",MAX(E$4:E226))</f>
        <v/>
      </c>
      <c r="G226" s="17"/>
      <c r="H226" s="14" t="str">
        <f t="shared" si="13"/>
        <v/>
      </c>
      <c r="I226" s="14" t="str">
        <f t="shared" si="14"/>
        <v/>
      </c>
      <c r="J226" s="15" t="str">
        <f t="shared" si="15"/>
        <v/>
      </c>
    </row>
    <row r="227" spans="1:10">
      <c r="A227" s="7" t="str">
        <f>IF(子基金及业绩基准周净值!A252="","",子基金及业绩基准周净值!A252)</f>
        <v/>
      </c>
      <c r="B227" s="1" t="str">
        <f>IF(A227="","",VLOOKUP($A227,子基金及业绩基准周净值!$A:$AV,11))</f>
        <v/>
      </c>
      <c r="C227" s="8" t="str">
        <f t="shared" si="12"/>
        <v/>
      </c>
      <c r="D227" s="9" t="str">
        <f>IF(A227="","",C227-子基金及业绩基准周净值!AI252)</f>
        <v/>
      </c>
      <c r="E227" s="12" t="str">
        <f>IF(A227="","",(MAX(B$3:B227)-B227)/MAX(B$3:B227))</f>
        <v/>
      </c>
      <c r="F227" s="12" t="str">
        <f>IF(A227="","",MAX(E$4:E227))</f>
        <v/>
      </c>
      <c r="G227" s="17"/>
      <c r="H227" s="14" t="str">
        <f t="shared" si="13"/>
        <v/>
      </c>
      <c r="I227" s="14" t="str">
        <f t="shared" si="14"/>
        <v/>
      </c>
      <c r="J227" s="15" t="str">
        <f t="shared" si="15"/>
        <v/>
      </c>
    </row>
    <row r="228" spans="1:10">
      <c r="A228" s="7" t="str">
        <f>IF(子基金及业绩基准周净值!A253="","",子基金及业绩基准周净值!A253)</f>
        <v/>
      </c>
      <c r="B228" s="1" t="str">
        <f>IF(A228="","",VLOOKUP($A228,子基金及业绩基准周净值!$A:$AV,11))</f>
        <v/>
      </c>
      <c r="C228" s="8" t="str">
        <f t="shared" si="12"/>
        <v/>
      </c>
      <c r="D228" s="9" t="str">
        <f>IF(A228="","",C228-子基金及业绩基准周净值!AI253)</f>
        <v/>
      </c>
      <c r="E228" s="12" t="str">
        <f>IF(A228="","",(MAX(B$3:B228)-B228)/MAX(B$3:B228))</f>
        <v/>
      </c>
      <c r="F228" s="12" t="str">
        <f>IF(A228="","",MAX(E$4:E228))</f>
        <v/>
      </c>
      <c r="G228" s="17"/>
      <c r="H228" s="14" t="str">
        <f t="shared" si="13"/>
        <v/>
      </c>
      <c r="I228" s="14" t="str">
        <f t="shared" si="14"/>
        <v/>
      </c>
      <c r="J228" s="15" t="str">
        <f t="shared" si="15"/>
        <v/>
      </c>
    </row>
    <row r="229" spans="1:10">
      <c r="A229" s="7" t="str">
        <f>IF(子基金及业绩基准周净值!A254="","",子基金及业绩基准周净值!A254)</f>
        <v/>
      </c>
      <c r="B229" s="1" t="str">
        <f>IF(A229="","",VLOOKUP($A229,子基金及业绩基准周净值!$A:$AV,11))</f>
        <v/>
      </c>
      <c r="C229" s="8" t="str">
        <f t="shared" si="12"/>
        <v/>
      </c>
      <c r="D229" s="9" t="str">
        <f>IF(A229="","",C229-子基金及业绩基准周净值!AI254)</f>
        <v/>
      </c>
      <c r="E229" s="12" t="str">
        <f>IF(A229="","",(MAX(B$3:B229)-B229)/MAX(B$3:B229))</f>
        <v/>
      </c>
      <c r="F229" s="12" t="str">
        <f>IF(A229="","",MAX(E$4:E229))</f>
        <v/>
      </c>
      <c r="G229" s="17"/>
      <c r="H229" s="14" t="str">
        <f t="shared" si="13"/>
        <v/>
      </c>
      <c r="I229" s="14" t="str">
        <f t="shared" si="14"/>
        <v/>
      </c>
      <c r="J229" s="15" t="str">
        <f t="shared" si="15"/>
        <v/>
      </c>
    </row>
    <row r="230" spans="1:10">
      <c r="A230" s="7" t="str">
        <f>IF(子基金及业绩基准周净值!A255="","",子基金及业绩基准周净值!A255)</f>
        <v/>
      </c>
      <c r="B230" s="1" t="str">
        <f>IF(A230="","",VLOOKUP($A230,子基金及业绩基准周净值!$A:$AV,11))</f>
        <v/>
      </c>
      <c r="C230" s="8" t="str">
        <f t="shared" si="12"/>
        <v/>
      </c>
      <c r="D230" s="9" t="str">
        <f>IF(A230="","",C230-子基金及业绩基准周净值!AI255)</f>
        <v/>
      </c>
      <c r="E230" s="12" t="str">
        <f>IF(A230="","",(MAX(B$3:B230)-B230)/MAX(B$3:B230))</f>
        <v/>
      </c>
      <c r="F230" s="12" t="str">
        <f>IF(A230="","",MAX(E$4:E230))</f>
        <v/>
      </c>
      <c r="G230" s="17"/>
      <c r="H230" s="14" t="str">
        <f t="shared" si="13"/>
        <v/>
      </c>
      <c r="I230" s="14" t="str">
        <f t="shared" si="14"/>
        <v/>
      </c>
      <c r="J230" s="15" t="str">
        <f t="shared" si="15"/>
        <v/>
      </c>
    </row>
    <row r="231" spans="1:10">
      <c r="A231" s="7" t="str">
        <f>IF(子基金及业绩基准周净值!A256="","",子基金及业绩基准周净值!A256)</f>
        <v/>
      </c>
      <c r="B231" s="1" t="str">
        <f>IF(A231="","",VLOOKUP($A231,子基金及业绩基准周净值!$A:$AV,11))</f>
        <v/>
      </c>
      <c r="C231" s="8" t="str">
        <f t="shared" si="12"/>
        <v/>
      </c>
      <c r="D231" s="9" t="str">
        <f>IF(A231="","",C231-子基金及业绩基准周净值!AI256)</f>
        <v/>
      </c>
      <c r="E231" s="12" t="str">
        <f>IF(A231="","",(MAX(B$3:B231)-B231)/MAX(B$3:B231))</f>
        <v/>
      </c>
      <c r="F231" s="12" t="str">
        <f>IF(A231="","",MAX(E$4:E231))</f>
        <v/>
      </c>
      <c r="G231" s="17"/>
      <c r="H231" s="14" t="str">
        <f t="shared" si="13"/>
        <v/>
      </c>
      <c r="I231" s="14" t="str">
        <f t="shared" si="14"/>
        <v/>
      </c>
      <c r="J231" s="15" t="str">
        <f t="shared" si="15"/>
        <v/>
      </c>
    </row>
    <row r="232" spans="1:10">
      <c r="A232" s="7" t="str">
        <f>IF(子基金及业绩基准周净值!A257="","",子基金及业绩基准周净值!A257)</f>
        <v/>
      </c>
      <c r="B232" s="1" t="str">
        <f>IF(A232="","",VLOOKUP($A232,子基金及业绩基准周净值!$A:$AV,11))</f>
        <v/>
      </c>
      <c r="C232" s="8" t="str">
        <f t="shared" si="12"/>
        <v/>
      </c>
      <c r="D232" s="9" t="str">
        <f>IF(A232="","",C232-子基金及业绩基准周净值!AI257)</f>
        <v/>
      </c>
      <c r="E232" s="12" t="str">
        <f>IF(A232="","",(MAX(B$3:B232)-B232)/MAX(B$3:B232))</f>
        <v/>
      </c>
      <c r="F232" s="12" t="str">
        <f>IF(A232="","",MAX(E$4:E232))</f>
        <v/>
      </c>
      <c r="G232" s="17"/>
      <c r="H232" s="14" t="str">
        <f t="shared" si="13"/>
        <v/>
      </c>
      <c r="I232" s="14" t="str">
        <f t="shared" si="14"/>
        <v/>
      </c>
      <c r="J232" s="15" t="str">
        <f t="shared" si="15"/>
        <v/>
      </c>
    </row>
    <row r="233" spans="1:10">
      <c r="A233" s="7" t="str">
        <f>IF(子基金及业绩基准周净值!A258="","",子基金及业绩基准周净值!A258)</f>
        <v/>
      </c>
      <c r="B233" s="1" t="str">
        <f>IF(A233="","",VLOOKUP($A233,子基金及业绩基准周净值!$A:$AV,11))</f>
        <v/>
      </c>
      <c r="C233" s="8" t="str">
        <f t="shared" si="12"/>
        <v/>
      </c>
      <c r="D233" s="9" t="str">
        <f>IF(A233="","",C233-子基金及业绩基准周净值!AI258)</f>
        <v/>
      </c>
      <c r="E233" s="12" t="str">
        <f>IF(A233="","",(MAX(B$3:B233)-B233)/MAX(B$3:B233))</f>
        <v/>
      </c>
      <c r="F233" s="12" t="str">
        <f>IF(A233="","",MAX(E$4:E233))</f>
        <v/>
      </c>
      <c r="G233" s="17"/>
      <c r="H233" s="14" t="str">
        <f t="shared" si="13"/>
        <v/>
      </c>
      <c r="I233" s="14" t="str">
        <f t="shared" si="14"/>
        <v/>
      </c>
      <c r="J233" s="15" t="str">
        <f t="shared" si="15"/>
        <v/>
      </c>
    </row>
    <row r="234" spans="1:10">
      <c r="A234" s="7" t="str">
        <f>IF(子基金及业绩基准周净值!A259="","",子基金及业绩基准周净值!A259)</f>
        <v/>
      </c>
      <c r="B234" s="1" t="str">
        <f>IF(A234="","",VLOOKUP($A234,子基金及业绩基准周净值!$A:$AV,11))</f>
        <v/>
      </c>
      <c r="C234" s="8" t="str">
        <f t="shared" si="12"/>
        <v/>
      </c>
      <c r="D234" s="9" t="str">
        <f>IF(A234="","",C234-子基金及业绩基准周净值!AI259)</f>
        <v/>
      </c>
      <c r="E234" s="12" t="str">
        <f>IF(A234="","",(MAX(B$3:B234)-B234)/MAX(B$3:B234))</f>
        <v/>
      </c>
      <c r="F234" s="12" t="str">
        <f>IF(A234="","",MAX(E$4:E234))</f>
        <v/>
      </c>
      <c r="G234" s="17"/>
      <c r="H234" s="14" t="str">
        <f t="shared" si="13"/>
        <v/>
      </c>
      <c r="I234" s="14" t="str">
        <f t="shared" si="14"/>
        <v/>
      </c>
      <c r="J234" s="15" t="str">
        <f t="shared" si="15"/>
        <v/>
      </c>
    </row>
    <row r="235" spans="1:10">
      <c r="A235" s="7" t="str">
        <f>IF(子基金及业绩基准周净值!A260="","",子基金及业绩基准周净值!A260)</f>
        <v/>
      </c>
      <c r="B235" s="1" t="str">
        <f>IF(A235="","",VLOOKUP($A235,子基金及业绩基准周净值!$A:$AV,11))</f>
        <v/>
      </c>
      <c r="C235" s="8" t="str">
        <f t="shared" si="12"/>
        <v/>
      </c>
      <c r="D235" s="9" t="str">
        <f>IF(A235="","",C235-子基金及业绩基准周净值!AI260)</f>
        <v/>
      </c>
      <c r="E235" s="12" t="str">
        <f>IF(A235="","",(MAX(B$3:B235)-B235)/MAX(B$3:B235))</f>
        <v/>
      </c>
      <c r="F235" s="12" t="str">
        <f>IF(A235="","",MAX(E$4:E235))</f>
        <v/>
      </c>
      <c r="G235" s="17"/>
      <c r="H235" s="14" t="str">
        <f t="shared" si="13"/>
        <v/>
      </c>
      <c r="I235" s="14" t="str">
        <f t="shared" si="14"/>
        <v/>
      </c>
      <c r="J235" s="15" t="str">
        <f t="shared" si="15"/>
        <v/>
      </c>
    </row>
    <row r="236" spans="1:10">
      <c r="A236" s="7" t="str">
        <f>IF(子基金及业绩基准周净值!A261="","",子基金及业绩基准周净值!A261)</f>
        <v/>
      </c>
      <c r="B236" s="1" t="str">
        <f>IF(A236="","",VLOOKUP($A236,子基金及业绩基准周净值!$A:$AV,11))</f>
        <v/>
      </c>
      <c r="C236" s="8" t="str">
        <f t="shared" si="12"/>
        <v/>
      </c>
      <c r="D236" s="9" t="str">
        <f>IF(A236="","",C236-子基金及业绩基准周净值!AI261)</f>
        <v/>
      </c>
      <c r="E236" s="12" t="str">
        <f>IF(A236="","",(MAX(B$3:B236)-B236)/MAX(B$3:B236))</f>
        <v/>
      </c>
      <c r="F236" s="12" t="str">
        <f>IF(A236="","",MAX(E$4:E236))</f>
        <v/>
      </c>
      <c r="G236" s="17"/>
      <c r="H236" s="14" t="str">
        <f t="shared" si="13"/>
        <v/>
      </c>
      <c r="I236" s="14" t="str">
        <f t="shared" si="14"/>
        <v/>
      </c>
      <c r="J236" s="15" t="str">
        <f t="shared" si="15"/>
        <v/>
      </c>
    </row>
    <row r="237" spans="1:10">
      <c r="A237" s="7" t="str">
        <f>IF(子基金及业绩基准周净值!A262="","",子基金及业绩基准周净值!A262)</f>
        <v/>
      </c>
      <c r="B237" s="1" t="str">
        <f>IF(A237="","",VLOOKUP($A237,子基金及业绩基准周净值!$A:$AV,11))</f>
        <v/>
      </c>
      <c r="C237" s="8" t="str">
        <f t="shared" si="12"/>
        <v/>
      </c>
      <c r="D237" s="9" t="str">
        <f>IF(A237="","",C237-子基金及业绩基准周净值!AI262)</f>
        <v/>
      </c>
      <c r="E237" s="12" t="str">
        <f>IF(A237="","",(MAX(B$3:B237)-B237)/MAX(B$3:B237))</f>
        <v/>
      </c>
      <c r="F237" s="12" t="str">
        <f>IF(A237="","",MAX(E$4:E237))</f>
        <v/>
      </c>
      <c r="G237" s="17"/>
      <c r="H237" s="14" t="str">
        <f t="shared" si="13"/>
        <v/>
      </c>
      <c r="I237" s="14" t="str">
        <f t="shared" si="14"/>
        <v/>
      </c>
      <c r="J237" s="15" t="str">
        <f t="shared" si="15"/>
        <v/>
      </c>
    </row>
    <row r="238" spans="1:10">
      <c r="A238" s="7" t="str">
        <f>IF(子基金及业绩基准周净值!A263="","",子基金及业绩基准周净值!A263)</f>
        <v/>
      </c>
      <c r="B238" s="1" t="str">
        <f>IF(A238="","",VLOOKUP($A238,子基金及业绩基准周净值!$A:$AV,11))</f>
        <v/>
      </c>
      <c r="C238" s="8" t="str">
        <f t="shared" si="12"/>
        <v/>
      </c>
      <c r="D238" s="9" t="str">
        <f>IF(A238="","",C238-子基金及业绩基准周净值!AI263)</f>
        <v/>
      </c>
      <c r="E238" s="12" t="str">
        <f>IF(A238="","",(MAX(B$3:B238)-B238)/MAX(B$3:B238))</f>
        <v/>
      </c>
      <c r="F238" s="12" t="str">
        <f>IF(A238="","",MAX(E$4:E238))</f>
        <v/>
      </c>
      <c r="G238" s="17"/>
      <c r="H238" s="14" t="str">
        <f t="shared" si="13"/>
        <v/>
      </c>
      <c r="I238" s="14" t="str">
        <f t="shared" si="14"/>
        <v/>
      </c>
      <c r="J238" s="15" t="str">
        <f t="shared" si="15"/>
        <v/>
      </c>
    </row>
    <row r="239" spans="1:10">
      <c r="A239" s="7" t="str">
        <f>IF(子基金及业绩基准周净值!A264="","",子基金及业绩基准周净值!A264)</f>
        <v/>
      </c>
      <c r="B239" s="1" t="str">
        <f>IF(A239="","",VLOOKUP($A239,子基金及业绩基准周净值!$A:$AV,11))</f>
        <v/>
      </c>
      <c r="C239" s="8" t="str">
        <f t="shared" si="12"/>
        <v/>
      </c>
      <c r="D239" s="9" t="str">
        <f>IF(A239="","",C239-子基金及业绩基准周净值!AI264)</f>
        <v/>
      </c>
      <c r="E239" s="12" t="str">
        <f>IF(A239="","",(MAX(B$3:B239)-B239)/MAX(B$3:B239))</f>
        <v/>
      </c>
      <c r="F239" s="12" t="str">
        <f>IF(A239="","",MAX(E$4:E239))</f>
        <v/>
      </c>
      <c r="G239" s="17"/>
      <c r="H239" s="14" t="str">
        <f t="shared" si="13"/>
        <v/>
      </c>
      <c r="I239" s="14" t="str">
        <f t="shared" si="14"/>
        <v/>
      </c>
      <c r="J239" s="15" t="str">
        <f t="shared" si="15"/>
        <v/>
      </c>
    </row>
    <row r="240" spans="1:10">
      <c r="A240" s="7" t="str">
        <f>IF(子基金及业绩基准周净值!A265="","",子基金及业绩基准周净值!A265)</f>
        <v/>
      </c>
      <c r="B240" s="1" t="str">
        <f>IF(A240="","",VLOOKUP($A240,子基金及业绩基准周净值!$A:$AV,11))</f>
        <v/>
      </c>
      <c r="C240" s="8" t="str">
        <f t="shared" si="12"/>
        <v/>
      </c>
      <c r="D240" s="9" t="str">
        <f>IF(A240="","",C240-子基金及业绩基准周净值!AI265)</f>
        <v/>
      </c>
      <c r="E240" s="12" t="str">
        <f>IF(A240="","",(MAX(B$3:B240)-B240)/MAX(B$3:B240))</f>
        <v/>
      </c>
      <c r="F240" s="12" t="str">
        <f>IF(A240="","",MAX(E$4:E240))</f>
        <v/>
      </c>
      <c r="G240" s="17"/>
      <c r="H240" s="14" t="str">
        <f t="shared" si="13"/>
        <v/>
      </c>
      <c r="I240" s="14" t="str">
        <f t="shared" si="14"/>
        <v/>
      </c>
      <c r="J240" s="15" t="str">
        <f t="shared" si="15"/>
        <v/>
      </c>
    </row>
    <row r="241" spans="1:10">
      <c r="A241" s="7" t="str">
        <f>IF(子基金及业绩基准周净值!A266="","",子基金及业绩基准周净值!A266)</f>
        <v/>
      </c>
      <c r="B241" s="1" t="str">
        <f>IF(A241="","",VLOOKUP($A241,子基金及业绩基准周净值!$A:$AV,11))</f>
        <v/>
      </c>
      <c r="C241" s="8" t="str">
        <f t="shared" si="12"/>
        <v/>
      </c>
      <c r="D241" s="9" t="str">
        <f>IF(A241="","",C241-子基金及业绩基准周净值!AI266)</f>
        <v/>
      </c>
      <c r="E241" s="12" t="str">
        <f>IF(A241="","",(MAX(B$3:B241)-B241)/MAX(B$3:B241))</f>
        <v/>
      </c>
      <c r="F241" s="12" t="str">
        <f>IF(A241="","",MAX(E$4:E241))</f>
        <v/>
      </c>
      <c r="G241" s="17"/>
      <c r="H241" s="14" t="str">
        <f t="shared" si="13"/>
        <v/>
      </c>
      <c r="I241" s="14" t="str">
        <f t="shared" si="14"/>
        <v/>
      </c>
      <c r="J241" s="15" t="str">
        <f t="shared" si="15"/>
        <v/>
      </c>
    </row>
    <row r="242" spans="1:10">
      <c r="A242" s="7" t="str">
        <f>IF(子基金及业绩基准周净值!A267="","",子基金及业绩基准周净值!A267)</f>
        <v/>
      </c>
      <c r="B242" s="1" t="str">
        <f>IF(A242="","",VLOOKUP($A242,子基金及业绩基准周净值!$A:$AV,11))</f>
        <v/>
      </c>
      <c r="C242" s="8" t="str">
        <f t="shared" si="12"/>
        <v/>
      </c>
      <c r="D242" s="9" t="str">
        <f>IF(A242="","",C242-子基金及业绩基准周净值!AI267)</f>
        <v/>
      </c>
      <c r="E242" s="12" t="str">
        <f>IF(A242="","",(MAX(B$3:B242)-B242)/MAX(B$3:B242))</f>
        <v/>
      </c>
      <c r="F242" s="12" t="str">
        <f>IF(A242="","",MAX(E$4:E242))</f>
        <v/>
      </c>
      <c r="G242" s="17"/>
      <c r="H242" s="14" t="str">
        <f t="shared" si="13"/>
        <v/>
      </c>
      <c r="I242" s="14" t="str">
        <f t="shared" si="14"/>
        <v/>
      </c>
      <c r="J242" s="15" t="str">
        <f t="shared" si="15"/>
        <v/>
      </c>
    </row>
    <row r="243" spans="1:10">
      <c r="A243" s="7" t="str">
        <f>IF(子基金及业绩基准周净值!A268="","",子基金及业绩基准周净值!A268)</f>
        <v/>
      </c>
      <c r="B243" s="1" t="str">
        <f>IF(A243="","",VLOOKUP($A243,子基金及业绩基准周净值!$A:$AV,11))</f>
        <v/>
      </c>
      <c r="C243" s="8" t="str">
        <f t="shared" si="12"/>
        <v/>
      </c>
      <c r="D243" s="9" t="str">
        <f>IF(A243="","",C243-子基金及业绩基准周净值!AI268)</f>
        <v/>
      </c>
      <c r="E243" s="12" t="str">
        <f>IF(A243="","",(MAX(B$3:B243)-B243)/MAX(B$3:B243))</f>
        <v/>
      </c>
      <c r="F243" s="12" t="str">
        <f>IF(A243="","",MAX(E$4:E243))</f>
        <v/>
      </c>
      <c r="G243" s="17"/>
      <c r="H243" s="14" t="str">
        <f t="shared" si="13"/>
        <v/>
      </c>
      <c r="I243" s="14" t="str">
        <f t="shared" si="14"/>
        <v/>
      </c>
      <c r="J243" s="15" t="str">
        <f t="shared" si="15"/>
        <v/>
      </c>
    </row>
    <row r="244" spans="1:10">
      <c r="A244" s="7" t="str">
        <f>IF(子基金及业绩基准周净值!A269="","",子基金及业绩基准周净值!A269)</f>
        <v/>
      </c>
      <c r="B244" s="1" t="str">
        <f>IF(A244="","",VLOOKUP($A244,子基金及业绩基准周净值!$A:$AV,11))</f>
        <v/>
      </c>
      <c r="C244" s="8" t="str">
        <f t="shared" si="12"/>
        <v/>
      </c>
      <c r="D244" s="9" t="str">
        <f>IF(A244="","",C244-子基金及业绩基准周净值!AI269)</f>
        <v/>
      </c>
      <c r="E244" s="12" t="str">
        <f>IF(A244="","",(MAX(B$3:B244)-B244)/MAX(B$3:B244))</f>
        <v/>
      </c>
      <c r="F244" s="12" t="str">
        <f>IF(A244="","",MAX(E$4:E244))</f>
        <v/>
      </c>
      <c r="G244" s="17"/>
      <c r="H244" s="14" t="str">
        <f t="shared" si="13"/>
        <v/>
      </c>
      <c r="I244" s="14" t="str">
        <f t="shared" si="14"/>
        <v/>
      </c>
      <c r="J244" s="15" t="str">
        <f t="shared" si="15"/>
        <v/>
      </c>
    </row>
    <row r="245" spans="1:10">
      <c r="A245" s="7" t="str">
        <f>IF(子基金及业绩基准周净值!A270="","",子基金及业绩基准周净值!A270)</f>
        <v/>
      </c>
      <c r="B245" s="1" t="str">
        <f>IF(A245="","",VLOOKUP($A245,子基金及业绩基准周净值!$A:$AV,11))</f>
        <v/>
      </c>
      <c r="C245" s="8" t="str">
        <f t="shared" si="12"/>
        <v/>
      </c>
      <c r="D245" s="9" t="str">
        <f>IF(A245="","",C245-子基金及业绩基准周净值!AI270)</f>
        <v/>
      </c>
      <c r="E245" s="12" t="str">
        <f>IF(A245="","",(MAX(B$3:B245)-B245)/MAX(B$3:B245))</f>
        <v/>
      </c>
      <c r="F245" s="12" t="str">
        <f>IF(A245="","",MAX(E$4:E245))</f>
        <v/>
      </c>
      <c r="G245" s="17"/>
      <c r="H245" s="14" t="str">
        <f t="shared" si="13"/>
        <v/>
      </c>
      <c r="I245" s="14" t="str">
        <f t="shared" si="14"/>
        <v/>
      </c>
      <c r="J245" s="15" t="str">
        <f t="shared" si="15"/>
        <v/>
      </c>
    </row>
    <row r="246" spans="1:10">
      <c r="A246" s="7" t="str">
        <f>IF(子基金及业绩基准周净值!A271="","",子基金及业绩基准周净值!A271)</f>
        <v/>
      </c>
      <c r="B246" s="1" t="str">
        <f>IF(A246="","",VLOOKUP($A246,子基金及业绩基准周净值!$A:$AV,11))</f>
        <v/>
      </c>
      <c r="C246" s="8" t="str">
        <f t="shared" si="12"/>
        <v/>
      </c>
      <c r="D246" s="9" t="str">
        <f>IF(A246="","",C246-子基金及业绩基准周净值!AI271)</f>
        <v/>
      </c>
      <c r="E246" s="12" t="str">
        <f>IF(A246="","",(MAX(B$3:B246)-B246)/MAX(B$3:B246))</f>
        <v/>
      </c>
      <c r="F246" s="12" t="str">
        <f>IF(A246="","",MAX(E$4:E246))</f>
        <v/>
      </c>
      <c r="G246" s="17"/>
      <c r="H246" s="14" t="str">
        <f t="shared" si="13"/>
        <v/>
      </c>
      <c r="I246" s="14" t="str">
        <f t="shared" si="14"/>
        <v/>
      </c>
      <c r="J246" s="15" t="str">
        <f t="shared" si="15"/>
        <v/>
      </c>
    </row>
    <row r="247" spans="1:10">
      <c r="A247" s="7" t="str">
        <f>IF(子基金及业绩基准周净值!A272="","",子基金及业绩基准周净值!A272)</f>
        <v/>
      </c>
      <c r="B247" s="1" t="str">
        <f>IF(A247="","",VLOOKUP($A247,子基金及业绩基准周净值!$A:$AV,11))</f>
        <v/>
      </c>
      <c r="C247" s="8" t="str">
        <f t="shared" si="12"/>
        <v/>
      </c>
      <c r="D247" s="9" t="str">
        <f>IF(A247="","",C247-子基金及业绩基准周净值!AI272)</f>
        <v/>
      </c>
      <c r="E247" s="12" t="str">
        <f>IF(A247="","",(MAX(B$3:B247)-B247)/MAX(B$3:B247))</f>
        <v/>
      </c>
      <c r="F247" s="12" t="str">
        <f>IF(A247="","",MAX(E$4:E247))</f>
        <v/>
      </c>
      <c r="G247" s="17"/>
      <c r="H247" s="14" t="str">
        <f t="shared" si="13"/>
        <v/>
      </c>
      <c r="I247" s="14" t="str">
        <f t="shared" si="14"/>
        <v/>
      </c>
      <c r="J247" s="15" t="str">
        <f t="shared" si="15"/>
        <v/>
      </c>
    </row>
    <row r="248" spans="1:10">
      <c r="A248" s="7" t="str">
        <f>IF(子基金及业绩基准周净值!A273="","",子基金及业绩基准周净值!A273)</f>
        <v/>
      </c>
      <c r="B248" s="1" t="str">
        <f>IF(A248="","",VLOOKUP($A248,子基金及业绩基准周净值!$A:$AV,11))</f>
        <v/>
      </c>
      <c r="C248" s="8" t="str">
        <f t="shared" si="12"/>
        <v/>
      </c>
      <c r="D248" s="9" t="str">
        <f>IF(A248="","",C248-子基金及业绩基准周净值!AI273)</f>
        <v/>
      </c>
      <c r="E248" s="12" t="str">
        <f>IF(A248="","",(MAX(B$3:B248)-B248)/MAX(B$3:B248))</f>
        <v/>
      </c>
      <c r="F248" s="12" t="str">
        <f>IF(A248="","",MAX(E$4:E248))</f>
        <v/>
      </c>
      <c r="G248" s="17"/>
      <c r="H248" s="14" t="str">
        <f t="shared" si="13"/>
        <v/>
      </c>
      <c r="I248" s="14" t="str">
        <f t="shared" si="14"/>
        <v/>
      </c>
      <c r="J248" s="15" t="str">
        <f t="shared" si="15"/>
        <v/>
      </c>
    </row>
    <row r="249" spans="1:10">
      <c r="A249" s="7" t="str">
        <f>IF(子基金及业绩基准周净值!A274="","",子基金及业绩基准周净值!A274)</f>
        <v/>
      </c>
      <c r="B249" s="1" t="str">
        <f>IF(A249="","",VLOOKUP($A249,子基金及业绩基准周净值!$A:$AV,11))</f>
        <v/>
      </c>
      <c r="C249" s="8" t="str">
        <f t="shared" si="12"/>
        <v/>
      </c>
      <c r="D249" s="9" t="str">
        <f>IF(A249="","",C249-子基金及业绩基准周净值!AI274)</f>
        <v/>
      </c>
      <c r="E249" s="12" t="str">
        <f>IF(A249="","",(MAX(B$3:B249)-B249)/MAX(B$3:B249))</f>
        <v/>
      </c>
      <c r="F249" s="12" t="str">
        <f>IF(A249="","",MAX(E$4:E249))</f>
        <v/>
      </c>
      <c r="G249" s="17"/>
      <c r="H249" s="14" t="str">
        <f t="shared" si="13"/>
        <v/>
      </c>
      <c r="I249" s="14" t="str">
        <f t="shared" si="14"/>
        <v/>
      </c>
      <c r="J249" s="15" t="str">
        <f t="shared" si="15"/>
        <v/>
      </c>
    </row>
    <row r="250" spans="1:10">
      <c r="A250" s="7" t="str">
        <f>IF(子基金及业绩基准周净值!A275="","",子基金及业绩基准周净值!A275)</f>
        <v/>
      </c>
      <c r="B250" s="1" t="str">
        <f>IF(A250="","",VLOOKUP($A250,子基金及业绩基准周净值!$A:$AV,11))</f>
        <v/>
      </c>
      <c r="C250" s="8" t="str">
        <f t="shared" si="12"/>
        <v/>
      </c>
      <c r="D250" s="9" t="str">
        <f>IF(A250="","",C250-子基金及业绩基准周净值!AI275)</f>
        <v/>
      </c>
      <c r="E250" s="12" t="str">
        <f>IF(A250="","",(MAX(B$3:B250)-B250)/MAX(B$3:B250))</f>
        <v/>
      </c>
      <c r="F250" s="12" t="str">
        <f>IF(A250="","",MAX(E$4:E250))</f>
        <v/>
      </c>
      <c r="G250" s="17"/>
      <c r="H250" s="14" t="str">
        <f t="shared" si="13"/>
        <v/>
      </c>
      <c r="I250" s="14" t="str">
        <f t="shared" si="14"/>
        <v/>
      </c>
      <c r="J250" s="15" t="str">
        <f t="shared" si="15"/>
        <v/>
      </c>
    </row>
    <row r="251" spans="1:10">
      <c r="A251" s="7" t="str">
        <f>IF(子基金及业绩基准周净值!A276="","",子基金及业绩基准周净值!A276)</f>
        <v/>
      </c>
      <c r="B251" s="1" t="str">
        <f>IF(A251="","",VLOOKUP($A251,子基金及业绩基准周净值!$A:$AV,11))</f>
        <v/>
      </c>
      <c r="C251" s="8" t="str">
        <f t="shared" si="12"/>
        <v/>
      </c>
      <c r="D251" s="9" t="str">
        <f>IF(A251="","",C251-子基金及业绩基准周净值!AI276)</f>
        <v/>
      </c>
      <c r="E251" s="12" t="str">
        <f>IF(A251="","",(MAX(B$3:B251)-B251)/MAX(B$3:B251))</f>
        <v/>
      </c>
      <c r="F251" s="12" t="str">
        <f>IF(A251="","",MAX(E$4:E251))</f>
        <v/>
      </c>
      <c r="G251" s="17"/>
      <c r="H251" s="14" t="str">
        <f t="shared" si="13"/>
        <v/>
      </c>
      <c r="I251" s="14" t="str">
        <f t="shared" si="14"/>
        <v/>
      </c>
      <c r="J251" s="15" t="str">
        <f t="shared" si="15"/>
        <v/>
      </c>
    </row>
    <row r="252" spans="1:10">
      <c r="A252" s="7" t="str">
        <f>IF(子基金及业绩基准周净值!A277="","",子基金及业绩基准周净值!A277)</f>
        <v/>
      </c>
      <c r="B252" s="1" t="str">
        <f>IF(A252="","",VLOOKUP($A252,子基金及业绩基准周净值!$A:$AV,11))</f>
        <v/>
      </c>
      <c r="C252" s="8" t="str">
        <f t="shared" si="12"/>
        <v/>
      </c>
      <c r="D252" s="9" t="str">
        <f>IF(A252="","",C252-子基金及业绩基准周净值!AI277)</f>
        <v/>
      </c>
      <c r="E252" s="12" t="str">
        <f>IF(A252="","",(MAX(B$3:B252)-B252)/MAX(B$3:B252))</f>
        <v/>
      </c>
      <c r="F252" s="12" t="str">
        <f>IF(A252="","",MAX(E$4:E252))</f>
        <v/>
      </c>
      <c r="G252" s="17"/>
      <c r="H252" s="14" t="str">
        <f t="shared" si="13"/>
        <v/>
      </c>
      <c r="I252" s="14" t="str">
        <f t="shared" si="14"/>
        <v/>
      </c>
      <c r="J252" s="15" t="str">
        <f t="shared" si="15"/>
        <v/>
      </c>
    </row>
    <row r="253" spans="1:10">
      <c r="A253" s="7" t="str">
        <f>IF(子基金及业绩基准周净值!A278="","",子基金及业绩基准周净值!A278)</f>
        <v/>
      </c>
      <c r="B253" s="1" t="str">
        <f>IF(A253="","",VLOOKUP($A253,子基金及业绩基准周净值!$A:$AV,11))</f>
        <v/>
      </c>
      <c r="C253" s="8" t="str">
        <f t="shared" si="12"/>
        <v/>
      </c>
      <c r="D253" s="9" t="str">
        <f>IF(A253="","",C253-子基金及业绩基准周净值!AI278)</f>
        <v/>
      </c>
      <c r="E253" s="12" t="str">
        <f>IF(A253="","",(MAX(B$3:B253)-B253)/MAX(B$3:B253))</f>
        <v/>
      </c>
      <c r="F253" s="12" t="str">
        <f>IF(A253="","",MAX(E$4:E253))</f>
        <v/>
      </c>
      <c r="G253" s="17"/>
      <c r="H253" s="14" t="str">
        <f t="shared" si="13"/>
        <v/>
      </c>
      <c r="I253" s="14" t="str">
        <f t="shared" si="14"/>
        <v/>
      </c>
      <c r="J253" s="15" t="str">
        <f t="shared" si="15"/>
        <v/>
      </c>
    </row>
    <row r="254" spans="1:10">
      <c r="A254" s="7" t="str">
        <f>IF(子基金及业绩基准周净值!A279="","",子基金及业绩基准周净值!A279)</f>
        <v/>
      </c>
      <c r="B254" s="1" t="str">
        <f>IF(A254="","",VLOOKUP($A254,子基金及业绩基准周净值!$A:$AV,11))</f>
        <v/>
      </c>
      <c r="C254" s="8" t="str">
        <f t="shared" si="12"/>
        <v/>
      </c>
      <c r="D254" s="9" t="str">
        <f>IF(A254="","",C254-子基金及业绩基准周净值!AI279)</f>
        <v/>
      </c>
      <c r="E254" s="12" t="str">
        <f>IF(A254="","",(MAX(B$3:B254)-B254)/MAX(B$3:B254))</f>
        <v/>
      </c>
      <c r="F254" s="12" t="str">
        <f>IF(A254="","",MAX(E$4:E254))</f>
        <v/>
      </c>
      <c r="G254" s="17"/>
      <c r="H254" s="14" t="str">
        <f t="shared" si="13"/>
        <v/>
      </c>
      <c r="I254" s="14" t="str">
        <f t="shared" si="14"/>
        <v/>
      </c>
      <c r="J254" s="15" t="str">
        <f t="shared" si="15"/>
        <v/>
      </c>
    </row>
    <row r="255" spans="1:10">
      <c r="A255" s="7" t="str">
        <f>IF(子基金及业绩基准周净值!A280="","",子基金及业绩基准周净值!A280)</f>
        <v/>
      </c>
      <c r="B255" s="1" t="str">
        <f>IF(A255="","",VLOOKUP($A255,子基金及业绩基准周净值!$A:$AV,11))</f>
        <v/>
      </c>
      <c r="C255" s="8" t="str">
        <f t="shared" si="12"/>
        <v/>
      </c>
      <c r="D255" s="9" t="str">
        <f>IF(A255="","",C255-子基金及业绩基准周净值!AI280)</f>
        <v/>
      </c>
      <c r="E255" s="12" t="str">
        <f>IF(A255="","",(MAX(B$3:B255)-B255)/MAX(B$3:B255))</f>
        <v/>
      </c>
      <c r="F255" s="12" t="str">
        <f>IF(A255="","",MAX(E$4:E255))</f>
        <v/>
      </c>
      <c r="G255" s="17"/>
      <c r="H255" s="14" t="str">
        <f t="shared" si="13"/>
        <v/>
      </c>
      <c r="I255" s="14" t="str">
        <f t="shared" si="14"/>
        <v/>
      </c>
      <c r="J255" s="15" t="str">
        <f t="shared" si="15"/>
        <v/>
      </c>
    </row>
    <row r="256" spans="1:10">
      <c r="A256" s="7" t="str">
        <f>IF(子基金及业绩基准周净值!A281="","",子基金及业绩基准周净值!A281)</f>
        <v/>
      </c>
      <c r="B256" s="1" t="str">
        <f>IF(A256="","",VLOOKUP($A256,子基金及业绩基准周净值!$A:$AV,11))</f>
        <v/>
      </c>
      <c r="C256" s="8" t="str">
        <f t="shared" si="12"/>
        <v/>
      </c>
      <c r="D256" s="9" t="str">
        <f>IF(A256="","",C256-子基金及业绩基准周净值!AI281)</f>
        <v/>
      </c>
      <c r="E256" s="12" t="str">
        <f>IF(A256="","",(MAX(B$3:B256)-B256)/MAX(B$3:B256))</f>
        <v/>
      </c>
      <c r="F256" s="12" t="str">
        <f>IF(A256="","",MAX(E$4:E256))</f>
        <v/>
      </c>
      <c r="G256" s="17"/>
      <c r="H256" s="14" t="str">
        <f t="shared" si="13"/>
        <v/>
      </c>
      <c r="I256" s="14" t="str">
        <f t="shared" si="14"/>
        <v/>
      </c>
      <c r="J256" s="15" t="str">
        <f t="shared" si="15"/>
        <v/>
      </c>
    </row>
    <row r="257" spans="1:10">
      <c r="A257" s="7" t="str">
        <f>IF(子基金及业绩基准周净值!A282="","",子基金及业绩基准周净值!A282)</f>
        <v/>
      </c>
      <c r="B257" s="1" t="str">
        <f>IF(A257="","",VLOOKUP($A257,子基金及业绩基准周净值!$A:$AV,11))</f>
        <v/>
      </c>
      <c r="C257" s="8" t="str">
        <f t="shared" si="12"/>
        <v/>
      </c>
      <c r="D257" s="9" t="str">
        <f>IF(A257="","",C257-子基金及业绩基准周净值!AI282)</f>
        <v/>
      </c>
      <c r="E257" s="12" t="str">
        <f>IF(A257="","",(MAX(B$3:B257)-B257)/MAX(B$3:B257))</f>
        <v/>
      </c>
      <c r="F257" s="12" t="str">
        <f>IF(A257="","",MAX(E$4:E257))</f>
        <v/>
      </c>
      <c r="G257" s="17"/>
      <c r="H257" s="14" t="str">
        <f t="shared" si="13"/>
        <v/>
      </c>
      <c r="I257" s="14" t="str">
        <f t="shared" si="14"/>
        <v/>
      </c>
      <c r="J257" s="15" t="str">
        <f t="shared" si="15"/>
        <v/>
      </c>
    </row>
    <row r="258" spans="1:10">
      <c r="A258" s="7" t="str">
        <f>IF(子基金及业绩基准周净值!A283="","",子基金及业绩基准周净值!A283)</f>
        <v/>
      </c>
      <c r="B258" s="1" t="str">
        <f>IF(A258="","",VLOOKUP($A258,子基金及业绩基准周净值!$A:$AV,11))</f>
        <v/>
      </c>
      <c r="C258" s="8" t="str">
        <f t="shared" si="12"/>
        <v/>
      </c>
      <c r="D258" s="9" t="str">
        <f>IF(A258="","",C258-子基金及业绩基准周净值!AI283)</f>
        <v/>
      </c>
      <c r="E258" s="12" t="str">
        <f>IF(A258="","",(MAX(B$3:B258)-B258)/MAX(B$3:B258))</f>
        <v/>
      </c>
      <c r="F258" s="12" t="str">
        <f>IF(A258="","",MAX(E$4:E258))</f>
        <v/>
      </c>
      <c r="G258" s="17"/>
      <c r="H258" s="14" t="str">
        <f t="shared" si="13"/>
        <v/>
      </c>
      <c r="I258" s="14" t="str">
        <f t="shared" si="14"/>
        <v/>
      </c>
      <c r="J258" s="15" t="str">
        <f t="shared" si="15"/>
        <v/>
      </c>
    </row>
    <row r="259" spans="1:10">
      <c r="A259" s="7" t="str">
        <f>IF(子基金及业绩基准周净值!A284="","",子基金及业绩基准周净值!A284)</f>
        <v/>
      </c>
      <c r="B259" s="1" t="str">
        <f>IF(A259="","",VLOOKUP($A259,子基金及业绩基准周净值!$A:$AV,11))</f>
        <v/>
      </c>
      <c r="C259" s="8" t="str">
        <f t="shared" si="12"/>
        <v/>
      </c>
      <c r="D259" s="9" t="str">
        <f>IF(A259="","",C259-子基金及业绩基准周净值!AI284)</f>
        <v/>
      </c>
      <c r="E259" s="12" t="str">
        <f>IF(A259="","",(MAX(B$3:B259)-B259)/MAX(B$3:B259))</f>
        <v/>
      </c>
      <c r="F259" s="12" t="str">
        <f>IF(A259="","",MAX(E$4:E259))</f>
        <v/>
      </c>
      <c r="G259" s="17"/>
      <c r="H259" s="14" t="str">
        <f t="shared" si="13"/>
        <v/>
      </c>
      <c r="I259" s="14" t="str">
        <f t="shared" si="14"/>
        <v/>
      </c>
      <c r="J259" s="15" t="str">
        <f t="shared" si="15"/>
        <v/>
      </c>
    </row>
    <row r="260" spans="1:10">
      <c r="A260" s="7" t="str">
        <f>IF(子基金及业绩基准周净值!A285="","",子基金及业绩基准周净值!A285)</f>
        <v/>
      </c>
      <c r="B260" s="1" t="str">
        <f>IF(A260="","",VLOOKUP($A260,子基金及业绩基准周净值!$A:$AV,11))</f>
        <v/>
      </c>
      <c r="C260" s="8" t="str">
        <f t="shared" si="12"/>
        <v/>
      </c>
      <c r="D260" s="9" t="str">
        <f>IF(A260="","",C260-子基金及业绩基准周净值!AI285)</f>
        <v/>
      </c>
      <c r="E260" s="12" t="str">
        <f>IF(A260="","",(MAX(B$3:B260)-B260)/MAX(B$3:B260))</f>
        <v/>
      </c>
      <c r="F260" s="12" t="str">
        <f>IF(A260="","",MAX(E$4:E260))</f>
        <v/>
      </c>
      <c r="G260" s="17"/>
      <c r="H260" s="14" t="str">
        <f t="shared" si="13"/>
        <v/>
      </c>
      <c r="I260" s="14" t="str">
        <f t="shared" si="14"/>
        <v/>
      </c>
      <c r="J260" s="15" t="str">
        <f t="shared" si="15"/>
        <v/>
      </c>
    </row>
    <row r="261" spans="1:10">
      <c r="A261" s="7" t="str">
        <f>IF(子基金及业绩基准周净值!A286="","",子基金及业绩基准周净值!A286)</f>
        <v/>
      </c>
      <c r="B261" s="1" t="str">
        <f>IF(A261="","",VLOOKUP($A261,子基金及业绩基准周净值!$A:$AV,11))</f>
        <v/>
      </c>
      <c r="C261" s="8" t="str">
        <f t="shared" ref="C261:C324" si="16">IF(A261="","",(B261-B260)/B260)</f>
        <v/>
      </c>
      <c r="D261" s="9" t="str">
        <f>IF(A261="","",C261-子基金及业绩基准周净值!AI286)</f>
        <v/>
      </c>
      <c r="E261" s="12" t="str">
        <f>IF(A261="","",(MAX(B$3:B261)-B261)/MAX(B$3:B261))</f>
        <v/>
      </c>
      <c r="F261" s="12" t="str">
        <f>IF(A261="","",MAX(E$4:E261))</f>
        <v/>
      </c>
      <c r="G261" s="17"/>
      <c r="H261" s="14" t="str">
        <f t="shared" ref="H261:H324" si="17">IF(B261="","",IF(C261&lt;-3%,"是","否"))</f>
        <v/>
      </c>
      <c r="I261" s="14" t="str">
        <f t="shared" ref="I261:I324" si="18">IF(A261="","",IF(F261&gt;5%,"是","否"))</f>
        <v/>
      </c>
      <c r="J261" s="15" t="str">
        <f t="shared" ref="J261:J324" si="19">IF(A261="","",IF(G261&gt;=4,"是","否"))</f>
        <v/>
      </c>
    </row>
    <row r="262" spans="1:10">
      <c r="A262" s="7" t="str">
        <f>IF(子基金及业绩基准周净值!A287="","",子基金及业绩基准周净值!A287)</f>
        <v/>
      </c>
      <c r="B262" s="1" t="str">
        <f>IF(A262="","",VLOOKUP($A262,子基金及业绩基准周净值!$A:$AV,11))</f>
        <v/>
      </c>
      <c r="C262" s="8" t="str">
        <f t="shared" si="16"/>
        <v/>
      </c>
      <c r="D262" s="9" t="str">
        <f>IF(A262="","",C262-子基金及业绩基准周净值!AI287)</f>
        <v/>
      </c>
      <c r="E262" s="12" t="str">
        <f>IF(A262="","",(MAX(B$3:B262)-B262)/MAX(B$3:B262))</f>
        <v/>
      </c>
      <c r="F262" s="12" t="str">
        <f>IF(A262="","",MAX(E$4:E262))</f>
        <v/>
      </c>
      <c r="G262" s="17"/>
      <c r="H262" s="14" t="str">
        <f t="shared" si="17"/>
        <v/>
      </c>
      <c r="I262" s="14" t="str">
        <f t="shared" si="18"/>
        <v/>
      </c>
      <c r="J262" s="15" t="str">
        <f t="shared" si="19"/>
        <v/>
      </c>
    </row>
    <row r="263" spans="1:10">
      <c r="A263" s="7" t="str">
        <f>IF(子基金及业绩基准周净值!A288="","",子基金及业绩基准周净值!A288)</f>
        <v/>
      </c>
      <c r="B263" s="1" t="str">
        <f>IF(A263="","",VLOOKUP($A263,子基金及业绩基准周净值!$A:$AV,11))</f>
        <v/>
      </c>
      <c r="C263" s="8" t="str">
        <f t="shared" si="16"/>
        <v/>
      </c>
      <c r="D263" s="9" t="str">
        <f>IF(A263="","",C263-子基金及业绩基准周净值!AI288)</f>
        <v/>
      </c>
      <c r="E263" s="12" t="str">
        <f>IF(A263="","",(MAX(B$3:B263)-B263)/MAX(B$3:B263))</f>
        <v/>
      </c>
      <c r="F263" s="12" t="str">
        <f>IF(A263="","",MAX(E$4:E263))</f>
        <v/>
      </c>
      <c r="G263" s="17"/>
      <c r="H263" s="14" t="str">
        <f t="shared" si="17"/>
        <v/>
      </c>
      <c r="I263" s="14" t="str">
        <f t="shared" si="18"/>
        <v/>
      </c>
      <c r="J263" s="15" t="str">
        <f t="shared" si="19"/>
        <v/>
      </c>
    </row>
    <row r="264" spans="1:10">
      <c r="A264" s="7" t="str">
        <f>IF(子基金及业绩基准周净值!A289="","",子基金及业绩基准周净值!A289)</f>
        <v/>
      </c>
      <c r="B264" s="1" t="str">
        <f>IF(A264="","",VLOOKUP($A264,子基金及业绩基准周净值!$A:$AV,11))</f>
        <v/>
      </c>
      <c r="C264" s="8" t="str">
        <f t="shared" si="16"/>
        <v/>
      </c>
      <c r="D264" s="9" t="str">
        <f>IF(A264="","",C264-子基金及业绩基准周净值!AI289)</f>
        <v/>
      </c>
      <c r="E264" s="12" t="str">
        <f>IF(A264="","",(MAX(B$3:B264)-B264)/MAX(B$3:B264))</f>
        <v/>
      </c>
      <c r="F264" s="12" t="str">
        <f>IF(A264="","",MAX(E$4:E264))</f>
        <v/>
      </c>
      <c r="G264" s="17"/>
      <c r="H264" s="14" t="str">
        <f t="shared" si="17"/>
        <v/>
      </c>
      <c r="I264" s="14" t="str">
        <f t="shared" si="18"/>
        <v/>
      </c>
      <c r="J264" s="15" t="str">
        <f t="shared" si="19"/>
        <v/>
      </c>
    </row>
    <row r="265" spans="1:10">
      <c r="A265" s="7" t="str">
        <f>IF(子基金及业绩基准周净值!A290="","",子基金及业绩基准周净值!A290)</f>
        <v/>
      </c>
      <c r="B265" s="1" t="str">
        <f>IF(A265="","",VLOOKUP($A265,子基金及业绩基准周净值!$A:$AV,11))</f>
        <v/>
      </c>
      <c r="C265" s="8" t="str">
        <f t="shared" si="16"/>
        <v/>
      </c>
      <c r="D265" s="9" t="str">
        <f>IF(A265="","",C265-子基金及业绩基准周净值!AI290)</f>
        <v/>
      </c>
      <c r="E265" s="12" t="str">
        <f>IF(A265="","",(MAX(B$3:B265)-B265)/MAX(B$3:B265))</f>
        <v/>
      </c>
      <c r="F265" s="12" t="str">
        <f>IF(A265="","",MAX(E$4:E265))</f>
        <v/>
      </c>
      <c r="G265" s="17"/>
      <c r="H265" s="14" t="str">
        <f t="shared" si="17"/>
        <v/>
      </c>
      <c r="I265" s="14" t="str">
        <f t="shared" si="18"/>
        <v/>
      </c>
      <c r="J265" s="15" t="str">
        <f t="shared" si="19"/>
        <v/>
      </c>
    </row>
    <row r="266" spans="1:10">
      <c r="A266" s="7" t="str">
        <f>IF(子基金及业绩基准周净值!A291="","",子基金及业绩基准周净值!A291)</f>
        <v/>
      </c>
      <c r="B266" s="1" t="str">
        <f>IF(A266="","",VLOOKUP($A266,子基金及业绩基准周净值!$A:$AV,11))</f>
        <v/>
      </c>
      <c r="C266" s="8" t="str">
        <f t="shared" si="16"/>
        <v/>
      </c>
      <c r="D266" s="9" t="str">
        <f>IF(A266="","",C266-子基金及业绩基准周净值!AI291)</f>
        <v/>
      </c>
      <c r="E266" s="12" t="str">
        <f>IF(A266="","",(MAX(B$3:B266)-B266)/MAX(B$3:B266))</f>
        <v/>
      </c>
      <c r="F266" s="12" t="str">
        <f>IF(A266="","",MAX(E$4:E266))</f>
        <v/>
      </c>
      <c r="G266" s="17"/>
      <c r="H266" s="14" t="str">
        <f t="shared" si="17"/>
        <v/>
      </c>
      <c r="I266" s="14" t="str">
        <f t="shared" si="18"/>
        <v/>
      </c>
      <c r="J266" s="15" t="str">
        <f t="shared" si="19"/>
        <v/>
      </c>
    </row>
    <row r="267" spans="1:10">
      <c r="A267" s="7" t="str">
        <f>IF(子基金及业绩基准周净值!A292="","",子基金及业绩基准周净值!A292)</f>
        <v/>
      </c>
      <c r="B267" s="1" t="str">
        <f>IF(A267="","",VLOOKUP($A267,子基金及业绩基准周净值!$A:$AV,11))</f>
        <v/>
      </c>
      <c r="C267" s="8" t="str">
        <f t="shared" si="16"/>
        <v/>
      </c>
      <c r="D267" s="9" t="str">
        <f>IF(A267="","",C267-子基金及业绩基准周净值!AI292)</f>
        <v/>
      </c>
      <c r="E267" s="12" t="str">
        <f>IF(A267="","",(MAX(B$3:B267)-B267)/MAX(B$3:B267))</f>
        <v/>
      </c>
      <c r="F267" s="12" t="str">
        <f>IF(A267="","",MAX(E$4:E267))</f>
        <v/>
      </c>
      <c r="G267" s="17"/>
      <c r="H267" s="14" t="str">
        <f t="shared" si="17"/>
        <v/>
      </c>
      <c r="I267" s="14" t="str">
        <f t="shared" si="18"/>
        <v/>
      </c>
      <c r="J267" s="15" t="str">
        <f t="shared" si="19"/>
        <v/>
      </c>
    </row>
    <row r="268" spans="1:10">
      <c r="A268" s="7" t="str">
        <f>IF(子基金及业绩基准周净值!A293="","",子基金及业绩基准周净值!A293)</f>
        <v/>
      </c>
      <c r="B268" s="1" t="str">
        <f>IF(A268="","",VLOOKUP($A268,子基金及业绩基准周净值!$A:$AV,11))</f>
        <v/>
      </c>
      <c r="C268" s="8" t="str">
        <f t="shared" si="16"/>
        <v/>
      </c>
      <c r="D268" s="9" t="str">
        <f>IF(A268="","",C268-子基金及业绩基准周净值!AI293)</f>
        <v/>
      </c>
      <c r="E268" s="12" t="str">
        <f>IF(A268="","",(MAX(B$3:B268)-B268)/MAX(B$3:B268))</f>
        <v/>
      </c>
      <c r="F268" s="12" t="str">
        <f>IF(A268="","",MAX(E$4:E268))</f>
        <v/>
      </c>
      <c r="G268" s="17"/>
      <c r="H268" s="14" t="str">
        <f t="shared" si="17"/>
        <v/>
      </c>
      <c r="I268" s="14" t="str">
        <f t="shared" si="18"/>
        <v/>
      </c>
      <c r="J268" s="15" t="str">
        <f t="shared" si="19"/>
        <v/>
      </c>
    </row>
    <row r="269" spans="1:10">
      <c r="A269" s="7" t="str">
        <f>IF(子基金及业绩基准周净值!A294="","",子基金及业绩基准周净值!A294)</f>
        <v/>
      </c>
      <c r="B269" s="1" t="str">
        <f>IF(A269="","",VLOOKUP($A269,子基金及业绩基准周净值!$A:$AV,11))</f>
        <v/>
      </c>
      <c r="C269" s="8" t="str">
        <f t="shared" si="16"/>
        <v/>
      </c>
      <c r="D269" s="9" t="str">
        <f>IF(A269="","",C269-子基金及业绩基准周净值!AI294)</f>
        <v/>
      </c>
      <c r="E269" s="12" t="str">
        <f>IF(A269="","",(MAX(B$3:B269)-B269)/MAX(B$3:B269))</f>
        <v/>
      </c>
      <c r="F269" s="12" t="str">
        <f>IF(A269="","",MAX(E$4:E269))</f>
        <v/>
      </c>
      <c r="G269" s="17"/>
      <c r="H269" s="14" t="str">
        <f t="shared" si="17"/>
        <v/>
      </c>
      <c r="I269" s="14" t="str">
        <f t="shared" si="18"/>
        <v/>
      </c>
      <c r="J269" s="15" t="str">
        <f t="shared" si="19"/>
        <v/>
      </c>
    </row>
    <row r="270" spans="1:10">
      <c r="A270" s="7" t="str">
        <f>IF(子基金及业绩基准周净值!A295="","",子基金及业绩基准周净值!A295)</f>
        <v/>
      </c>
      <c r="B270" s="1" t="str">
        <f>IF(A270="","",VLOOKUP($A270,子基金及业绩基准周净值!$A:$AV,11))</f>
        <v/>
      </c>
      <c r="C270" s="8" t="str">
        <f t="shared" si="16"/>
        <v/>
      </c>
      <c r="D270" s="9" t="str">
        <f>IF(A270="","",C270-子基金及业绩基准周净值!AI295)</f>
        <v/>
      </c>
      <c r="E270" s="12" t="str">
        <f>IF(A270="","",(MAX(B$3:B270)-B270)/MAX(B$3:B270))</f>
        <v/>
      </c>
      <c r="F270" s="12" t="str">
        <f>IF(A270="","",MAX(E$4:E270))</f>
        <v/>
      </c>
      <c r="G270" s="17"/>
      <c r="H270" s="14" t="str">
        <f t="shared" si="17"/>
        <v/>
      </c>
      <c r="I270" s="14" t="str">
        <f t="shared" si="18"/>
        <v/>
      </c>
      <c r="J270" s="15" t="str">
        <f t="shared" si="19"/>
        <v/>
      </c>
    </row>
    <row r="271" spans="1:10">
      <c r="A271" s="7" t="str">
        <f>IF(子基金及业绩基准周净值!A296="","",子基金及业绩基准周净值!A296)</f>
        <v/>
      </c>
      <c r="B271" s="1" t="str">
        <f>IF(A271="","",VLOOKUP($A271,子基金及业绩基准周净值!$A:$AV,11))</f>
        <v/>
      </c>
      <c r="C271" s="8" t="str">
        <f t="shared" si="16"/>
        <v/>
      </c>
      <c r="D271" s="9" t="str">
        <f>IF(A271="","",C271-子基金及业绩基准周净值!AI296)</f>
        <v/>
      </c>
      <c r="E271" s="12" t="str">
        <f>IF(A271="","",(MAX(B$3:B271)-B271)/MAX(B$3:B271))</f>
        <v/>
      </c>
      <c r="F271" s="12" t="str">
        <f>IF(A271="","",MAX(E$4:E271))</f>
        <v/>
      </c>
      <c r="G271" s="17"/>
      <c r="H271" s="14" t="str">
        <f t="shared" si="17"/>
        <v/>
      </c>
      <c r="I271" s="14" t="str">
        <f t="shared" si="18"/>
        <v/>
      </c>
      <c r="J271" s="15" t="str">
        <f t="shared" si="19"/>
        <v/>
      </c>
    </row>
    <row r="272" spans="1:10">
      <c r="A272" s="7" t="str">
        <f>IF(子基金及业绩基准周净值!A297="","",子基金及业绩基准周净值!A297)</f>
        <v/>
      </c>
      <c r="B272" s="1" t="str">
        <f>IF(A272="","",VLOOKUP($A272,子基金及业绩基准周净值!$A:$AV,11))</f>
        <v/>
      </c>
      <c r="C272" s="8" t="str">
        <f t="shared" si="16"/>
        <v/>
      </c>
      <c r="D272" s="9" t="str">
        <f>IF(A272="","",C272-子基金及业绩基准周净值!AI297)</f>
        <v/>
      </c>
      <c r="E272" s="12" t="str">
        <f>IF(A272="","",(MAX(B$3:B272)-B272)/MAX(B$3:B272))</f>
        <v/>
      </c>
      <c r="F272" s="12" t="str">
        <f>IF(A272="","",MAX(E$4:E272))</f>
        <v/>
      </c>
      <c r="G272" s="17"/>
      <c r="H272" s="14" t="str">
        <f t="shared" si="17"/>
        <v/>
      </c>
      <c r="I272" s="14" t="str">
        <f t="shared" si="18"/>
        <v/>
      </c>
      <c r="J272" s="15" t="str">
        <f t="shared" si="19"/>
        <v/>
      </c>
    </row>
    <row r="273" spans="1:10">
      <c r="A273" s="7" t="str">
        <f>IF(子基金及业绩基准周净值!A298="","",子基金及业绩基准周净值!A298)</f>
        <v/>
      </c>
      <c r="B273" s="1" t="str">
        <f>IF(A273="","",VLOOKUP($A273,子基金及业绩基准周净值!$A:$AV,11))</f>
        <v/>
      </c>
      <c r="C273" s="8" t="str">
        <f t="shared" si="16"/>
        <v/>
      </c>
      <c r="D273" s="9" t="str">
        <f>IF(A273="","",C273-子基金及业绩基准周净值!AI298)</f>
        <v/>
      </c>
      <c r="E273" s="12" t="str">
        <f>IF(A273="","",(MAX(B$3:B273)-B273)/MAX(B$3:B273))</f>
        <v/>
      </c>
      <c r="F273" s="12" t="str">
        <f>IF(A273="","",MAX(E$4:E273))</f>
        <v/>
      </c>
      <c r="G273" s="17"/>
      <c r="H273" s="14" t="str">
        <f t="shared" si="17"/>
        <v/>
      </c>
      <c r="I273" s="14" t="str">
        <f t="shared" si="18"/>
        <v/>
      </c>
      <c r="J273" s="15" t="str">
        <f t="shared" si="19"/>
        <v/>
      </c>
    </row>
    <row r="274" spans="1:10">
      <c r="A274" s="7" t="str">
        <f>IF(子基金及业绩基准周净值!A299="","",子基金及业绩基准周净值!A299)</f>
        <v/>
      </c>
      <c r="B274" s="1" t="str">
        <f>IF(A274="","",VLOOKUP($A274,子基金及业绩基准周净值!$A:$AV,11))</f>
        <v/>
      </c>
      <c r="C274" s="8" t="str">
        <f t="shared" si="16"/>
        <v/>
      </c>
      <c r="D274" s="9" t="str">
        <f>IF(A274="","",C274-子基金及业绩基准周净值!AI299)</f>
        <v/>
      </c>
      <c r="E274" s="12" t="str">
        <f>IF(A274="","",(MAX(B$3:B274)-B274)/MAX(B$3:B274))</f>
        <v/>
      </c>
      <c r="F274" s="12" t="str">
        <f>IF(A274="","",MAX(E$4:E274))</f>
        <v/>
      </c>
      <c r="G274" s="17"/>
      <c r="H274" s="14" t="str">
        <f t="shared" si="17"/>
        <v/>
      </c>
      <c r="I274" s="14" t="str">
        <f t="shared" si="18"/>
        <v/>
      </c>
      <c r="J274" s="15" t="str">
        <f t="shared" si="19"/>
        <v/>
      </c>
    </row>
    <row r="275" spans="1:10">
      <c r="A275" s="7" t="str">
        <f>IF(子基金及业绩基准周净值!A300="","",子基金及业绩基准周净值!A300)</f>
        <v/>
      </c>
      <c r="B275" s="1" t="str">
        <f>IF(A275="","",VLOOKUP($A275,子基金及业绩基准周净值!$A:$AV,11))</f>
        <v/>
      </c>
      <c r="C275" s="8" t="str">
        <f t="shared" si="16"/>
        <v/>
      </c>
      <c r="D275" s="9" t="str">
        <f>IF(A275="","",C275-子基金及业绩基准周净值!AI300)</f>
        <v/>
      </c>
      <c r="E275" s="12" t="str">
        <f>IF(A275="","",(MAX(B$3:B275)-B275)/MAX(B$3:B275))</f>
        <v/>
      </c>
      <c r="F275" s="12" t="str">
        <f>IF(A275="","",MAX(E$4:E275))</f>
        <v/>
      </c>
      <c r="G275" s="17"/>
      <c r="H275" s="14" t="str">
        <f t="shared" si="17"/>
        <v/>
      </c>
      <c r="I275" s="14" t="str">
        <f t="shared" si="18"/>
        <v/>
      </c>
      <c r="J275" s="15" t="str">
        <f t="shared" si="19"/>
        <v/>
      </c>
    </row>
    <row r="276" spans="1:10">
      <c r="A276" s="7" t="str">
        <f>IF(子基金及业绩基准周净值!A301="","",子基金及业绩基准周净值!A301)</f>
        <v/>
      </c>
      <c r="B276" s="1" t="str">
        <f>IF(A276="","",VLOOKUP($A276,子基金及业绩基准周净值!$A:$AV,11))</f>
        <v/>
      </c>
      <c r="C276" s="8" t="str">
        <f t="shared" si="16"/>
        <v/>
      </c>
      <c r="D276" s="9" t="str">
        <f>IF(A276="","",C276-子基金及业绩基准周净值!AI301)</f>
        <v/>
      </c>
      <c r="E276" s="12" t="str">
        <f>IF(A276="","",(MAX(B$3:B276)-B276)/MAX(B$3:B276))</f>
        <v/>
      </c>
      <c r="F276" s="12" t="str">
        <f>IF(A276="","",MAX(E$4:E276))</f>
        <v/>
      </c>
      <c r="G276" s="17"/>
      <c r="H276" s="14" t="str">
        <f t="shared" si="17"/>
        <v/>
      </c>
      <c r="I276" s="14" t="str">
        <f t="shared" si="18"/>
        <v/>
      </c>
      <c r="J276" s="15" t="str">
        <f t="shared" si="19"/>
        <v/>
      </c>
    </row>
    <row r="277" spans="1:10">
      <c r="A277" s="7" t="str">
        <f>IF(子基金及业绩基准周净值!A302="","",子基金及业绩基准周净值!A302)</f>
        <v/>
      </c>
      <c r="B277" s="1" t="str">
        <f>IF(A277="","",VLOOKUP($A277,子基金及业绩基准周净值!$A:$AV,11))</f>
        <v/>
      </c>
      <c r="C277" s="8" t="str">
        <f t="shared" si="16"/>
        <v/>
      </c>
      <c r="D277" s="9" t="str">
        <f>IF(A277="","",C277-子基金及业绩基准周净值!AI302)</f>
        <v/>
      </c>
      <c r="E277" s="12" t="str">
        <f>IF(A277="","",(MAX(B$3:B277)-B277)/MAX(B$3:B277))</f>
        <v/>
      </c>
      <c r="F277" s="12" t="str">
        <f>IF(A277="","",MAX(E$4:E277))</f>
        <v/>
      </c>
      <c r="G277" s="17"/>
      <c r="H277" s="14" t="str">
        <f t="shared" si="17"/>
        <v/>
      </c>
      <c r="I277" s="14" t="str">
        <f t="shared" si="18"/>
        <v/>
      </c>
      <c r="J277" s="15" t="str">
        <f t="shared" si="19"/>
        <v/>
      </c>
    </row>
    <row r="278" spans="1:10">
      <c r="A278" s="7" t="str">
        <f>IF(子基金及业绩基准周净值!A303="","",子基金及业绩基准周净值!A303)</f>
        <v/>
      </c>
      <c r="B278" s="1" t="str">
        <f>IF(A278="","",VLOOKUP($A278,子基金及业绩基准周净值!$A:$AV,11))</f>
        <v/>
      </c>
      <c r="C278" s="8" t="str">
        <f t="shared" si="16"/>
        <v/>
      </c>
      <c r="D278" s="9" t="str">
        <f>IF(A278="","",C278-子基金及业绩基准周净值!AI303)</f>
        <v/>
      </c>
      <c r="E278" s="12" t="str">
        <f>IF(A278="","",(MAX(B$3:B278)-B278)/MAX(B$3:B278))</f>
        <v/>
      </c>
      <c r="F278" s="12" t="str">
        <f>IF(A278="","",MAX(E$4:E278))</f>
        <v/>
      </c>
      <c r="G278" s="17"/>
      <c r="H278" s="14" t="str">
        <f t="shared" si="17"/>
        <v/>
      </c>
      <c r="I278" s="14" t="str">
        <f t="shared" si="18"/>
        <v/>
      </c>
      <c r="J278" s="15" t="str">
        <f t="shared" si="19"/>
        <v/>
      </c>
    </row>
    <row r="279" spans="1:10">
      <c r="A279" s="7" t="str">
        <f>IF(子基金及业绩基准周净值!A304="","",子基金及业绩基准周净值!A304)</f>
        <v/>
      </c>
      <c r="B279" s="1" t="str">
        <f>IF(A279="","",VLOOKUP($A279,子基金及业绩基准周净值!$A:$AV,11))</f>
        <v/>
      </c>
      <c r="C279" s="8" t="str">
        <f t="shared" si="16"/>
        <v/>
      </c>
      <c r="D279" s="9" t="str">
        <f>IF(A279="","",C279-子基金及业绩基准周净值!AI304)</f>
        <v/>
      </c>
      <c r="E279" s="12" t="str">
        <f>IF(A279="","",(MAX(B$3:B279)-B279)/MAX(B$3:B279))</f>
        <v/>
      </c>
      <c r="F279" s="12" t="str">
        <f>IF(A279="","",MAX(E$4:E279))</f>
        <v/>
      </c>
      <c r="G279" s="17"/>
      <c r="H279" s="14" t="str">
        <f t="shared" si="17"/>
        <v/>
      </c>
      <c r="I279" s="14" t="str">
        <f t="shared" si="18"/>
        <v/>
      </c>
      <c r="J279" s="15" t="str">
        <f t="shared" si="19"/>
        <v/>
      </c>
    </row>
    <row r="280" spans="1:10">
      <c r="A280" s="7" t="str">
        <f>IF(子基金及业绩基准周净值!A305="","",子基金及业绩基准周净值!A305)</f>
        <v/>
      </c>
      <c r="B280" s="1" t="str">
        <f>IF(A280="","",VLOOKUP($A280,子基金及业绩基准周净值!$A:$AV,11))</f>
        <v/>
      </c>
      <c r="C280" s="8" t="str">
        <f t="shared" si="16"/>
        <v/>
      </c>
      <c r="D280" s="9" t="str">
        <f>IF(A280="","",C280-子基金及业绩基准周净值!AI305)</f>
        <v/>
      </c>
      <c r="E280" s="12" t="str">
        <f>IF(A280="","",(MAX(B$3:B280)-B280)/MAX(B$3:B280))</f>
        <v/>
      </c>
      <c r="F280" s="12" t="str">
        <f>IF(A280="","",MAX(E$4:E280))</f>
        <v/>
      </c>
      <c r="G280" s="17"/>
      <c r="H280" s="14" t="str">
        <f t="shared" si="17"/>
        <v/>
      </c>
      <c r="I280" s="14" t="str">
        <f t="shared" si="18"/>
        <v/>
      </c>
      <c r="J280" s="15" t="str">
        <f t="shared" si="19"/>
        <v/>
      </c>
    </row>
    <row r="281" spans="1:10">
      <c r="A281" s="7" t="str">
        <f>IF(子基金及业绩基准周净值!A306="","",子基金及业绩基准周净值!A306)</f>
        <v/>
      </c>
      <c r="B281" s="1" t="str">
        <f>IF(A281="","",VLOOKUP($A281,子基金及业绩基准周净值!$A:$AV,11))</f>
        <v/>
      </c>
      <c r="C281" s="8" t="str">
        <f t="shared" si="16"/>
        <v/>
      </c>
      <c r="D281" s="9" t="str">
        <f>IF(A281="","",C281-子基金及业绩基准周净值!AI306)</f>
        <v/>
      </c>
      <c r="E281" s="12" t="str">
        <f>IF(A281="","",(MAX(B$3:B281)-B281)/MAX(B$3:B281))</f>
        <v/>
      </c>
      <c r="F281" s="12" t="str">
        <f>IF(A281="","",MAX(E$4:E281))</f>
        <v/>
      </c>
      <c r="G281" s="17"/>
      <c r="H281" s="14" t="str">
        <f t="shared" si="17"/>
        <v/>
      </c>
      <c r="I281" s="14" t="str">
        <f t="shared" si="18"/>
        <v/>
      </c>
      <c r="J281" s="15" t="str">
        <f t="shared" si="19"/>
        <v/>
      </c>
    </row>
    <row r="282" spans="1:10">
      <c r="A282" s="7" t="str">
        <f>IF(子基金及业绩基准周净值!A307="","",子基金及业绩基准周净值!A307)</f>
        <v/>
      </c>
      <c r="B282" s="1" t="str">
        <f>IF(A282="","",VLOOKUP($A282,子基金及业绩基准周净值!$A:$AV,11))</f>
        <v/>
      </c>
      <c r="C282" s="8" t="str">
        <f t="shared" si="16"/>
        <v/>
      </c>
      <c r="D282" s="9" t="str">
        <f>IF(A282="","",C282-子基金及业绩基准周净值!AI307)</f>
        <v/>
      </c>
      <c r="E282" s="12" t="str">
        <f>IF(A282="","",(MAX(B$3:B282)-B282)/MAX(B$3:B282))</f>
        <v/>
      </c>
      <c r="F282" s="12" t="str">
        <f>IF(A282="","",MAX(E$4:E282))</f>
        <v/>
      </c>
      <c r="G282" s="17"/>
      <c r="H282" s="14" t="str">
        <f t="shared" si="17"/>
        <v/>
      </c>
      <c r="I282" s="14" t="str">
        <f t="shared" si="18"/>
        <v/>
      </c>
      <c r="J282" s="15" t="str">
        <f t="shared" si="19"/>
        <v/>
      </c>
    </row>
    <row r="283" spans="1:10">
      <c r="A283" s="7" t="str">
        <f>IF(子基金及业绩基准周净值!A308="","",子基金及业绩基准周净值!A308)</f>
        <v/>
      </c>
      <c r="B283" s="1" t="str">
        <f>IF(A283="","",VLOOKUP($A283,子基金及业绩基准周净值!$A:$AV,11))</f>
        <v/>
      </c>
      <c r="C283" s="8" t="str">
        <f t="shared" si="16"/>
        <v/>
      </c>
      <c r="D283" s="9" t="str">
        <f>IF(A283="","",C283-子基金及业绩基准周净值!AI308)</f>
        <v/>
      </c>
      <c r="E283" s="12" t="str">
        <f>IF(A283="","",(MAX(B$3:B283)-B283)/MAX(B$3:B283))</f>
        <v/>
      </c>
      <c r="F283" s="12" t="str">
        <f>IF(A283="","",MAX(E$4:E283))</f>
        <v/>
      </c>
      <c r="G283" s="17"/>
      <c r="H283" s="14" t="str">
        <f t="shared" si="17"/>
        <v/>
      </c>
      <c r="I283" s="14" t="str">
        <f t="shared" si="18"/>
        <v/>
      </c>
      <c r="J283" s="15" t="str">
        <f t="shared" si="19"/>
        <v/>
      </c>
    </row>
    <row r="284" spans="1:10">
      <c r="A284" s="7" t="str">
        <f>IF(子基金及业绩基准周净值!A309="","",子基金及业绩基准周净值!A309)</f>
        <v/>
      </c>
      <c r="B284" s="1" t="str">
        <f>IF(A284="","",VLOOKUP($A284,子基金及业绩基准周净值!$A:$AV,11))</f>
        <v/>
      </c>
      <c r="C284" s="8" t="str">
        <f t="shared" si="16"/>
        <v/>
      </c>
      <c r="D284" s="9" t="str">
        <f>IF(A284="","",C284-子基金及业绩基准周净值!AI309)</f>
        <v/>
      </c>
      <c r="E284" s="12" t="str">
        <f>IF(A284="","",(MAX(B$3:B284)-B284)/MAX(B$3:B284))</f>
        <v/>
      </c>
      <c r="F284" s="12" t="str">
        <f>IF(A284="","",MAX(E$4:E284))</f>
        <v/>
      </c>
      <c r="G284" s="17"/>
      <c r="H284" s="14" t="str">
        <f t="shared" si="17"/>
        <v/>
      </c>
      <c r="I284" s="14" t="str">
        <f t="shared" si="18"/>
        <v/>
      </c>
      <c r="J284" s="15" t="str">
        <f t="shared" si="19"/>
        <v/>
      </c>
    </row>
    <row r="285" spans="1:10">
      <c r="A285" s="7" t="str">
        <f>IF(子基金及业绩基准周净值!A310="","",子基金及业绩基准周净值!A310)</f>
        <v/>
      </c>
      <c r="B285" s="1" t="str">
        <f>IF(A285="","",VLOOKUP($A285,子基金及业绩基准周净值!$A:$AV,11))</f>
        <v/>
      </c>
      <c r="C285" s="8" t="str">
        <f t="shared" si="16"/>
        <v/>
      </c>
      <c r="D285" s="9" t="str">
        <f>IF(A285="","",C285-子基金及业绩基准周净值!AI310)</f>
        <v/>
      </c>
      <c r="E285" s="12" t="str">
        <f>IF(A285="","",(MAX(B$3:B285)-B285)/MAX(B$3:B285))</f>
        <v/>
      </c>
      <c r="F285" s="12" t="str">
        <f>IF(A285="","",MAX(E$4:E285))</f>
        <v/>
      </c>
      <c r="G285" s="17"/>
      <c r="H285" s="14" t="str">
        <f t="shared" si="17"/>
        <v/>
      </c>
      <c r="I285" s="14" t="str">
        <f t="shared" si="18"/>
        <v/>
      </c>
      <c r="J285" s="15" t="str">
        <f t="shared" si="19"/>
        <v/>
      </c>
    </row>
    <row r="286" spans="1:10">
      <c r="A286" s="7" t="str">
        <f>IF(子基金及业绩基准周净值!A311="","",子基金及业绩基准周净值!A311)</f>
        <v/>
      </c>
      <c r="B286" s="1" t="str">
        <f>IF(A286="","",VLOOKUP($A286,子基金及业绩基准周净值!$A:$AV,11))</f>
        <v/>
      </c>
      <c r="C286" s="8" t="str">
        <f t="shared" si="16"/>
        <v/>
      </c>
      <c r="D286" s="9" t="str">
        <f>IF(A286="","",C286-子基金及业绩基准周净值!AI311)</f>
        <v/>
      </c>
      <c r="E286" s="12" t="str">
        <f>IF(A286="","",(MAX(B$3:B286)-B286)/MAX(B$3:B286))</f>
        <v/>
      </c>
      <c r="F286" s="12" t="str">
        <f>IF(A286="","",MAX(E$4:E286))</f>
        <v/>
      </c>
      <c r="G286" s="17"/>
      <c r="H286" s="14" t="str">
        <f t="shared" si="17"/>
        <v/>
      </c>
      <c r="I286" s="14" t="str">
        <f t="shared" si="18"/>
        <v/>
      </c>
      <c r="J286" s="15" t="str">
        <f t="shared" si="19"/>
        <v/>
      </c>
    </row>
    <row r="287" spans="1:10">
      <c r="A287" s="7" t="str">
        <f>IF(子基金及业绩基准周净值!A312="","",子基金及业绩基准周净值!A312)</f>
        <v/>
      </c>
      <c r="B287" s="1" t="str">
        <f>IF(A287="","",VLOOKUP($A287,子基金及业绩基准周净值!$A:$AV,11))</f>
        <v/>
      </c>
      <c r="C287" s="8" t="str">
        <f t="shared" si="16"/>
        <v/>
      </c>
      <c r="D287" s="9" t="str">
        <f>IF(A287="","",C287-子基金及业绩基准周净值!AI312)</f>
        <v/>
      </c>
      <c r="E287" s="12" t="str">
        <f>IF(A287="","",(MAX(B$3:B287)-B287)/MAX(B$3:B287))</f>
        <v/>
      </c>
      <c r="F287" s="12" t="str">
        <f>IF(A287="","",MAX(E$4:E287))</f>
        <v/>
      </c>
      <c r="G287" s="17"/>
      <c r="H287" s="14" t="str">
        <f t="shared" si="17"/>
        <v/>
      </c>
      <c r="I287" s="14" t="str">
        <f t="shared" si="18"/>
        <v/>
      </c>
      <c r="J287" s="15" t="str">
        <f t="shared" si="19"/>
        <v/>
      </c>
    </row>
    <row r="288" spans="1:10">
      <c r="A288" s="7" t="str">
        <f>IF(子基金及业绩基准周净值!A313="","",子基金及业绩基准周净值!A313)</f>
        <v/>
      </c>
      <c r="B288" s="1" t="str">
        <f>IF(A288="","",VLOOKUP($A288,子基金及业绩基准周净值!$A:$AV,11))</f>
        <v/>
      </c>
      <c r="C288" s="8" t="str">
        <f t="shared" si="16"/>
        <v/>
      </c>
      <c r="D288" s="9" t="str">
        <f>IF(A288="","",C288-子基金及业绩基准周净值!AI313)</f>
        <v/>
      </c>
      <c r="E288" s="12" t="str">
        <f>IF(A288="","",(MAX(B$3:B288)-B288)/MAX(B$3:B288))</f>
        <v/>
      </c>
      <c r="F288" s="12" t="str">
        <f>IF(A288="","",MAX(E$4:E288))</f>
        <v/>
      </c>
      <c r="G288" s="17"/>
      <c r="H288" s="14" t="str">
        <f t="shared" si="17"/>
        <v/>
      </c>
      <c r="I288" s="14" t="str">
        <f t="shared" si="18"/>
        <v/>
      </c>
      <c r="J288" s="15" t="str">
        <f t="shared" si="19"/>
        <v/>
      </c>
    </row>
    <row r="289" spans="1:10">
      <c r="A289" s="7" t="str">
        <f>IF(子基金及业绩基准周净值!A314="","",子基金及业绩基准周净值!A314)</f>
        <v/>
      </c>
      <c r="B289" s="1" t="str">
        <f>IF(A289="","",VLOOKUP($A289,子基金及业绩基准周净值!$A:$AV,11))</f>
        <v/>
      </c>
      <c r="C289" s="8" t="str">
        <f t="shared" si="16"/>
        <v/>
      </c>
      <c r="D289" s="9" t="str">
        <f>IF(A289="","",C289-子基金及业绩基准周净值!AI314)</f>
        <v/>
      </c>
      <c r="E289" s="12" t="str">
        <f>IF(A289="","",(MAX(B$3:B289)-B289)/MAX(B$3:B289))</f>
        <v/>
      </c>
      <c r="F289" s="12" t="str">
        <f>IF(A289="","",MAX(E$4:E289))</f>
        <v/>
      </c>
      <c r="G289" s="17"/>
      <c r="H289" s="14" t="str">
        <f t="shared" si="17"/>
        <v/>
      </c>
      <c r="I289" s="14" t="str">
        <f t="shared" si="18"/>
        <v/>
      </c>
      <c r="J289" s="15" t="str">
        <f t="shared" si="19"/>
        <v/>
      </c>
    </row>
    <row r="290" spans="1:10">
      <c r="A290" s="7" t="str">
        <f>IF(子基金及业绩基准周净值!A315="","",子基金及业绩基准周净值!A315)</f>
        <v/>
      </c>
      <c r="B290" s="1" t="str">
        <f>IF(A290="","",VLOOKUP($A290,子基金及业绩基准周净值!$A:$AV,11))</f>
        <v/>
      </c>
      <c r="C290" s="8" t="str">
        <f t="shared" si="16"/>
        <v/>
      </c>
      <c r="D290" s="9" t="str">
        <f>IF(A290="","",C290-子基金及业绩基准周净值!AI315)</f>
        <v/>
      </c>
      <c r="E290" s="12" t="str">
        <f>IF(A290="","",(MAX(B$3:B290)-B290)/MAX(B$3:B290))</f>
        <v/>
      </c>
      <c r="F290" s="12" t="str">
        <f>IF(A290="","",MAX(E$4:E290))</f>
        <v/>
      </c>
      <c r="G290" s="17"/>
      <c r="H290" s="14" t="str">
        <f t="shared" si="17"/>
        <v/>
      </c>
      <c r="I290" s="14" t="str">
        <f t="shared" si="18"/>
        <v/>
      </c>
      <c r="J290" s="15" t="str">
        <f t="shared" si="19"/>
        <v/>
      </c>
    </row>
    <row r="291" spans="1:10">
      <c r="A291" s="7" t="str">
        <f>IF(子基金及业绩基准周净值!A316="","",子基金及业绩基准周净值!A316)</f>
        <v/>
      </c>
      <c r="B291" s="1" t="str">
        <f>IF(A291="","",VLOOKUP($A291,子基金及业绩基准周净值!$A:$AV,11))</f>
        <v/>
      </c>
      <c r="C291" s="8" t="str">
        <f t="shared" si="16"/>
        <v/>
      </c>
      <c r="D291" s="9" t="str">
        <f>IF(A291="","",C291-子基金及业绩基准周净值!AI316)</f>
        <v/>
      </c>
      <c r="E291" s="12" t="str">
        <f>IF(A291="","",(MAX(B$3:B291)-B291)/MAX(B$3:B291))</f>
        <v/>
      </c>
      <c r="F291" s="12" t="str">
        <f>IF(A291="","",MAX(E$4:E291))</f>
        <v/>
      </c>
      <c r="G291" s="17"/>
      <c r="H291" s="14" t="str">
        <f t="shared" si="17"/>
        <v/>
      </c>
      <c r="I291" s="14" t="str">
        <f t="shared" si="18"/>
        <v/>
      </c>
      <c r="J291" s="15" t="str">
        <f t="shared" si="19"/>
        <v/>
      </c>
    </row>
    <row r="292" spans="1:10">
      <c r="A292" s="7" t="str">
        <f>IF(子基金及业绩基准周净值!A317="","",子基金及业绩基准周净值!A317)</f>
        <v/>
      </c>
      <c r="B292" s="1" t="str">
        <f>IF(A292="","",VLOOKUP($A292,子基金及业绩基准周净值!$A:$AV,11))</f>
        <v/>
      </c>
      <c r="C292" s="8" t="str">
        <f t="shared" si="16"/>
        <v/>
      </c>
      <c r="D292" s="9" t="str">
        <f>IF(A292="","",C292-子基金及业绩基准周净值!AI317)</f>
        <v/>
      </c>
      <c r="E292" s="12" t="str">
        <f>IF(A292="","",(MAX(B$3:B292)-B292)/MAX(B$3:B292))</f>
        <v/>
      </c>
      <c r="F292" s="12" t="str">
        <f>IF(A292="","",MAX(E$4:E292))</f>
        <v/>
      </c>
      <c r="G292" s="17"/>
      <c r="H292" s="14" t="str">
        <f t="shared" si="17"/>
        <v/>
      </c>
      <c r="I292" s="14" t="str">
        <f t="shared" si="18"/>
        <v/>
      </c>
      <c r="J292" s="15" t="str">
        <f t="shared" si="19"/>
        <v/>
      </c>
    </row>
    <row r="293" spans="1:10">
      <c r="A293" s="7" t="str">
        <f>IF(子基金及业绩基准周净值!A318="","",子基金及业绩基准周净值!A318)</f>
        <v/>
      </c>
      <c r="B293" s="1" t="str">
        <f>IF(A293="","",VLOOKUP($A293,子基金及业绩基准周净值!$A:$AV,11))</f>
        <v/>
      </c>
      <c r="C293" s="8" t="str">
        <f t="shared" si="16"/>
        <v/>
      </c>
      <c r="D293" s="9" t="str">
        <f>IF(A293="","",C293-子基金及业绩基准周净值!AI318)</f>
        <v/>
      </c>
      <c r="E293" s="12" t="str">
        <f>IF(A293="","",(MAX(B$3:B293)-B293)/MAX(B$3:B293))</f>
        <v/>
      </c>
      <c r="F293" s="12" t="str">
        <f>IF(A293="","",MAX(E$4:E293))</f>
        <v/>
      </c>
      <c r="G293" s="17"/>
      <c r="H293" s="14" t="str">
        <f t="shared" si="17"/>
        <v/>
      </c>
      <c r="I293" s="14" t="str">
        <f t="shared" si="18"/>
        <v/>
      </c>
      <c r="J293" s="15" t="str">
        <f t="shared" si="19"/>
        <v/>
      </c>
    </row>
    <row r="294" spans="1:10">
      <c r="A294" s="7" t="str">
        <f>IF(子基金及业绩基准周净值!A319="","",子基金及业绩基准周净值!A319)</f>
        <v/>
      </c>
      <c r="B294" s="1" t="str">
        <f>IF(A294="","",VLOOKUP($A294,子基金及业绩基准周净值!$A:$AV,11))</f>
        <v/>
      </c>
      <c r="C294" s="8" t="str">
        <f t="shared" si="16"/>
        <v/>
      </c>
      <c r="D294" s="9" t="str">
        <f>IF(A294="","",C294-子基金及业绩基准周净值!AI319)</f>
        <v/>
      </c>
      <c r="E294" s="12" t="str">
        <f>IF(A294="","",(MAX(B$3:B294)-B294)/MAX(B$3:B294))</f>
        <v/>
      </c>
      <c r="F294" s="12" t="str">
        <f>IF(A294="","",MAX(E$4:E294))</f>
        <v/>
      </c>
      <c r="G294" s="17"/>
      <c r="H294" s="14" t="str">
        <f t="shared" si="17"/>
        <v/>
      </c>
      <c r="I294" s="14" t="str">
        <f t="shared" si="18"/>
        <v/>
      </c>
      <c r="J294" s="15" t="str">
        <f t="shared" si="19"/>
        <v/>
      </c>
    </row>
    <row r="295" spans="1:10">
      <c r="A295" s="7" t="str">
        <f>IF(子基金及业绩基准周净值!A320="","",子基金及业绩基准周净值!A320)</f>
        <v/>
      </c>
      <c r="B295" s="1" t="str">
        <f>IF(A295="","",VLOOKUP($A295,子基金及业绩基准周净值!$A:$AV,11))</f>
        <v/>
      </c>
      <c r="C295" s="8" t="str">
        <f t="shared" si="16"/>
        <v/>
      </c>
      <c r="D295" s="9" t="str">
        <f>IF(A295="","",C295-子基金及业绩基准周净值!AI320)</f>
        <v/>
      </c>
      <c r="E295" s="12" t="str">
        <f>IF(A295="","",(MAX(B$3:B295)-B295)/MAX(B$3:B295))</f>
        <v/>
      </c>
      <c r="F295" s="12" t="str">
        <f>IF(A295="","",MAX(E$4:E295))</f>
        <v/>
      </c>
      <c r="G295" s="17"/>
      <c r="H295" s="14" t="str">
        <f t="shared" si="17"/>
        <v/>
      </c>
      <c r="I295" s="14" t="str">
        <f t="shared" si="18"/>
        <v/>
      </c>
      <c r="J295" s="15" t="str">
        <f t="shared" si="19"/>
        <v/>
      </c>
    </row>
    <row r="296" spans="1:10">
      <c r="A296" s="7" t="str">
        <f>IF(子基金及业绩基准周净值!A321="","",子基金及业绩基准周净值!A321)</f>
        <v/>
      </c>
      <c r="B296" s="1" t="str">
        <f>IF(A296="","",VLOOKUP($A296,子基金及业绩基准周净值!$A:$AV,11))</f>
        <v/>
      </c>
      <c r="C296" s="8" t="str">
        <f t="shared" si="16"/>
        <v/>
      </c>
      <c r="D296" s="9" t="str">
        <f>IF(A296="","",C296-子基金及业绩基准周净值!AI321)</f>
        <v/>
      </c>
      <c r="E296" s="12" t="str">
        <f>IF(A296="","",(MAX(B$3:B296)-B296)/MAX(B$3:B296))</f>
        <v/>
      </c>
      <c r="F296" s="12" t="str">
        <f>IF(A296="","",MAX(E$4:E296))</f>
        <v/>
      </c>
      <c r="G296" s="17"/>
      <c r="H296" s="14" t="str">
        <f t="shared" si="17"/>
        <v/>
      </c>
      <c r="I296" s="14" t="str">
        <f t="shared" si="18"/>
        <v/>
      </c>
      <c r="J296" s="15" t="str">
        <f t="shared" si="19"/>
        <v/>
      </c>
    </row>
    <row r="297" spans="1:10">
      <c r="A297" s="7" t="str">
        <f>IF(子基金及业绩基准周净值!A322="","",子基金及业绩基准周净值!A322)</f>
        <v/>
      </c>
      <c r="B297" s="1" t="str">
        <f>IF(A297="","",VLOOKUP($A297,子基金及业绩基准周净值!$A:$AV,11))</f>
        <v/>
      </c>
      <c r="C297" s="8" t="str">
        <f t="shared" si="16"/>
        <v/>
      </c>
      <c r="D297" s="9" t="str">
        <f>IF(A297="","",C297-子基金及业绩基准周净值!AI322)</f>
        <v/>
      </c>
      <c r="E297" s="12" t="str">
        <f>IF(A297="","",(MAX(B$3:B297)-B297)/MAX(B$3:B297))</f>
        <v/>
      </c>
      <c r="F297" s="12" t="str">
        <f>IF(A297="","",MAX(E$4:E297))</f>
        <v/>
      </c>
      <c r="G297" s="17"/>
      <c r="H297" s="14" t="str">
        <f t="shared" si="17"/>
        <v/>
      </c>
      <c r="I297" s="14" t="str">
        <f t="shared" si="18"/>
        <v/>
      </c>
      <c r="J297" s="15" t="str">
        <f t="shared" si="19"/>
        <v/>
      </c>
    </row>
    <row r="298" spans="1:10">
      <c r="A298" s="7" t="str">
        <f>IF(子基金及业绩基准周净值!A323="","",子基金及业绩基准周净值!A323)</f>
        <v/>
      </c>
      <c r="B298" s="1" t="str">
        <f>IF(A298="","",VLOOKUP($A298,子基金及业绩基准周净值!$A:$AV,11))</f>
        <v/>
      </c>
      <c r="C298" s="8" t="str">
        <f t="shared" si="16"/>
        <v/>
      </c>
      <c r="D298" s="9" t="str">
        <f>IF(A298="","",C298-子基金及业绩基准周净值!AI323)</f>
        <v/>
      </c>
      <c r="E298" s="12" t="str">
        <f>IF(A298="","",(MAX(B$3:B298)-B298)/MAX(B$3:B298))</f>
        <v/>
      </c>
      <c r="F298" s="12" t="str">
        <f>IF(A298="","",MAX(E$4:E298))</f>
        <v/>
      </c>
      <c r="G298" s="17"/>
      <c r="H298" s="14" t="str">
        <f t="shared" si="17"/>
        <v/>
      </c>
      <c r="I298" s="14" t="str">
        <f t="shared" si="18"/>
        <v/>
      </c>
      <c r="J298" s="15" t="str">
        <f t="shared" si="19"/>
        <v/>
      </c>
    </row>
    <row r="299" spans="1:10">
      <c r="A299" s="7" t="str">
        <f>IF(子基金及业绩基准周净值!A324="","",子基金及业绩基准周净值!A324)</f>
        <v/>
      </c>
      <c r="B299" s="1" t="str">
        <f>IF(A299="","",VLOOKUP($A299,子基金及业绩基准周净值!$A:$AV,11))</f>
        <v/>
      </c>
      <c r="C299" s="8" t="str">
        <f t="shared" si="16"/>
        <v/>
      </c>
      <c r="D299" s="9" t="str">
        <f>IF(A299="","",C299-子基金及业绩基准周净值!AI324)</f>
        <v/>
      </c>
      <c r="E299" s="12" t="str">
        <f>IF(A299="","",(MAX(B$3:B299)-B299)/MAX(B$3:B299))</f>
        <v/>
      </c>
      <c r="F299" s="12" t="str">
        <f>IF(A299="","",MAX(E$4:E299))</f>
        <v/>
      </c>
      <c r="G299" s="17"/>
      <c r="H299" s="14" t="str">
        <f t="shared" si="17"/>
        <v/>
      </c>
      <c r="I299" s="14" t="str">
        <f t="shared" si="18"/>
        <v/>
      </c>
      <c r="J299" s="15" t="str">
        <f t="shared" si="19"/>
        <v/>
      </c>
    </row>
    <row r="300" spans="1:10">
      <c r="A300" s="7" t="str">
        <f>IF(子基金及业绩基准周净值!A325="","",子基金及业绩基准周净值!A325)</f>
        <v/>
      </c>
      <c r="B300" s="1" t="str">
        <f>IF(A300="","",VLOOKUP($A300,子基金及业绩基准周净值!$A:$AV,11))</f>
        <v/>
      </c>
      <c r="C300" s="8" t="str">
        <f t="shared" si="16"/>
        <v/>
      </c>
      <c r="D300" s="9" t="str">
        <f>IF(A300="","",C300-子基金及业绩基准周净值!AI325)</f>
        <v/>
      </c>
      <c r="E300" s="12" t="str">
        <f>IF(A300="","",(MAX(B$3:B300)-B300)/MAX(B$3:B300))</f>
        <v/>
      </c>
      <c r="F300" s="12" t="str">
        <f>IF(A300="","",MAX(E$4:E300))</f>
        <v/>
      </c>
      <c r="G300" s="17"/>
      <c r="H300" s="14" t="str">
        <f t="shared" si="17"/>
        <v/>
      </c>
      <c r="I300" s="14" t="str">
        <f t="shared" si="18"/>
        <v/>
      </c>
      <c r="J300" s="15" t="str">
        <f t="shared" si="19"/>
        <v/>
      </c>
    </row>
    <row r="301" spans="1:10">
      <c r="A301" s="7" t="str">
        <f>IF(子基金及业绩基准周净值!A326="","",子基金及业绩基准周净值!A326)</f>
        <v/>
      </c>
      <c r="B301" s="1" t="str">
        <f>IF(A301="","",VLOOKUP($A301,子基金及业绩基准周净值!$A:$AV,11))</f>
        <v/>
      </c>
      <c r="C301" s="8" t="str">
        <f t="shared" si="16"/>
        <v/>
      </c>
      <c r="D301" s="9" t="str">
        <f>IF(A301="","",C301-子基金及业绩基准周净值!AI326)</f>
        <v/>
      </c>
      <c r="E301" s="12" t="str">
        <f>IF(A301="","",(MAX(B$3:B301)-B301)/MAX(B$3:B301))</f>
        <v/>
      </c>
      <c r="F301" s="12" t="str">
        <f>IF(A301="","",MAX(E$4:E301))</f>
        <v/>
      </c>
      <c r="G301" s="17"/>
      <c r="H301" s="14" t="str">
        <f t="shared" si="17"/>
        <v/>
      </c>
      <c r="I301" s="14" t="str">
        <f t="shared" si="18"/>
        <v/>
      </c>
      <c r="J301" s="15" t="str">
        <f t="shared" si="19"/>
        <v/>
      </c>
    </row>
    <row r="302" spans="1:10">
      <c r="A302" s="7" t="str">
        <f>IF(子基金及业绩基准周净值!A327="","",子基金及业绩基准周净值!A327)</f>
        <v/>
      </c>
      <c r="B302" s="1" t="str">
        <f>IF(A302="","",VLOOKUP($A302,子基金及业绩基准周净值!$A:$AV,11))</f>
        <v/>
      </c>
      <c r="C302" s="8" t="str">
        <f t="shared" si="16"/>
        <v/>
      </c>
      <c r="D302" s="9" t="str">
        <f>IF(A302="","",C302-子基金及业绩基准周净值!AI327)</f>
        <v/>
      </c>
      <c r="E302" s="12" t="str">
        <f>IF(A302="","",(MAX(B$3:B302)-B302)/MAX(B$3:B302))</f>
        <v/>
      </c>
      <c r="F302" s="12" t="str">
        <f>IF(A302="","",MAX(E$4:E302))</f>
        <v/>
      </c>
      <c r="G302" s="17"/>
      <c r="H302" s="14" t="str">
        <f t="shared" si="17"/>
        <v/>
      </c>
      <c r="I302" s="14" t="str">
        <f t="shared" si="18"/>
        <v/>
      </c>
      <c r="J302" s="15" t="str">
        <f t="shared" si="19"/>
        <v/>
      </c>
    </row>
    <row r="303" spans="1:10">
      <c r="A303" s="7" t="str">
        <f>IF(子基金及业绩基准周净值!A328="","",子基金及业绩基准周净值!A328)</f>
        <v/>
      </c>
      <c r="B303" s="1" t="str">
        <f>IF(A303="","",VLOOKUP($A303,子基金及业绩基准周净值!$A:$AV,11))</f>
        <v/>
      </c>
      <c r="C303" s="8" t="str">
        <f t="shared" si="16"/>
        <v/>
      </c>
      <c r="D303" s="9" t="str">
        <f>IF(A303="","",C303-子基金及业绩基准周净值!AI328)</f>
        <v/>
      </c>
      <c r="E303" s="12" t="str">
        <f>IF(A303="","",(MAX(B$3:B303)-B303)/MAX(B$3:B303))</f>
        <v/>
      </c>
      <c r="F303" s="12" t="str">
        <f>IF(A303="","",MAX(E$4:E303))</f>
        <v/>
      </c>
      <c r="G303" s="17"/>
      <c r="H303" s="14" t="str">
        <f t="shared" si="17"/>
        <v/>
      </c>
      <c r="I303" s="14" t="str">
        <f t="shared" si="18"/>
        <v/>
      </c>
      <c r="J303" s="15" t="str">
        <f t="shared" si="19"/>
        <v/>
      </c>
    </row>
    <row r="304" spans="1:10">
      <c r="A304" s="7" t="str">
        <f>IF(子基金及业绩基准周净值!A329="","",子基金及业绩基准周净值!A329)</f>
        <v/>
      </c>
      <c r="B304" s="1" t="str">
        <f>IF(A304="","",VLOOKUP($A304,子基金及业绩基准周净值!$A:$AV,11))</f>
        <v/>
      </c>
      <c r="C304" s="8" t="str">
        <f t="shared" si="16"/>
        <v/>
      </c>
      <c r="D304" s="9" t="str">
        <f>IF(A304="","",C304-子基金及业绩基准周净值!AI329)</f>
        <v/>
      </c>
      <c r="E304" s="12" t="str">
        <f>IF(A304="","",(MAX(B$3:B304)-B304)/MAX(B$3:B304))</f>
        <v/>
      </c>
      <c r="F304" s="12" t="str">
        <f>IF(A304="","",MAX(E$4:E304))</f>
        <v/>
      </c>
      <c r="G304" s="17"/>
      <c r="H304" s="14" t="str">
        <f t="shared" si="17"/>
        <v/>
      </c>
      <c r="I304" s="14" t="str">
        <f t="shared" si="18"/>
        <v/>
      </c>
      <c r="J304" s="15" t="str">
        <f t="shared" si="19"/>
        <v/>
      </c>
    </row>
    <row r="305" spans="1:10">
      <c r="A305" s="7" t="str">
        <f>IF(子基金及业绩基准周净值!A330="","",子基金及业绩基准周净值!A330)</f>
        <v/>
      </c>
      <c r="B305" s="1" t="str">
        <f>IF(A305="","",VLOOKUP($A305,子基金及业绩基准周净值!$A:$AV,11))</f>
        <v/>
      </c>
      <c r="C305" s="8" t="str">
        <f t="shared" si="16"/>
        <v/>
      </c>
      <c r="D305" s="9" t="str">
        <f>IF(A305="","",C305-子基金及业绩基准周净值!AI330)</f>
        <v/>
      </c>
      <c r="E305" s="12" t="str">
        <f>IF(A305="","",(MAX(B$3:B305)-B305)/MAX(B$3:B305))</f>
        <v/>
      </c>
      <c r="F305" s="12" t="str">
        <f>IF(A305="","",MAX(E$4:E305))</f>
        <v/>
      </c>
      <c r="G305" s="17"/>
      <c r="H305" s="14" t="str">
        <f t="shared" si="17"/>
        <v/>
      </c>
      <c r="I305" s="14" t="str">
        <f t="shared" si="18"/>
        <v/>
      </c>
      <c r="J305" s="15" t="str">
        <f t="shared" si="19"/>
        <v/>
      </c>
    </row>
    <row r="306" spans="1:10">
      <c r="A306" s="7" t="str">
        <f>IF(子基金及业绩基准周净值!A331="","",子基金及业绩基准周净值!A331)</f>
        <v/>
      </c>
      <c r="B306" s="1" t="str">
        <f>IF(A306="","",VLOOKUP($A306,子基金及业绩基准周净值!$A:$AV,11))</f>
        <v/>
      </c>
      <c r="C306" s="8" t="str">
        <f t="shared" si="16"/>
        <v/>
      </c>
      <c r="D306" s="9" t="str">
        <f>IF(A306="","",C306-子基金及业绩基准周净值!AI331)</f>
        <v/>
      </c>
      <c r="E306" s="12" t="str">
        <f>IF(A306="","",(MAX(B$3:B306)-B306)/MAX(B$3:B306))</f>
        <v/>
      </c>
      <c r="F306" s="12" t="str">
        <f>IF(A306="","",MAX(E$4:E306))</f>
        <v/>
      </c>
      <c r="G306" s="17"/>
      <c r="H306" s="14" t="str">
        <f t="shared" si="17"/>
        <v/>
      </c>
      <c r="I306" s="14" t="str">
        <f t="shared" si="18"/>
        <v/>
      </c>
      <c r="J306" s="15" t="str">
        <f t="shared" si="19"/>
        <v/>
      </c>
    </row>
    <row r="307" spans="1:10">
      <c r="A307" s="7" t="str">
        <f>IF(子基金及业绩基准周净值!A332="","",子基金及业绩基准周净值!A332)</f>
        <v/>
      </c>
      <c r="B307" s="1" t="str">
        <f>IF(A307="","",VLOOKUP($A307,子基金及业绩基准周净值!$A:$AV,11))</f>
        <v/>
      </c>
      <c r="C307" s="8" t="str">
        <f t="shared" si="16"/>
        <v/>
      </c>
      <c r="D307" s="9" t="str">
        <f>IF(A307="","",C307-子基金及业绩基准周净值!AI332)</f>
        <v/>
      </c>
      <c r="E307" s="12" t="str">
        <f>IF(A307="","",(MAX(B$3:B307)-B307)/MAX(B$3:B307))</f>
        <v/>
      </c>
      <c r="F307" s="12" t="str">
        <f>IF(A307="","",MAX(E$4:E307))</f>
        <v/>
      </c>
      <c r="G307" s="17"/>
      <c r="H307" s="14" t="str">
        <f t="shared" si="17"/>
        <v/>
      </c>
      <c r="I307" s="14" t="str">
        <f t="shared" si="18"/>
        <v/>
      </c>
      <c r="J307" s="15" t="str">
        <f t="shared" si="19"/>
        <v/>
      </c>
    </row>
    <row r="308" spans="1:10">
      <c r="A308" s="7" t="str">
        <f>IF(子基金及业绩基准周净值!A333="","",子基金及业绩基准周净值!A333)</f>
        <v/>
      </c>
      <c r="B308" s="1" t="str">
        <f>IF(A308="","",VLOOKUP($A308,子基金及业绩基准周净值!$A:$AV,11))</f>
        <v/>
      </c>
      <c r="C308" s="8" t="str">
        <f t="shared" si="16"/>
        <v/>
      </c>
      <c r="D308" s="9" t="str">
        <f>IF(A308="","",C308-子基金及业绩基准周净值!AI333)</f>
        <v/>
      </c>
      <c r="E308" s="12" t="str">
        <f>IF(A308="","",(MAX(B$3:B308)-B308)/MAX(B$3:B308))</f>
        <v/>
      </c>
      <c r="F308" s="12" t="str">
        <f>IF(A308="","",MAX(E$4:E308))</f>
        <v/>
      </c>
      <c r="G308" s="17"/>
      <c r="H308" s="14" t="str">
        <f t="shared" si="17"/>
        <v/>
      </c>
      <c r="I308" s="14" t="str">
        <f t="shared" si="18"/>
        <v/>
      </c>
      <c r="J308" s="15" t="str">
        <f t="shared" si="19"/>
        <v/>
      </c>
    </row>
    <row r="309" spans="1:10">
      <c r="A309" s="7" t="str">
        <f>IF(子基金及业绩基准周净值!A334="","",子基金及业绩基准周净值!A334)</f>
        <v/>
      </c>
      <c r="B309" s="1" t="str">
        <f>IF(A309="","",VLOOKUP($A309,子基金及业绩基准周净值!$A:$AV,11))</f>
        <v/>
      </c>
      <c r="C309" s="8" t="str">
        <f t="shared" si="16"/>
        <v/>
      </c>
      <c r="D309" s="9" t="str">
        <f>IF(A309="","",C309-子基金及业绩基准周净值!AI334)</f>
        <v/>
      </c>
      <c r="E309" s="12" t="str">
        <f>IF(A309="","",(MAX(B$3:B309)-B309)/MAX(B$3:B309))</f>
        <v/>
      </c>
      <c r="F309" s="12" t="str">
        <f>IF(A309="","",MAX(E$4:E309))</f>
        <v/>
      </c>
      <c r="G309" s="17"/>
      <c r="H309" s="14" t="str">
        <f t="shared" si="17"/>
        <v/>
      </c>
      <c r="I309" s="14" t="str">
        <f t="shared" si="18"/>
        <v/>
      </c>
      <c r="J309" s="15" t="str">
        <f t="shared" si="19"/>
        <v/>
      </c>
    </row>
    <row r="310" spans="1:10">
      <c r="A310" s="7" t="str">
        <f>IF(子基金及业绩基准周净值!A335="","",子基金及业绩基准周净值!A335)</f>
        <v/>
      </c>
      <c r="B310" s="1" t="str">
        <f>IF(A310="","",VLOOKUP($A310,子基金及业绩基准周净值!$A:$AV,11))</f>
        <v/>
      </c>
      <c r="C310" s="8" t="str">
        <f t="shared" si="16"/>
        <v/>
      </c>
      <c r="D310" s="9" t="str">
        <f>IF(A310="","",C310-子基金及业绩基准周净值!AI335)</f>
        <v/>
      </c>
      <c r="E310" s="12" t="str">
        <f>IF(A310="","",(MAX(B$3:B310)-B310)/MAX(B$3:B310))</f>
        <v/>
      </c>
      <c r="F310" s="12" t="str">
        <f>IF(A310="","",MAX(E$4:E310))</f>
        <v/>
      </c>
      <c r="G310" s="17"/>
      <c r="H310" s="14" t="str">
        <f t="shared" si="17"/>
        <v/>
      </c>
      <c r="I310" s="14" t="str">
        <f t="shared" si="18"/>
        <v/>
      </c>
      <c r="J310" s="15" t="str">
        <f t="shared" si="19"/>
        <v/>
      </c>
    </row>
    <row r="311" spans="1:10">
      <c r="A311" s="7" t="str">
        <f>IF(子基金及业绩基准周净值!A336="","",子基金及业绩基准周净值!A336)</f>
        <v/>
      </c>
      <c r="B311" s="1" t="str">
        <f>IF(A311="","",VLOOKUP($A311,子基金及业绩基准周净值!$A:$AV,11))</f>
        <v/>
      </c>
      <c r="C311" s="8" t="str">
        <f t="shared" si="16"/>
        <v/>
      </c>
      <c r="D311" s="9" t="str">
        <f>IF(A311="","",C311-子基金及业绩基准周净值!AI336)</f>
        <v/>
      </c>
      <c r="E311" s="12" t="str">
        <f>IF(A311="","",(MAX(B$3:B311)-B311)/MAX(B$3:B311))</f>
        <v/>
      </c>
      <c r="F311" s="12" t="str">
        <f>IF(A311="","",MAX(E$4:E311))</f>
        <v/>
      </c>
      <c r="G311" s="17"/>
      <c r="H311" s="14" t="str">
        <f t="shared" si="17"/>
        <v/>
      </c>
      <c r="I311" s="14" t="str">
        <f t="shared" si="18"/>
        <v/>
      </c>
      <c r="J311" s="15" t="str">
        <f t="shared" si="19"/>
        <v/>
      </c>
    </row>
    <row r="312" spans="1:10">
      <c r="A312" s="7" t="str">
        <f>IF(子基金及业绩基准周净值!A337="","",子基金及业绩基准周净值!A337)</f>
        <v/>
      </c>
      <c r="B312" s="1" t="str">
        <f>IF(A312="","",VLOOKUP($A312,子基金及业绩基准周净值!$A:$AV,11))</f>
        <v/>
      </c>
      <c r="C312" s="8" t="str">
        <f t="shared" si="16"/>
        <v/>
      </c>
      <c r="D312" s="9" t="str">
        <f>IF(A312="","",C312-子基金及业绩基准周净值!AI337)</f>
        <v/>
      </c>
      <c r="E312" s="12" t="str">
        <f>IF(A312="","",(MAX(B$3:B312)-B312)/MAX(B$3:B312))</f>
        <v/>
      </c>
      <c r="F312" s="12" t="str">
        <f>IF(A312="","",MAX(E$4:E312))</f>
        <v/>
      </c>
      <c r="G312" s="17"/>
      <c r="H312" s="14" t="str">
        <f t="shared" si="17"/>
        <v/>
      </c>
      <c r="I312" s="14" t="str">
        <f t="shared" si="18"/>
        <v/>
      </c>
      <c r="J312" s="15" t="str">
        <f t="shared" si="19"/>
        <v/>
      </c>
    </row>
    <row r="313" spans="1:10">
      <c r="A313" s="7" t="str">
        <f>IF(子基金及业绩基准周净值!A338="","",子基金及业绩基准周净值!A338)</f>
        <v/>
      </c>
      <c r="B313" s="1" t="str">
        <f>IF(A313="","",VLOOKUP($A313,子基金及业绩基准周净值!$A:$AV,11))</f>
        <v/>
      </c>
      <c r="C313" s="8" t="str">
        <f t="shared" si="16"/>
        <v/>
      </c>
      <c r="D313" s="9" t="str">
        <f>IF(A313="","",C313-子基金及业绩基准周净值!AI338)</f>
        <v/>
      </c>
      <c r="E313" s="12" t="str">
        <f>IF(A313="","",(MAX(B$3:B313)-B313)/MAX(B$3:B313))</f>
        <v/>
      </c>
      <c r="F313" s="12" t="str">
        <f>IF(A313="","",MAX(E$4:E313))</f>
        <v/>
      </c>
      <c r="G313" s="17"/>
      <c r="H313" s="14" t="str">
        <f t="shared" si="17"/>
        <v/>
      </c>
      <c r="I313" s="14" t="str">
        <f t="shared" si="18"/>
        <v/>
      </c>
      <c r="J313" s="15" t="str">
        <f t="shared" si="19"/>
        <v/>
      </c>
    </row>
    <row r="314" spans="1:10">
      <c r="A314" s="7" t="str">
        <f>IF(子基金及业绩基准周净值!A339="","",子基金及业绩基准周净值!A339)</f>
        <v/>
      </c>
      <c r="B314" s="1" t="str">
        <f>IF(A314="","",VLOOKUP($A314,子基金及业绩基准周净值!$A:$AV,11))</f>
        <v/>
      </c>
      <c r="C314" s="8" t="str">
        <f t="shared" si="16"/>
        <v/>
      </c>
      <c r="D314" s="9" t="str">
        <f>IF(A314="","",C314-子基金及业绩基准周净值!AI339)</f>
        <v/>
      </c>
      <c r="E314" s="12" t="str">
        <f>IF(A314="","",(MAX(B$3:B314)-B314)/MAX(B$3:B314))</f>
        <v/>
      </c>
      <c r="F314" s="12" t="str">
        <f>IF(A314="","",MAX(E$4:E314))</f>
        <v/>
      </c>
      <c r="G314" s="17"/>
      <c r="H314" s="14" t="str">
        <f t="shared" si="17"/>
        <v/>
      </c>
      <c r="I314" s="14" t="str">
        <f t="shared" si="18"/>
        <v/>
      </c>
      <c r="J314" s="15" t="str">
        <f t="shared" si="19"/>
        <v/>
      </c>
    </row>
    <row r="315" spans="1:10">
      <c r="A315" s="7" t="str">
        <f>IF(子基金及业绩基准周净值!A340="","",子基金及业绩基准周净值!A340)</f>
        <v/>
      </c>
      <c r="B315" s="1" t="str">
        <f>IF(A315="","",VLOOKUP($A315,子基金及业绩基准周净值!$A:$AV,11))</f>
        <v/>
      </c>
      <c r="C315" s="8" t="str">
        <f t="shared" si="16"/>
        <v/>
      </c>
      <c r="D315" s="9" t="str">
        <f>IF(A315="","",C315-子基金及业绩基准周净值!AI340)</f>
        <v/>
      </c>
      <c r="E315" s="12" t="str">
        <f>IF(A315="","",(MAX(B$3:B315)-B315)/MAX(B$3:B315))</f>
        <v/>
      </c>
      <c r="F315" s="12" t="str">
        <f>IF(A315="","",MAX(E$4:E315))</f>
        <v/>
      </c>
      <c r="G315" s="17"/>
      <c r="H315" s="14" t="str">
        <f t="shared" si="17"/>
        <v/>
      </c>
      <c r="I315" s="14" t="str">
        <f t="shared" si="18"/>
        <v/>
      </c>
      <c r="J315" s="15" t="str">
        <f t="shared" si="19"/>
        <v/>
      </c>
    </row>
    <row r="316" spans="1:10">
      <c r="A316" s="7" t="str">
        <f>IF(子基金及业绩基准周净值!A341="","",子基金及业绩基准周净值!A341)</f>
        <v/>
      </c>
      <c r="B316" s="1" t="str">
        <f>IF(A316="","",VLOOKUP($A316,子基金及业绩基准周净值!$A:$AV,11))</f>
        <v/>
      </c>
      <c r="C316" s="8" t="str">
        <f t="shared" si="16"/>
        <v/>
      </c>
      <c r="D316" s="9" t="str">
        <f>IF(A316="","",C316-子基金及业绩基准周净值!AI341)</f>
        <v/>
      </c>
      <c r="E316" s="12" t="str">
        <f>IF(A316="","",(MAX(B$3:B316)-B316)/MAX(B$3:B316))</f>
        <v/>
      </c>
      <c r="F316" s="12" t="str">
        <f>IF(A316="","",MAX(E$4:E316))</f>
        <v/>
      </c>
      <c r="G316" s="17"/>
      <c r="H316" s="14" t="str">
        <f t="shared" si="17"/>
        <v/>
      </c>
      <c r="I316" s="14" t="str">
        <f t="shared" si="18"/>
        <v/>
      </c>
      <c r="J316" s="15" t="str">
        <f t="shared" si="19"/>
        <v/>
      </c>
    </row>
    <row r="317" spans="1:10">
      <c r="A317" s="7" t="str">
        <f>IF(子基金及业绩基准周净值!A342="","",子基金及业绩基准周净值!A342)</f>
        <v/>
      </c>
      <c r="B317" s="1" t="str">
        <f>IF(A317="","",VLOOKUP($A317,子基金及业绩基准周净值!$A:$AV,11))</f>
        <v/>
      </c>
      <c r="C317" s="8" t="str">
        <f t="shared" si="16"/>
        <v/>
      </c>
      <c r="D317" s="9" t="str">
        <f>IF(A317="","",C317-子基金及业绩基准周净值!AI342)</f>
        <v/>
      </c>
      <c r="E317" s="12" t="str">
        <f>IF(A317="","",(MAX(B$3:B317)-B317)/MAX(B$3:B317))</f>
        <v/>
      </c>
      <c r="F317" s="12" t="str">
        <f>IF(A317="","",MAX(E$4:E317))</f>
        <v/>
      </c>
      <c r="G317" s="17"/>
      <c r="H317" s="14" t="str">
        <f t="shared" si="17"/>
        <v/>
      </c>
      <c r="I317" s="14" t="str">
        <f t="shared" si="18"/>
        <v/>
      </c>
      <c r="J317" s="15" t="str">
        <f t="shared" si="19"/>
        <v/>
      </c>
    </row>
    <row r="318" spans="1:10">
      <c r="A318" s="7" t="str">
        <f>IF(子基金及业绩基准周净值!A343="","",子基金及业绩基准周净值!A343)</f>
        <v/>
      </c>
      <c r="B318" s="1" t="str">
        <f>IF(A318="","",VLOOKUP($A318,子基金及业绩基准周净值!$A:$AV,11))</f>
        <v/>
      </c>
      <c r="C318" s="8" t="str">
        <f t="shared" si="16"/>
        <v/>
      </c>
      <c r="D318" s="9" t="str">
        <f>IF(A318="","",C318-子基金及业绩基准周净值!AI343)</f>
        <v/>
      </c>
      <c r="E318" s="12" t="str">
        <f>IF(A318="","",(MAX(B$3:B318)-B318)/MAX(B$3:B318))</f>
        <v/>
      </c>
      <c r="F318" s="12" t="str">
        <f>IF(A318="","",MAX(E$4:E318))</f>
        <v/>
      </c>
      <c r="G318" s="17"/>
      <c r="H318" s="14" t="str">
        <f t="shared" si="17"/>
        <v/>
      </c>
      <c r="I318" s="14" t="str">
        <f t="shared" si="18"/>
        <v/>
      </c>
      <c r="J318" s="15" t="str">
        <f t="shared" si="19"/>
        <v/>
      </c>
    </row>
    <row r="319" spans="1:10">
      <c r="A319" s="7" t="str">
        <f>IF(子基金及业绩基准周净值!A344="","",子基金及业绩基准周净值!A344)</f>
        <v/>
      </c>
      <c r="B319" s="1" t="str">
        <f>IF(A319="","",VLOOKUP($A319,子基金及业绩基准周净值!$A:$AV,11))</f>
        <v/>
      </c>
      <c r="C319" s="8" t="str">
        <f t="shared" si="16"/>
        <v/>
      </c>
      <c r="D319" s="9" t="str">
        <f>IF(A319="","",C319-子基金及业绩基准周净值!AI344)</f>
        <v/>
      </c>
      <c r="E319" s="12" t="str">
        <f>IF(A319="","",(MAX(B$3:B319)-B319)/MAX(B$3:B319))</f>
        <v/>
      </c>
      <c r="F319" s="12" t="str">
        <f>IF(A319="","",MAX(E$4:E319))</f>
        <v/>
      </c>
      <c r="G319" s="17"/>
      <c r="H319" s="14" t="str">
        <f t="shared" si="17"/>
        <v/>
      </c>
      <c r="I319" s="14" t="str">
        <f t="shared" si="18"/>
        <v/>
      </c>
      <c r="J319" s="15" t="str">
        <f t="shared" si="19"/>
        <v/>
      </c>
    </row>
    <row r="320" spans="1:10">
      <c r="A320" s="7" t="str">
        <f>IF(子基金及业绩基准周净值!A345="","",子基金及业绩基准周净值!A345)</f>
        <v/>
      </c>
      <c r="B320" s="1" t="str">
        <f>IF(A320="","",VLOOKUP($A320,子基金及业绩基准周净值!$A:$AV,11))</f>
        <v/>
      </c>
      <c r="C320" s="8" t="str">
        <f t="shared" si="16"/>
        <v/>
      </c>
      <c r="D320" s="9" t="str">
        <f>IF(A320="","",C320-子基金及业绩基准周净值!AI345)</f>
        <v/>
      </c>
      <c r="E320" s="12" t="str">
        <f>IF(A320="","",(MAX(B$3:B320)-B320)/MAX(B$3:B320))</f>
        <v/>
      </c>
      <c r="F320" s="12" t="str">
        <f>IF(A320="","",MAX(E$4:E320))</f>
        <v/>
      </c>
      <c r="G320" s="17"/>
      <c r="H320" s="14" t="str">
        <f t="shared" si="17"/>
        <v/>
      </c>
      <c r="I320" s="14" t="str">
        <f t="shared" si="18"/>
        <v/>
      </c>
      <c r="J320" s="15" t="str">
        <f t="shared" si="19"/>
        <v/>
      </c>
    </row>
    <row r="321" spans="1:10">
      <c r="A321" s="7" t="str">
        <f>IF(子基金及业绩基准周净值!A346="","",子基金及业绩基准周净值!A346)</f>
        <v/>
      </c>
      <c r="B321" s="1" t="str">
        <f>IF(A321="","",VLOOKUP($A321,子基金及业绩基准周净值!$A:$AV,11))</f>
        <v/>
      </c>
      <c r="C321" s="8" t="str">
        <f t="shared" si="16"/>
        <v/>
      </c>
      <c r="D321" s="9" t="str">
        <f>IF(A321="","",C321-子基金及业绩基准周净值!AI346)</f>
        <v/>
      </c>
      <c r="E321" s="12" t="str">
        <f>IF(A321="","",(MAX(B$3:B321)-B321)/MAX(B$3:B321))</f>
        <v/>
      </c>
      <c r="F321" s="12" t="str">
        <f>IF(A321="","",MAX(E$4:E321))</f>
        <v/>
      </c>
      <c r="G321" s="17"/>
      <c r="H321" s="14" t="str">
        <f t="shared" si="17"/>
        <v/>
      </c>
      <c r="I321" s="14" t="str">
        <f t="shared" si="18"/>
        <v/>
      </c>
      <c r="J321" s="15" t="str">
        <f t="shared" si="19"/>
        <v/>
      </c>
    </row>
    <row r="322" spans="1:10">
      <c r="A322" s="7" t="str">
        <f>IF(子基金及业绩基准周净值!A347="","",子基金及业绩基准周净值!A347)</f>
        <v/>
      </c>
      <c r="B322" s="1" t="str">
        <f>IF(A322="","",VLOOKUP($A322,子基金及业绩基准周净值!$A:$AV,11))</f>
        <v/>
      </c>
      <c r="C322" s="8" t="str">
        <f t="shared" si="16"/>
        <v/>
      </c>
      <c r="D322" s="9" t="str">
        <f>IF(A322="","",C322-子基金及业绩基准周净值!AI347)</f>
        <v/>
      </c>
      <c r="E322" s="12" t="str">
        <f>IF(A322="","",(MAX(B$3:B322)-B322)/MAX(B$3:B322))</f>
        <v/>
      </c>
      <c r="F322" s="12" t="str">
        <f>IF(A322="","",MAX(E$4:E322))</f>
        <v/>
      </c>
      <c r="G322" s="17"/>
      <c r="H322" s="14" t="str">
        <f t="shared" si="17"/>
        <v/>
      </c>
      <c r="I322" s="14" t="str">
        <f t="shared" si="18"/>
        <v/>
      </c>
      <c r="J322" s="15" t="str">
        <f t="shared" si="19"/>
        <v/>
      </c>
    </row>
    <row r="323" spans="1:10">
      <c r="A323" s="7" t="str">
        <f>IF(子基金及业绩基准周净值!A348="","",子基金及业绩基准周净值!A348)</f>
        <v/>
      </c>
      <c r="B323" s="1" t="str">
        <f>IF(A323="","",VLOOKUP($A323,子基金及业绩基准周净值!$A:$AV,11))</f>
        <v/>
      </c>
      <c r="C323" s="8" t="str">
        <f t="shared" si="16"/>
        <v/>
      </c>
      <c r="D323" s="9" t="str">
        <f>IF(A323="","",C323-子基金及业绩基准周净值!AI348)</f>
        <v/>
      </c>
      <c r="E323" s="12" t="str">
        <f>IF(A323="","",(MAX(B$3:B323)-B323)/MAX(B$3:B323))</f>
        <v/>
      </c>
      <c r="F323" s="12" t="str">
        <f>IF(A323="","",MAX(E$4:E323))</f>
        <v/>
      </c>
      <c r="G323" s="17"/>
      <c r="H323" s="14" t="str">
        <f t="shared" si="17"/>
        <v/>
      </c>
      <c r="I323" s="14" t="str">
        <f t="shared" si="18"/>
        <v/>
      </c>
      <c r="J323" s="15" t="str">
        <f t="shared" si="19"/>
        <v/>
      </c>
    </row>
    <row r="324" spans="1:10">
      <c r="A324" s="7" t="str">
        <f>IF(子基金及业绩基准周净值!A349="","",子基金及业绩基准周净值!A349)</f>
        <v/>
      </c>
      <c r="B324" s="1" t="str">
        <f>IF(A324="","",VLOOKUP($A324,子基金及业绩基准周净值!$A:$AV,11))</f>
        <v/>
      </c>
      <c r="C324" s="8" t="str">
        <f t="shared" si="16"/>
        <v/>
      </c>
      <c r="D324" s="9" t="str">
        <f>IF(A324="","",C324-子基金及业绩基准周净值!AI349)</f>
        <v/>
      </c>
      <c r="E324" s="12" t="str">
        <f>IF(A324="","",(MAX(B$3:B324)-B324)/MAX(B$3:B324))</f>
        <v/>
      </c>
      <c r="F324" s="12" t="str">
        <f>IF(A324="","",MAX(E$4:E324))</f>
        <v/>
      </c>
      <c r="G324" s="17"/>
      <c r="H324" s="14" t="str">
        <f t="shared" si="17"/>
        <v/>
      </c>
      <c r="I324" s="14" t="str">
        <f t="shared" si="18"/>
        <v/>
      </c>
      <c r="J324" s="15" t="str">
        <f t="shared" si="19"/>
        <v/>
      </c>
    </row>
    <row r="325" spans="1:10">
      <c r="A325" s="7" t="str">
        <f>IF(子基金及业绩基准周净值!A350="","",子基金及业绩基准周净值!A350)</f>
        <v/>
      </c>
      <c r="B325" s="1" t="str">
        <f>IF(A325="","",VLOOKUP($A325,子基金及业绩基准周净值!$A:$AV,11))</f>
        <v/>
      </c>
      <c r="C325" s="8" t="str">
        <f t="shared" ref="C325:C388" si="20">IF(A325="","",(B325-B324)/B324)</f>
        <v/>
      </c>
      <c r="D325" s="9" t="str">
        <f>IF(A325="","",C325-子基金及业绩基准周净值!AI350)</f>
        <v/>
      </c>
      <c r="E325" s="12" t="str">
        <f>IF(A325="","",(MAX(B$3:B325)-B325)/MAX(B$3:B325))</f>
        <v/>
      </c>
      <c r="F325" s="12" t="str">
        <f>IF(A325="","",MAX(E$4:E325))</f>
        <v/>
      </c>
      <c r="G325" s="17"/>
      <c r="H325" s="14" t="str">
        <f t="shared" ref="H325:H388" si="21">IF(B325="","",IF(C325&lt;-3%,"是","否"))</f>
        <v/>
      </c>
      <c r="I325" s="14" t="str">
        <f t="shared" ref="I325:I388" si="22">IF(A325="","",IF(F325&gt;5%,"是","否"))</f>
        <v/>
      </c>
      <c r="J325" s="15" t="str">
        <f t="shared" ref="J325:J388" si="23">IF(A325="","",IF(G325&gt;=4,"是","否"))</f>
        <v/>
      </c>
    </row>
    <row r="326" spans="1:10">
      <c r="A326" s="7" t="str">
        <f>IF(子基金及业绩基准周净值!A351="","",子基金及业绩基准周净值!A351)</f>
        <v/>
      </c>
      <c r="B326" s="1" t="str">
        <f>IF(A326="","",VLOOKUP($A326,子基金及业绩基准周净值!$A:$AV,11))</f>
        <v/>
      </c>
      <c r="C326" s="8" t="str">
        <f t="shared" si="20"/>
        <v/>
      </c>
      <c r="D326" s="9" t="str">
        <f>IF(A326="","",C326-子基金及业绩基准周净值!AI351)</f>
        <v/>
      </c>
      <c r="E326" s="12" t="str">
        <f>IF(A326="","",(MAX(B$3:B326)-B326)/MAX(B$3:B326))</f>
        <v/>
      </c>
      <c r="F326" s="12" t="str">
        <f>IF(A326="","",MAX(E$4:E326))</f>
        <v/>
      </c>
      <c r="G326" s="17"/>
      <c r="H326" s="14" t="str">
        <f t="shared" si="21"/>
        <v/>
      </c>
      <c r="I326" s="14" t="str">
        <f t="shared" si="22"/>
        <v/>
      </c>
      <c r="J326" s="15" t="str">
        <f t="shared" si="23"/>
        <v/>
      </c>
    </row>
    <row r="327" spans="1:10">
      <c r="A327" s="7" t="str">
        <f>IF(子基金及业绩基准周净值!A352="","",子基金及业绩基准周净值!A352)</f>
        <v/>
      </c>
      <c r="B327" s="1" t="str">
        <f>IF(A327="","",VLOOKUP($A327,子基金及业绩基准周净值!$A:$AV,11))</f>
        <v/>
      </c>
      <c r="C327" s="8" t="str">
        <f t="shared" si="20"/>
        <v/>
      </c>
      <c r="D327" s="9" t="str">
        <f>IF(A327="","",C327-子基金及业绩基准周净值!AI352)</f>
        <v/>
      </c>
      <c r="E327" s="12" t="str">
        <f>IF(A327="","",(MAX(B$3:B327)-B327)/MAX(B$3:B327))</f>
        <v/>
      </c>
      <c r="F327" s="12" t="str">
        <f>IF(A327="","",MAX(E$4:E327))</f>
        <v/>
      </c>
      <c r="G327" s="17"/>
      <c r="H327" s="14" t="str">
        <f t="shared" si="21"/>
        <v/>
      </c>
      <c r="I327" s="14" t="str">
        <f t="shared" si="22"/>
        <v/>
      </c>
      <c r="J327" s="15" t="str">
        <f t="shared" si="23"/>
        <v/>
      </c>
    </row>
    <row r="328" spans="1:10">
      <c r="A328" s="7" t="str">
        <f>IF(子基金及业绩基准周净值!A353="","",子基金及业绩基准周净值!A353)</f>
        <v/>
      </c>
      <c r="B328" s="1" t="str">
        <f>IF(A328="","",VLOOKUP($A328,子基金及业绩基准周净值!$A:$AV,11))</f>
        <v/>
      </c>
      <c r="C328" s="8" t="str">
        <f t="shared" si="20"/>
        <v/>
      </c>
      <c r="D328" s="9" t="str">
        <f>IF(A328="","",C328-子基金及业绩基准周净值!AI353)</f>
        <v/>
      </c>
      <c r="E328" s="12" t="str">
        <f>IF(A328="","",(MAX(B$3:B328)-B328)/MAX(B$3:B328))</f>
        <v/>
      </c>
      <c r="F328" s="12" t="str">
        <f>IF(A328="","",MAX(E$4:E328))</f>
        <v/>
      </c>
      <c r="G328" s="17"/>
      <c r="H328" s="14" t="str">
        <f t="shared" si="21"/>
        <v/>
      </c>
      <c r="I328" s="14" t="str">
        <f t="shared" si="22"/>
        <v/>
      </c>
      <c r="J328" s="15" t="str">
        <f t="shared" si="23"/>
        <v/>
      </c>
    </row>
    <row r="329" spans="1:10">
      <c r="A329" s="7" t="str">
        <f>IF(子基金及业绩基准周净值!A354="","",子基金及业绩基准周净值!A354)</f>
        <v/>
      </c>
      <c r="B329" s="1" t="str">
        <f>IF(A329="","",VLOOKUP($A329,子基金及业绩基准周净值!$A:$AV,11))</f>
        <v/>
      </c>
      <c r="C329" s="8" t="str">
        <f t="shared" si="20"/>
        <v/>
      </c>
      <c r="D329" s="9" t="str">
        <f>IF(A329="","",C329-子基金及业绩基准周净值!AI354)</f>
        <v/>
      </c>
      <c r="E329" s="12" t="str">
        <f>IF(A329="","",(MAX(B$3:B329)-B329)/MAX(B$3:B329))</f>
        <v/>
      </c>
      <c r="F329" s="12" t="str">
        <f>IF(A329="","",MAX(E$4:E329))</f>
        <v/>
      </c>
      <c r="G329" s="17"/>
      <c r="H329" s="14" t="str">
        <f t="shared" si="21"/>
        <v/>
      </c>
      <c r="I329" s="14" t="str">
        <f t="shared" si="22"/>
        <v/>
      </c>
      <c r="J329" s="15" t="str">
        <f t="shared" si="23"/>
        <v/>
      </c>
    </row>
    <row r="330" spans="1:10">
      <c r="A330" s="7" t="str">
        <f>IF(子基金及业绩基准周净值!A355="","",子基金及业绩基准周净值!A355)</f>
        <v/>
      </c>
      <c r="B330" s="1" t="str">
        <f>IF(A330="","",VLOOKUP($A330,子基金及业绩基准周净值!$A:$AV,11))</f>
        <v/>
      </c>
      <c r="C330" s="8" t="str">
        <f t="shared" si="20"/>
        <v/>
      </c>
      <c r="D330" s="9" t="str">
        <f>IF(A330="","",C330-子基金及业绩基准周净值!AI355)</f>
        <v/>
      </c>
      <c r="E330" s="12" t="str">
        <f>IF(A330="","",(MAX(B$3:B330)-B330)/MAX(B$3:B330))</f>
        <v/>
      </c>
      <c r="F330" s="12" t="str">
        <f>IF(A330="","",MAX(E$4:E330))</f>
        <v/>
      </c>
      <c r="G330" s="17"/>
      <c r="H330" s="14" t="str">
        <f t="shared" si="21"/>
        <v/>
      </c>
      <c r="I330" s="14" t="str">
        <f t="shared" si="22"/>
        <v/>
      </c>
      <c r="J330" s="15" t="str">
        <f t="shared" si="23"/>
        <v/>
      </c>
    </row>
    <row r="331" spans="1:10">
      <c r="A331" s="7" t="str">
        <f>IF(子基金及业绩基准周净值!A356="","",子基金及业绩基准周净值!A356)</f>
        <v/>
      </c>
      <c r="B331" s="1" t="str">
        <f>IF(A331="","",VLOOKUP($A331,子基金及业绩基准周净值!$A:$AV,11))</f>
        <v/>
      </c>
      <c r="C331" s="8" t="str">
        <f t="shared" si="20"/>
        <v/>
      </c>
      <c r="D331" s="9" t="str">
        <f>IF(A331="","",C331-子基金及业绩基准周净值!AI356)</f>
        <v/>
      </c>
      <c r="E331" s="12" t="str">
        <f>IF(A331="","",(MAX(B$3:B331)-B331)/MAX(B$3:B331))</f>
        <v/>
      </c>
      <c r="F331" s="12" t="str">
        <f>IF(A331="","",MAX(E$4:E331))</f>
        <v/>
      </c>
      <c r="G331" s="17"/>
      <c r="H331" s="14" t="str">
        <f t="shared" si="21"/>
        <v/>
      </c>
      <c r="I331" s="14" t="str">
        <f t="shared" si="22"/>
        <v/>
      </c>
      <c r="J331" s="15" t="str">
        <f t="shared" si="23"/>
        <v/>
      </c>
    </row>
    <row r="332" spans="1:10">
      <c r="A332" s="7" t="str">
        <f>IF(子基金及业绩基准周净值!A357="","",子基金及业绩基准周净值!A357)</f>
        <v/>
      </c>
      <c r="B332" s="1" t="str">
        <f>IF(A332="","",VLOOKUP($A332,子基金及业绩基准周净值!$A:$AV,11))</f>
        <v/>
      </c>
      <c r="C332" s="8" t="str">
        <f t="shared" si="20"/>
        <v/>
      </c>
      <c r="D332" s="9" t="str">
        <f>IF(A332="","",C332-子基金及业绩基准周净值!AI357)</f>
        <v/>
      </c>
      <c r="E332" s="12" t="str">
        <f>IF(A332="","",(MAX(B$3:B332)-B332)/MAX(B$3:B332))</f>
        <v/>
      </c>
      <c r="F332" s="12" t="str">
        <f>IF(A332="","",MAX(E$4:E332))</f>
        <v/>
      </c>
      <c r="G332" s="17"/>
      <c r="H332" s="14" t="str">
        <f t="shared" si="21"/>
        <v/>
      </c>
      <c r="I332" s="14" t="str">
        <f t="shared" si="22"/>
        <v/>
      </c>
      <c r="J332" s="15" t="str">
        <f t="shared" si="23"/>
        <v/>
      </c>
    </row>
    <row r="333" spans="1:10">
      <c r="A333" s="7" t="str">
        <f>IF(子基金及业绩基准周净值!A358="","",子基金及业绩基准周净值!A358)</f>
        <v/>
      </c>
      <c r="B333" s="1" t="str">
        <f>IF(A333="","",VLOOKUP($A333,子基金及业绩基准周净值!$A:$AV,11))</f>
        <v/>
      </c>
      <c r="C333" s="8" t="str">
        <f t="shared" si="20"/>
        <v/>
      </c>
      <c r="D333" s="9" t="str">
        <f>IF(A333="","",C333-子基金及业绩基准周净值!AI358)</f>
        <v/>
      </c>
      <c r="E333" s="12" t="str">
        <f>IF(A333="","",(MAX(B$3:B333)-B333)/MAX(B$3:B333))</f>
        <v/>
      </c>
      <c r="F333" s="12" t="str">
        <f>IF(A333="","",MAX(E$4:E333))</f>
        <v/>
      </c>
      <c r="G333" s="17"/>
      <c r="H333" s="14" t="str">
        <f t="shared" si="21"/>
        <v/>
      </c>
      <c r="I333" s="14" t="str">
        <f t="shared" si="22"/>
        <v/>
      </c>
      <c r="J333" s="15" t="str">
        <f t="shared" si="23"/>
        <v/>
      </c>
    </row>
    <row r="334" spans="1:10">
      <c r="A334" s="7" t="str">
        <f>IF(子基金及业绩基准周净值!A359="","",子基金及业绩基准周净值!A359)</f>
        <v/>
      </c>
      <c r="B334" s="1" t="str">
        <f>IF(A334="","",VLOOKUP($A334,子基金及业绩基准周净值!$A:$AV,11))</f>
        <v/>
      </c>
      <c r="C334" s="8" t="str">
        <f t="shared" si="20"/>
        <v/>
      </c>
      <c r="D334" s="9" t="str">
        <f>IF(A334="","",C334-子基金及业绩基准周净值!AI359)</f>
        <v/>
      </c>
      <c r="E334" s="12" t="str">
        <f>IF(A334="","",(MAX(B$3:B334)-B334)/MAX(B$3:B334))</f>
        <v/>
      </c>
      <c r="F334" s="12" t="str">
        <f>IF(A334="","",MAX(E$4:E334))</f>
        <v/>
      </c>
      <c r="G334" s="17"/>
      <c r="H334" s="14" t="str">
        <f t="shared" si="21"/>
        <v/>
      </c>
      <c r="I334" s="14" t="str">
        <f t="shared" si="22"/>
        <v/>
      </c>
      <c r="J334" s="15" t="str">
        <f t="shared" si="23"/>
        <v/>
      </c>
    </row>
    <row r="335" spans="1:10">
      <c r="A335" s="7" t="str">
        <f>IF(子基金及业绩基准周净值!A360="","",子基金及业绩基准周净值!A360)</f>
        <v/>
      </c>
      <c r="B335" s="1" t="str">
        <f>IF(A335="","",VLOOKUP($A335,子基金及业绩基准周净值!$A:$AV,11))</f>
        <v/>
      </c>
      <c r="C335" s="8" t="str">
        <f t="shared" si="20"/>
        <v/>
      </c>
      <c r="D335" s="9" t="str">
        <f>IF(A335="","",C335-子基金及业绩基准周净值!AI360)</f>
        <v/>
      </c>
      <c r="E335" s="12" t="str">
        <f>IF(A335="","",(MAX(B$3:B335)-B335)/MAX(B$3:B335))</f>
        <v/>
      </c>
      <c r="F335" s="12" t="str">
        <f>IF(A335="","",MAX(E$4:E335))</f>
        <v/>
      </c>
      <c r="G335" s="17"/>
      <c r="H335" s="14" t="str">
        <f t="shared" si="21"/>
        <v/>
      </c>
      <c r="I335" s="14" t="str">
        <f t="shared" si="22"/>
        <v/>
      </c>
      <c r="J335" s="15" t="str">
        <f t="shared" si="23"/>
        <v/>
      </c>
    </row>
    <row r="336" spans="1:10">
      <c r="A336" s="7" t="str">
        <f>IF(子基金及业绩基准周净值!A361="","",子基金及业绩基准周净值!A361)</f>
        <v/>
      </c>
      <c r="B336" s="1" t="str">
        <f>IF(A336="","",VLOOKUP($A336,子基金及业绩基准周净值!$A:$AV,11))</f>
        <v/>
      </c>
      <c r="C336" s="8" t="str">
        <f t="shared" si="20"/>
        <v/>
      </c>
      <c r="D336" s="9" t="str">
        <f>IF(A336="","",C336-子基金及业绩基准周净值!AI361)</f>
        <v/>
      </c>
      <c r="E336" s="12" t="str">
        <f>IF(A336="","",(MAX(B$3:B336)-B336)/MAX(B$3:B336))</f>
        <v/>
      </c>
      <c r="F336" s="12" t="str">
        <f>IF(A336="","",MAX(E$4:E336))</f>
        <v/>
      </c>
      <c r="G336" s="17"/>
      <c r="H336" s="14" t="str">
        <f t="shared" si="21"/>
        <v/>
      </c>
      <c r="I336" s="14" t="str">
        <f t="shared" si="22"/>
        <v/>
      </c>
      <c r="J336" s="15" t="str">
        <f t="shared" si="23"/>
        <v/>
      </c>
    </row>
    <row r="337" spans="1:10">
      <c r="A337" s="7" t="str">
        <f>IF(子基金及业绩基准周净值!A362="","",子基金及业绩基准周净值!A362)</f>
        <v/>
      </c>
      <c r="B337" s="1" t="str">
        <f>IF(A337="","",VLOOKUP($A337,子基金及业绩基准周净值!$A:$AV,11))</f>
        <v/>
      </c>
      <c r="C337" s="8" t="str">
        <f t="shared" si="20"/>
        <v/>
      </c>
      <c r="D337" s="9" t="str">
        <f>IF(A337="","",C337-子基金及业绩基准周净值!AI362)</f>
        <v/>
      </c>
      <c r="E337" s="12" t="str">
        <f>IF(A337="","",(MAX(B$3:B337)-B337)/MAX(B$3:B337))</f>
        <v/>
      </c>
      <c r="F337" s="12" t="str">
        <f>IF(A337="","",MAX(E$4:E337))</f>
        <v/>
      </c>
      <c r="G337" s="17"/>
      <c r="H337" s="14" t="str">
        <f t="shared" si="21"/>
        <v/>
      </c>
      <c r="I337" s="14" t="str">
        <f t="shared" si="22"/>
        <v/>
      </c>
      <c r="J337" s="15" t="str">
        <f t="shared" si="23"/>
        <v/>
      </c>
    </row>
    <row r="338" spans="1:10">
      <c r="A338" s="7" t="str">
        <f>IF(子基金及业绩基准周净值!A363="","",子基金及业绩基准周净值!A363)</f>
        <v/>
      </c>
      <c r="B338" s="1" t="str">
        <f>IF(A338="","",VLOOKUP($A338,子基金及业绩基准周净值!$A:$AV,11))</f>
        <v/>
      </c>
      <c r="C338" s="8" t="str">
        <f t="shared" si="20"/>
        <v/>
      </c>
      <c r="D338" s="9" t="str">
        <f>IF(A338="","",C338-子基金及业绩基准周净值!AI363)</f>
        <v/>
      </c>
      <c r="E338" s="12" t="str">
        <f>IF(A338="","",(MAX(B$3:B338)-B338)/MAX(B$3:B338))</f>
        <v/>
      </c>
      <c r="F338" s="12" t="str">
        <f>IF(A338="","",MAX(E$4:E338))</f>
        <v/>
      </c>
      <c r="G338" s="17"/>
      <c r="H338" s="14" t="str">
        <f t="shared" si="21"/>
        <v/>
      </c>
      <c r="I338" s="14" t="str">
        <f t="shared" si="22"/>
        <v/>
      </c>
      <c r="J338" s="15" t="str">
        <f t="shared" si="23"/>
        <v/>
      </c>
    </row>
    <row r="339" spans="1:10">
      <c r="A339" s="7" t="str">
        <f>IF(子基金及业绩基准周净值!A364="","",子基金及业绩基准周净值!A364)</f>
        <v/>
      </c>
      <c r="B339" s="1" t="str">
        <f>IF(A339="","",VLOOKUP($A339,子基金及业绩基准周净值!$A:$AV,11))</f>
        <v/>
      </c>
      <c r="C339" s="8" t="str">
        <f t="shared" si="20"/>
        <v/>
      </c>
      <c r="D339" s="9" t="str">
        <f>IF(A339="","",C339-子基金及业绩基准周净值!AI364)</f>
        <v/>
      </c>
      <c r="E339" s="12" t="str">
        <f>IF(A339="","",(MAX(B$3:B339)-B339)/MAX(B$3:B339))</f>
        <v/>
      </c>
      <c r="F339" s="12" t="str">
        <f>IF(A339="","",MAX(E$4:E339))</f>
        <v/>
      </c>
      <c r="G339" s="17"/>
      <c r="H339" s="14" t="str">
        <f t="shared" si="21"/>
        <v/>
      </c>
      <c r="I339" s="14" t="str">
        <f t="shared" si="22"/>
        <v/>
      </c>
      <c r="J339" s="15" t="str">
        <f t="shared" si="23"/>
        <v/>
      </c>
    </row>
    <row r="340" spans="1:10">
      <c r="A340" s="7" t="str">
        <f>IF(子基金及业绩基准周净值!A365="","",子基金及业绩基准周净值!A365)</f>
        <v/>
      </c>
      <c r="B340" s="1" t="str">
        <f>IF(A340="","",VLOOKUP($A340,子基金及业绩基准周净值!$A:$AV,11))</f>
        <v/>
      </c>
      <c r="C340" s="8" t="str">
        <f t="shared" si="20"/>
        <v/>
      </c>
      <c r="D340" s="9" t="str">
        <f>IF(A340="","",C340-子基金及业绩基准周净值!AI365)</f>
        <v/>
      </c>
      <c r="E340" s="12" t="str">
        <f>IF(A340="","",(MAX(B$3:B340)-B340)/MAX(B$3:B340))</f>
        <v/>
      </c>
      <c r="F340" s="12" t="str">
        <f>IF(A340="","",MAX(E$4:E340))</f>
        <v/>
      </c>
      <c r="G340" s="17"/>
      <c r="H340" s="14" t="str">
        <f t="shared" si="21"/>
        <v/>
      </c>
      <c r="I340" s="14" t="str">
        <f t="shared" si="22"/>
        <v/>
      </c>
      <c r="J340" s="15" t="str">
        <f t="shared" si="23"/>
        <v/>
      </c>
    </row>
    <row r="341" spans="1:10">
      <c r="A341" s="7" t="str">
        <f>IF(子基金及业绩基准周净值!A366="","",子基金及业绩基准周净值!A366)</f>
        <v/>
      </c>
      <c r="B341" s="1" t="str">
        <f>IF(A341="","",VLOOKUP($A341,子基金及业绩基准周净值!$A:$AV,11))</f>
        <v/>
      </c>
      <c r="C341" s="8" t="str">
        <f t="shared" si="20"/>
        <v/>
      </c>
      <c r="D341" s="9" t="str">
        <f>IF(A341="","",C341-子基金及业绩基准周净值!AI366)</f>
        <v/>
      </c>
      <c r="E341" s="12" t="str">
        <f>IF(A341="","",(MAX(B$3:B341)-B341)/MAX(B$3:B341))</f>
        <v/>
      </c>
      <c r="F341" s="12" t="str">
        <f>IF(A341="","",MAX(E$4:E341))</f>
        <v/>
      </c>
      <c r="G341" s="17"/>
      <c r="H341" s="14" t="str">
        <f t="shared" si="21"/>
        <v/>
      </c>
      <c r="I341" s="14" t="str">
        <f t="shared" si="22"/>
        <v/>
      </c>
      <c r="J341" s="15" t="str">
        <f t="shared" si="23"/>
        <v/>
      </c>
    </row>
    <row r="342" spans="1:10">
      <c r="A342" s="7" t="str">
        <f>IF(子基金及业绩基准周净值!A367="","",子基金及业绩基准周净值!A367)</f>
        <v/>
      </c>
      <c r="B342" s="1" t="str">
        <f>IF(A342="","",VLOOKUP($A342,子基金及业绩基准周净值!$A:$AV,11))</f>
        <v/>
      </c>
      <c r="C342" s="8" t="str">
        <f t="shared" si="20"/>
        <v/>
      </c>
      <c r="D342" s="9" t="str">
        <f>IF(A342="","",C342-子基金及业绩基准周净值!AI367)</f>
        <v/>
      </c>
      <c r="E342" s="12" t="str">
        <f>IF(A342="","",(MAX(B$3:B342)-B342)/MAX(B$3:B342))</f>
        <v/>
      </c>
      <c r="F342" s="12" t="str">
        <f>IF(A342="","",MAX(E$4:E342))</f>
        <v/>
      </c>
      <c r="G342" s="17"/>
      <c r="H342" s="14" t="str">
        <f t="shared" si="21"/>
        <v/>
      </c>
      <c r="I342" s="14" t="str">
        <f t="shared" si="22"/>
        <v/>
      </c>
      <c r="J342" s="15" t="str">
        <f t="shared" si="23"/>
        <v/>
      </c>
    </row>
    <row r="343" spans="1:10">
      <c r="A343" s="7" t="str">
        <f>IF(子基金及业绩基准周净值!A368="","",子基金及业绩基准周净值!A368)</f>
        <v/>
      </c>
      <c r="B343" s="1" t="str">
        <f>IF(A343="","",VLOOKUP($A343,子基金及业绩基准周净值!$A:$AV,11))</f>
        <v/>
      </c>
      <c r="C343" s="8" t="str">
        <f t="shared" si="20"/>
        <v/>
      </c>
      <c r="D343" s="9" t="str">
        <f>IF(A343="","",C343-子基金及业绩基准周净值!AI368)</f>
        <v/>
      </c>
      <c r="E343" s="12" t="str">
        <f>IF(A343="","",(MAX(B$3:B343)-B343)/MAX(B$3:B343))</f>
        <v/>
      </c>
      <c r="F343" s="12" t="str">
        <f>IF(A343="","",MAX(E$4:E343))</f>
        <v/>
      </c>
      <c r="G343" s="17"/>
      <c r="H343" s="14" t="str">
        <f t="shared" si="21"/>
        <v/>
      </c>
      <c r="I343" s="14" t="str">
        <f t="shared" si="22"/>
        <v/>
      </c>
      <c r="J343" s="15" t="str">
        <f t="shared" si="23"/>
        <v/>
      </c>
    </row>
    <row r="344" spans="1:10">
      <c r="A344" s="7" t="str">
        <f>IF(子基金及业绩基准周净值!A369="","",子基金及业绩基准周净值!A369)</f>
        <v/>
      </c>
      <c r="B344" s="1" t="str">
        <f>IF(A344="","",VLOOKUP($A344,子基金及业绩基准周净值!$A:$AV,11))</f>
        <v/>
      </c>
      <c r="C344" s="8" t="str">
        <f t="shared" si="20"/>
        <v/>
      </c>
      <c r="D344" s="9" t="str">
        <f>IF(A344="","",C344-子基金及业绩基准周净值!AI369)</f>
        <v/>
      </c>
      <c r="E344" s="12" t="str">
        <f>IF(A344="","",(MAX(B$3:B344)-B344)/MAX(B$3:B344))</f>
        <v/>
      </c>
      <c r="F344" s="12" t="str">
        <f>IF(A344="","",MAX(E$4:E344))</f>
        <v/>
      </c>
      <c r="G344" s="17"/>
      <c r="H344" s="14" t="str">
        <f t="shared" si="21"/>
        <v/>
      </c>
      <c r="I344" s="14" t="str">
        <f t="shared" si="22"/>
        <v/>
      </c>
      <c r="J344" s="15" t="str">
        <f t="shared" si="23"/>
        <v/>
      </c>
    </row>
    <row r="345" spans="1:10">
      <c r="A345" s="7" t="str">
        <f>IF(子基金及业绩基准周净值!A370="","",子基金及业绩基准周净值!A370)</f>
        <v/>
      </c>
      <c r="B345" s="1" t="str">
        <f>IF(A345="","",VLOOKUP($A345,子基金及业绩基准周净值!$A:$AV,11))</f>
        <v/>
      </c>
      <c r="C345" s="8" t="str">
        <f t="shared" si="20"/>
        <v/>
      </c>
      <c r="D345" s="9" t="str">
        <f>IF(A345="","",C345-子基金及业绩基准周净值!AI370)</f>
        <v/>
      </c>
      <c r="E345" s="12" t="str">
        <f>IF(A345="","",(MAX(B$3:B345)-B345)/MAX(B$3:B345))</f>
        <v/>
      </c>
      <c r="F345" s="12" t="str">
        <f>IF(A345="","",MAX(E$4:E345))</f>
        <v/>
      </c>
      <c r="G345" s="17"/>
      <c r="H345" s="14" t="str">
        <f t="shared" si="21"/>
        <v/>
      </c>
      <c r="I345" s="14" t="str">
        <f t="shared" si="22"/>
        <v/>
      </c>
      <c r="J345" s="15" t="str">
        <f t="shared" si="23"/>
        <v/>
      </c>
    </row>
    <row r="346" spans="1:10">
      <c r="A346" s="7" t="str">
        <f>IF(子基金及业绩基准周净值!A371="","",子基金及业绩基准周净值!A371)</f>
        <v/>
      </c>
      <c r="B346" s="1" t="str">
        <f>IF(A346="","",VLOOKUP($A346,子基金及业绩基准周净值!$A:$AV,11))</f>
        <v/>
      </c>
      <c r="C346" s="8" t="str">
        <f t="shared" si="20"/>
        <v/>
      </c>
      <c r="D346" s="9" t="str">
        <f>IF(A346="","",C346-子基金及业绩基准周净值!AI371)</f>
        <v/>
      </c>
      <c r="E346" s="12" t="str">
        <f>IF(A346="","",(MAX(B$3:B346)-B346)/MAX(B$3:B346))</f>
        <v/>
      </c>
      <c r="F346" s="12" t="str">
        <f>IF(A346="","",MAX(E$4:E346))</f>
        <v/>
      </c>
      <c r="G346" s="17"/>
      <c r="H346" s="14" t="str">
        <f t="shared" si="21"/>
        <v/>
      </c>
      <c r="I346" s="14" t="str">
        <f t="shared" si="22"/>
        <v/>
      </c>
      <c r="J346" s="15" t="str">
        <f t="shared" si="23"/>
        <v/>
      </c>
    </row>
    <row r="347" spans="1:10">
      <c r="A347" s="7" t="str">
        <f>IF(子基金及业绩基准周净值!A372="","",子基金及业绩基准周净值!A372)</f>
        <v/>
      </c>
      <c r="B347" s="1" t="str">
        <f>IF(A347="","",VLOOKUP($A347,子基金及业绩基准周净值!$A:$AV,11))</f>
        <v/>
      </c>
      <c r="C347" s="8" t="str">
        <f t="shared" si="20"/>
        <v/>
      </c>
      <c r="D347" s="9" t="str">
        <f>IF(A347="","",C347-子基金及业绩基准周净值!AI372)</f>
        <v/>
      </c>
      <c r="E347" s="12" t="str">
        <f>IF(A347="","",(MAX(B$3:B347)-B347)/MAX(B$3:B347))</f>
        <v/>
      </c>
      <c r="F347" s="12" t="str">
        <f>IF(A347="","",MAX(E$4:E347))</f>
        <v/>
      </c>
      <c r="G347" s="17"/>
      <c r="H347" s="14" t="str">
        <f t="shared" si="21"/>
        <v/>
      </c>
      <c r="I347" s="14" t="str">
        <f t="shared" si="22"/>
        <v/>
      </c>
      <c r="J347" s="15" t="str">
        <f t="shared" si="23"/>
        <v/>
      </c>
    </row>
    <row r="348" spans="1:10">
      <c r="A348" s="7" t="str">
        <f>IF(子基金及业绩基准周净值!A373="","",子基金及业绩基准周净值!A373)</f>
        <v/>
      </c>
      <c r="B348" s="1" t="str">
        <f>IF(A348="","",VLOOKUP($A348,子基金及业绩基准周净值!$A:$AV,11))</f>
        <v/>
      </c>
      <c r="C348" s="8" t="str">
        <f t="shared" si="20"/>
        <v/>
      </c>
      <c r="D348" s="9" t="str">
        <f>IF(A348="","",C348-子基金及业绩基准周净值!AI373)</f>
        <v/>
      </c>
      <c r="E348" s="12" t="str">
        <f>IF(A348="","",(MAX(B$3:B348)-B348)/MAX(B$3:B348))</f>
        <v/>
      </c>
      <c r="F348" s="12" t="str">
        <f>IF(A348="","",MAX(E$4:E348))</f>
        <v/>
      </c>
      <c r="G348" s="17"/>
      <c r="H348" s="14" t="str">
        <f t="shared" si="21"/>
        <v/>
      </c>
      <c r="I348" s="14" t="str">
        <f t="shared" si="22"/>
        <v/>
      </c>
      <c r="J348" s="15" t="str">
        <f t="shared" si="23"/>
        <v/>
      </c>
    </row>
    <row r="349" spans="1:10">
      <c r="A349" s="7" t="str">
        <f>IF(子基金及业绩基准周净值!A374="","",子基金及业绩基准周净值!A374)</f>
        <v/>
      </c>
      <c r="B349" s="1" t="str">
        <f>IF(A349="","",VLOOKUP($A349,子基金及业绩基准周净值!$A:$AV,11))</f>
        <v/>
      </c>
      <c r="C349" s="8" t="str">
        <f t="shared" si="20"/>
        <v/>
      </c>
      <c r="D349" s="9" t="str">
        <f>IF(A349="","",C349-子基金及业绩基准周净值!AI374)</f>
        <v/>
      </c>
      <c r="E349" s="12" t="str">
        <f>IF(A349="","",(MAX(B$3:B349)-B349)/MAX(B$3:B349))</f>
        <v/>
      </c>
      <c r="F349" s="12" t="str">
        <f>IF(A349="","",MAX(E$4:E349))</f>
        <v/>
      </c>
      <c r="G349" s="17"/>
      <c r="H349" s="14" t="str">
        <f t="shared" si="21"/>
        <v/>
      </c>
      <c r="I349" s="14" t="str">
        <f t="shared" si="22"/>
        <v/>
      </c>
      <c r="J349" s="15" t="str">
        <f t="shared" si="23"/>
        <v/>
      </c>
    </row>
    <row r="350" spans="1:10">
      <c r="A350" s="7" t="str">
        <f>IF(子基金及业绩基准周净值!A375="","",子基金及业绩基准周净值!A375)</f>
        <v/>
      </c>
      <c r="B350" s="1" t="str">
        <f>IF(A350="","",VLOOKUP($A350,子基金及业绩基准周净值!$A:$AV,11))</f>
        <v/>
      </c>
      <c r="C350" s="8" t="str">
        <f t="shared" si="20"/>
        <v/>
      </c>
      <c r="D350" s="9" t="str">
        <f>IF(A350="","",C350-子基金及业绩基准周净值!AI375)</f>
        <v/>
      </c>
      <c r="E350" s="12" t="str">
        <f>IF(A350="","",(MAX(B$3:B350)-B350)/MAX(B$3:B350))</f>
        <v/>
      </c>
      <c r="F350" s="12" t="str">
        <f>IF(A350="","",MAX(E$4:E350))</f>
        <v/>
      </c>
      <c r="G350" s="17"/>
      <c r="H350" s="14" t="str">
        <f t="shared" si="21"/>
        <v/>
      </c>
      <c r="I350" s="14" t="str">
        <f t="shared" si="22"/>
        <v/>
      </c>
      <c r="J350" s="15" t="str">
        <f t="shared" si="23"/>
        <v/>
      </c>
    </row>
    <row r="351" spans="1:10">
      <c r="A351" s="7" t="str">
        <f>IF(子基金及业绩基准周净值!A376="","",子基金及业绩基准周净值!A376)</f>
        <v/>
      </c>
      <c r="B351" s="1" t="str">
        <f>IF(A351="","",VLOOKUP($A351,子基金及业绩基准周净值!$A:$AV,11))</f>
        <v/>
      </c>
      <c r="C351" s="8" t="str">
        <f t="shared" si="20"/>
        <v/>
      </c>
      <c r="D351" s="9" t="str">
        <f>IF(A351="","",C351-子基金及业绩基准周净值!AI376)</f>
        <v/>
      </c>
      <c r="E351" s="12" t="str">
        <f>IF(A351="","",(MAX(B$3:B351)-B351)/MAX(B$3:B351))</f>
        <v/>
      </c>
      <c r="F351" s="12" t="str">
        <f>IF(A351="","",MAX(E$4:E351))</f>
        <v/>
      </c>
      <c r="G351" s="17"/>
      <c r="H351" s="14" t="str">
        <f t="shared" si="21"/>
        <v/>
      </c>
      <c r="I351" s="14" t="str">
        <f t="shared" si="22"/>
        <v/>
      </c>
      <c r="J351" s="15" t="str">
        <f t="shared" si="23"/>
        <v/>
      </c>
    </row>
    <row r="352" spans="1:10">
      <c r="A352" s="7" t="str">
        <f>IF(子基金及业绩基准周净值!A377="","",子基金及业绩基准周净值!A377)</f>
        <v/>
      </c>
      <c r="B352" s="1" t="str">
        <f>IF(A352="","",VLOOKUP($A352,子基金及业绩基准周净值!$A:$AV,11))</f>
        <v/>
      </c>
      <c r="C352" s="8" t="str">
        <f t="shared" si="20"/>
        <v/>
      </c>
      <c r="D352" s="9" t="str">
        <f>IF(A352="","",C352-子基金及业绩基准周净值!AI377)</f>
        <v/>
      </c>
      <c r="E352" s="12" t="str">
        <f>IF(A352="","",(MAX(B$3:B352)-B352)/MAX(B$3:B352))</f>
        <v/>
      </c>
      <c r="F352" s="12" t="str">
        <f>IF(A352="","",MAX(E$4:E352))</f>
        <v/>
      </c>
      <c r="G352" s="17"/>
      <c r="H352" s="14" t="str">
        <f t="shared" si="21"/>
        <v/>
      </c>
      <c r="I352" s="14" t="str">
        <f t="shared" si="22"/>
        <v/>
      </c>
      <c r="J352" s="15" t="str">
        <f t="shared" si="23"/>
        <v/>
      </c>
    </row>
    <row r="353" spans="1:10">
      <c r="A353" s="7" t="str">
        <f>IF(子基金及业绩基准周净值!A378="","",子基金及业绩基准周净值!A378)</f>
        <v/>
      </c>
      <c r="B353" s="1" t="str">
        <f>IF(A353="","",VLOOKUP($A353,子基金及业绩基准周净值!$A:$AV,11))</f>
        <v/>
      </c>
      <c r="C353" s="8" t="str">
        <f t="shared" si="20"/>
        <v/>
      </c>
      <c r="D353" s="9" t="str">
        <f>IF(A353="","",C353-子基金及业绩基准周净值!AI378)</f>
        <v/>
      </c>
      <c r="E353" s="12" t="str">
        <f>IF(A353="","",(MAX(B$3:B353)-B353)/MAX(B$3:B353))</f>
        <v/>
      </c>
      <c r="F353" s="12" t="str">
        <f>IF(A353="","",MAX(E$4:E353))</f>
        <v/>
      </c>
      <c r="G353" s="17"/>
      <c r="H353" s="14" t="str">
        <f t="shared" si="21"/>
        <v/>
      </c>
      <c r="I353" s="14" t="str">
        <f t="shared" si="22"/>
        <v/>
      </c>
      <c r="J353" s="15" t="str">
        <f t="shared" si="23"/>
        <v/>
      </c>
    </row>
    <row r="354" spans="1:10">
      <c r="A354" s="7" t="str">
        <f>IF(子基金及业绩基准周净值!A379="","",子基金及业绩基准周净值!A379)</f>
        <v/>
      </c>
      <c r="B354" s="1" t="str">
        <f>IF(A354="","",VLOOKUP($A354,子基金及业绩基准周净值!$A:$AV,11))</f>
        <v/>
      </c>
      <c r="C354" s="8" t="str">
        <f t="shared" si="20"/>
        <v/>
      </c>
      <c r="D354" s="9" t="str">
        <f>IF(A354="","",C354-子基金及业绩基准周净值!AI379)</f>
        <v/>
      </c>
      <c r="E354" s="12" t="str">
        <f>IF(A354="","",(MAX(B$3:B354)-B354)/MAX(B$3:B354))</f>
        <v/>
      </c>
      <c r="F354" s="12" t="str">
        <f>IF(A354="","",MAX(E$4:E354))</f>
        <v/>
      </c>
      <c r="G354" s="17"/>
      <c r="H354" s="14" t="str">
        <f t="shared" si="21"/>
        <v/>
      </c>
      <c r="I354" s="14" t="str">
        <f t="shared" si="22"/>
        <v/>
      </c>
      <c r="J354" s="15" t="str">
        <f t="shared" si="23"/>
        <v/>
      </c>
    </row>
    <row r="355" spans="1:10">
      <c r="A355" s="7" t="str">
        <f>IF(子基金及业绩基准周净值!A380="","",子基金及业绩基准周净值!A380)</f>
        <v/>
      </c>
      <c r="B355" s="1" t="str">
        <f>IF(A355="","",VLOOKUP($A355,子基金及业绩基准周净值!$A:$AV,11))</f>
        <v/>
      </c>
      <c r="C355" s="8" t="str">
        <f t="shared" si="20"/>
        <v/>
      </c>
      <c r="D355" s="9" t="str">
        <f>IF(A355="","",C355-子基金及业绩基准周净值!AI380)</f>
        <v/>
      </c>
      <c r="E355" s="12" t="str">
        <f>IF(A355="","",(MAX(B$3:B355)-B355)/MAX(B$3:B355))</f>
        <v/>
      </c>
      <c r="F355" s="12" t="str">
        <f>IF(A355="","",MAX(E$4:E355))</f>
        <v/>
      </c>
      <c r="G355" s="17"/>
      <c r="H355" s="14" t="str">
        <f t="shared" si="21"/>
        <v/>
      </c>
      <c r="I355" s="14" t="str">
        <f t="shared" si="22"/>
        <v/>
      </c>
      <c r="J355" s="15" t="str">
        <f t="shared" si="23"/>
        <v/>
      </c>
    </row>
    <row r="356" spans="1:10">
      <c r="A356" s="7" t="str">
        <f>IF(子基金及业绩基准周净值!A381="","",子基金及业绩基准周净值!A381)</f>
        <v/>
      </c>
      <c r="B356" s="1" t="str">
        <f>IF(A356="","",VLOOKUP($A356,子基金及业绩基准周净值!$A:$AV,11))</f>
        <v/>
      </c>
      <c r="C356" s="8" t="str">
        <f t="shared" si="20"/>
        <v/>
      </c>
      <c r="D356" s="9" t="str">
        <f>IF(A356="","",C356-子基金及业绩基准周净值!AI381)</f>
        <v/>
      </c>
      <c r="E356" s="12" t="str">
        <f>IF(A356="","",(MAX(B$3:B356)-B356)/MAX(B$3:B356))</f>
        <v/>
      </c>
      <c r="F356" s="12" t="str">
        <f>IF(A356="","",MAX(E$4:E356))</f>
        <v/>
      </c>
      <c r="G356" s="17"/>
      <c r="H356" s="14" t="str">
        <f t="shared" si="21"/>
        <v/>
      </c>
      <c r="I356" s="14" t="str">
        <f t="shared" si="22"/>
        <v/>
      </c>
      <c r="J356" s="15" t="str">
        <f t="shared" si="23"/>
        <v/>
      </c>
    </row>
    <row r="357" spans="1:10">
      <c r="A357" s="7" t="str">
        <f>IF(子基金及业绩基准周净值!A382="","",子基金及业绩基准周净值!A382)</f>
        <v/>
      </c>
      <c r="B357" s="1" t="str">
        <f>IF(A357="","",VLOOKUP($A357,子基金及业绩基准周净值!$A:$AV,11))</f>
        <v/>
      </c>
      <c r="C357" s="8" t="str">
        <f t="shared" si="20"/>
        <v/>
      </c>
      <c r="D357" s="9" t="str">
        <f>IF(A357="","",C357-子基金及业绩基准周净值!AI382)</f>
        <v/>
      </c>
      <c r="E357" s="12" t="str">
        <f>IF(A357="","",(MAX(B$3:B357)-B357)/MAX(B$3:B357))</f>
        <v/>
      </c>
      <c r="F357" s="12" t="str">
        <f>IF(A357="","",MAX(E$4:E357))</f>
        <v/>
      </c>
      <c r="G357" s="17"/>
      <c r="H357" s="14" t="str">
        <f t="shared" si="21"/>
        <v/>
      </c>
      <c r="I357" s="14" t="str">
        <f t="shared" si="22"/>
        <v/>
      </c>
      <c r="J357" s="15" t="str">
        <f t="shared" si="23"/>
        <v/>
      </c>
    </row>
    <row r="358" spans="1:10">
      <c r="A358" s="7" t="str">
        <f>IF(子基金及业绩基准周净值!A383="","",子基金及业绩基准周净值!A383)</f>
        <v/>
      </c>
      <c r="B358" s="1" t="str">
        <f>IF(A358="","",VLOOKUP($A358,子基金及业绩基准周净值!$A:$AV,11))</f>
        <v/>
      </c>
      <c r="C358" s="8" t="str">
        <f t="shared" si="20"/>
        <v/>
      </c>
      <c r="D358" s="9" t="str">
        <f>IF(A358="","",C358-子基金及业绩基准周净值!AI383)</f>
        <v/>
      </c>
      <c r="E358" s="12" t="str">
        <f>IF(A358="","",(MAX(B$3:B358)-B358)/MAX(B$3:B358))</f>
        <v/>
      </c>
      <c r="F358" s="12" t="str">
        <f>IF(A358="","",MAX(E$4:E358))</f>
        <v/>
      </c>
      <c r="G358" s="17"/>
      <c r="H358" s="14" t="str">
        <f t="shared" si="21"/>
        <v/>
      </c>
      <c r="I358" s="14" t="str">
        <f t="shared" si="22"/>
        <v/>
      </c>
      <c r="J358" s="15" t="str">
        <f t="shared" si="23"/>
        <v/>
      </c>
    </row>
    <row r="359" spans="1:10">
      <c r="A359" s="7" t="str">
        <f>IF(子基金及业绩基准周净值!A384="","",子基金及业绩基准周净值!A384)</f>
        <v/>
      </c>
      <c r="B359" s="1" t="str">
        <f>IF(A359="","",VLOOKUP($A359,子基金及业绩基准周净值!$A:$AV,11))</f>
        <v/>
      </c>
      <c r="C359" s="8" t="str">
        <f t="shared" si="20"/>
        <v/>
      </c>
      <c r="D359" s="9" t="str">
        <f>IF(A359="","",C359-子基金及业绩基准周净值!AI384)</f>
        <v/>
      </c>
      <c r="E359" s="12" t="str">
        <f>IF(A359="","",(MAX(B$3:B359)-B359)/MAX(B$3:B359))</f>
        <v/>
      </c>
      <c r="F359" s="12" t="str">
        <f>IF(A359="","",MAX(E$4:E359))</f>
        <v/>
      </c>
      <c r="G359" s="17"/>
      <c r="H359" s="14" t="str">
        <f t="shared" si="21"/>
        <v/>
      </c>
      <c r="I359" s="14" t="str">
        <f t="shared" si="22"/>
        <v/>
      </c>
      <c r="J359" s="15" t="str">
        <f t="shared" si="23"/>
        <v/>
      </c>
    </row>
    <row r="360" spans="1:10">
      <c r="A360" s="7" t="str">
        <f>IF(子基金及业绩基准周净值!A385="","",子基金及业绩基准周净值!A385)</f>
        <v/>
      </c>
      <c r="B360" s="1" t="str">
        <f>IF(A360="","",VLOOKUP($A360,子基金及业绩基准周净值!$A:$AV,11))</f>
        <v/>
      </c>
      <c r="C360" s="8" t="str">
        <f t="shared" si="20"/>
        <v/>
      </c>
      <c r="D360" s="9" t="str">
        <f>IF(A360="","",C360-子基金及业绩基准周净值!AI385)</f>
        <v/>
      </c>
      <c r="E360" s="12" t="str">
        <f>IF(A360="","",(MAX(B$3:B360)-B360)/MAX(B$3:B360))</f>
        <v/>
      </c>
      <c r="F360" s="12" t="str">
        <f>IF(A360="","",MAX(E$4:E360))</f>
        <v/>
      </c>
      <c r="G360" s="17"/>
      <c r="H360" s="14" t="str">
        <f t="shared" si="21"/>
        <v/>
      </c>
      <c r="I360" s="14" t="str">
        <f t="shared" si="22"/>
        <v/>
      </c>
      <c r="J360" s="15" t="str">
        <f t="shared" si="23"/>
        <v/>
      </c>
    </row>
    <row r="361" spans="1:10">
      <c r="A361" s="7" t="str">
        <f>IF(子基金及业绩基准周净值!A386="","",子基金及业绩基准周净值!A386)</f>
        <v/>
      </c>
      <c r="B361" s="1" t="str">
        <f>IF(A361="","",VLOOKUP($A361,子基金及业绩基准周净值!$A:$AV,11))</f>
        <v/>
      </c>
      <c r="C361" s="8" t="str">
        <f t="shared" si="20"/>
        <v/>
      </c>
      <c r="D361" s="9" t="str">
        <f>IF(A361="","",C361-子基金及业绩基准周净值!AI386)</f>
        <v/>
      </c>
      <c r="E361" s="12" t="str">
        <f>IF(A361="","",(MAX(B$3:B361)-B361)/MAX(B$3:B361))</f>
        <v/>
      </c>
      <c r="F361" s="12" t="str">
        <f>IF(A361="","",MAX(E$4:E361))</f>
        <v/>
      </c>
      <c r="G361" s="17"/>
      <c r="H361" s="14" t="str">
        <f t="shared" si="21"/>
        <v/>
      </c>
      <c r="I361" s="14" t="str">
        <f t="shared" si="22"/>
        <v/>
      </c>
      <c r="J361" s="15" t="str">
        <f t="shared" si="23"/>
        <v/>
      </c>
    </row>
    <row r="362" spans="1:10">
      <c r="A362" s="7" t="str">
        <f>IF(子基金及业绩基准周净值!A387="","",子基金及业绩基准周净值!A387)</f>
        <v/>
      </c>
      <c r="B362" s="1" t="str">
        <f>IF(A362="","",VLOOKUP($A362,子基金及业绩基准周净值!$A:$AV,11))</f>
        <v/>
      </c>
      <c r="C362" s="8" t="str">
        <f t="shared" si="20"/>
        <v/>
      </c>
      <c r="D362" s="9" t="str">
        <f>IF(A362="","",C362-子基金及业绩基准周净值!AI387)</f>
        <v/>
      </c>
      <c r="E362" s="12" t="str">
        <f>IF(A362="","",(MAX(B$3:B362)-B362)/MAX(B$3:B362))</f>
        <v/>
      </c>
      <c r="F362" s="12" t="str">
        <f>IF(A362="","",MAX(E$4:E362))</f>
        <v/>
      </c>
      <c r="G362" s="17"/>
      <c r="H362" s="14" t="str">
        <f t="shared" si="21"/>
        <v/>
      </c>
      <c r="I362" s="14" t="str">
        <f t="shared" si="22"/>
        <v/>
      </c>
      <c r="J362" s="15" t="str">
        <f t="shared" si="23"/>
        <v/>
      </c>
    </row>
    <row r="363" spans="1:10">
      <c r="A363" s="7" t="str">
        <f>IF(子基金及业绩基准周净值!A388="","",子基金及业绩基准周净值!A388)</f>
        <v/>
      </c>
      <c r="B363" s="1" t="str">
        <f>IF(A363="","",VLOOKUP($A363,子基金及业绩基准周净值!$A:$AV,11))</f>
        <v/>
      </c>
      <c r="C363" s="8" t="str">
        <f t="shared" si="20"/>
        <v/>
      </c>
      <c r="D363" s="9" t="str">
        <f>IF(A363="","",C363-子基金及业绩基准周净值!AI388)</f>
        <v/>
      </c>
      <c r="E363" s="12" t="str">
        <f>IF(A363="","",(MAX(B$3:B363)-B363)/MAX(B$3:B363))</f>
        <v/>
      </c>
      <c r="F363" s="12" t="str">
        <f>IF(A363="","",MAX(E$4:E363))</f>
        <v/>
      </c>
      <c r="G363" s="17"/>
      <c r="H363" s="14" t="str">
        <f t="shared" si="21"/>
        <v/>
      </c>
      <c r="I363" s="14" t="str">
        <f t="shared" si="22"/>
        <v/>
      </c>
      <c r="J363" s="15" t="str">
        <f t="shared" si="23"/>
        <v/>
      </c>
    </row>
    <row r="364" spans="1:10">
      <c r="A364" s="7" t="str">
        <f>IF(子基金及业绩基准周净值!A389="","",子基金及业绩基准周净值!A389)</f>
        <v/>
      </c>
      <c r="B364" s="1" t="str">
        <f>IF(A364="","",VLOOKUP($A364,子基金及业绩基准周净值!$A:$AV,11))</f>
        <v/>
      </c>
      <c r="C364" s="8" t="str">
        <f t="shared" si="20"/>
        <v/>
      </c>
      <c r="D364" s="9" t="str">
        <f>IF(A364="","",C364-子基金及业绩基准周净值!AI389)</f>
        <v/>
      </c>
      <c r="E364" s="12" t="str">
        <f>IF(A364="","",(MAX(B$3:B364)-B364)/MAX(B$3:B364))</f>
        <v/>
      </c>
      <c r="F364" s="12" t="str">
        <f>IF(A364="","",MAX(E$4:E364))</f>
        <v/>
      </c>
      <c r="G364" s="17"/>
      <c r="H364" s="14" t="str">
        <f t="shared" si="21"/>
        <v/>
      </c>
      <c r="I364" s="14" t="str">
        <f t="shared" si="22"/>
        <v/>
      </c>
      <c r="J364" s="15" t="str">
        <f t="shared" si="23"/>
        <v/>
      </c>
    </row>
    <row r="365" spans="1:10">
      <c r="A365" s="7" t="str">
        <f>IF(子基金及业绩基准周净值!A390="","",子基金及业绩基准周净值!A390)</f>
        <v/>
      </c>
      <c r="B365" s="1" t="str">
        <f>IF(A365="","",VLOOKUP($A365,子基金及业绩基准周净值!$A:$AV,11))</f>
        <v/>
      </c>
      <c r="C365" s="8" t="str">
        <f t="shared" si="20"/>
        <v/>
      </c>
      <c r="D365" s="9" t="str">
        <f>IF(A365="","",C365-子基金及业绩基准周净值!AI390)</f>
        <v/>
      </c>
      <c r="E365" s="12" t="str">
        <f>IF(A365="","",(MAX(B$3:B365)-B365)/MAX(B$3:B365))</f>
        <v/>
      </c>
      <c r="F365" s="12" t="str">
        <f>IF(A365="","",MAX(E$4:E365))</f>
        <v/>
      </c>
      <c r="G365" s="17"/>
      <c r="H365" s="14" t="str">
        <f t="shared" si="21"/>
        <v/>
      </c>
      <c r="I365" s="14" t="str">
        <f t="shared" si="22"/>
        <v/>
      </c>
      <c r="J365" s="15" t="str">
        <f t="shared" si="23"/>
        <v/>
      </c>
    </row>
    <row r="366" spans="1:10">
      <c r="A366" s="7" t="str">
        <f>IF(子基金及业绩基准周净值!A391="","",子基金及业绩基准周净值!A391)</f>
        <v/>
      </c>
      <c r="B366" s="1" t="str">
        <f>IF(A366="","",VLOOKUP($A366,子基金及业绩基准周净值!$A:$AV,11))</f>
        <v/>
      </c>
      <c r="C366" s="8" t="str">
        <f t="shared" si="20"/>
        <v/>
      </c>
      <c r="D366" s="9" t="str">
        <f>IF(A366="","",C366-子基金及业绩基准周净值!AI391)</f>
        <v/>
      </c>
      <c r="E366" s="12" t="str">
        <f>IF(A366="","",(MAX(B$3:B366)-B366)/MAX(B$3:B366))</f>
        <v/>
      </c>
      <c r="F366" s="12" t="str">
        <f>IF(A366="","",MAX(E$4:E366))</f>
        <v/>
      </c>
      <c r="G366" s="17"/>
      <c r="H366" s="14" t="str">
        <f t="shared" si="21"/>
        <v/>
      </c>
      <c r="I366" s="14" t="str">
        <f t="shared" si="22"/>
        <v/>
      </c>
      <c r="J366" s="15" t="str">
        <f t="shared" si="23"/>
        <v/>
      </c>
    </row>
    <row r="367" spans="1:10">
      <c r="A367" s="7" t="str">
        <f>IF(子基金及业绩基准周净值!A392="","",子基金及业绩基准周净值!A392)</f>
        <v/>
      </c>
      <c r="B367" s="1" t="str">
        <f>IF(A367="","",VLOOKUP($A367,子基金及业绩基准周净值!$A:$AV,11))</f>
        <v/>
      </c>
      <c r="C367" s="8" t="str">
        <f t="shared" si="20"/>
        <v/>
      </c>
      <c r="D367" s="9" t="str">
        <f>IF(A367="","",C367-子基金及业绩基准周净值!AI392)</f>
        <v/>
      </c>
      <c r="E367" s="12" t="str">
        <f>IF(A367="","",(MAX(B$3:B367)-B367)/MAX(B$3:B367))</f>
        <v/>
      </c>
      <c r="F367" s="12" t="str">
        <f>IF(A367="","",MAX(E$4:E367))</f>
        <v/>
      </c>
      <c r="G367" s="17"/>
      <c r="H367" s="14" t="str">
        <f t="shared" si="21"/>
        <v/>
      </c>
      <c r="I367" s="14" t="str">
        <f t="shared" si="22"/>
        <v/>
      </c>
      <c r="J367" s="15" t="str">
        <f t="shared" si="23"/>
        <v/>
      </c>
    </row>
    <row r="368" spans="1:10">
      <c r="A368" s="7" t="str">
        <f>IF(子基金及业绩基准周净值!A393="","",子基金及业绩基准周净值!A393)</f>
        <v/>
      </c>
      <c r="B368" s="1" t="str">
        <f>IF(A368="","",VLOOKUP($A368,子基金及业绩基准周净值!$A:$AV,11))</f>
        <v/>
      </c>
      <c r="C368" s="8" t="str">
        <f t="shared" si="20"/>
        <v/>
      </c>
      <c r="D368" s="9" t="str">
        <f>IF(A368="","",C368-子基金及业绩基准周净值!AI393)</f>
        <v/>
      </c>
      <c r="E368" s="12" t="str">
        <f>IF(A368="","",(MAX(B$3:B368)-B368)/MAX(B$3:B368))</f>
        <v/>
      </c>
      <c r="F368" s="12" t="str">
        <f>IF(A368="","",MAX(E$4:E368))</f>
        <v/>
      </c>
      <c r="G368" s="17"/>
      <c r="H368" s="14" t="str">
        <f t="shared" si="21"/>
        <v/>
      </c>
      <c r="I368" s="14" t="str">
        <f t="shared" si="22"/>
        <v/>
      </c>
      <c r="J368" s="15" t="str">
        <f t="shared" si="23"/>
        <v/>
      </c>
    </row>
    <row r="369" spans="1:10">
      <c r="A369" s="7" t="str">
        <f>IF(子基金及业绩基准周净值!A394="","",子基金及业绩基准周净值!A394)</f>
        <v/>
      </c>
      <c r="B369" s="1" t="str">
        <f>IF(A369="","",VLOOKUP($A369,子基金及业绩基准周净值!$A:$AV,11))</f>
        <v/>
      </c>
      <c r="C369" s="8" t="str">
        <f t="shared" si="20"/>
        <v/>
      </c>
      <c r="D369" s="9" t="str">
        <f>IF(A369="","",C369-子基金及业绩基准周净值!AI394)</f>
        <v/>
      </c>
      <c r="E369" s="12" t="str">
        <f>IF(A369="","",(MAX(B$3:B369)-B369)/MAX(B$3:B369))</f>
        <v/>
      </c>
      <c r="F369" s="12" t="str">
        <f>IF(A369="","",MAX(E$4:E369))</f>
        <v/>
      </c>
      <c r="G369" s="17"/>
      <c r="H369" s="14" t="str">
        <f t="shared" si="21"/>
        <v/>
      </c>
      <c r="I369" s="14" t="str">
        <f t="shared" si="22"/>
        <v/>
      </c>
      <c r="J369" s="15" t="str">
        <f t="shared" si="23"/>
        <v/>
      </c>
    </row>
    <row r="370" spans="1:10">
      <c r="A370" s="7" t="str">
        <f>IF(子基金及业绩基准周净值!A395="","",子基金及业绩基准周净值!A395)</f>
        <v/>
      </c>
      <c r="B370" s="1" t="str">
        <f>IF(A370="","",VLOOKUP($A370,子基金及业绩基准周净值!$A:$AV,11))</f>
        <v/>
      </c>
      <c r="C370" s="8" t="str">
        <f t="shared" si="20"/>
        <v/>
      </c>
      <c r="D370" s="9" t="str">
        <f>IF(A370="","",C370-子基金及业绩基准周净值!AI395)</f>
        <v/>
      </c>
      <c r="E370" s="12" t="str">
        <f>IF(A370="","",(MAX(B$3:B370)-B370)/MAX(B$3:B370))</f>
        <v/>
      </c>
      <c r="F370" s="12" t="str">
        <f>IF(A370="","",MAX(E$4:E370))</f>
        <v/>
      </c>
      <c r="G370" s="17"/>
      <c r="H370" s="14" t="str">
        <f t="shared" si="21"/>
        <v/>
      </c>
      <c r="I370" s="14" t="str">
        <f t="shared" si="22"/>
        <v/>
      </c>
      <c r="J370" s="15" t="str">
        <f t="shared" si="23"/>
        <v/>
      </c>
    </row>
    <row r="371" spans="1:10">
      <c r="A371" s="7" t="str">
        <f>IF(子基金及业绩基准周净值!A396="","",子基金及业绩基准周净值!A396)</f>
        <v/>
      </c>
      <c r="B371" s="1" t="str">
        <f>IF(A371="","",VLOOKUP($A371,子基金及业绩基准周净值!$A:$AV,11))</f>
        <v/>
      </c>
      <c r="C371" s="8" t="str">
        <f t="shared" si="20"/>
        <v/>
      </c>
      <c r="D371" s="9" t="str">
        <f>IF(A371="","",C371-子基金及业绩基准周净值!AI396)</f>
        <v/>
      </c>
      <c r="E371" s="12" t="str">
        <f>IF(A371="","",(MAX(B$3:B371)-B371)/MAX(B$3:B371))</f>
        <v/>
      </c>
      <c r="F371" s="12" t="str">
        <f>IF(A371="","",MAX(E$4:E371))</f>
        <v/>
      </c>
      <c r="G371" s="17"/>
      <c r="H371" s="14" t="str">
        <f t="shared" si="21"/>
        <v/>
      </c>
      <c r="I371" s="14" t="str">
        <f t="shared" si="22"/>
        <v/>
      </c>
      <c r="J371" s="15" t="str">
        <f t="shared" si="23"/>
        <v/>
      </c>
    </row>
    <row r="372" spans="1:10">
      <c r="A372" s="7" t="str">
        <f>IF(子基金及业绩基准周净值!A397="","",子基金及业绩基准周净值!A397)</f>
        <v/>
      </c>
      <c r="B372" s="1" t="str">
        <f>IF(A372="","",VLOOKUP($A372,子基金及业绩基准周净值!$A:$AV,11))</f>
        <v/>
      </c>
      <c r="C372" s="8" t="str">
        <f t="shared" si="20"/>
        <v/>
      </c>
      <c r="D372" s="9" t="str">
        <f>IF(A372="","",C372-子基金及业绩基准周净值!AI397)</f>
        <v/>
      </c>
      <c r="E372" s="12" t="str">
        <f>IF(A372="","",(MAX(B$3:B372)-B372)/MAX(B$3:B372))</f>
        <v/>
      </c>
      <c r="F372" s="12" t="str">
        <f>IF(A372="","",MAX(E$4:E372))</f>
        <v/>
      </c>
      <c r="G372" s="17"/>
      <c r="H372" s="14" t="str">
        <f t="shared" si="21"/>
        <v/>
      </c>
      <c r="I372" s="14" t="str">
        <f t="shared" si="22"/>
        <v/>
      </c>
      <c r="J372" s="15" t="str">
        <f t="shared" si="23"/>
        <v/>
      </c>
    </row>
    <row r="373" spans="1:10">
      <c r="A373" s="7" t="str">
        <f>IF(子基金及业绩基准周净值!A398="","",子基金及业绩基准周净值!A398)</f>
        <v/>
      </c>
      <c r="B373" s="1" t="str">
        <f>IF(A373="","",VLOOKUP($A373,子基金及业绩基准周净值!$A:$AV,11))</f>
        <v/>
      </c>
      <c r="C373" s="8" t="str">
        <f t="shared" si="20"/>
        <v/>
      </c>
      <c r="D373" s="9" t="str">
        <f>IF(A373="","",C373-子基金及业绩基准周净值!AI398)</f>
        <v/>
      </c>
      <c r="E373" s="12" t="str">
        <f>IF(A373="","",(MAX(B$3:B373)-B373)/MAX(B$3:B373))</f>
        <v/>
      </c>
      <c r="F373" s="12" t="str">
        <f>IF(A373="","",MAX(E$4:E373))</f>
        <v/>
      </c>
      <c r="G373" s="17"/>
      <c r="H373" s="14" t="str">
        <f t="shared" si="21"/>
        <v/>
      </c>
      <c r="I373" s="14" t="str">
        <f t="shared" si="22"/>
        <v/>
      </c>
      <c r="J373" s="15" t="str">
        <f t="shared" si="23"/>
        <v/>
      </c>
    </row>
    <row r="374" spans="1:10">
      <c r="A374" s="7" t="str">
        <f>IF(子基金及业绩基准周净值!A399="","",子基金及业绩基准周净值!A399)</f>
        <v/>
      </c>
      <c r="B374" s="1" t="str">
        <f>IF(A374="","",VLOOKUP($A374,子基金及业绩基准周净值!$A:$AV,11))</f>
        <v/>
      </c>
      <c r="C374" s="8" t="str">
        <f t="shared" si="20"/>
        <v/>
      </c>
      <c r="D374" s="9" t="str">
        <f>IF(A374="","",C374-子基金及业绩基准周净值!AI399)</f>
        <v/>
      </c>
      <c r="E374" s="12" t="str">
        <f>IF(A374="","",(MAX(B$3:B374)-B374)/MAX(B$3:B374))</f>
        <v/>
      </c>
      <c r="F374" s="12" t="str">
        <f>IF(A374="","",MAX(E$4:E374))</f>
        <v/>
      </c>
      <c r="G374" s="17"/>
      <c r="H374" s="14" t="str">
        <f t="shared" si="21"/>
        <v/>
      </c>
      <c r="I374" s="14" t="str">
        <f t="shared" si="22"/>
        <v/>
      </c>
      <c r="J374" s="15" t="str">
        <f t="shared" si="23"/>
        <v/>
      </c>
    </row>
    <row r="375" spans="1:10">
      <c r="A375" s="7" t="str">
        <f>IF(子基金及业绩基准周净值!A400="","",子基金及业绩基准周净值!A400)</f>
        <v/>
      </c>
      <c r="B375" s="1" t="str">
        <f>IF(A375="","",VLOOKUP($A375,子基金及业绩基准周净值!$A:$AV,11))</f>
        <v/>
      </c>
      <c r="C375" s="8" t="str">
        <f t="shared" si="20"/>
        <v/>
      </c>
      <c r="D375" s="9" t="str">
        <f>IF(A375="","",C375-子基金及业绩基准周净值!AI400)</f>
        <v/>
      </c>
      <c r="E375" s="12" t="str">
        <f>IF(A375="","",(MAX(B$3:B375)-B375)/MAX(B$3:B375))</f>
        <v/>
      </c>
      <c r="F375" s="12" t="str">
        <f>IF(A375="","",MAX(E$4:E375))</f>
        <v/>
      </c>
      <c r="G375" s="17"/>
      <c r="H375" s="14" t="str">
        <f t="shared" si="21"/>
        <v/>
      </c>
      <c r="I375" s="14" t="str">
        <f t="shared" si="22"/>
        <v/>
      </c>
      <c r="J375" s="15" t="str">
        <f t="shared" si="23"/>
        <v/>
      </c>
    </row>
    <row r="376" spans="1:10">
      <c r="A376" s="7" t="str">
        <f>IF(子基金及业绩基准周净值!A401="","",子基金及业绩基准周净值!A401)</f>
        <v/>
      </c>
      <c r="B376" s="1" t="str">
        <f>IF(A376="","",VLOOKUP($A376,子基金及业绩基准周净值!$A:$AV,11))</f>
        <v/>
      </c>
      <c r="C376" s="8" t="str">
        <f t="shared" si="20"/>
        <v/>
      </c>
      <c r="D376" s="9" t="str">
        <f>IF(A376="","",C376-子基金及业绩基准周净值!AI401)</f>
        <v/>
      </c>
      <c r="E376" s="12" t="str">
        <f>IF(A376="","",(MAX(B$3:B376)-B376)/MAX(B$3:B376))</f>
        <v/>
      </c>
      <c r="F376" s="12" t="str">
        <f>IF(A376="","",MAX(E$4:E376))</f>
        <v/>
      </c>
      <c r="G376" s="17"/>
      <c r="H376" s="14" t="str">
        <f t="shared" si="21"/>
        <v/>
      </c>
      <c r="I376" s="14" t="str">
        <f t="shared" si="22"/>
        <v/>
      </c>
      <c r="J376" s="15" t="str">
        <f t="shared" si="23"/>
        <v/>
      </c>
    </row>
    <row r="377" spans="1:10">
      <c r="A377" s="7" t="str">
        <f>IF(子基金及业绩基准周净值!A402="","",子基金及业绩基准周净值!A402)</f>
        <v/>
      </c>
      <c r="B377" s="1" t="str">
        <f>IF(A377="","",VLOOKUP($A377,子基金及业绩基准周净值!$A:$AV,11))</f>
        <v/>
      </c>
      <c r="C377" s="8" t="str">
        <f t="shared" si="20"/>
        <v/>
      </c>
      <c r="D377" s="9" t="str">
        <f>IF(A377="","",C377-子基金及业绩基准周净值!AI402)</f>
        <v/>
      </c>
      <c r="E377" s="12" t="str">
        <f>IF(A377="","",(MAX(B$3:B377)-B377)/MAX(B$3:B377))</f>
        <v/>
      </c>
      <c r="F377" s="12" t="str">
        <f>IF(A377="","",MAX(E$4:E377))</f>
        <v/>
      </c>
      <c r="G377" s="17"/>
      <c r="H377" s="14" t="str">
        <f t="shared" si="21"/>
        <v/>
      </c>
      <c r="I377" s="14" t="str">
        <f t="shared" si="22"/>
        <v/>
      </c>
      <c r="J377" s="15" t="str">
        <f t="shared" si="23"/>
        <v/>
      </c>
    </row>
    <row r="378" spans="1:10">
      <c r="A378" s="7" t="str">
        <f>IF(子基金及业绩基准周净值!A403="","",子基金及业绩基准周净值!A403)</f>
        <v/>
      </c>
      <c r="B378" s="1" t="str">
        <f>IF(A378="","",VLOOKUP($A378,子基金及业绩基准周净值!$A:$AV,11))</f>
        <v/>
      </c>
      <c r="C378" s="8" t="str">
        <f t="shared" si="20"/>
        <v/>
      </c>
      <c r="D378" s="9" t="str">
        <f>IF(A378="","",C378-子基金及业绩基准周净值!AI403)</f>
        <v/>
      </c>
      <c r="E378" s="12" t="str">
        <f>IF(A378="","",(MAX(B$3:B378)-B378)/MAX(B$3:B378))</f>
        <v/>
      </c>
      <c r="F378" s="12" t="str">
        <f>IF(A378="","",MAX(E$4:E378))</f>
        <v/>
      </c>
      <c r="G378" s="17"/>
      <c r="H378" s="14" t="str">
        <f t="shared" si="21"/>
        <v/>
      </c>
      <c r="I378" s="14" t="str">
        <f t="shared" si="22"/>
        <v/>
      </c>
      <c r="J378" s="15" t="str">
        <f t="shared" si="23"/>
        <v/>
      </c>
    </row>
    <row r="379" spans="1:10">
      <c r="A379" s="7" t="str">
        <f>IF(子基金及业绩基准周净值!A404="","",子基金及业绩基准周净值!A404)</f>
        <v/>
      </c>
      <c r="B379" s="1" t="str">
        <f>IF(A379="","",VLOOKUP($A379,子基金及业绩基准周净值!$A:$AV,11))</f>
        <v/>
      </c>
      <c r="C379" s="8" t="str">
        <f t="shared" si="20"/>
        <v/>
      </c>
      <c r="D379" s="9" t="str">
        <f>IF(A379="","",C379-子基金及业绩基准周净值!AI404)</f>
        <v/>
      </c>
      <c r="E379" s="12" t="str">
        <f>IF(A379="","",(MAX(B$3:B379)-B379)/MAX(B$3:B379))</f>
        <v/>
      </c>
      <c r="F379" s="12" t="str">
        <f>IF(A379="","",MAX(E$4:E379))</f>
        <v/>
      </c>
      <c r="G379" s="17"/>
      <c r="H379" s="14" t="str">
        <f t="shared" si="21"/>
        <v/>
      </c>
      <c r="I379" s="14" t="str">
        <f t="shared" si="22"/>
        <v/>
      </c>
      <c r="J379" s="15" t="str">
        <f t="shared" si="23"/>
        <v/>
      </c>
    </row>
    <row r="380" spans="1:10">
      <c r="A380" s="7" t="str">
        <f>IF(子基金及业绩基准周净值!A405="","",子基金及业绩基准周净值!A405)</f>
        <v/>
      </c>
      <c r="B380" s="1" t="str">
        <f>IF(A380="","",VLOOKUP($A380,子基金及业绩基准周净值!$A:$AV,11))</f>
        <v/>
      </c>
      <c r="C380" s="8" t="str">
        <f t="shared" si="20"/>
        <v/>
      </c>
      <c r="D380" s="9" t="str">
        <f>IF(A380="","",C380-子基金及业绩基准周净值!AI405)</f>
        <v/>
      </c>
      <c r="E380" s="12" t="str">
        <f>IF(A380="","",(MAX(B$3:B380)-B380)/MAX(B$3:B380))</f>
        <v/>
      </c>
      <c r="F380" s="12" t="str">
        <f>IF(A380="","",MAX(E$4:E380))</f>
        <v/>
      </c>
      <c r="G380" s="17"/>
      <c r="H380" s="14" t="str">
        <f t="shared" si="21"/>
        <v/>
      </c>
      <c r="I380" s="14" t="str">
        <f t="shared" si="22"/>
        <v/>
      </c>
      <c r="J380" s="15" t="str">
        <f t="shared" si="23"/>
        <v/>
      </c>
    </row>
    <row r="381" spans="1:10">
      <c r="A381" s="7" t="str">
        <f>IF(子基金及业绩基准周净值!A406="","",子基金及业绩基准周净值!A406)</f>
        <v/>
      </c>
      <c r="B381" s="1" t="str">
        <f>IF(A381="","",VLOOKUP($A381,子基金及业绩基准周净值!$A:$AV,11))</f>
        <v/>
      </c>
      <c r="C381" s="8" t="str">
        <f t="shared" si="20"/>
        <v/>
      </c>
      <c r="D381" s="9" t="str">
        <f>IF(A381="","",C381-子基金及业绩基准周净值!AI406)</f>
        <v/>
      </c>
      <c r="E381" s="12" t="str">
        <f>IF(A381="","",(MAX(B$3:B381)-B381)/MAX(B$3:B381))</f>
        <v/>
      </c>
      <c r="F381" s="12" t="str">
        <f>IF(A381="","",MAX(E$4:E381))</f>
        <v/>
      </c>
      <c r="G381" s="17"/>
      <c r="H381" s="14" t="str">
        <f t="shared" si="21"/>
        <v/>
      </c>
      <c r="I381" s="14" t="str">
        <f t="shared" si="22"/>
        <v/>
      </c>
      <c r="J381" s="15" t="str">
        <f t="shared" si="23"/>
        <v/>
      </c>
    </row>
    <row r="382" spans="1:10">
      <c r="A382" s="7" t="str">
        <f>IF(子基金及业绩基准周净值!A407="","",子基金及业绩基准周净值!A407)</f>
        <v/>
      </c>
      <c r="B382" s="1" t="str">
        <f>IF(A382="","",VLOOKUP($A382,子基金及业绩基准周净值!$A:$AV,11))</f>
        <v/>
      </c>
      <c r="C382" s="8" t="str">
        <f t="shared" si="20"/>
        <v/>
      </c>
      <c r="D382" s="9" t="str">
        <f>IF(A382="","",C382-子基金及业绩基准周净值!AI407)</f>
        <v/>
      </c>
      <c r="E382" s="12" t="str">
        <f>IF(A382="","",(MAX(B$3:B382)-B382)/MAX(B$3:B382))</f>
        <v/>
      </c>
      <c r="F382" s="12" t="str">
        <f>IF(A382="","",MAX(E$4:E382))</f>
        <v/>
      </c>
      <c r="G382" s="17"/>
      <c r="H382" s="14" t="str">
        <f t="shared" si="21"/>
        <v/>
      </c>
      <c r="I382" s="14" t="str">
        <f t="shared" si="22"/>
        <v/>
      </c>
      <c r="J382" s="15" t="str">
        <f t="shared" si="23"/>
        <v/>
      </c>
    </row>
    <row r="383" spans="1:10">
      <c r="A383" s="7" t="str">
        <f>IF(子基金及业绩基准周净值!A408="","",子基金及业绩基准周净值!A408)</f>
        <v/>
      </c>
      <c r="B383" s="1" t="str">
        <f>IF(A383="","",VLOOKUP($A383,子基金及业绩基准周净值!$A:$AV,11))</f>
        <v/>
      </c>
      <c r="C383" s="8" t="str">
        <f t="shared" si="20"/>
        <v/>
      </c>
      <c r="D383" s="9" t="str">
        <f>IF(A383="","",C383-子基金及业绩基准周净值!AI408)</f>
        <v/>
      </c>
      <c r="E383" s="12" t="str">
        <f>IF(A383="","",(MAX(B$3:B383)-B383)/MAX(B$3:B383))</f>
        <v/>
      </c>
      <c r="F383" s="12" t="str">
        <f>IF(A383="","",MAX(E$4:E383))</f>
        <v/>
      </c>
      <c r="G383" s="17"/>
      <c r="H383" s="14" t="str">
        <f t="shared" si="21"/>
        <v/>
      </c>
      <c r="I383" s="14" t="str">
        <f t="shared" si="22"/>
        <v/>
      </c>
      <c r="J383" s="15" t="str">
        <f t="shared" si="23"/>
        <v/>
      </c>
    </row>
    <row r="384" spans="1:10">
      <c r="A384" s="7" t="str">
        <f>IF(子基金及业绩基准周净值!A409="","",子基金及业绩基准周净值!A409)</f>
        <v/>
      </c>
      <c r="B384" s="1" t="str">
        <f>IF(A384="","",VLOOKUP($A384,子基金及业绩基准周净值!$A:$AV,11))</f>
        <v/>
      </c>
      <c r="C384" s="8" t="str">
        <f t="shared" si="20"/>
        <v/>
      </c>
      <c r="D384" s="9" t="str">
        <f>IF(A384="","",C384-子基金及业绩基准周净值!AI409)</f>
        <v/>
      </c>
      <c r="E384" s="12" t="str">
        <f>IF(A384="","",(MAX(B$3:B384)-B384)/MAX(B$3:B384))</f>
        <v/>
      </c>
      <c r="F384" s="12" t="str">
        <f>IF(A384="","",MAX(E$4:E384))</f>
        <v/>
      </c>
      <c r="G384" s="17"/>
      <c r="H384" s="14" t="str">
        <f t="shared" si="21"/>
        <v/>
      </c>
      <c r="I384" s="14" t="str">
        <f t="shared" si="22"/>
        <v/>
      </c>
      <c r="J384" s="15" t="str">
        <f t="shared" si="23"/>
        <v/>
      </c>
    </row>
    <row r="385" spans="1:10">
      <c r="A385" s="7" t="str">
        <f>IF(子基金及业绩基准周净值!A410="","",子基金及业绩基准周净值!A410)</f>
        <v/>
      </c>
      <c r="B385" s="1" t="str">
        <f>IF(A385="","",VLOOKUP($A385,子基金及业绩基准周净值!$A:$AV,11))</f>
        <v/>
      </c>
      <c r="C385" s="8" t="str">
        <f t="shared" si="20"/>
        <v/>
      </c>
      <c r="D385" s="9" t="str">
        <f>IF(A385="","",C385-子基金及业绩基准周净值!AI410)</f>
        <v/>
      </c>
      <c r="E385" s="12" t="str">
        <f>IF(A385="","",(MAX(B$3:B385)-B385)/MAX(B$3:B385))</f>
        <v/>
      </c>
      <c r="F385" s="12" t="str">
        <f>IF(A385="","",MAX(E$4:E385))</f>
        <v/>
      </c>
      <c r="G385" s="17"/>
      <c r="H385" s="14" t="str">
        <f t="shared" si="21"/>
        <v/>
      </c>
      <c r="I385" s="14" t="str">
        <f t="shared" si="22"/>
        <v/>
      </c>
      <c r="J385" s="15" t="str">
        <f t="shared" si="23"/>
        <v/>
      </c>
    </row>
    <row r="386" spans="1:10">
      <c r="A386" s="7" t="str">
        <f>IF(子基金及业绩基准周净值!A411="","",子基金及业绩基准周净值!A411)</f>
        <v/>
      </c>
      <c r="B386" s="1" t="str">
        <f>IF(A386="","",VLOOKUP($A386,子基金及业绩基准周净值!$A:$AV,11))</f>
        <v/>
      </c>
      <c r="C386" s="8" t="str">
        <f t="shared" si="20"/>
        <v/>
      </c>
      <c r="D386" s="9" t="str">
        <f>IF(A386="","",C386-子基金及业绩基准周净值!AI411)</f>
        <v/>
      </c>
      <c r="E386" s="12" t="str">
        <f>IF(A386="","",(MAX(B$3:B386)-B386)/MAX(B$3:B386))</f>
        <v/>
      </c>
      <c r="F386" s="12" t="str">
        <f>IF(A386="","",MAX(E$4:E386))</f>
        <v/>
      </c>
      <c r="G386" s="17"/>
      <c r="H386" s="14" t="str">
        <f t="shared" si="21"/>
        <v/>
      </c>
      <c r="I386" s="14" t="str">
        <f t="shared" si="22"/>
        <v/>
      </c>
      <c r="J386" s="15" t="str">
        <f t="shared" si="23"/>
        <v/>
      </c>
    </row>
    <row r="387" spans="1:10">
      <c r="A387" s="7" t="str">
        <f>IF(子基金及业绩基准周净值!A412="","",子基金及业绩基准周净值!A412)</f>
        <v/>
      </c>
      <c r="B387" s="1" t="str">
        <f>IF(A387="","",VLOOKUP($A387,子基金及业绩基准周净值!$A:$AV,11))</f>
        <v/>
      </c>
      <c r="C387" s="8" t="str">
        <f t="shared" si="20"/>
        <v/>
      </c>
      <c r="D387" s="9" t="str">
        <f>IF(A387="","",C387-子基金及业绩基准周净值!AI412)</f>
        <v/>
      </c>
      <c r="E387" s="12" t="str">
        <f>IF(A387="","",(MAX(B$3:B387)-B387)/MAX(B$3:B387))</f>
        <v/>
      </c>
      <c r="F387" s="12" t="str">
        <f>IF(A387="","",MAX(E$4:E387))</f>
        <v/>
      </c>
      <c r="G387" s="17"/>
      <c r="H387" s="14" t="str">
        <f t="shared" si="21"/>
        <v/>
      </c>
      <c r="I387" s="14" t="str">
        <f t="shared" si="22"/>
        <v/>
      </c>
      <c r="J387" s="15" t="str">
        <f t="shared" si="23"/>
        <v/>
      </c>
    </row>
    <row r="388" spans="1:10">
      <c r="A388" s="7" t="str">
        <f>IF(子基金及业绩基准周净值!A413="","",子基金及业绩基准周净值!A413)</f>
        <v/>
      </c>
      <c r="B388" s="1" t="str">
        <f>IF(A388="","",VLOOKUP($A388,子基金及业绩基准周净值!$A:$AV,11))</f>
        <v/>
      </c>
      <c r="C388" s="8" t="str">
        <f t="shared" si="20"/>
        <v/>
      </c>
      <c r="D388" s="9" t="str">
        <f>IF(A388="","",C388-子基金及业绩基准周净值!AI413)</f>
        <v/>
      </c>
      <c r="E388" s="12" t="str">
        <f>IF(A388="","",(MAX(B$3:B388)-B388)/MAX(B$3:B388))</f>
        <v/>
      </c>
      <c r="F388" s="12" t="str">
        <f>IF(A388="","",MAX(E$4:E388))</f>
        <v/>
      </c>
      <c r="G388" s="17"/>
      <c r="H388" s="14" t="str">
        <f t="shared" si="21"/>
        <v/>
      </c>
      <c r="I388" s="14" t="str">
        <f t="shared" si="22"/>
        <v/>
      </c>
      <c r="J388" s="15" t="str">
        <f t="shared" si="23"/>
        <v/>
      </c>
    </row>
    <row r="389" spans="1:10">
      <c r="A389" s="7" t="str">
        <f>IF(子基金及业绩基准周净值!A414="","",子基金及业绩基准周净值!A414)</f>
        <v/>
      </c>
      <c r="B389" s="1" t="str">
        <f>IF(A389="","",VLOOKUP($A389,子基金及业绩基准周净值!$A:$AV,11))</f>
        <v/>
      </c>
      <c r="C389" s="8" t="str">
        <f t="shared" ref="C389:C452" si="24">IF(A389="","",(B389-B388)/B388)</f>
        <v/>
      </c>
      <c r="D389" s="9" t="str">
        <f>IF(A389="","",C389-子基金及业绩基准周净值!AI414)</f>
        <v/>
      </c>
      <c r="E389" s="12" t="str">
        <f>IF(A389="","",(MAX(B$3:B389)-B389)/MAX(B$3:B389))</f>
        <v/>
      </c>
      <c r="F389" s="12" t="str">
        <f>IF(A389="","",MAX(E$4:E389))</f>
        <v/>
      </c>
      <c r="G389" s="17"/>
      <c r="H389" s="14" t="str">
        <f t="shared" ref="H389:H452" si="25">IF(B389="","",IF(C389&lt;-3%,"是","否"))</f>
        <v/>
      </c>
      <c r="I389" s="14" t="str">
        <f t="shared" ref="I389:I452" si="26">IF(A389="","",IF(F389&gt;5%,"是","否"))</f>
        <v/>
      </c>
      <c r="J389" s="15" t="str">
        <f t="shared" ref="J389:J452" si="27">IF(A389="","",IF(G389&gt;=4,"是","否"))</f>
        <v/>
      </c>
    </row>
    <row r="390" spans="1:10">
      <c r="A390" s="7" t="str">
        <f>IF(子基金及业绩基准周净值!A415="","",子基金及业绩基准周净值!A415)</f>
        <v/>
      </c>
      <c r="B390" s="1" t="str">
        <f>IF(A390="","",VLOOKUP($A390,子基金及业绩基准周净值!$A:$AV,11))</f>
        <v/>
      </c>
      <c r="C390" s="8" t="str">
        <f t="shared" si="24"/>
        <v/>
      </c>
      <c r="D390" s="9" t="str">
        <f>IF(A390="","",C390-子基金及业绩基准周净值!AI415)</f>
        <v/>
      </c>
      <c r="E390" s="12" t="str">
        <f>IF(A390="","",(MAX(B$3:B390)-B390)/MAX(B$3:B390))</f>
        <v/>
      </c>
      <c r="F390" s="12" t="str">
        <f>IF(A390="","",MAX(E$4:E390))</f>
        <v/>
      </c>
      <c r="G390" s="17"/>
      <c r="H390" s="14" t="str">
        <f t="shared" si="25"/>
        <v/>
      </c>
      <c r="I390" s="14" t="str">
        <f t="shared" si="26"/>
        <v/>
      </c>
      <c r="J390" s="15" t="str">
        <f t="shared" si="27"/>
        <v/>
      </c>
    </row>
    <row r="391" spans="1:10">
      <c r="A391" s="7" t="str">
        <f>IF(子基金及业绩基准周净值!A416="","",子基金及业绩基准周净值!A416)</f>
        <v/>
      </c>
      <c r="B391" s="1" t="str">
        <f>IF(A391="","",VLOOKUP($A391,子基金及业绩基准周净值!$A:$AV,11))</f>
        <v/>
      </c>
      <c r="C391" s="8" t="str">
        <f t="shared" si="24"/>
        <v/>
      </c>
      <c r="D391" s="9" t="str">
        <f>IF(A391="","",C391-子基金及业绩基准周净值!AI416)</f>
        <v/>
      </c>
      <c r="E391" s="12" t="str">
        <f>IF(A391="","",(MAX(B$3:B391)-B391)/MAX(B$3:B391))</f>
        <v/>
      </c>
      <c r="F391" s="12" t="str">
        <f>IF(A391="","",MAX(E$4:E391))</f>
        <v/>
      </c>
      <c r="G391" s="17"/>
      <c r="H391" s="14" t="str">
        <f t="shared" si="25"/>
        <v/>
      </c>
      <c r="I391" s="14" t="str">
        <f t="shared" si="26"/>
        <v/>
      </c>
      <c r="J391" s="15" t="str">
        <f t="shared" si="27"/>
        <v/>
      </c>
    </row>
    <row r="392" spans="1:10">
      <c r="A392" s="7" t="str">
        <f>IF(子基金及业绩基准周净值!A417="","",子基金及业绩基准周净值!A417)</f>
        <v/>
      </c>
      <c r="B392" s="1" t="str">
        <f>IF(A392="","",VLOOKUP($A392,子基金及业绩基准周净值!$A:$AV,11))</f>
        <v/>
      </c>
      <c r="C392" s="8" t="str">
        <f t="shared" si="24"/>
        <v/>
      </c>
      <c r="D392" s="9" t="str">
        <f>IF(A392="","",C392-子基金及业绩基准周净值!AI417)</f>
        <v/>
      </c>
      <c r="E392" s="12" t="str">
        <f>IF(A392="","",(MAX(B$3:B392)-B392)/MAX(B$3:B392))</f>
        <v/>
      </c>
      <c r="F392" s="12" t="str">
        <f>IF(A392="","",MAX(E$4:E392))</f>
        <v/>
      </c>
      <c r="G392" s="17"/>
      <c r="H392" s="14" t="str">
        <f t="shared" si="25"/>
        <v/>
      </c>
      <c r="I392" s="14" t="str">
        <f t="shared" si="26"/>
        <v/>
      </c>
      <c r="J392" s="15" t="str">
        <f t="shared" si="27"/>
        <v/>
      </c>
    </row>
    <row r="393" spans="1:10">
      <c r="A393" s="7" t="str">
        <f>IF(子基金及业绩基准周净值!A418="","",子基金及业绩基准周净值!A418)</f>
        <v/>
      </c>
      <c r="B393" s="1" t="str">
        <f>IF(A393="","",VLOOKUP($A393,子基金及业绩基准周净值!$A:$AV,11))</f>
        <v/>
      </c>
      <c r="C393" s="8" t="str">
        <f t="shared" si="24"/>
        <v/>
      </c>
      <c r="D393" s="9" t="str">
        <f>IF(A393="","",C393-子基金及业绩基准周净值!AI418)</f>
        <v/>
      </c>
      <c r="E393" s="12" t="str">
        <f>IF(A393="","",(MAX(B$3:B393)-B393)/MAX(B$3:B393))</f>
        <v/>
      </c>
      <c r="F393" s="12" t="str">
        <f>IF(A393="","",MAX(E$4:E393))</f>
        <v/>
      </c>
      <c r="G393" s="17"/>
      <c r="H393" s="14" t="str">
        <f t="shared" si="25"/>
        <v/>
      </c>
      <c r="I393" s="14" t="str">
        <f t="shared" si="26"/>
        <v/>
      </c>
      <c r="J393" s="15" t="str">
        <f t="shared" si="27"/>
        <v/>
      </c>
    </row>
    <row r="394" spans="1:10">
      <c r="A394" s="7" t="str">
        <f>IF(子基金及业绩基准周净值!A419="","",子基金及业绩基准周净值!A419)</f>
        <v/>
      </c>
      <c r="B394" s="1" t="str">
        <f>IF(A394="","",VLOOKUP($A394,子基金及业绩基准周净值!$A:$AV,11))</f>
        <v/>
      </c>
      <c r="C394" s="8" t="str">
        <f t="shared" si="24"/>
        <v/>
      </c>
      <c r="D394" s="9" t="str">
        <f>IF(A394="","",C394-子基金及业绩基准周净值!AI419)</f>
        <v/>
      </c>
      <c r="E394" s="12" t="str">
        <f>IF(A394="","",(MAX(B$3:B394)-B394)/MAX(B$3:B394))</f>
        <v/>
      </c>
      <c r="F394" s="12" t="str">
        <f>IF(A394="","",MAX(E$4:E394))</f>
        <v/>
      </c>
      <c r="G394" s="17"/>
      <c r="H394" s="14" t="str">
        <f t="shared" si="25"/>
        <v/>
      </c>
      <c r="I394" s="14" t="str">
        <f t="shared" si="26"/>
        <v/>
      </c>
      <c r="J394" s="15" t="str">
        <f t="shared" si="27"/>
        <v/>
      </c>
    </row>
    <row r="395" spans="1:10">
      <c r="A395" s="7" t="str">
        <f>IF(子基金及业绩基准周净值!A420="","",子基金及业绩基准周净值!A420)</f>
        <v/>
      </c>
      <c r="B395" s="1" t="str">
        <f>IF(A395="","",VLOOKUP($A395,子基金及业绩基准周净值!$A:$AV,11))</f>
        <v/>
      </c>
      <c r="C395" s="8" t="str">
        <f t="shared" si="24"/>
        <v/>
      </c>
      <c r="D395" s="9" t="str">
        <f>IF(A395="","",C395-子基金及业绩基准周净值!AI420)</f>
        <v/>
      </c>
      <c r="E395" s="12" t="str">
        <f>IF(A395="","",(MAX(B$3:B395)-B395)/MAX(B$3:B395))</f>
        <v/>
      </c>
      <c r="F395" s="12" t="str">
        <f>IF(A395="","",MAX(E$4:E395))</f>
        <v/>
      </c>
      <c r="G395" s="17"/>
      <c r="H395" s="14" t="str">
        <f t="shared" si="25"/>
        <v/>
      </c>
      <c r="I395" s="14" t="str">
        <f t="shared" si="26"/>
        <v/>
      </c>
      <c r="J395" s="15" t="str">
        <f t="shared" si="27"/>
        <v/>
      </c>
    </row>
    <row r="396" spans="1:10">
      <c r="A396" s="7" t="str">
        <f>IF(子基金及业绩基准周净值!A421="","",子基金及业绩基准周净值!A421)</f>
        <v/>
      </c>
      <c r="B396" s="1" t="str">
        <f>IF(A396="","",VLOOKUP($A396,子基金及业绩基准周净值!$A:$AV,11))</f>
        <v/>
      </c>
      <c r="C396" s="8" t="str">
        <f t="shared" si="24"/>
        <v/>
      </c>
      <c r="D396" s="9" t="str">
        <f>IF(A396="","",C396-子基金及业绩基准周净值!AI421)</f>
        <v/>
      </c>
      <c r="E396" s="12" t="str">
        <f>IF(A396="","",(MAX(B$3:B396)-B396)/MAX(B$3:B396))</f>
        <v/>
      </c>
      <c r="F396" s="12" t="str">
        <f>IF(A396="","",MAX(E$4:E396))</f>
        <v/>
      </c>
      <c r="G396" s="17"/>
      <c r="H396" s="14" t="str">
        <f t="shared" si="25"/>
        <v/>
      </c>
      <c r="I396" s="14" t="str">
        <f t="shared" si="26"/>
        <v/>
      </c>
      <c r="J396" s="15" t="str">
        <f t="shared" si="27"/>
        <v/>
      </c>
    </row>
    <row r="397" spans="1:10">
      <c r="A397" s="7" t="str">
        <f>IF(子基金及业绩基准周净值!A422="","",子基金及业绩基准周净值!A422)</f>
        <v/>
      </c>
      <c r="B397" s="1" t="str">
        <f>IF(A397="","",VLOOKUP($A397,子基金及业绩基准周净值!$A:$AV,11))</f>
        <v/>
      </c>
      <c r="C397" s="8" t="str">
        <f t="shared" si="24"/>
        <v/>
      </c>
      <c r="D397" s="9" t="str">
        <f>IF(A397="","",C397-子基金及业绩基准周净值!AI422)</f>
        <v/>
      </c>
      <c r="E397" s="12" t="str">
        <f>IF(A397="","",(MAX(B$3:B397)-B397)/MAX(B$3:B397))</f>
        <v/>
      </c>
      <c r="F397" s="12" t="str">
        <f>IF(A397="","",MAX(E$4:E397))</f>
        <v/>
      </c>
      <c r="G397" s="17"/>
      <c r="H397" s="14" t="str">
        <f t="shared" si="25"/>
        <v/>
      </c>
      <c r="I397" s="14" t="str">
        <f t="shared" si="26"/>
        <v/>
      </c>
      <c r="J397" s="15" t="str">
        <f t="shared" si="27"/>
        <v/>
      </c>
    </row>
    <row r="398" spans="1:10">
      <c r="A398" s="7" t="str">
        <f>IF(子基金及业绩基准周净值!A423="","",子基金及业绩基准周净值!A423)</f>
        <v/>
      </c>
      <c r="B398" s="1" t="str">
        <f>IF(A398="","",VLOOKUP($A398,子基金及业绩基准周净值!$A:$AV,11))</f>
        <v/>
      </c>
      <c r="C398" s="8" t="str">
        <f t="shared" si="24"/>
        <v/>
      </c>
      <c r="D398" s="9" t="str">
        <f>IF(A398="","",C398-子基金及业绩基准周净值!AI423)</f>
        <v/>
      </c>
      <c r="E398" s="12" t="str">
        <f>IF(A398="","",(MAX(B$3:B398)-B398)/MAX(B$3:B398))</f>
        <v/>
      </c>
      <c r="F398" s="12" t="str">
        <f>IF(A398="","",MAX(E$4:E398))</f>
        <v/>
      </c>
      <c r="G398" s="17"/>
      <c r="H398" s="14" t="str">
        <f t="shared" si="25"/>
        <v/>
      </c>
      <c r="I398" s="14" t="str">
        <f t="shared" si="26"/>
        <v/>
      </c>
      <c r="J398" s="15" t="str">
        <f t="shared" si="27"/>
        <v/>
      </c>
    </row>
    <row r="399" spans="1:10">
      <c r="A399" s="7" t="str">
        <f>IF(子基金及业绩基准周净值!A424="","",子基金及业绩基准周净值!A424)</f>
        <v/>
      </c>
      <c r="B399" s="1" t="str">
        <f>IF(A399="","",VLOOKUP($A399,子基金及业绩基准周净值!$A:$AV,11))</f>
        <v/>
      </c>
      <c r="C399" s="8" t="str">
        <f t="shared" si="24"/>
        <v/>
      </c>
      <c r="D399" s="9" t="str">
        <f>IF(A399="","",C399-子基金及业绩基准周净值!AI424)</f>
        <v/>
      </c>
      <c r="E399" s="12" t="str">
        <f>IF(A399="","",(MAX(B$3:B399)-B399)/MAX(B$3:B399))</f>
        <v/>
      </c>
      <c r="F399" s="12" t="str">
        <f>IF(A399="","",MAX(E$4:E399))</f>
        <v/>
      </c>
      <c r="G399" s="17"/>
      <c r="H399" s="14" t="str">
        <f t="shared" si="25"/>
        <v/>
      </c>
      <c r="I399" s="14" t="str">
        <f t="shared" si="26"/>
        <v/>
      </c>
      <c r="J399" s="15" t="str">
        <f t="shared" si="27"/>
        <v/>
      </c>
    </row>
    <row r="400" spans="1:10">
      <c r="A400" s="7" t="str">
        <f>IF(子基金及业绩基准周净值!A425="","",子基金及业绩基准周净值!A425)</f>
        <v/>
      </c>
      <c r="B400" s="1" t="str">
        <f>IF(A400="","",VLOOKUP($A400,子基金及业绩基准周净值!$A:$AV,11))</f>
        <v/>
      </c>
      <c r="C400" s="8" t="str">
        <f t="shared" si="24"/>
        <v/>
      </c>
      <c r="D400" s="9" t="str">
        <f>IF(A400="","",C400-子基金及业绩基准周净值!AI425)</f>
        <v/>
      </c>
      <c r="E400" s="12" t="str">
        <f>IF(A400="","",(MAX(B$3:B400)-B400)/MAX(B$3:B400))</f>
        <v/>
      </c>
      <c r="F400" s="12" t="str">
        <f>IF(A400="","",MAX(E$4:E400))</f>
        <v/>
      </c>
      <c r="G400" s="17"/>
      <c r="H400" s="14" t="str">
        <f t="shared" si="25"/>
        <v/>
      </c>
      <c r="I400" s="14" t="str">
        <f t="shared" si="26"/>
        <v/>
      </c>
      <c r="J400" s="15" t="str">
        <f t="shared" si="27"/>
        <v/>
      </c>
    </row>
    <row r="401" spans="1:10">
      <c r="A401" s="7" t="str">
        <f>IF(子基金及业绩基准周净值!A426="","",子基金及业绩基准周净值!A426)</f>
        <v/>
      </c>
      <c r="B401" s="1" t="str">
        <f>IF(A401="","",VLOOKUP($A401,子基金及业绩基准周净值!$A:$AV,11))</f>
        <v/>
      </c>
      <c r="C401" s="8" t="str">
        <f t="shared" si="24"/>
        <v/>
      </c>
      <c r="D401" s="9" t="str">
        <f>IF(A401="","",C401-子基金及业绩基准周净值!AI426)</f>
        <v/>
      </c>
      <c r="E401" s="12" t="str">
        <f>IF(A401="","",(MAX(B$3:B401)-B401)/MAX(B$3:B401))</f>
        <v/>
      </c>
      <c r="F401" s="12" t="str">
        <f>IF(A401="","",MAX(E$4:E401))</f>
        <v/>
      </c>
      <c r="G401" s="17"/>
      <c r="H401" s="14" t="str">
        <f t="shared" si="25"/>
        <v/>
      </c>
      <c r="I401" s="14" t="str">
        <f t="shared" si="26"/>
        <v/>
      </c>
      <c r="J401" s="15" t="str">
        <f t="shared" si="27"/>
        <v/>
      </c>
    </row>
    <row r="402" spans="1:10">
      <c r="A402" s="7" t="str">
        <f>IF(子基金及业绩基准周净值!A427="","",子基金及业绩基准周净值!A427)</f>
        <v/>
      </c>
      <c r="B402" s="1" t="str">
        <f>IF(A402="","",VLOOKUP($A402,子基金及业绩基准周净值!$A:$AV,11))</f>
        <v/>
      </c>
      <c r="C402" s="8" t="str">
        <f t="shared" si="24"/>
        <v/>
      </c>
      <c r="D402" s="9" t="str">
        <f>IF(A402="","",C402-子基金及业绩基准周净值!AI427)</f>
        <v/>
      </c>
      <c r="E402" s="12" t="str">
        <f>IF(A402="","",(MAX(B$3:B402)-B402)/MAX(B$3:B402))</f>
        <v/>
      </c>
      <c r="F402" s="12" t="str">
        <f>IF(A402="","",MAX(E$4:E402))</f>
        <v/>
      </c>
      <c r="G402" s="17"/>
      <c r="H402" s="14" t="str">
        <f t="shared" si="25"/>
        <v/>
      </c>
      <c r="I402" s="14" t="str">
        <f t="shared" si="26"/>
        <v/>
      </c>
      <c r="J402" s="15" t="str">
        <f t="shared" si="27"/>
        <v/>
      </c>
    </row>
    <row r="403" spans="1:10">
      <c r="A403" s="7" t="str">
        <f>IF(子基金及业绩基准周净值!A428="","",子基金及业绩基准周净值!A428)</f>
        <v/>
      </c>
      <c r="B403" s="1" t="str">
        <f>IF(A403="","",VLOOKUP($A403,子基金及业绩基准周净值!$A:$AV,11))</f>
        <v/>
      </c>
      <c r="C403" s="8" t="str">
        <f t="shared" si="24"/>
        <v/>
      </c>
      <c r="D403" s="9" t="str">
        <f>IF(A403="","",C403-子基金及业绩基准周净值!AI428)</f>
        <v/>
      </c>
      <c r="E403" s="12" t="str">
        <f>IF(A403="","",(MAX(B$3:B403)-B403)/MAX(B$3:B403))</f>
        <v/>
      </c>
      <c r="F403" s="12" t="str">
        <f>IF(A403="","",MAX(E$4:E403))</f>
        <v/>
      </c>
      <c r="G403" s="17"/>
      <c r="H403" s="14" t="str">
        <f t="shared" si="25"/>
        <v/>
      </c>
      <c r="I403" s="14" t="str">
        <f t="shared" si="26"/>
        <v/>
      </c>
      <c r="J403" s="15" t="str">
        <f t="shared" si="27"/>
        <v/>
      </c>
    </row>
    <row r="404" spans="1:10">
      <c r="A404" s="7" t="str">
        <f>IF(子基金及业绩基准周净值!A429="","",子基金及业绩基准周净值!A429)</f>
        <v/>
      </c>
      <c r="B404" s="1" t="str">
        <f>IF(A404="","",VLOOKUP($A404,子基金及业绩基准周净值!$A:$AV,11))</f>
        <v/>
      </c>
      <c r="C404" s="8" t="str">
        <f t="shared" si="24"/>
        <v/>
      </c>
      <c r="D404" s="9" t="str">
        <f>IF(A404="","",C404-子基金及业绩基准周净值!AI429)</f>
        <v/>
      </c>
      <c r="E404" s="12" t="str">
        <f>IF(A404="","",(MAX(B$3:B404)-B404)/MAX(B$3:B404))</f>
        <v/>
      </c>
      <c r="F404" s="12" t="str">
        <f>IF(A404="","",MAX(E$4:E404))</f>
        <v/>
      </c>
      <c r="G404" s="17"/>
      <c r="H404" s="14" t="str">
        <f t="shared" si="25"/>
        <v/>
      </c>
      <c r="I404" s="14" t="str">
        <f t="shared" si="26"/>
        <v/>
      </c>
      <c r="J404" s="15" t="str">
        <f t="shared" si="27"/>
        <v/>
      </c>
    </row>
    <row r="405" spans="1:10">
      <c r="A405" s="7" t="str">
        <f>IF(子基金及业绩基准周净值!A430="","",子基金及业绩基准周净值!A430)</f>
        <v/>
      </c>
      <c r="B405" s="1" t="str">
        <f>IF(A405="","",VLOOKUP($A405,子基金及业绩基准周净值!$A:$AV,11))</f>
        <v/>
      </c>
      <c r="C405" s="8" t="str">
        <f t="shared" si="24"/>
        <v/>
      </c>
      <c r="D405" s="9" t="str">
        <f>IF(A405="","",C405-子基金及业绩基准周净值!AI430)</f>
        <v/>
      </c>
      <c r="E405" s="12" t="str">
        <f>IF(A405="","",(MAX(B$3:B405)-B405)/MAX(B$3:B405))</f>
        <v/>
      </c>
      <c r="F405" s="12" t="str">
        <f>IF(A405="","",MAX(E$4:E405))</f>
        <v/>
      </c>
      <c r="G405" s="17"/>
      <c r="H405" s="14" t="str">
        <f t="shared" si="25"/>
        <v/>
      </c>
      <c r="I405" s="14" t="str">
        <f t="shared" si="26"/>
        <v/>
      </c>
      <c r="J405" s="15" t="str">
        <f t="shared" si="27"/>
        <v/>
      </c>
    </row>
    <row r="406" spans="1:10">
      <c r="A406" s="7" t="str">
        <f>IF(子基金及业绩基准周净值!A431="","",子基金及业绩基准周净值!A431)</f>
        <v/>
      </c>
      <c r="B406" s="1" t="str">
        <f>IF(A406="","",VLOOKUP($A406,子基金及业绩基准周净值!$A:$AV,11))</f>
        <v/>
      </c>
      <c r="C406" s="8" t="str">
        <f t="shared" si="24"/>
        <v/>
      </c>
      <c r="D406" s="9" t="str">
        <f>IF(A406="","",C406-子基金及业绩基准周净值!AI431)</f>
        <v/>
      </c>
      <c r="E406" s="12" t="str">
        <f>IF(A406="","",(MAX(B$3:B406)-B406)/MAX(B$3:B406))</f>
        <v/>
      </c>
      <c r="F406" s="12" t="str">
        <f>IF(A406="","",MAX(E$4:E406))</f>
        <v/>
      </c>
      <c r="G406" s="17"/>
      <c r="H406" s="14" t="str">
        <f t="shared" si="25"/>
        <v/>
      </c>
      <c r="I406" s="14" t="str">
        <f t="shared" si="26"/>
        <v/>
      </c>
      <c r="J406" s="15" t="str">
        <f t="shared" si="27"/>
        <v/>
      </c>
    </row>
    <row r="407" spans="1:10">
      <c r="A407" s="7" t="str">
        <f>IF(子基金及业绩基准周净值!A432="","",子基金及业绩基准周净值!A432)</f>
        <v/>
      </c>
      <c r="B407" s="1" t="str">
        <f>IF(A407="","",VLOOKUP($A407,子基金及业绩基准周净值!$A:$AV,11))</f>
        <v/>
      </c>
      <c r="C407" s="8" t="str">
        <f t="shared" si="24"/>
        <v/>
      </c>
      <c r="D407" s="9" t="str">
        <f>IF(A407="","",C407-子基金及业绩基准周净值!AI432)</f>
        <v/>
      </c>
      <c r="E407" s="12" t="str">
        <f>IF(A407="","",(MAX(B$3:B407)-B407)/MAX(B$3:B407))</f>
        <v/>
      </c>
      <c r="F407" s="12" t="str">
        <f>IF(A407="","",MAX(E$4:E407))</f>
        <v/>
      </c>
      <c r="G407" s="17"/>
      <c r="H407" s="14" t="str">
        <f t="shared" si="25"/>
        <v/>
      </c>
      <c r="I407" s="14" t="str">
        <f t="shared" si="26"/>
        <v/>
      </c>
      <c r="J407" s="15" t="str">
        <f t="shared" si="27"/>
        <v/>
      </c>
    </row>
    <row r="408" spans="1:10">
      <c r="A408" s="7" t="str">
        <f>IF(子基金及业绩基准周净值!A433="","",子基金及业绩基准周净值!A433)</f>
        <v/>
      </c>
      <c r="B408" s="1" t="str">
        <f>IF(A408="","",VLOOKUP($A408,子基金及业绩基准周净值!$A:$AV,11))</f>
        <v/>
      </c>
      <c r="C408" s="8" t="str">
        <f t="shared" si="24"/>
        <v/>
      </c>
      <c r="D408" s="9" t="str">
        <f>IF(A408="","",C408-子基金及业绩基准周净值!AI433)</f>
        <v/>
      </c>
      <c r="E408" s="12" t="str">
        <f>IF(A408="","",(MAX(B$3:B408)-B408)/MAX(B$3:B408))</f>
        <v/>
      </c>
      <c r="F408" s="12" t="str">
        <f>IF(A408="","",MAX(E$4:E408))</f>
        <v/>
      </c>
      <c r="G408" s="17"/>
      <c r="H408" s="14" t="str">
        <f t="shared" si="25"/>
        <v/>
      </c>
      <c r="I408" s="14" t="str">
        <f t="shared" si="26"/>
        <v/>
      </c>
      <c r="J408" s="15" t="str">
        <f t="shared" si="27"/>
        <v/>
      </c>
    </row>
    <row r="409" spans="1:10">
      <c r="A409" s="7" t="str">
        <f>IF(子基金及业绩基准周净值!A434="","",子基金及业绩基准周净值!A434)</f>
        <v/>
      </c>
      <c r="B409" s="1" t="str">
        <f>IF(A409="","",VLOOKUP($A409,子基金及业绩基准周净值!$A:$AV,11))</f>
        <v/>
      </c>
      <c r="C409" s="8" t="str">
        <f t="shared" si="24"/>
        <v/>
      </c>
      <c r="D409" s="9" t="str">
        <f>IF(A409="","",C409-子基金及业绩基准周净值!AI434)</f>
        <v/>
      </c>
      <c r="E409" s="12" t="str">
        <f>IF(A409="","",(MAX(B$3:B409)-B409)/MAX(B$3:B409))</f>
        <v/>
      </c>
      <c r="F409" s="12" t="str">
        <f>IF(A409="","",MAX(E$4:E409))</f>
        <v/>
      </c>
      <c r="G409" s="17"/>
      <c r="H409" s="14" t="str">
        <f t="shared" si="25"/>
        <v/>
      </c>
      <c r="I409" s="14" t="str">
        <f t="shared" si="26"/>
        <v/>
      </c>
      <c r="J409" s="15" t="str">
        <f t="shared" si="27"/>
        <v/>
      </c>
    </row>
    <row r="410" spans="1:10">
      <c r="A410" s="7" t="str">
        <f>IF(子基金及业绩基准周净值!A435="","",子基金及业绩基准周净值!A435)</f>
        <v/>
      </c>
      <c r="B410" s="1" t="str">
        <f>IF(A410="","",VLOOKUP($A410,子基金及业绩基准周净值!$A:$AV,11))</f>
        <v/>
      </c>
      <c r="C410" s="8" t="str">
        <f t="shared" si="24"/>
        <v/>
      </c>
      <c r="D410" s="9" t="str">
        <f>IF(A410="","",C410-子基金及业绩基准周净值!AI435)</f>
        <v/>
      </c>
      <c r="E410" s="12" t="str">
        <f>IF(A410="","",(MAX(B$3:B410)-B410)/MAX(B$3:B410))</f>
        <v/>
      </c>
      <c r="F410" s="12" t="str">
        <f>IF(A410="","",MAX(E$4:E410))</f>
        <v/>
      </c>
      <c r="G410" s="17"/>
      <c r="H410" s="14" t="str">
        <f t="shared" si="25"/>
        <v/>
      </c>
      <c r="I410" s="14" t="str">
        <f t="shared" si="26"/>
        <v/>
      </c>
      <c r="J410" s="15" t="str">
        <f t="shared" si="27"/>
        <v/>
      </c>
    </row>
    <row r="411" spans="1:10">
      <c r="A411" s="7" t="str">
        <f>IF(子基金及业绩基准周净值!A436="","",子基金及业绩基准周净值!A436)</f>
        <v/>
      </c>
      <c r="B411" s="1" t="str">
        <f>IF(A411="","",VLOOKUP($A411,子基金及业绩基准周净值!$A:$AV,11))</f>
        <v/>
      </c>
      <c r="C411" s="8" t="str">
        <f t="shared" si="24"/>
        <v/>
      </c>
      <c r="D411" s="9" t="str">
        <f>IF(A411="","",C411-子基金及业绩基准周净值!AI436)</f>
        <v/>
      </c>
      <c r="E411" s="12" t="str">
        <f>IF(A411="","",(MAX(B$3:B411)-B411)/MAX(B$3:B411))</f>
        <v/>
      </c>
      <c r="F411" s="12" t="str">
        <f>IF(A411="","",MAX(E$4:E411))</f>
        <v/>
      </c>
      <c r="G411" s="17"/>
      <c r="H411" s="14" t="str">
        <f t="shared" si="25"/>
        <v/>
      </c>
      <c r="I411" s="14" t="str">
        <f t="shared" si="26"/>
        <v/>
      </c>
      <c r="J411" s="15" t="str">
        <f t="shared" si="27"/>
        <v/>
      </c>
    </row>
    <row r="412" spans="1:10">
      <c r="A412" s="7" t="str">
        <f>IF(子基金及业绩基准周净值!A437="","",子基金及业绩基准周净值!A437)</f>
        <v/>
      </c>
      <c r="B412" s="1" t="str">
        <f>IF(A412="","",VLOOKUP($A412,子基金及业绩基准周净值!$A:$AV,11))</f>
        <v/>
      </c>
      <c r="C412" s="8" t="str">
        <f t="shared" si="24"/>
        <v/>
      </c>
      <c r="D412" s="9" t="str">
        <f>IF(A412="","",C412-子基金及业绩基准周净值!AI437)</f>
        <v/>
      </c>
      <c r="E412" s="12" t="str">
        <f>IF(A412="","",(MAX(B$3:B412)-B412)/MAX(B$3:B412))</f>
        <v/>
      </c>
      <c r="F412" s="12" t="str">
        <f>IF(A412="","",MAX(E$4:E412))</f>
        <v/>
      </c>
      <c r="G412" s="17"/>
      <c r="H412" s="14" t="str">
        <f t="shared" si="25"/>
        <v/>
      </c>
      <c r="I412" s="14" t="str">
        <f t="shared" si="26"/>
        <v/>
      </c>
      <c r="J412" s="15" t="str">
        <f t="shared" si="27"/>
        <v/>
      </c>
    </row>
    <row r="413" spans="1:10">
      <c r="A413" s="7" t="str">
        <f>IF(子基金及业绩基准周净值!A438="","",子基金及业绩基准周净值!A438)</f>
        <v/>
      </c>
      <c r="B413" s="1" t="str">
        <f>IF(A413="","",VLOOKUP($A413,子基金及业绩基准周净值!$A:$AV,11))</f>
        <v/>
      </c>
      <c r="C413" s="8" t="str">
        <f t="shared" si="24"/>
        <v/>
      </c>
      <c r="D413" s="9" t="str">
        <f>IF(A413="","",C413-子基金及业绩基准周净值!AI438)</f>
        <v/>
      </c>
      <c r="E413" s="12" t="str">
        <f>IF(A413="","",(MAX(B$3:B413)-B413)/MAX(B$3:B413))</f>
        <v/>
      </c>
      <c r="F413" s="12" t="str">
        <f>IF(A413="","",MAX(E$4:E413))</f>
        <v/>
      </c>
      <c r="G413" s="17"/>
      <c r="H413" s="14" t="str">
        <f t="shared" si="25"/>
        <v/>
      </c>
      <c r="I413" s="14" t="str">
        <f t="shared" si="26"/>
        <v/>
      </c>
      <c r="J413" s="15" t="str">
        <f t="shared" si="27"/>
        <v/>
      </c>
    </row>
    <row r="414" spans="1:10">
      <c r="A414" s="7" t="str">
        <f>IF(子基金及业绩基准周净值!A439="","",子基金及业绩基准周净值!A439)</f>
        <v/>
      </c>
      <c r="B414" s="1" t="str">
        <f>IF(A414="","",VLOOKUP($A414,子基金及业绩基准周净值!$A:$AV,11))</f>
        <v/>
      </c>
      <c r="C414" s="8" t="str">
        <f t="shared" si="24"/>
        <v/>
      </c>
      <c r="D414" s="9" t="str">
        <f>IF(A414="","",C414-子基金及业绩基准周净值!AI439)</f>
        <v/>
      </c>
      <c r="E414" s="12" t="str">
        <f>IF(A414="","",(MAX(B$3:B414)-B414)/MAX(B$3:B414))</f>
        <v/>
      </c>
      <c r="F414" s="12" t="str">
        <f>IF(A414="","",MAX(E$4:E414))</f>
        <v/>
      </c>
      <c r="G414" s="17"/>
      <c r="H414" s="14" t="str">
        <f t="shared" si="25"/>
        <v/>
      </c>
      <c r="I414" s="14" t="str">
        <f t="shared" si="26"/>
        <v/>
      </c>
      <c r="J414" s="15" t="str">
        <f t="shared" si="27"/>
        <v/>
      </c>
    </row>
    <row r="415" spans="1:10">
      <c r="A415" s="7" t="str">
        <f>IF(子基金及业绩基准周净值!A440="","",子基金及业绩基准周净值!A440)</f>
        <v/>
      </c>
      <c r="B415" s="1" t="str">
        <f>IF(A415="","",VLOOKUP($A415,子基金及业绩基准周净值!$A:$AV,11))</f>
        <v/>
      </c>
      <c r="C415" s="8" t="str">
        <f t="shared" si="24"/>
        <v/>
      </c>
      <c r="D415" s="9" t="str">
        <f>IF(A415="","",C415-子基金及业绩基准周净值!AI440)</f>
        <v/>
      </c>
      <c r="E415" s="12" t="str">
        <f>IF(A415="","",(MAX(B$3:B415)-B415)/MAX(B$3:B415))</f>
        <v/>
      </c>
      <c r="F415" s="12" t="str">
        <f>IF(A415="","",MAX(E$4:E415))</f>
        <v/>
      </c>
      <c r="G415" s="17"/>
      <c r="H415" s="14" t="str">
        <f t="shared" si="25"/>
        <v/>
      </c>
      <c r="I415" s="14" t="str">
        <f t="shared" si="26"/>
        <v/>
      </c>
      <c r="J415" s="15" t="str">
        <f t="shared" si="27"/>
        <v/>
      </c>
    </row>
    <row r="416" spans="1:10">
      <c r="A416" s="7" t="str">
        <f>IF(子基金及业绩基准周净值!A441="","",子基金及业绩基准周净值!A441)</f>
        <v/>
      </c>
      <c r="B416" s="1" t="str">
        <f>IF(A416="","",VLOOKUP($A416,子基金及业绩基准周净值!$A:$AV,11))</f>
        <v/>
      </c>
      <c r="C416" s="8" t="str">
        <f t="shared" si="24"/>
        <v/>
      </c>
      <c r="D416" s="9" t="str">
        <f>IF(A416="","",C416-子基金及业绩基准周净值!AI441)</f>
        <v/>
      </c>
      <c r="E416" s="12" t="str">
        <f>IF(A416="","",(MAX(B$3:B416)-B416)/MAX(B$3:B416))</f>
        <v/>
      </c>
      <c r="F416" s="12" t="str">
        <f>IF(A416="","",MAX(E$4:E416))</f>
        <v/>
      </c>
      <c r="G416" s="17"/>
      <c r="H416" s="14" t="str">
        <f t="shared" si="25"/>
        <v/>
      </c>
      <c r="I416" s="14" t="str">
        <f t="shared" si="26"/>
        <v/>
      </c>
      <c r="J416" s="15" t="str">
        <f t="shared" si="27"/>
        <v/>
      </c>
    </row>
    <row r="417" spans="1:10">
      <c r="A417" s="7" t="str">
        <f>IF(子基金及业绩基准周净值!A442="","",子基金及业绩基准周净值!A442)</f>
        <v/>
      </c>
      <c r="B417" s="1" t="str">
        <f>IF(A417="","",VLOOKUP($A417,子基金及业绩基准周净值!$A:$AV,11))</f>
        <v/>
      </c>
      <c r="C417" s="8" t="str">
        <f t="shared" si="24"/>
        <v/>
      </c>
      <c r="D417" s="9" t="str">
        <f>IF(A417="","",C417-子基金及业绩基准周净值!AI442)</f>
        <v/>
      </c>
      <c r="E417" s="12" t="str">
        <f>IF(A417="","",(MAX(B$3:B417)-B417)/MAX(B$3:B417))</f>
        <v/>
      </c>
      <c r="F417" s="12" t="str">
        <f>IF(A417="","",MAX(E$4:E417))</f>
        <v/>
      </c>
      <c r="G417" s="17"/>
      <c r="H417" s="14" t="str">
        <f t="shared" si="25"/>
        <v/>
      </c>
      <c r="I417" s="14" t="str">
        <f t="shared" si="26"/>
        <v/>
      </c>
      <c r="J417" s="15" t="str">
        <f t="shared" si="27"/>
        <v/>
      </c>
    </row>
    <row r="418" spans="1:10">
      <c r="A418" s="7" t="str">
        <f>IF(子基金及业绩基准周净值!A443="","",子基金及业绩基准周净值!A443)</f>
        <v/>
      </c>
      <c r="B418" s="1" t="str">
        <f>IF(A418="","",VLOOKUP($A418,子基金及业绩基准周净值!$A:$AV,11))</f>
        <v/>
      </c>
      <c r="C418" s="8" t="str">
        <f t="shared" si="24"/>
        <v/>
      </c>
      <c r="D418" s="9" t="str">
        <f>IF(A418="","",C418-子基金及业绩基准周净值!AI443)</f>
        <v/>
      </c>
      <c r="E418" s="12" t="str">
        <f>IF(A418="","",(MAX(B$3:B418)-B418)/MAX(B$3:B418))</f>
        <v/>
      </c>
      <c r="F418" s="12" t="str">
        <f>IF(A418="","",MAX(E$4:E418))</f>
        <v/>
      </c>
      <c r="G418" s="17"/>
      <c r="H418" s="14" t="str">
        <f t="shared" si="25"/>
        <v/>
      </c>
      <c r="I418" s="14" t="str">
        <f t="shared" si="26"/>
        <v/>
      </c>
      <c r="J418" s="15" t="str">
        <f t="shared" si="27"/>
        <v/>
      </c>
    </row>
    <row r="419" spans="1:10">
      <c r="A419" s="7" t="str">
        <f>IF(子基金及业绩基准周净值!A444="","",子基金及业绩基准周净值!A444)</f>
        <v/>
      </c>
      <c r="B419" s="1" t="str">
        <f>IF(A419="","",VLOOKUP($A419,子基金及业绩基准周净值!$A:$AV,11))</f>
        <v/>
      </c>
      <c r="C419" s="8" t="str">
        <f t="shared" si="24"/>
        <v/>
      </c>
      <c r="D419" s="9" t="str">
        <f>IF(A419="","",C419-子基金及业绩基准周净值!AI444)</f>
        <v/>
      </c>
      <c r="E419" s="12" t="str">
        <f>IF(A419="","",(MAX(B$3:B419)-B419)/MAX(B$3:B419))</f>
        <v/>
      </c>
      <c r="F419" s="12" t="str">
        <f>IF(A419="","",MAX(E$4:E419))</f>
        <v/>
      </c>
      <c r="G419" s="17"/>
      <c r="H419" s="14" t="str">
        <f t="shared" si="25"/>
        <v/>
      </c>
      <c r="I419" s="14" t="str">
        <f t="shared" si="26"/>
        <v/>
      </c>
      <c r="J419" s="15" t="str">
        <f t="shared" si="27"/>
        <v/>
      </c>
    </row>
    <row r="420" spans="1:10">
      <c r="A420" s="7" t="str">
        <f>IF(子基金及业绩基准周净值!A445="","",子基金及业绩基准周净值!A445)</f>
        <v/>
      </c>
      <c r="B420" s="1" t="str">
        <f>IF(A420="","",VLOOKUP($A420,子基金及业绩基准周净值!$A:$AV,11))</f>
        <v/>
      </c>
      <c r="C420" s="8" t="str">
        <f t="shared" si="24"/>
        <v/>
      </c>
      <c r="D420" s="9" t="str">
        <f>IF(A420="","",C420-子基金及业绩基准周净值!AI445)</f>
        <v/>
      </c>
      <c r="E420" s="12" t="str">
        <f>IF(A420="","",(MAX(B$3:B420)-B420)/MAX(B$3:B420))</f>
        <v/>
      </c>
      <c r="F420" s="12" t="str">
        <f>IF(A420="","",MAX(E$4:E420))</f>
        <v/>
      </c>
      <c r="G420" s="17"/>
      <c r="H420" s="14" t="str">
        <f t="shared" si="25"/>
        <v/>
      </c>
      <c r="I420" s="14" t="str">
        <f t="shared" si="26"/>
        <v/>
      </c>
      <c r="J420" s="15" t="str">
        <f t="shared" si="27"/>
        <v/>
      </c>
    </row>
    <row r="421" spans="1:10">
      <c r="A421" s="7" t="str">
        <f>IF(子基金及业绩基准周净值!A446="","",子基金及业绩基准周净值!A446)</f>
        <v/>
      </c>
      <c r="B421" s="1" t="str">
        <f>IF(A421="","",VLOOKUP($A421,子基金及业绩基准周净值!$A:$AV,11))</f>
        <v/>
      </c>
      <c r="C421" s="8" t="str">
        <f t="shared" si="24"/>
        <v/>
      </c>
      <c r="D421" s="9" t="str">
        <f>IF(A421="","",C421-子基金及业绩基准周净值!AI446)</f>
        <v/>
      </c>
      <c r="E421" s="12" t="str">
        <f>IF(A421="","",(MAX(B$3:B421)-B421)/MAX(B$3:B421))</f>
        <v/>
      </c>
      <c r="F421" s="12" t="str">
        <f>IF(A421="","",MAX(E$4:E421))</f>
        <v/>
      </c>
      <c r="G421" s="17"/>
      <c r="H421" s="14" t="str">
        <f t="shared" si="25"/>
        <v/>
      </c>
      <c r="I421" s="14" t="str">
        <f t="shared" si="26"/>
        <v/>
      </c>
      <c r="J421" s="15" t="str">
        <f t="shared" si="27"/>
        <v/>
      </c>
    </row>
    <row r="422" spans="1:10">
      <c r="A422" s="7" t="str">
        <f>IF(子基金及业绩基准周净值!A447="","",子基金及业绩基准周净值!A447)</f>
        <v/>
      </c>
      <c r="B422" s="1" t="str">
        <f>IF(A422="","",VLOOKUP($A422,子基金及业绩基准周净值!$A:$AV,11))</f>
        <v/>
      </c>
      <c r="C422" s="8" t="str">
        <f t="shared" si="24"/>
        <v/>
      </c>
      <c r="D422" s="9" t="str">
        <f>IF(A422="","",C422-子基金及业绩基准周净值!AI447)</f>
        <v/>
      </c>
      <c r="E422" s="12" t="str">
        <f>IF(A422="","",(MAX(B$3:B422)-B422)/MAX(B$3:B422))</f>
        <v/>
      </c>
      <c r="F422" s="12" t="str">
        <f>IF(A422="","",MAX(E$4:E422))</f>
        <v/>
      </c>
      <c r="G422" s="17"/>
      <c r="H422" s="14" t="str">
        <f t="shared" si="25"/>
        <v/>
      </c>
      <c r="I422" s="14" t="str">
        <f t="shared" si="26"/>
        <v/>
      </c>
      <c r="J422" s="15" t="str">
        <f t="shared" si="27"/>
        <v/>
      </c>
    </row>
    <row r="423" spans="1:10">
      <c r="A423" s="7" t="str">
        <f>IF(子基金及业绩基准周净值!A448="","",子基金及业绩基准周净值!A448)</f>
        <v/>
      </c>
      <c r="B423" s="1" t="str">
        <f>IF(A423="","",VLOOKUP($A423,子基金及业绩基准周净值!$A:$AV,11))</f>
        <v/>
      </c>
      <c r="C423" s="8" t="str">
        <f t="shared" si="24"/>
        <v/>
      </c>
      <c r="D423" s="9" t="str">
        <f>IF(A423="","",C423-子基金及业绩基准周净值!AI448)</f>
        <v/>
      </c>
      <c r="E423" s="12" t="str">
        <f>IF(A423="","",(MAX(B$3:B423)-B423)/MAX(B$3:B423))</f>
        <v/>
      </c>
      <c r="F423" s="12" t="str">
        <f>IF(A423="","",MAX(E$4:E423))</f>
        <v/>
      </c>
      <c r="G423" s="17"/>
      <c r="H423" s="14" t="str">
        <f t="shared" si="25"/>
        <v/>
      </c>
      <c r="I423" s="14" t="str">
        <f t="shared" si="26"/>
        <v/>
      </c>
      <c r="J423" s="15" t="str">
        <f t="shared" si="27"/>
        <v/>
      </c>
    </row>
    <row r="424" spans="1:10">
      <c r="A424" s="7" t="str">
        <f>IF(子基金及业绩基准周净值!A449="","",子基金及业绩基准周净值!A449)</f>
        <v/>
      </c>
      <c r="B424" s="1" t="str">
        <f>IF(A424="","",VLOOKUP($A424,子基金及业绩基准周净值!$A:$AV,11))</f>
        <v/>
      </c>
      <c r="C424" s="8" t="str">
        <f t="shared" si="24"/>
        <v/>
      </c>
      <c r="D424" s="9" t="str">
        <f>IF(A424="","",C424-子基金及业绩基准周净值!AI449)</f>
        <v/>
      </c>
      <c r="E424" s="12" t="str">
        <f>IF(A424="","",(MAX(B$3:B424)-B424)/MAX(B$3:B424))</f>
        <v/>
      </c>
      <c r="F424" s="12" t="str">
        <f>IF(A424="","",MAX(E$4:E424))</f>
        <v/>
      </c>
      <c r="G424" s="17"/>
      <c r="H424" s="14" t="str">
        <f t="shared" si="25"/>
        <v/>
      </c>
      <c r="I424" s="14" t="str">
        <f t="shared" si="26"/>
        <v/>
      </c>
      <c r="J424" s="15" t="str">
        <f t="shared" si="27"/>
        <v/>
      </c>
    </row>
    <row r="425" spans="1:10">
      <c r="A425" s="7" t="str">
        <f>IF(子基金及业绩基准周净值!A450="","",子基金及业绩基准周净值!A450)</f>
        <v/>
      </c>
      <c r="B425" s="1" t="str">
        <f>IF(A425="","",VLOOKUP($A425,子基金及业绩基准周净值!$A:$AV,11))</f>
        <v/>
      </c>
      <c r="C425" s="8" t="str">
        <f t="shared" si="24"/>
        <v/>
      </c>
      <c r="D425" s="9" t="str">
        <f>IF(A425="","",C425-子基金及业绩基准周净值!AI450)</f>
        <v/>
      </c>
      <c r="E425" s="12" t="str">
        <f>IF(A425="","",(MAX(B$3:B425)-B425)/MAX(B$3:B425))</f>
        <v/>
      </c>
      <c r="F425" s="12" t="str">
        <f>IF(A425="","",MAX(E$4:E425))</f>
        <v/>
      </c>
      <c r="G425" s="17"/>
      <c r="H425" s="14" t="str">
        <f t="shared" si="25"/>
        <v/>
      </c>
      <c r="I425" s="14" t="str">
        <f t="shared" si="26"/>
        <v/>
      </c>
      <c r="J425" s="15" t="str">
        <f t="shared" si="27"/>
        <v/>
      </c>
    </row>
    <row r="426" spans="1:10">
      <c r="A426" s="7" t="str">
        <f>IF(子基金及业绩基准周净值!A451="","",子基金及业绩基准周净值!A451)</f>
        <v/>
      </c>
      <c r="B426" s="1" t="str">
        <f>IF(A426="","",VLOOKUP($A426,子基金及业绩基准周净值!$A:$AV,11))</f>
        <v/>
      </c>
      <c r="C426" s="8" t="str">
        <f t="shared" si="24"/>
        <v/>
      </c>
      <c r="D426" s="9" t="str">
        <f>IF(A426="","",C426-子基金及业绩基准周净值!AI451)</f>
        <v/>
      </c>
      <c r="E426" s="12" t="str">
        <f>IF(A426="","",(MAX(B$3:B426)-B426)/MAX(B$3:B426))</f>
        <v/>
      </c>
      <c r="F426" s="12" t="str">
        <f>IF(A426="","",MAX(E$4:E426))</f>
        <v/>
      </c>
      <c r="G426" s="17"/>
      <c r="H426" s="14" t="str">
        <f t="shared" si="25"/>
        <v/>
      </c>
      <c r="I426" s="14" t="str">
        <f t="shared" si="26"/>
        <v/>
      </c>
      <c r="J426" s="15" t="str">
        <f t="shared" si="27"/>
        <v/>
      </c>
    </row>
    <row r="427" spans="1:10">
      <c r="A427" s="7" t="str">
        <f>IF(子基金及业绩基准周净值!A452="","",子基金及业绩基准周净值!A452)</f>
        <v/>
      </c>
      <c r="B427" s="1" t="str">
        <f>IF(A427="","",VLOOKUP($A427,子基金及业绩基准周净值!$A:$AV,11))</f>
        <v/>
      </c>
      <c r="C427" s="8" t="str">
        <f t="shared" si="24"/>
        <v/>
      </c>
      <c r="D427" s="9" t="str">
        <f>IF(A427="","",C427-子基金及业绩基准周净值!AI452)</f>
        <v/>
      </c>
      <c r="E427" s="12" t="str">
        <f>IF(A427="","",(MAX(B$3:B427)-B427)/MAX(B$3:B427))</f>
        <v/>
      </c>
      <c r="F427" s="12" t="str">
        <f>IF(A427="","",MAX(E$4:E427))</f>
        <v/>
      </c>
      <c r="G427" s="17"/>
      <c r="H427" s="14" t="str">
        <f t="shared" si="25"/>
        <v/>
      </c>
      <c r="I427" s="14" t="str">
        <f t="shared" si="26"/>
        <v/>
      </c>
      <c r="J427" s="15" t="str">
        <f t="shared" si="27"/>
        <v/>
      </c>
    </row>
    <row r="428" spans="1:10">
      <c r="A428" s="7" t="str">
        <f>IF(子基金及业绩基准周净值!A453="","",子基金及业绩基准周净值!A453)</f>
        <v/>
      </c>
      <c r="B428" s="1" t="str">
        <f>IF(A428="","",VLOOKUP($A428,子基金及业绩基准周净值!$A:$AV,11))</f>
        <v/>
      </c>
      <c r="C428" s="8" t="str">
        <f t="shared" si="24"/>
        <v/>
      </c>
      <c r="D428" s="9" t="str">
        <f>IF(A428="","",C428-子基金及业绩基准周净值!AI453)</f>
        <v/>
      </c>
      <c r="E428" s="12" t="str">
        <f>IF(A428="","",(MAX(B$3:B428)-B428)/MAX(B$3:B428))</f>
        <v/>
      </c>
      <c r="F428" s="12" t="str">
        <f>IF(A428="","",MAX(E$4:E428))</f>
        <v/>
      </c>
      <c r="G428" s="17"/>
      <c r="H428" s="14" t="str">
        <f t="shared" si="25"/>
        <v/>
      </c>
      <c r="I428" s="14" t="str">
        <f t="shared" si="26"/>
        <v/>
      </c>
      <c r="J428" s="15" t="str">
        <f t="shared" si="27"/>
        <v/>
      </c>
    </row>
    <row r="429" spans="1:10">
      <c r="A429" s="7" t="str">
        <f>IF(子基金及业绩基准周净值!A454="","",子基金及业绩基准周净值!A454)</f>
        <v/>
      </c>
      <c r="B429" s="1" t="str">
        <f>IF(A429="","",VLOOKUP($A429,子基金及业绩基准周净值!$A:$AV,11))</f>
        <v/>
      </c>
      <c r="C429" s="8" t="str">
        <f t="shared" si="24"/>
        <v/>
      </c>
      <c r="D429" s="9" t="str">
        <f>IF(A429="","",C429-子基金及业绩基准周净值!AI454)</f>
        <v/>
      </c>
      <c r="E429" s="12" t="str">
        <f>IF(A429="","",(MAX(B$3:B429)-B429)/MAX(B$3:B429))</f>
        <v/>
      </c>
      <c r="F429" s="12" t="str">
        <f>IF(A429="","",MAX(E$4:E429))</f>
        <v/>
      </c>
      <c r="G429" s="17"/>
      <c r="H429" s="14" t="str">
        <f t="shared" si="25"/>
        <v/>
      </c>
      <c r="I429" s="14" t="str">
        <f t="shared" si="26"/>
        <v/>
      </c>
      <c r="J429" s="15" t="str">
        <f t="shared" si="27"/>
        <v/>
      </c>
    </row>
    <row r="430" spans="1:10">
      <c r="A430" s="7" t="str">
        <f>IF(子基金及业绩基准周净值!A455="","",子基金及业绩基准周净值!A455)</f>
        <v/>
      </c>
      <c r="B430" s="1" t="str">
        <f>IF(A430="","",VLOOKUP($A430,子基金及业绩基准周净值!$A:$AV,11))</f>
        <v/>
      </c>
      <c r="C430" s="8" t="str">
        <f t="shared" si="24"/>
        <v/>
      </c>
      <c r="D430" s="9" t="str">
        <f>IF(A430="","",C430-子基金及业绩基准周净值!AI455)</f>
        <v/>
      </c>
      <c r="E430" s="12" t="str">
        <f>IF(A430="","",(MAX(B$3:B430)-B430)/MAX(B$3:B430))</f>
        <v/>
      </c>
      <c r="F430" s="12" t="str">
        <f>IF(A430="","",MAX(E$4:E430))</f>
        <v/>
      </c>
      <c r="G430" s="17"/>
      <c r="H430" s="14" t="str">
        <f t="shared" si="25"/>
        <v/>
      </c>
      <c r="I430" s="14" t="str">
        <f t="shared" si="26"/>
        <v/>
      </c>
      <c r="J430" s="15" t="str">
        <f t="shared" si="27"/>
        <v/>
      </c>
    </row>
    <row r="431" spans="1:10">
      <c r="A431" s="7" t="str">
        <f>IF(子基金及业绩基准周净值!A456="","",子基金及业绩基准周净值!A456)</f>
        <v/>
      </c>
      <c r="B431" s="1" t="str">
        <f>IF(A431="","",VLOOKUP($A431,子基金及业绩基准周净值!$A:$AV,11))</f>
        <v/>
      </c>
      <c r="C431" s="8" t="str">
        <f t="shared" si="24"/>
        <v/>
      </c>
      <c r="D431" s="9" t="str">
        <f>IF(A431="","",C431-子基金及业绩基准周净值!AI456)</f>
        <v/>
      </c>
      <c r="E431" s="12" t="str">
        <f>IF(A431="","",(MAX(B$3:B431)-B431)/MAX(B$3:B431))</f>
        <v/>
      </c>
      <c r="F431" s="12" t="str">
        <f>IF(A431="","",MAX(E$4:E431))</f>
        <v/>
      </c>
      <c r="G431" s="17"/>
      <c r="H431" s="14" t="str">
        <f t="shared" si="25"/>
        <v/>
      </c>
      <c r="I431" s="14" t="str">
        <f t="shared" si="26"/>
        <v/>
      </c>
      <c r="J431" s="15" t="str">
        <f t="shared" si="27"/>
        <v/>
      </c>
    </row>
    <row r="432" spans="1:10">
      <c r="A432" s="7" t="str">
        <f>IF(子基金及业绩基准周净值!A457="","",子基金及业绩基准周净值!A457)</f>
        <v/>
      </c>
      <c r="B432" s="1" t="str">
        <f>IF(A432="","",VLOOKUP($A432,子基金及业绩基准周净值!$A:$AV,11))</f>
        <v/>
      </c>
      <c r="C432" s="8" t="str">
        <f t="shared" si="24"/>
        <v/>
      </c>
      <c r="D432" s="9" t="str">
        <f>IF(A432="","",C432-子基金及业绩基准周净值!AI457)</f>
        <v/>
      </c>
      <c r="E432" s="12" t="str">
        <f>IF(A432="","",(MAX(B$3:B432)-B432)/MAX(B$3:B432))</f>
        <v/>
      </c>
      <c r="F432" s="12" t="str">
        <f>IF(A432="","",MAX(E$4:E432))</f>
        <v/>
      </c>
      <c r="G432" s="17"/>
      <c r="H432" s="14" t="str">
        <f t="shared" si="25"/>
        <v/>
      </c>
      <c r="I432" s="14" t="str">
        <f t="shared" si="26"/>
        <v/>
      </c>
      <c r="J432" s="15" t="str">
        <f t="shared" si="27"/>
        <v/>
      </c>
    </row>
    <row r="433" spans="1:10">
      <c r="A433" s="7" t="str">
        <f>IF(子基金及业绩基准周净值!A458="","",子基金及业绩基准周净值!A458)</f>
        <v/>
      </c>
      <c r="B433" s="1" t="str">
        <f>IF(A433="","",VLOOKUP($A433,子基金及业绩基准周净值!$A:$AV,11))</f>
        <v/>
      </c>
      <c r="C433" s="8" t="str">
        <f t="shared" si="24"/>
        <v/>
      </c>
      <c r="D433" s="9" t="str">
        <f>IF(A433="","",C433-子基金及业绩基准周净值!AI458)</f>
        <v/>
      </c>
      <c r="E433" s="12" t="str">
        <f>IF(A433="","",(MAX(B$3:B433)-B433)/MAX(B$3:B433))</f>
        <v/>
      </c>
      <c r="F433" s="12" t="str">
        <f>IF(A433="","",MAX(E$4:E433))</f>
        <v/>
      </c>
      <c r="G433" s="17"/>
      <c r="H433" s="14" t="str">
        <f t="shared" si="25"/>
        <v/>
      </c>
      <c r="I433" s="14" t="str">
        <f t="shared" si="26"/>
        <v/>
      </c>
      <c r="J433" s="15" t="str">
        <f t="shared" si="27"/>
        <v/>
      </c>
    </row>
    <row r="434" spans="1:10">
      <c r="A434" s="7" t="str">
        <f>IF(子基金及业绩基准周净值!A459="","",子基金及业绩基准周净值!A459)</f>
        <v/>
      </c>
      <c r="B434" s="1" t="str">
        <f>IF(A434="","",VLOOKUP($A434,子基金及业绩基准周净值!$A:$AV,11))</f>
        <v/>
      </c>
      <c r="C434" s="8" t="str">
        <f t="shared" si="24"/>
        <v/>
      </c>
      <c r="D434" s="9" t="str">
        <f>IF(A434="","",C434-子基金及业绩基准周净值!AI459)</f>
        <v/>
      </c>
      <c r="E434" s="12" t="str">
        <f>IF(A434="","",(MAX(B$3:B434)-B434)/MAX(B$3:B434))</f>
        <v/>
      </c>
      <c r="F434" s="12" t="str">
        <f>IF(A434="","",MAX(E$4:E434))</f>
        <v/>
      </c>
      <c r="G434" s="17"/>
      <c r="H434" s="14" t="str">
        <f t="shared" si="25"/>
        <v/>
      </c>
      <c r="I434" s="14" t="str">
        <f t="shared" si="26"/>
        <v/>
      </c>
      <c r="J434" s="15" t="str">
        <f t="shared" si="27"/>
        <v/>
      </c>
    </row>
    <row r="435" spans="1:10">
      <c r="A435" s="7" t="str">
        <f>IF(子基金及业绩基准周净值!A460="","",子基金及业绩基准周净值!A460)</f>
        <v/>
      </c>
      <c r="B435" s="1" t="str">
        <f>IF(A435="","",VLOOKUP($A435,子基金及业绩基准周净值!$A:$AV,11))</f>
        <v/>
      </c>
      <c r="C435" s="8" t="str">
        <f t="shared" si="24"/>
        <v/>
      </c>
      <c r="D435" s="9" t="str">
        <f>IF(A435="","",C435-子基金及业绩基准周净值!AI460)</f>
        <v/>
      </c>
      <c r="E435" s="12" t="str">
        <f>IF(A435="","",(MAX(B$3:B435)-B435)/MAX(B$3:B435))</f>
        <v/>
      </c>
      <c r="F435" s="12" t="str">
        <f>IF(A435="","",MAX(E$4:E435))</f>
        <v/>
      </c>
      <c r="G435" s="17"/>
      <c r="H435" s="14" t="str">
        <f t="shared" si="25"/>
        <v/>
      </c>
      <c r="I435" s="14" t="str">
        <f t="shared" si="26"/>
        <v/>
      </c>
      <c r="J435" s="15" t="str">
        <f t="shared" si="27"/>
        <v/>
      </c>
    </row>
    <row r="436" spans="1:10">
      <c r="A436" s="7" t="str">
        <f>IF(子基金及业绩基准周净值!A461="","",子基金及业绩基准周净值!A461)</f>
        <v/>
      </c>
      <c r="B436" s="1" t="str">
        <f>IF(A436="","",VLOOKUP($A436,子基金及业绩基准周净值!$A:$AV,11))</f>
        <v/>
      </c>
      <c r="C436" s="8" t="str">
        <f t="shared" si="24"/>
        <v/>
      </c>
      <c r="D436" s="9" t="str">
        <f>IF(A436="","",C436-子基金及业绩基准周净值!AI461)</f>
        <v/>
      </c>
      <c r="E436" s="12" t="str">
        <f>IF(A436="","",(MAX(B$3:B436)-B436)/MAX(B$3:B436))</f>
        <v/>
      </c>
      <c r="F436" s="12" t="str">
        <f>IF(A436="","",MAX(E$4:E436))</f>
        <v/>
      </c>
      <c r="G436" s="17"/>
      <c r="H436" s="14" t="str">
        <f t="shared" si="25"/>
        <v/>
      </c>
      <c r="I436" s="14" t="str">
        <f t="shared" si="26"/>
        <v/>
      </c>
      <c r="J436" s="15" t="str">
        <f t="shared" si="27"/>
        <v/>
      </c>
    </row>
    <row r="437" spans="1:10">
      <c r="A437" s="7" t="str">
        <f>IF(子基金及业绩基准周净值!A462="","",子基金及业绩基准周净值!A462)</f>
        <v/>
      </c>
      <c r="B437" s="1" t="str">
        <f>IF(A437="","",VLOOKUP($A437,子基金及业绩基准周净值!$A:$AV,11))</f>
        <v/>
      </c>
      <c r="C437" s="8" t="str">
        <f t="shared" si="24"/>
        <v/>
      </c>
      <c r="D437" s="9" t="str">
        <f>IF(A437="","",C437-子基金及业绩基准周净值!AI462)</f>
        <v/>
      </c>
      <c r="E437" s="12" t="str">
        <f>IF(A437="","",(MAX(B$3:B437)-B437)/MAX(B$3:B437))</f>
        <v/>
      </c>
      <c r="F437" s="12" t="str">
        <f>IF(A437="","",MAX(E$4:E437))</f>
        <v/>
      </c>
      <c r="G437" s="17"/>
      <c r="H437" s="14" t="str">
        <f t="shared" si="25"/>
        <v/>
      </c>
      <c r="I437" s="14" t="str">
        <f t="shared" si="26"/>
        <v/>
      </c>
      <c r="J437" s="15" t="str">
        <f t="shared" si="27"/>
        <v/>
      </c>
    </row>
    <row r="438" spans="1:10">
      <c r="A438" s="7" t="str">
        <f>IF(子基金及业绩基准周净值!A463="","",子基金及业绩基准周净值!A463)</f>
        <v/>
      </c>
      <c r="B438" s="1" t="str">
        <f>IF(A438="","",VLOOKUP($A438,子基金及业绩基准周净值!$A:$AV,11))</f>
        <v/>
      </c>
      <c r="C438" s="8" t="str">
        <f t="shared" si="24"/>
        <v/>
      </c>
      <c r="D438" s="9" t="str">
        <f>IF(A438="","",C438-子基金及业绩基准周净值!AI463)</f>
        <v/>
      </c>
      <c r="E438" s="12" t="str">
        <f>IF(A438="","",(MAX(B$3:B438)-B438)/MAX(B$3:B438))</f>
        <v/>
      </c>
      <c r="F438" s="12" t="str">
        <f>IF(A438="","",MAX(E$4:E438))</f>
        <v/>
      </c>
      <c r="G438" s="17"/>
      <c r="H438" s="14" t="str">
        <f t="shared" si="25"/>
        <v/>
      </c>
      <c r="I438" s="14" t="str">
        <f t="shared" si="26"/>
        <v/>
      </c>
      <c r="J438" s="15" t="str">
        <f t="shared" si="27"/>
        <v/>
      </c>
    </row>
    <row r="439" spans="1:10">
      <c r="A439" s="7" t="str">
        <f>IF(子基金及业绩基准周净值!A464="","",子基金及业绩基准周净值!A464)</f>
        <v/>
      </c>
      <c r="B439" s="1" t="str">
        <f>IF(A439="","",VLOOKUP($A439,子基金及业绩基准周净值!$A:$AV,11))</f>
        <v/>
      </c>
      <c r="C439" s="8" t="str">
        <f t="shared" si="24"/>
        <v/>
      </c>
      <c r="D439" s="9" t="str">
        <f>IF(A439="","",C439-子基金及业绩基准周净值!AI464)</f>
        <v/>
      </c>
      <c r="E439" s="12" t="str">
        <f>IF(A439="","",(MAX(B$3:B439)-B439)/MAX(B$3:B439))</f>
        <v/>
      </c>
      <c r="F439" s="12" t="str">
        <f>IF(A439="","",MAX(E$4:E439))</f>
        <v/>
      </c>
      <c r="G439" s="17"/>
      <c r="H439" s="14" t="str">
        <f t="shared" si="25"/>
        <v/>
      </c>
      <c r="I439" s="14" t="str">
        <f t="shared" si="26"/>
        <v/>
      </c>
      <c r="J439" s="15" t="str">
        <f t="shared" si="27"/>
        <v/>
      </c>
    </row>
    <row r="440" spans="1:10">
      <c r="A440" s="7" t="str">
        <f>IF(子基金及业绩基准周净值!A465="","",子基金及业绩基准周净值!A465)</f>
        <v/>
      </c>
      <c r="B440" s="1" t="str">
        <f>IF(A440="","",VLOOKUP($A440,子基金及业绩基准周净值!$A:$AV,11))</f>
        <v/>
      </c>
      <c r="C440" s="8" t="str">
        <f t="shared" si="24"/>
        <v/>
      </c>
      <c r="D440" s="9" t="str">
        <f>IF(A440="","",C440-子基金及业绩基准周净值!AI465)</f>
        <v/>
      </c>
      <c r="E440" s="12" t="str">
        <f>IF(A440="","",(MAX(B$3:B440)-B440)/MAX(B$3:B440))</f>
        <v/>
      </c>
      <c r="F440" s="12" t="str">
        <f>IF(A440="","",MAX(E$4:E440))</f>
        <v/>
      </c>
      <c r="G440" s="17"/>
      <c r="H440" s="14" t="str">
        <f t="shared" si="25"/>
        <v/>
      </c>
      <c r="I440" s="14" t="str">
        <f t="shared" si="26"/>
        <v/>
      </c>
      <c r="J440" s="15" t="str">
        <f t="shared" si="27"/>
        <v/>
      </c>
    </row>
    <row r="441" spans="1:10">
      <c r="A441" s="7" t="str">
        <f>IF(子基金及业绩基准周净值!A466="","",子基金及业绩基准周净值!A466)</f>
        <v/>
      </c>
      <c r="B441" s="1" t="str">
        <f>IF(A441="","",VLOOKUP($A441,子基金及业绩基准周净值!$A:$AV,11))</f>
        <v/>
      </c>
      <c r="C441" s="8" t="str">
        <f t="shared" si="24"/>
        <v/>
      </c>
      <c r="D441" s="9" t="str">
        <f>IF(A441="","",C441-子基金及业绩基准周净值!AI466)</f>
        <v/>
      </c>
      <c r="E441" s="12" t="str">
        <f>IF(A441="","",(MAX(B$3:B441)-B441)/MAX(B$3:B441))</f>
        <v/>
      </c>
      <c r="F441" s="12" t="str">
        <f>IF(A441="","",MAX(E$4:E441))</f>
        <v/>
      </c>
      <c r="G441" s="17"/>
      <c r="H441" s="14" t="str">
        <f t="shared" si="25"/>
        <v/>
      </c>
      <c r="I441" s="14" t="str">
        <f t="shared" si="26"/>
        <v/>
      </c>
      <c r="J441" s="15" t="str">
        <f t="shared" si="27"/>
        <v/>
      </c>
    </row>
    <row r="442" spans="1:10">
      <c r="A442" s="7" t="str">
        <f>IF(子基金及业绩基准周净值!A467="","",子基金及业绩基准周净值!A467)</f>
        <v/>
      </c>
      <c r="B442" s="1" t="str">
        <f>IF(A442="","",VLOOKUP($A442,子基金及业绩基准周净值!$A:$AV,11))</f>
        <v/>
      </c>
      <c r="C442" s="8" t="str">
        <f t="shared" si="24"/>
        <v/>
      </c>
      <c r="D442" s="9" t="str">
        <f>IF(A442="","",C442-子基金及业绩基准周净值!AI467)</f>
        <v/>
      </c>
      <c r="E442" s="12" t="str">
        <f>IF(A442="","",(MAX(B$3:B442)-B442)/MAX(B$3:B442))</f>
        <v/>
      </c>
      <c r="F442" s="12" t="str">
        <f>IF(A442="","",MAX(E$4:E442))</f>
        <v/>
      </c>
      <c r="G442" s="17"/>
      <c r="H442" s="14" t="str">
        <f t="shared" si="25"/>
        <v/>
      </c>
      <c r="I442" s="14" t="str">
        <f t="shared" si="26"/>
        <v/>
      </c>
      <c r="J442" s="15" t="str">
        <f t="shared" si="27"/>
        <v/>
      </c>
    </row>
    <row r="443" spans="1:10">
      <c r="A443" s="7" t="str">
        <f>IF(子基金及业绩基准周净值!A468="","",子基金及业绩基准周净值!A468)</f>
        <v/>
      </c>
      <c r="B443" s="1" t="str">
        <f>IF(A443="","",VLOOKUP($A443,子基金及业绩基准周净值!$A:$AV,11))</f>
        <v/>
      </c>
      <c r="C443" s="8" t="str">
        <f t="shared" si="24"/>
        <v/>
      </c>
      <c r="D443" s="9" t="str">
        <f>IF(A443="","",C443-子基金及业绩基准周净值!AI468)</f>
        <v/>
      </c>
      <c r="E443" s="12" t="str">
        <f>IF(A443="","",(MAX(B$3:B443)-B443)/MAX(B$3:B443))</f>
        <v/>
      </c>
      <c r="F443" s="12" t="str">
        <f>IF(A443="","",MAX(E$4:E443))</f>
        <v/>
      </c>
      <c r="G443" s="17"/>
      <c r="H443" s="14" t="str">
        <f t="shared" si="25"/>
        <v/>
      </c>
      <c r="I443" s="14" t="str">
        <f t="shared" si="26"/>
        <v/>
      </c>
      <c r="J443" s="15" t="str">
        <f t="shared" si="27"/>
        <v/>
      </c>
    </row>
    <row r="444" spans="1:10">
      <c r="A444" s="7" t="str">
        <f>IF(子基金及业绩基准周净值!A469="","",子基金及业绩基准周净值!A469)</f>
        <v/>
      </c>
      <c r="B444" s="1" t="str">
        <f>IF(A444="","",VLOOKUP($A444,子基金及业绩基准周净值!$A:$AV,11))</f>
        <v/>
      </c>
      <c r="C444" s="8" t="str">
        <f t="shared" si="24"/>
        <v/>
      </c>
      <c r="D444" s="9" t="str">
        <f>IF(A444="","",C444-子基金及业绩基准周净值!AI469)</f>
        <v/>
      </c>
      <c r="E444" s="12" t="str">
        <f>IF(A444="","",(MAX(B$3:B444)-B444)/MAX(B$3:B444))</f>
        <v/>
      </c>
      <c r="F444" s="12" t="str">
        <f>IF(A444="","",MAX(E$4:E444))</f>
        <v/>
      </c>
      <c r="G444" s="17"/>
      <c r="H444" s="14" t="str">
        <f t="shared" si="25"/>
        <v/>
      </c>
      <c r="I444" s="14" t="str">
        <f t="shared" si="26"/>
        <v/>
      </c>
      <c r="J444" s="15" t="str">
        <f t="shared" si="27"/>
        <v/>
      </c>
    </row>
    <row r="445" spans="1:10">
      <c r="A445" s="7" t="str">
        <f>IF(子基金及业绩基准周净值!A470="","",子基金及业绩基准周净值!A470)</f>
        <v/>
      </c>
      <c r="B445" s="1" t="str">
        <f>IF(A445="","",VLOOKUP($A445,子基金及业绩基准周净值!$A:$AV,11))</f>
        <v/>
      </c>
      <c r="C445" s="8" t="str">
        <f t="shared" si="24"/>
        <v/>
      </c>
      <c r="D445" s="9" t="str">
        <f>IF(A445="","",C445-子基金及业绩基准周净值!AI470)</f>
        <v/>
      </c>
      <c r="E445" s="12" t="str">
        <f>IF(A445="","",(MAX(B$3:B445)-B445)/MAX(B$3:B445))</f>
        <v/>
      </c>
      <c r="F445" s="12" t="str">
        <f>IF(A445="","",MAX(E$4:E445))</f>
        <v/>
      </c>
      <c r="G445" s="17"/>
      <c r="H445" s="14" t="str">
        <f t="shared" si="25"/>
        <v/>
      </c>
      <c r="I445" s="14" t="str">
        <f t="shared" si="26"/>
        <v/>
      </c>
      <c r="J445" s="15" t="str">
        <f t="shared" si="27"/>
        <v/>
      </c>
    </row>
    <row r="446" spans="1:10">
      <c r="A446" s="7" t="str">
        <f>IF(子基金及业绩基准周净值!A471="","",子基金及业绩基准周净值!A471)</f>
        <v/>
      </c>
      <c r="B446" s="1" t="str">
        <f>IF(A446="","",VLOOKUP($A446,子基金及业绩基准周净值!$A:$AV,11))</f>
        <v/>
      </c>
      <c r="C446" s="8" t="str">
        <f t="shared" si="24"/>
        <v/>
      </c>
      <c r="D446" s="9" t="str">
        <f>IF(A446="","",C446-子基金及业绩基准周净值!AI471)</f>
        <v/>
      </c>
      <c r="E446" s="12" t="str">
        <f>IF(A446="","",(MAX(B$3:B446)-B446)/MAX(B$3:B446))</f>
        <v/>
      </c>
      <c r="F446" s="12" t="str">
        <f>IF(A446="","",MAX(E$4:E446))</f>
        <v/>
      </c>
      <c r="G446" s="17"/>
      <c r="H446" s="14" t="str">
        <f t="shared" si="25"/>
        <v/>
      </c>
      <c r="I446" s="14" t="str">
        <f t="shared" si="26"/>
        <v/>
      </c>
      <c r="J446" s="15" t="str">
        <f t="shared" si="27"/>
        <v/>
      </c>
    </row>
    <row r="447" spans="1:10">
      <c r="A447" s="7" t="str">
        <f>IF(子基金及业绩基准周净值!A472="","",子基金及业绩基准周净值!A472)</f>
        <v/>
      </c>
      <c r="B447" s="1" t="str">
        <f>IF(A447="","",VLOOKUP($A447,子基金及业绩基准周净值!$A:$AV,11))</f>
        <v/>
      </c>
      <c r="C447" s="8" t="str">
        <f t="shared" si="24"/>
        <v/>
      </c>
      <c r="D447" s="9" t="str">
        <f>IF(A447="","",C447-子基金及业绩基准周净值!AI472)</f>
        <v/>
      </c>
      <c r="E447" s="12" t="str">
        <f>IF(A447="","",(MAX(B$3:B447)-B447)/MAX(B$3:B447))</f>
        <v/>
      </c>
      <c r="F447" s="12" t="str">
        <f>IF(A447="","",MAX(E$4:E447))</f>
        <v/>
      </c>
      <c r="G447" s="17"/>
      <c r="H447" s="14" t="str">
        <f t="shared" si="25"/>
        <v/>
      </c>
      <c r="I447" s="14" t="str">
        <f t="shared" si="26"/>
        <v/>
      </c>
      <c r="J447" s="15" t="str">
        <f t="shared" si="27"/>
        <v/>
      </c>
    </row>
    <row r="448" spans="1:10">
      <c r="A448" s="7" t="str">
        <f>IF(子基金及业绩基准周净值!A473="","",子基金及业绩基准周净值!A473)</f>
        <v/>
      </c>
      <c r="B448" s="1" t="str">
        <f>IF(A448="","",VLOOKUP($A448,子基金及业绩基准周净值!$A:$AV,11))</f>
        <v/>
      </c>
      <c r="C448" s="8" t="str">
        <f t="shared" si="24"/>
        <v/>
      </c>
      <c r="D448" s="9" t="str">
        <f>IF(A448="","",C448-子基金及业绩基准周净值!AI473)</f>
        <v/>
      </c>
      <c r="E448" s="12" t="str">
        <f>IF(A448="","",(MAX(B$3:B448)-B448)/MAX(B$3:B448))</f>
        <v/>
      </c>
      <c r="F448" s="12" t="str">
        <f>IF(A448="","",MAX(E$4:E448))</f>
        <v/>
      </c>
      <c r="G448" s="17"/>
      <c r="H448" s="14" t="str">
        <f t="shared" si="25"/>
        <v/>
      </c>
      <c r="I448" s="14" t="str">
        <f t="shared" si="26"/>
        <v/>
      </c>
      <c r="J448" s="15" t="str">
        <f t="shared" si="27"/>
        <v/>
      </c>
    </row>
    <row r="449" spans="1:10">
      <c r="A449" s="7" t="str">
        <f>IF(子基金及业绩基准周净值!A474="","",子基金及业绩基准周净值!A474)</f>
        <v/>
      </c>
      <c r="B449" s="1" t="str">
        <f>IF(A449="","",VLOOKUP($A449,子基金及业绩基准周净值!$A:$AV,11))</f>
        <v/>
      </c>
      <c r="C449" s="8" t="str">
        <f t="shared" si="24"/>
        <v/>
      </c>
      <c r="D449" s="9" t="str">
        <f>IF(A449="","",C449-子基金及业绩基准周净值!AI474)</f>
        <v/>
      </c>
      <c r="E449" s="12" t="str">
        <f>IF(A449="","",(MAX(B$3:B449)-B449)/MAX(B$3:B449))</f>
        <v/>
      </c>
      <c r="F449" s="12" t="str">
        <f>IF(A449="","",MAX(E$4:E449))</f>
        <v/>
      </c>
      <c r="G449" s="17"/>
      <c r="H449" s="14" t="str">
        <f t="shared" si="25"/>
        <v/>
      </c>
      <c r="I449" s="14" t="str">
        <f t="shared" si="26"/>
        <v/>
      </c>
      <c r="J449" s="15" t="str">
        <f t="shared" si="27"/>
        <v/>
      </c>
    </row>
    <row r="450" spans="1:10">
      <c r="A450" s="7" t="str">
        <f>IF(子基金及业绩基准周净值!A475="","",子基金及业绩基准周净值!A475)</f>
        <v/>
      </c>
      <c r="B450" s="1" t="str">
        <f>IF(A450="","",VLOOKUP($A450,子基金及业绩基准周净值!$A:$AV,11))</f>
        <v/>
      </c>
      <c r="C450" s="8" t="str">
        <f t="shared" si="24"/>
        <v/>
      </c>
      <c r="D450" s="9" t="str">
        <f>IF(A450="","",C450-子基金及业绩基准周净值!AI475)</f>
        <v/>
      </c>
      <c r="E450" s="12" t="str">
        <f>IF(A450="","",(MAX(B$3:B450)-B450)/MAX(B$3:B450))</f>
        <v/>
      </c>
      <c r="F450" s="12" t="str">
        <f>IF(A450="","",MAX(E$4:E450))</f>
        <v/>
      </c>
      <c r="G450" s="17"/>
      <c r="H450" s="14" t="str">
        <f t="shared" si="25"/>
        <v/>
      </c>
      <c r="I450" s="14" t="str">
        <f t="shared" si="26"/>
        <v/>
      </c>
      <c r="J450" s="15" t="str">
        <f t="shared" si="27"/>
        <v/>
      </c>
    </row>
    <row r="451" spans="1:10">
      <c r="A451" s="7" t="str">
        <f>IF(子基金及业绩基准周净值!A476="","",子基金及业绩基准周净值!A476)</f>
        <v/>
      </c>
      <c r="B451" s="1" t="str">
        <f>IF(A451="","",VLOOKUP($A451,子基金及业绩基准周净值!$A:$AV,11))</f>
        <v/>
      </c>
      <c r="C451" s="8" t="str">
        <f t="shared" si="24"/>
        <v/>
      </c>
      <c r="D451" s="9" t="str">
        <f>IF(A451="","",C451-子基金及业绩基准周净值!AI476)</f>
        <v/>
      </c>
      <c r="E451" s="12" t="str">
        <f>IF(A451="","",(MAX(B$3:B451)-B451)/MAX(B$3:B451))</f>
        <v/>
      </c>
      <c r="F451" s="12" t="str">
        <f>IF(A451="","",MAX(E$4:E451))</f>
        <v/>
      </c>
      <c r="G451" s="17"/>
      <c r="H451" s="14" t="str">
        <f t="shared" si="25"/>
        <v/>
      </c>
      <c r="I451" s="14" t="str">
        <f t="shared" si="26"/>
        <v/>
      </c>
      <c r="J451" s="15" t="str">
        <f t="shared" si="27"/>
        <v/>
      </c>
    </row>
    <row r="452" spans="1:10">
      <c r="A452" s="7" t="str">
        <f>IF(子基金及业绩基准周净值!A477="","",子基金及业绩基准周净值!A477)</f>
        <v/>
      </c>
      <c r="B452" s="1" t="str">
        <f>IF(A452="","",VLOOKUP($A452,子基金及业绩基准周净值!$A:$AV,11))</f>
        <v/>
      </c>
      <c r="C452" s="8" t="str">
        <f t="shared" si="24"/>
        <v/>
      </c>
      <c r="D452" s="9" t="str">
        <f>IF(A452="","",C452-子基金及业绩基准周净值!AI477)</f>
        <v/>
      </c>
      <c r="E452" s="12" t="str">
        <f>IF(A452="","",(MAX(B$3:B452)-B452)/MAX(B$3:B452))</f>
        <v/>
      </c>
      <c r="F452" s="12" t="str">
        <f>IF(A452="","",MAX(E$4:E452))</f>
        <v/>
      </c>
      <c r="G452" s="17"/>
      <c r="H452" s="14" t="str">
        <f t="shared" si="25"/>
        <v/>
      </c>
      <c r="I452" s="14" t="str">
        <f t="shared" si="26"/>
        <v/>
      </c>
      <c r="J452" s="15" t="str">
        <f t="shared" si="27"/>
        <v/>
      </c>
    </row>
    <row r="453" spans="1:10">
      <c r="A453" s="7" t="str">
        <f>IF(子基金及业绩基准周净值!A478="","",子基金及业绩基准周净值!A478)</f>
        <v/>
      </c>
      <c r="B453" s="1" t="str">
        <f>IF(A453="","",VLOOKUP($A453,子基金及业绩基准周净值!$A:$AV,11))</f>
        <v/>
      </c>
      <c r="C453" s="8" t="str">
        <f t="shared" ref="C453:C516" si="28">IF(A453="","",(B453-B452)/B452)</f>
        <v/>
      </c>
      <c r="D453" s="9" t="str">
        <f>IF(A453="","",C453-子基金及业绩基准周净值!AI478)</f>
        <v/>
      </c>
      <c r="E453" s="12" t="str">
        <f>IF(A453="","",(MAX(B$3:B453)-B453)/MAX(B$3:B453))</f>
        <v/>
      </c>
      <c r="F453" s="12" t="str">
        <f>IF(A453="","",MAX(E$4:E453))</f>
        <v/>
      </c>
      <c r="G453" s="17"/>
      <c r="H453" s="14" t="str">
        <f t="shared" ref="H453:H516" si="29">IF(B453="","",IF(C453&lt;-3%,"是","否"))</f>
        <v/>
      </c>
      <c r="I453" s="14" t="str">
        <f t="shared" ref="I453:I516" si="30">IF(A453="","",IF(F453&gt;5%,"是","否"))</f>
        <v/>
      </c>
      <c r="J453" s="15" t="str">
        <f t="shared" ref="J453:J516" si="31">IF(A453="","",IF(G453&gt;=4,"是","否"))</f>
        <v/>
      </c>
    </row>
    <row r="454" spans="1:10">
      <c r="A454" s="7" t="str">
        <f>IF(子基金及业绩基准周净值!A479="","",子基金及业绩基准周净值!A479)</f>
        <v/>
      </c>
      <c r="B454" s="1" t="str">
        <f>IF(A454="","",VLOOKUP($A454,子基金及业绩基准周净值!$A:$AV,11))</f>
        <v/>
      </c>
      <c r="C454" s="8" t="str">
        <f t="shared" si="28"/>
        <v/>
      </c>
      <c r="D454" s="9" t="str">
        <f>IF(A454="","",C454-子基金及业绩基准周净值!AI479)</f>
        <v/>
      </c>
      <c r="E454" s="12" t="str">
        <f>IF(A454="","",(MAX(B$3:B454)-B454)/MAX(B$3:B454))</f>
        <v/>
      </c>
      <c r="F454" s="12" t="str">
        <f>IF(A454="","",MAX(E$4:E454))</f>
        <v/>
      </c>
      <c r="G454" s="17"/>
      <c r="H454" s="14" t="str">
        <f t="shared" si="29"/>
        <v/>
      </c>
      <c r="I454" s="14" t="str">
        <f t="shared" si="30"/>
        <v/>
      </c>
      <c r="J454" s="15" t="str">
        <f t="shared" si="31"/>
        <v/>
      </c>
    </row>
    <row r="455" spans="1:10">
      <c r="A455" s="7" t="str">
        <f>IF(子基金及业绩基准周净值!A480="","",子基金及业绩基准周净值!A480)</f>
        <v/>
      </c>
      <c r="B455" s="1" t="str">
        <f>IF(A455="","",VLOOKUP($A455,子基金及业绩基准周净值!$A:$AV,11))</f>
        <v/>
      </c>
      <c r="C455" s="8" t="str">
        <f t="shared" si="28"/>
        <v/>
      </c>
      <c r="D455" s="9" t="str">
        <f>IF(A455="","",C455-子基金及业绩基准周净值!AI480)</f>
        <v/>
      </c>
      <c r="E455" s="12" t="str">
        <f>IF(A455="","",(MAX(B$3:B455)-B455)/MAX(B$3:B455))</f>
        <v/>
      </c>
      <c r="F455" s="12" t="str">
        <f>IF(A455="","",MAX(E$4:E455))</f>
        <v/>
      </c>
      <c r="G455" s="17"/>
      <c r="H455" s="14" t="str">
        <f t="shared" si="29"/>
        <v/>
      </c>
      <c r="I455" s="14" t="str">
        <f t="shared" si="30"/>
        <v/>
      </c>
      <c r="J455" s="15" t="str">
        <f t="shared" si="31"/>
        <v/>
      </c>
    </row>
    <row r="456" spans="1:10">
      <c r="A456" s="7" t="str">
        <f>IF(子基金及业绩基准周净值!A481="","",子基金及业绩基准周净值!A481)</f>
        <v/>
      </c>
      <c r="B456" s="1" t="str">
        <f>IF(A456="","",VLOOKUP($A456,子基金及业绩基准周净值!$A:$AV,11))</f>
        <v/>
      </c>
      <c r="C456" s="8" t="str">
        <f t="shared" si="28"/>
        <v/>
      </c>
      <c r="D456" s="9" t="str">
        <f>IF(A456="","",C456-子基金及业绩基准周净值!AI481)</f>
        <v/>
      </c>
      <c r="E456" s="12" t="str">
        <f>IF(A456="","",(MAX(B$3:B456)-B456)/MAX(B$3:B456))</f>
        <v/>
      </c>
      <c r="F456" s="12" t="str">
        <f>IF(A456="","",MAX(E$4:E456))</f>
        <v/>
      </c>
      <c r="G456" s="17"/>
      <c r="H456" s="14" t="str">
        <f t="shared" si="29"/>
        <v/>
      </c>
      <c r="I456" s="14" t="str">
        <f t="shared" si="30"/>
        <v/>
      </c>
      <c r="J456" s="15" t="str">
        <f t="shared" si="31"/>
        <v/>
      </c>
    </row>
    <row r="457" spans="1:10">
      <c r="A457" s="7" t="str">
        <f>IF(子基金及业绩基准周净值!A482="","",子基金及业绩基准周净值!A482)</f>
        <v/>
      </c>
      <c r="B457" s="1" t="str">
        <f>IF(A457="","",VLOOKUP($A457,子基金及业绩基准周净值!$A:$AV,11))</f>
        <v/>
      </c>
      <c r="C457" s="8" t="str">
        <f t="shared" si="28"/>
        <v/>
      </c>
      <c r="D457" s="9" t="str">
        <f>IF(A457="","",C457-子基金及业绩基准周净值!AI482)</f>
        <v/>
      </c>
      <c r="E457" s="12" t="str">
        <f>IF(A457="","",(MAX(B$3:B457)-B457)/MAX(B$3:B457))</f>
        <v/>
      </c>
      <c r="F457" s="12" t="str">
        <f>IF(A457="","",MAX(E$4:E457))</f>
        <v/>
      </c>
      <c r="G457" s="17"/>
      <c r="H457" s="14" t="str">
        <f t="shared" si="29"/>
        <v/>
      </c>
      <c r="I457" s="14" t="str">
        <f t="shared" si="30"/>
        <v/>
      </c>
      <c r="J457" s="15" t="str">
        <f t="shared" si="31"/>
        <v/>
      </c>
    </row>
    <row r="458" spans="1:10">
      <c r="A458" s="7" t="str">
        <f>IF(子基金及业绩基准周净值!A483="","",子基金及业绩基准周净值!A483)</f>
        <v/>
      </c>
      <c r="B458" s="1" t="str">
        <f>IF(A458="","",VLOOKUP($A458,子基金及业绩基准周净值!$A:$AV,11))</f>
        <v/>
      </c>
      <c r="C458" s="8" t="str">
        <f t="shared" si="28"/>
        <v/>
      </c>
      <c r="D458" s="9" t="str">
        <f>IF(A458="","",C458-子基金及业绩基准周净值!AI483)</f>
        <v/>
      </c>
      <c r="E458" s="12" t="str">
        <f>IF(A458="","",(MAX(B$3:B458)-B458)/MAX(B$3:B458))</f>
        <v/>
      </c>
      <c r="F458" s="12" t="str">
        <f>IF(A458="","",MAX(E$4:E458))</f>
        <v/>
      </c>
      <c r="G458" s="17"/>
      <c r="H458" s="14" t="str">
        <f t="shared" si="29"/>
        <v/>
      </c>
      <c r="I458" s="14" t="str">
        <f t="shared" si="30"/>
        <v/>
      </c>
      <c r="J458" s="15" t="str">
        <f t="shared" si="31"/>
        <v/>
      </c>
    </row>
    <row r="459" spans="1:10">
      <c r="A459" s="7" t="str">
        <f>IF(子基金及业绩基准周净值!A484="","",子基金及业绩基准周净值!A484)</f>
        <v/>
      </c>
      <c r="B459" s="1" t="str">
        <f>IF(A459="","",VLOOKUP($A459,子基金及业绩基准周净值!$A:$AV,11))</f>
        <v/>
      </c>
      <c r="C459" s="8" t="str">
        <f t="shared" si="28"/>
        <v/>
      </c>
      <c r="D459" s="9" t="str">
        <f>IF(A459="","",C459-子基金及业绩基准周净值!AI484)</f>
        <v/>
      </c>
      <c r="E459" s="12" t="str">
        <f>IF(A459="","",(MAX(B$3:B459)-B459)/MAX(B$3:B459))</f>
        <v/>
      </c>
      <c r="F459" s="12" t="str">
        <f>IF(A459="","",MAX(E$4:E459))</f>
        <v/>
      </c>
      <c r="G459" s="17"/>
      <c r="H459" s="14" t="str">
        <f t="shared" si="29"/>
        <v/>
      </c>
      <c r="I459" s="14" t="str">
        <f t="shared" si="30"/>
        <v/>
      </c>
      <c r="J459" s="15" t="str">
        <f t="shared" si="31"/>
        <v/>
      </c>
    </row>
    <row r="460" spans="1:10">
      <c r="A460" s="7" t="str">
        <f>IF(子基金及业绩基准周净值!A485="","",子基金及业绩基准周净值!A485)</f>
        <v/>
      </c>
      <c r="B460" s="1" t="str">
        <f>IF(A460="","",VLOOKUP($A460,子基金及业绩基准周净值!$A:$AV,11))</f>
        <v/>
      </c>
      <c r="C460" s="8" t="str">
        <f t="shared" si="28"/>
        <v/>
      </c>
      <c r="D460" s="9" t="str">
        <f>IF(A460="","",C460-子基金及业绩基准周净值!AI485)</f>
        <v/>
      </c>
      <c r="E460" s="12" t="str">
        <f>IF(A460="","",(MAX(B$3:B460)-B460)/MAX(B$3:B460))</f>
        <v/>
      </c>
      <c r="F460" s="12" t="str">
        <f>IF(A460="","",MAX(E$4:E460))</f>
        <v/>
      </c>
      <c r="G460" s="17"/>
      <c r="H460" s="14" t="str">
        <f t="shared" si="29"/>
        <v/>
      </c>
      <c r="I460" s="14" t="str">
        <f t="shared" si="30"/>
        <v/>
      </c>
      <c r="J460" s="15" t="str">
        <f t="shared" si="31"/>
        <v/>
      </c>
    </row>
    <row r="461" spans="1:10">
      <c r="A461" s="7" t="str">
        <f>IF(子基金及业绩基准周净值!A486="","",子基金及业绩基准周净值!A486)</f>
        <v/>
      </c>
      <c r="B461" s="1" t="str">
        <f>IF(A461="","",VLOOKUP($A461,子基金及业绩基准周净值!$A:$AV,11))</f>
        <v/>
      </c>
      <c r="C461" s="8" t="str">
        <f t="shared" si="28"/>
        <v/>
      </c>
      <c r="D461" s="9" t="str">
        <f>IF(A461="","",C461-子基金及业绩基准周净值!AI486)</f>
        <v/>
      </c>
      <c r="E461" s="12" t="str">
        <f>IF(A461="","",(MAX(B$3:B461)-B461)/MAX(B$3:B461))</f>
        <v/>
      </c>
      <c r="F461" s="12" t="str">
        <f>IF(A461="","",MAX(E$4:E461))</f>
        <v/>
      </c>
      <c r="G461" s="17"/>
      <c r="H461" s="14" t="str">
        <f t="shared" si="29"/>
        <v/>
      </c>
      <c r="I461" s="14" t="str">
        <f t="shared" si="30"/>
        <v/>
      </c>
      <c r="J461" s="15" t="str">
        <f t="shared" si="31"/>
        <v/>
      </c>
    </row>
    <row r="462" spans="1:10">
      <c r="A462" s="7" t="str">
        <f>IF(子基金及业绩基准周净值!A487="","",子基金及业绩基准周净值!A487)</f>
        <v/>
      </c>
      <c r="B462" s="1" t="str">
        <f>IF(A462="","",VLOOKUP($A462,子基金及业绩基准周净值!$A:$AV,11))</f>
        <v/>
      </c>
      <c r="C462" s="8" t="str">
        <f t="shared" si="28"/>
        <v/>
      </c>
      <c r="D462" s="9" t="str">
        <f>IF(A462="","",C462-子基金及业绩基准周净值!AI487)</f>
        <v/>
      </c>
      <c r="E462" s="12" t="str">
        <f>IF(A462="","",(MAX(B$3:B462)-B462)/MAX(B$3:B462))</f>
        <v/>
      </c>
      <c r="F462" s="12" t="str">
        <f>IF(A462="","",MAX(E$4:E462))</f>
        <v/>
      </c>
      <c r="G462" s="17"/>
      <c r="H462" s="14" t="str">
        <f t="shared" si="29"/>
        <v/>
      </c>
      <c r="I462" s="14" t="str">
        <f t="shared" si="30"/>
        <v/>
      </c>
      <c r="J462" s="15" t="str">
        <f t="shared" si="31"/>
        <v/>
      </c>
    </row>
    <row r="463" spans="1:10">
      <c r="A463" s="7" t="str">
        <f>IF(子基金及业绩基准周净值!A488="","",子基金及业绩基准周净值!A488)</f>
        <v/>
      </c>
      <c r="B463" s="1" t="str">
        <f>IF(A463="","",VLOOKUP($A463,子基金及业绩基准周净值!$A:$AV,11))</f>
        <v/>
      </c>
      <c r="C463" s="8" t="str">
        <f t="shared" si="28"/>
        <v/>
      </c>
      <c r="D463" s="9" t="str">
        <f>IF(A463="","",C463-子基金及业绩基准周净值!AI488)</f>
        <v/>
      </c>
      <c r="E463" s="12" t="str">
        <f>IF(A463="","",(MAX(B$3:B463)-B463)/MAX(B$3:B463))</f>
        <v/>
      </c>
      <c r="F463" s="12" t="str">
        <f>IF(A463="","",MAX(E$4:E463))</f>
        <v/>
      </c>
      <c r="G463" s="17"/>
      <c r="H463" s="14" t="str">
        <f t="shared" si="29"/>
        <v/>
      </c>
      <c r="I463" s="14" t="str">
        <f t="shared" si="30"/>
        <v/>
      </c>
      <c r="J463" s="15" t="str">
        <f t="shared" si="31"/>
        <v/>
      </c>
    </row>
    <row r="464" spans="1:10">
      <c r="A464" s="7" t="str">
        <f>IF(子基金及业绩基准周净值!A489="","",子基金及业绩基准周净值!A489)</f>
        <v/>
      </c>
      <c r="B464" s="1" t="str">
        <f>IF(A464="","",VLOOKUP($A464,子基金及业绩基准周净值!$A:$AV,11))</f>
        <v/>
      </c>
      <c r="C464" s="8" t="str">
        <f t="shared" si="28"/>
        <v/>
      </c>
      <c r="D464" s="9" t="str">
        <f>IF(A464="","",C464-子基金及业绩基准周净值!AI489)</f>
        <v/>
      </c>
      <c r="E464" s="12" t="str">
        <f>IF(A464="","",(MAX(B$3:B464)-B464)/MAX(B$3:B464))</f>
        <v/>
      </c>
      <c r="F464" s="12" t="str">
        <f>IF(A464="","",MAX(E$4:E464))</f>
        <v/>
      </c>
      <c r="G464" s="17"/>
      <c r="H464" s="14" t="str">
        <f t="shared" si="29"/>
        <v/>
      </c>
      <c r="I464" s="14" t="str">
        <f t="shared" si="30"/>
        <v/>
      </c>
      <c r="J464" s="15" t="str">
        <f t="shared" si="31"/>
        <v/>
      </c>
    </row>
    <row r="465" spans="1:10">
      <c r="A465" s="7" t="str">
        <f>IF(子基金及业绩基准周净值!A490="","",子基金及业绩基准周净值!A490)</f>
        <v/>
      </c>
      <c r="B465" s="1" t="str">
        <f>IF(A465="","",VLOOKUP($A465,子基金及业绩基准周净值!$A:$AV,11))</f>
        <v/>
      </c>
      <c r="C465" s="8" t="str">
        <f t="shared" si="28"/>
        <v/>
      </c>
      <c r="D465" s="9" t="str">
        <f>IF(A465="","",C465-子基金及业绩基准周净值!AI490)</f>
        <v/>
      </c>
      <c r="E465" s="12" t="str">
        <f>IF(A465="","",(MAX(B$3:B465)-B465)/MAX(B$3:B465))</f>
        <v/>
      </c>
      <c r="F465" s="12" t="str">
        <f>IF(A465="","",MAX(E$4:E465))</f>
        <v/>
      </c>
      <c r="G465" s="17"/>
      <c r="H465" s="14" t="str">
        <f t="shared" si="29"/>
        <v/>
      </c>
      <c r="I465" s="14" t="str">
        <f t="shared" si="30"/>
        <v/>
      </c>
      <c r="J465" s="15" t="str">
        <f t="shared" si="31"/>
        <v/>
      </c>
    </row>
    <row r="466" spans="1:10">
      <c r="A466" s="7" t="str">
        <f>IF(子基金及业绩基准周净值!A491="","",子基金及业绩基准周净值!A491)</f>
        <v/>
      </c>
      <c r="B466" s="1" t="str">
        <f>IF(A466="","",VLOOKUP($A466,子基金及业绩基准周净值!$A:$AV,11))</f>
        <v/>
      </c>
      <c r="C466" s="8" t="str">
        <f t="shared" si="28"/>
        <v/>
      </c>
      <c r="D466" s="9" t="str">
        <f>IF(A466="","",C466-子基金及业绩基准周净值!AI491)</f>
        <v/>
      </c>
      <c r="E466" s="12" t="str">
        <f>IF(A466="","",(MAX(B$3:B466)-B466)/MAX(B$3:B466))</f>
        <v/>
      </c>
      <c r="F466" s="12" t="str">
        <f>IF(A466="","",MAX(E$4:E466))</f>
        <v/>
      </c>
      <c r="G466" s="17"/>
      <c r="H466" s="14" t="str">
        <f t="shared" si="29"/>
        <v/>
      </c>
      <c r="I466" s="14" t="str">
        <f t="shared" si="30"/>
        <v/>
      </c>
      <c r="J466" s="15" t="str">
        <f t="shared" si="31"/>
        <v/>
      </c>
    </row>
    <row r="467" spans="1:10">
      <c r="A467" s="7" t="str">
        <f>IF(子基金及业绩基准周净值!A492="","",子基金及业绩基准周净值!A492)</f>
        <v/>
      </c>
      <c r="B467" s="1" t="str">
        <f>IF(A467="","",VLOOKUP($A467,子基金及业绩基准周净值!$A:$AV,11))</f>
        <v/>
      </c>
      <c r="C467" s="8" t="str">
        <f t="shared" si="28"/>
        <v/>
      </c>
      <c r="D467" s="9" t="str">
        <f>IF(A467="","",C467-子基金及业绩基准周净值!AI492)</f>
        <v/>
      </c>
      <c r="E467" s="12" t="str">
        <f>IF(A467="","",(MAX(B$3:B467)-B467)/MAX(B$3:B467))</f>
        <v/>
      </c>
      <c r="F467" s="12" t="str">
        <f>IF(A467="","",MAX(E$4:E467))</f>
        <v/>
      </c>
      <c r="G467" s="17"/>
      <c r="H467" s="14" t="str">
        <f t="shared" si="29"/>
        <v/>
      </c>
      <c r="I467" s="14" t="str">
        <f t="shared" si="30"/>
        <v/>
      </c>
      <c r="J467" s="15" t="str">
        <f t="shared" si="31"/>
        <v/>
      </c>
    </row>
    <row r="468" spans="1:10">
      <c r="A468" s="7" t="str">
        <f>IF(子基金及业绩基准周净值!A493="","",子基金及业绩基准周净值!A493)</f>
        <v/>
      </c>
      <c r="B468" s="1" t="str">
        <f>IF(A468="","",VLOOKUP($A468,子基金及业绩基准周净值!$A:$AV,11))</f>
        <v/>
      </c>
      <c r="C468" s="8" t="str">
        <f t="shared" si="28"/>
        <v/>
      </c>
      <c r="D468" s="9" t="str">
        <f>IF(A468="","",C468-子基金及业绩基准周净值!AI493)</f>
        <v/>
      </c>
      <c r="E468" s="12" t="str">
        <f>IF(A468="","",(MAX(B$3:B468)-B468)/MAX(B$3:B468))</f>
        <v/>
      </c>
      <c r="F468" s="12" t="str">
        <f>IF(A468="","",MAX(E$4:E468))</f>
        <v/>
      </c>
      <c r="G468" s="17"/>
      <c r="H468" s="14" t="str">
        <f t="shared" si="29"/>
        <v/>
      </c>
      <c r="I468" s="14" t="str">
        <f t="shared" si="30"/>
        <v/>
      </c>
      <c r="J468" s="15" t="str">
        <f t="shared" si="31"/>
        <v/>
      </c>
    </row>
    <row r="469" spans="1:10">
      <c r="A469" s="7" t="str">
        <f>IF(子基金及业绩基准周净值!A494="","",子基金及业绩基准周净值!A494)</f>
        <v/>
      </c>
      <c r="B469" s="1" t="str">
        <f>IF(A469="","",VLOOKUP($A469,子基金及业绩基准周净值!$A:$AV,11))</f>
        <v/>
      </c>
      <c r="C469" s="8" t="str">
        <f t="shared" si="28"/>
        <v/>
      </c>
      <c r="D469" s="9" t="str">
        <f>IF(A469="","",C469-子基金及业绩基准周净值!AI494)</f>
        <v/>
      </c>
      <c r="E469" s="12" t="str">
        <f>IF(A469="","",(MAX(B$3:B469)-B469)/MAX(B$3:B469))</f>
        <v/>
      </c>
      <c r="F469" s="12" t="str">
        <f>IF(A469="","",MAX(E$4:E469))</f>
        <v/>
      </c>
      <c r="G469" s="17"/>
      <c r="H469" s="14" t="str">
        <f t="shared" si="29"/>
        <v/>
      </c>
      <c r="I469" s="14" t="str">
        <f t="shared" si="30"/>
        <v/>
      </c>
      <c r="J469" s="15" t="str">
        <f t="shared" si="31"/>
        <v/>
      </c>
    </row>
    <row r="470" spans="1:10">
      <c r="A470" s="7" t="str">
        <f>IF(子基金及业绩基准周净值!A495="","",子基金及业绩基准周净值!A495)</f>
        <v/>
      </c>
      <c r="B470" s="1" t="str">
        <f>IF(A470="","",VLOOKUP($A470,子基金及业绩基准周净值!$A:$AV,11))</f>
        <v/>
      </c>
      <c r="C470" s="8" t="str">
        <f t="shared" si="28"/>
        <v/>
      </c>
      <c r="D470" s="9" t="str">
        <f>IF(A470="","",C470-子基金及业绩基准周净值!AI495)</f>
        <v/>
      </c>
      <c r="E470" s="12" t="str">
        <f>IF(A470="","",(MAX(B$3:B470)-B470)/MAX(B$3:B470))</f>
        <v/>
      </c>
      <c r="F470" s="12" t="str">
        <f>IF(A470="","",MAX(E$4:E470))</f>
        <v/>
      </c>
      <c r="G470" s="17"/>
      <c r="H470" s="14" t="str">
        <f t="shared" si="29"/>
        <v/>
      </c>
      <c r="I470" s="14" t="str">
        <f t="shared" si="30"/>
        <v/>
      </c>
      <c r="J470" s="15" t="str">
        <f t="shared" si="31"/>
        <v/>
      </c>
    </row>
    <row r="471" spans="1:10">
      <c r="A471" s="7" t="str">
        <f>IF(子基金及业绩基准周净值!A496="","",子基金及业绩基准周净值!A496)</f>
        <v/>
      </c>
      <c r="B471" s="1" t="str">
        <f>IF(A471="","",VLOOKUP($A471,子基金及业绩基准周净值!$A:$AV,11))</f>
        <v/>
      </c>
      <c r="C471" s="8" t="str">
        <f t="shared" si="28"/>
        <v/>
      </c>
      <c r="D471" s="9" t="str">
        <f>IF(A471="","",C471-子基金及业绩基准周净值!AI496)</f>
        <v/>
      </c>
      <c r="E471" s="12" t="str">
        <f>IF(A471="","",(MAX(B$3:B471)-B471)/MAX(B$3:B471))</f>
        <v/>
      </c>
      <c r="F471" s="12" t="str">
        <f>IF(A471="","",MAX(E$4:E471))</f>
        <v/>
      </c>
      <c r="G471" s="17"/>
      <c r="H471" s="14" t="str">
        <f t="shared" si="29"/>
        <v/>
      </c>
      <c r="I471" s="14" t="str">
        <f t="shared" si="30"/>
        <v/>
      </c>
      <c r="J471" s="15" t="str">
        <f t="shared" si="31"/>
        <v/>
      </c>
    </row>
    <row r="472" spans="1:10">
      <c r="A472" s="7" t="str">
        <f>IF(子基金及业绩基准周净值!A497="","",子基金及业绩基准周净值!A497)</f>
        <v/>
      </c>
      <c r="B472" s="1" t="str">
        <f>IF(A472="","",VLOOKUP($A472,子基金及业绩基准周净值!$A:$AV,11))</f>
        <v/>
      </c>
      <c r="C472" s="8" t="str">
        <f t="shared" si="28"/>
        <v/>
      </c>
      <c r="D472" s="9" t="str">
        <f>IF(A472="","",C472-子基金及业绩基准周净值!AI497)</f>
        <v/>
      </c>
      <c r="E472" s="12" t="str">
        <f>IF(A472="","",(MAX(B$3:B472)-B472)/MAX(B$3:B472))</f>
        <v/>
      </c>
      <c r="F472" s="12" t="str">
        <f>IF(A472="","",MAX(E$4:E472))</f>
        <v/>
      </c>
      <c r="G472" s="17"/>
      <c r="H472" s="14" t="str">
        <f t="shared" si="29"/>
        <v/>
      </c>
      <c r="I472" s="14" t="str">
        <f t="shared" si="30"/>
        <v/>
      </c>
      <c r="J472" s="15" t="str">
        <f t="shared" si="31"/>
        <v/>
      </c>
    </row>
    <row r="473" spans="1:10">
      <c r="A473" s="7" t="str">
        <f>IF(子基金及业绩基准周净值!A498="","",子基金及业绩基准周净值!A498)</f>
        <v/>
      </c>
      <c r="B473" s="1" t="str">
        <f>IF(A473="","",VLOOKUP($A473,子基金及业绩基准周净值!$A:$AV,11))</f>
        <v/>
      </c>
      <c r="C473" s="8" t="str">
        <f t="shared" si="28"/>
        <v/>
      </c>
      <c r="D473" s="9" t="str">
        <f>IF(A473="","",C473-子基金及业绩基准周净值!AI498)</f>
        <v/>
      </c>
      <c r="E473" s="12" t="str">
        <f>IF(A473="","",(MAX(B$3:B473)-B473)/MAX(B$3:B473))</f>
        <v/>
      </c>
      <c r="F473" s="12" t="str">
        <f>IF(A473="","",MAX(E$4:E473))</f>
        <v/>
      </c>
      <c r="G473" s="17"/>
      <c r="H473" s="14" t="str">
        <f t="shared" si="29"/>
        <v/>
      </c>
      <c r="I473" s="14" t="str">
        <f t="shared" si="30"/>
        <v/>
      </c>
      <c r="J473" s="15" t="str">
        <f t="shared" si="31"/>
        <v/>
      </c>
    </row>
    <row r="474" spans="1:10">
      <c r="A474" s="7" t="str">
        <f>IF(子基金及业绩基准周净值!A499="","",子基金及业绩基准周净值!A499)</f>
        <v/>
      </c>
      <c r="B474" s="1" t="str">
        <f>IF(A474="","",VLOOKUP($A474,子基金及业绩基准周净值!$A:$AV,11))</f>
        <v/>
      </c>
      <c r="C474" s="8" t="str">
        <f t="shared" si="28"/>
        <v/>
      </c>
      <c r="D474" s="9" t="str">
        <f>IF(A474="","",C474-子基金及业绩基准周净值!AI499)</f>
        <v/>
      </c>
      <c r="E474" s="12" t="str">
        <f>IF(A474="","",(MAX(B$3:B474)-B474)/MAX(B$3:B474))</f>
        <v/>
      </c>
      <c r="F474" s="12" t="str">
        <f>IF(A474="","",MAX(E$4:E474))</f>
        <v/>
      </c>
      <c r="G474" s="17"/>
      <c r="H474" s="14" t="str">
        <f t="shared" si="29"/>
        <v/>
      </c>
      <c r="I474" s="14" t="str">
        <f t="shared" si="30"/>
        <v/>
      </c>
      <c r="J474" s="15" t="str">
        <f t="shared" si="31"/>
        <v/>
      </c>
    </row>
    <row r="475" spans="1:10">
      <c r="A475" s="7" t="str">
        <f>IF(子基金及业绩基准周净值!A500="","",子基金及业绩基准周净值!A500)</f>
        <v/>
      </c>
      <c r="B475" s="1" t="str">
        <f>IF(A475="","",VLOOKUP($A475,子基金及业绩基准周净值!$A:$AV,11))</f>
        <v/>
      </c>
      <c r="C475" s="8" t="str">
        <f t="shared" si="28"/>
        <v/>
      </c>
      <c r="D475" s="9" t="str">
        <f>IF(A475="","",C475-子基金及业绩基准周净值!AI500)</f>
        <v/>
      </c>
      <c r="E475" s="12" t="str">
        <f>IF(A475="","",(MAX(B$3:B475)-B475)/MAX(B$3:B475))</f>
        <v/>
      </c>
      <c r="F475" s="12" t="str">
        <f>IF(A475="","",MAX(E$4:E475))</f>
        <v/>
      </c>
      <c r="G475" s="17"/>
      <c r="H475" s="14" t="str">
        <f t="shared" si="29"/>
        <v/>
      </c>
      <c r="I475" s="14" t="str">
        <f t="shared" si="30"/>
        <v/>
      </c>
      <c r="J475" s="15" t="str">
        <f t="shared" si="31"/>
        <v/>
      </c>
    </row>
    <row r="476" spans="1:10">
      <c r="A476" s="7" t="str">
        <f>IF(子基金及业绩基准周净值!A501="","",子基金及业绩基准周净值!A501)</f>
        <v/>
      </c>
      <c r="B476" s="1" t="str">
        <f>IF(A476="","",VLOOKUP($A476,子基金及业绩基准周净值!$A:$AV,11))</f>
        <v/>
      </c>
      <c r="C476" s="8" t="str">
        <f t="shared" si="28"/>
        <v/>
      </c>
      <c r="D476" s="9" t="str">
        <f>IF(A476="","",C476-子基金及业绩基准周净值!AI501)</f>
        <v/>
      </c>
      <c r="E476" s="12" t="str">
        <f>IF(A476="","",(MAX(B$3:B476)-B476)/MAX(B$3:B476))</f>
        <v/>
      </c>
      <c r="F476" s="12" t="str">
        <f>IF(A476="","",MAX(E$4:E476))</f>
        <v/>
      </c>
      <c r="G476" s="17"/>
      <c r="H476" s="14" t="str">
        <f t="shared" si="29"/>
        <v/>
      </c>
      <c r="I476" s="14" t="str">
        <f t="shared" si="30"/>
        <v/>
      </c>
      <c r="J476" s="15" t="str">
        <f t="shared" si="31"/>
        <v/>
      </c>
    </row>
    <row r="477" spans="1:10">
      <c r="A477" s="7" t="str">
        <f>IF(子基金及业绩基准周净值!A502="","",子基金及业绩基准周净值!A502)</f>
        <v/>
      </c>
      <c r="B477" s="1" t="str">
        <f>IF(A477="","",VLOOKUP($A477,子基金及业绩基准周净值!$A:$AV,11))</f>
        <v/>
      </c>
      <c r="C477" s="8" t="str">
        <f t="shared" si="28"/>
        <v/>
      </c>
      <c r="D477" s="9" t="str">
        <f>IF(A477="","",C477-子基金及业绩基准周净值!AI502)</f>
        <v/>
      </c>
      <c r="E477" s="12" t="str">
        <f>IF(A477="","",(MAX(B$3:B477)-B477)/MAX(B$3:B477))</f>
        <v/>
      </c>
      <c r="F477" s="12" t="str">
        <f>IF(A477="","",MAX(E$4:E477))</f>
        <v/>
      </c>
      <c r="G477" s="17"/>
      <c r="H477" s="14" t="str">
        <f t="shared" si="29"/>
        <v/>
      </c>
      <c r="I477" s="14" t="str">
        <f t="shared" si="30"/>
        <v/>
      </c>
      <c r="J477" s="15" t="str">
        <f t="shared" si="31"/>
        <v/>
      </c>
    </row>
    <row r="478" spans="1:10">
      <c r="A478" s="7" t="str">
        <f>IF(子基金及业绩基准周净值!A503="","",子基金及业绩基准周净值!A503)</f>
        <v/>
      </c>
      <c r="B478" s="1" t="str">
        <f>IF(A478="","",VLOOKUP($A478,子基金及业绩基准周净值!$A:$AV,11))</f>
        <v/>
      </c>
      <c r="C478" s="8" t="str">
        <f t="shared" si="28"/>
        <v/>
      </c>
      <c r="D478" s="9" t="str">
        <f>IF(A478="","",C478-子基金及业绩基准周净值!AI503)</f>
        <v/>
      </c>
      <c r="E478" s="12" t="str">
        <f>IF(A478="","",(MAX(B$3:B478)-B478)/MAX(B$3:B478))</f>
        <v/>
      </c>
      <c r="F478" s="12" t="str">
        <f>IF(A478="","",MAX(E$4:E478))</f>
        <v/>
      </c>
      <c r="G478" s="17"/>
      <c r="H478" s="14" t="str">
        <f t="shared" si="29"/>
        <v/>
      </c>
      <c r="I478" s="14" t="str">
        <f t="shared" si="30"/>
        <v/>
      </c>
      <c r="J478" s="15" t="str">
        <f t="shared" si="31"/>
        <v/>
      </c>
    </row>
    <row r="479" spans="1:10">
      <c r="A479" s="7" t="str">
        <f>IF(子基金及业绩基准周净值!A504="","",子基金及业绩基准周净值!A504)</f>
        <v/>
      </c>
      <c r="B479" s="1" t="str">
        <f>IF(A479="","",VLOOKUP($A479,子基金及业绩基准周净值!$A:$AV,11))</f>
        <v/>
      </c>
      <c r="C479" s="8" t="str">
        <f t="shared" si="28"/>
        <v/>
      </c>
      <c r="D479" s="9" t="str">
        <f>IF(A479="","",C479-子基金及业绩基准周净值!AI504)</f>
        <v/>
      </c>
      <c r="E479" s="12" t="str">
        <f>IF(A479="","",(MAX(B$3:B479)-B479)/MAX(B$3:B479))</f>
        <v/>
      </c>
      <c r="F479" s="12" t="str">
        <f>IF(A479="","",MAX(E$4:E479))</f>
        <v/>
      </c>
      <c r="G479" s="17"/>
      <c r="H479" s="14" t="str">
        <f t="shared" si="29"/>
        <v/>
      </c>
      <c r="I479" s="14" t="str">
        <f t="shared" si="30"/>
        <v/>
      </c>
      <c r="J479" s="15" t="str">
        <f t="shared" si="31"/>
        <v/>
      </c>
    </row>
    <row r="480" spans="1:10">
      <c r="A480" s="7" t="str">
        <f>IF(子基金及业绩基准周净值!A505="","",子基金及业绩基准周净值!A505)</f>
        <v/>
      </c>
      <c r="B480" s="1" t="str">
        <f>IF(A480="","",VLOOKUP($A480,子基金及业绩基准周净值!$A:$AV,11))</f>
        <v/>
      </c>
      <c r="C480" s="8" t="str">
        <f t="shared" si="28"/>
        <v/>
      </c>
      <c r="D480" s="9" t="str">
        <f>IF(A480="","",C480-子基金及业绩基准周净值!AI505)</f>
        <v/>
      </c>
      <c r="E480" s="12" t="str">
        <f>IF(A480="","",(MAX(B$3:B480)-B480)/MAX(B$3:B480))</f>
        <v/>
      </c>
      <c r="F480" s="12" t="str">
        <f>IF(A480="","",MAX(E$4:E480))</f>
        <v/>
      </c>
      <c r="G480" s="17"/>
      <c r="H480" s="14" t="str">
        <f t="shared" si="29"/>
        <v/>
      </c>
      <c r="I480" s="14" t="str">
        <f t="shared" si="30"/>
        <v/>
      </c>
      <c r="J480" s="15" t="str">
        <f t="shared" si="31"/>
        <v/>
      </c>
    </row>
    <row r="481" spans="1:10">
      <c r="A481" s="7" t="str">
        <f>IF(子基金及业绩基准周净值!A506="","",子基金及业绩基准周净值!A506)</f>
        <v/>
      </c>
      <c r="B481" s="1" t="str">
        <f>IF(A481="","",VLOOKUP($A481,子基金及业绩基准周净值!$A:$AV,11))</f>
        <v/>
      </c>
      <c r="C481" s="8" t="str">
        <f t="shared" si="28"/>
        <v/>
      </c>
      <c r="D481" s="9" t="str">
        <f>IF(A481="","",C481-子基金及业绩基准周净值!AI506)</f>
        <v/>
      </c>
      <c r="E481" s="12" t="str">
        <f>IF(A481="","",(MAX(B$3:B481)-B481)/MAX(B$3:B481))</f>
        <v/>
      </c>
      <c r="F481" s="12" t="str">
        <f>IF(A481="","",MAX(E$4:E481))</f>
        <v/>
      </c>
      <c r="G481" s="17"/>
      <c r="H481" s="14" t="str">
        <f t="shared" si="29"/>
        <v/>
      </c>
      <c r="I481" s="14" t="str">
        <f t="shared" si="30"/>
        <v/>
      </c>
      <c r="J481" s="15" t="str">
        <f t="shared" si="31"/>
        <v/>
      </c>
    </row>
    <row r="482" spans="1:10">
      <c r="A482" s="7" t="str">
        <f>IF(子基金及业绩基准周净值!A507="","",子基金及业绩基准周净值!A507)</f>
        <v/>
      </c>
      <c r="B482" s="1" t="str">
        <f>IF(A482="","",VLOOKUP($A482,子基金及业绩基准周净值!$A:$AV,11))</f>
        <v/>
      </c>
      <c r="C482" s="8" t="str">
        <f t="shared" si="28"/>
        <v/>
      </c>
      <c r="D482" s="9" t="str">
        <f>IF(A482="","",C482-子基金及业绩基准周净值!AI507)</f>
        <v/>
      </c>
      <c r="E482" s="12" t="str">
        <f>IF(A482="","",(MAX(B$3:B482)-B482)/MAX(B$3:B482))</f>
        <v/>
      </c>
      <c r="F482" s="12" t="str">
        <f>IF(A482="","",MAX(E$4:E482))</f>
        <v/>
      </c>
      <c r="G482" s="17"/>
      <c r="H482" s="14" t="str">
        <f t="shared" si="29"/>
        <v/>
      </c>
      <c r="I482" s="14" t="str">
        <f t="shared" si="30"/>
        <v/>
      </c>
      <c r="J482" s="15" t="str">
        <f t="shared" si="31"/>
        <v/>
      </c>
    </row>
    <row r="483" spans="1:10">
      <c r="A483" s="7" t="str">
        <f>IF(子基金及业绩基准周净值!A508="","",子基金及业绩基准周净值!A508)</f>
        <v/>
      </c>
      <c r="B483" s="1" t="str">
        <f>IF(A483="","",VLOOKUP($A483,子基金及业绩基准周净值!$A:$AV,11))</f>
        <v/>
      </c>
      <c r="C483" s="8" t="str">
        <f t="shared" si="28"/>
        <v/>
      </c>
      <c r="D483" s="9" t="str">
        <f>IF(A483="","",C483-子基金及业绩基准周净值!AI508)</f>
        <v/>
      </c>
      <c r="E483" s="12" t="str">
        <f>IF(A483="","",(MAX(B$3:B483)-B483)/MAX(B$3:B483))</f>
        <v/>
      </c>
      <c r="F483" s="12" t="str">
        <f>IF(A483="","",MAX(E$4:E483))</f>
        <v/>
      </c>
      <c r="G483" s="17"/>
      <c r="H483" s="14" t="str">
        <f t="shared" si="29"/>
        <v/>
      </c>
      <c r="I483" s="14" t="str">
        <f t="shared" si="30"/>
        <v/>
      </c>
      <c r="J483" s="15" t="str">
        <f t="shared" si="31"/>
        <v/>
      </c>
    </row>
    <row r="484" spans="1:10">
      <c r="A484" s="7" t="str">
        <f>IF(子基金及业绩基准周净值!A509="","",子基金及业绩基准周净值!A509)</f>
        <v/>
      </c>
      <c r="B484" s="1" t="str">
        <f>IF(A484="","",VLOOKUP($A484,子基金及业绩基准周净值!$A:$AV,11))</f>
        <v/>
      </c>
      <c r="C484" s="8" t="str">
        <f t="shared" si="28"/>
        <v/>
      </c>
      <c r="D484" s="9" t="str">
        <f>IF(A484="","",C484-子基金及业绩基准周净值!AI509)</f>
        <v/>
      </c>
      <c r="E484" s="12" t="str">
        <f>IF(A484="","",(MAX(B$3:B484)-B484)/MAX(B$3:B484))</f>
        <v/>
      </c>
      <c r="F484" s="12" t="str">
        <f>IF(A484="","",MAX(E$4:E484))</f>
        <v/>
      </c>
      <c r="G484" s="17"/>
      <c r="H484" s="14" t="str">
        <f t="shared" si="29"/>
        <v/>
      </c>
      <c r="I484" s="14" t="str">
        <f t="shared" si="30"/>
        <v/>
      </c>
      <c r="J484" s="15" t="str">
        <f t="shared" si="31"/>
        <v/>
      </c>
    </row>
    <row r="485" spans="1:10">
      <c r="A485" s="7" t="str">
        <f>IF(子基金及业绩基准周净值!A510="","",子基金及业绩基准周净值!A510)</f>
        <v/>
      </c>
      <c r="B485" s="1" t="str">
        <f>IF(A485="","",VLOOKUP($A485,子基金及业绩基准周净值!$A:$AV,11))</f>
        <v/>
      </c>
      <c r="C485" s="8" t="str">
        <f t="shared" si="28"/>
        <v/>
      </c>
      <c r="D485" s="9" t="str">
        <f>IF(A485="","",C485-子基金及业绩基准周净值!AI510)</f>
        <v/>
      </c>
      <c r="E485" s="12" t="str">
        <f>IF(A485="","",(MAX(B$3:B485)-B485)/MAX(B$3:B485))</f>
        <v/>
      </c>
      <c r="F485" s="12" t="str">
        <f>IF(A485="","",MAX(E$4:E485))</f>
        <v/>
      </c>
      <c r="G485" s="17"/>
      <c r="H485" s="14" t="str">
        <f t="shared" si="29"/>
        <v/>
      </c>
      <c r="I485" s="14" t="str">
        <f t="shared" si="30"/>
        <v/>
      </c>
      <c r="J485" s="15" t="str">
        <f t="shared" si="31"/>
        <v/>
      </c>
    </row>
    <row r="486" spans="1:10">
      <c r="A486" s="7" t="str">
        <f>IF(子基金及业绩基准周净值!A511="","",子基金及业绩基准周净值!A511)</f>
        <v/>
      </c>
      <c r="B486" s="1" t="str">
        <f>IF(A486="","",VLOOKUP($A486,子基金及业绩基准周净值!$A:$AV,11))</f>
        <v/>
      </c>
      <c r="C486" s="8" t="str">
        <f t="shared" si="28"/>
        <v/>
      </c>
      <c r="D486" s="9" t="str">
        <f>IF(A486="","",C486-子基金及业绩基准周净值!AI511)</f>
        <v/>
      </c>
      <c r="E486" s="12" t="str">
        <f>IF(A486="","",(MAX(B$3:B486)-B486)/MAX(B$3:B486))</f>
        <v/>
      </c>
      <c r="F486" s="12" t="str">
        <f>IF(A486="","",MAX(E$4:E486))</f>
        <v/>
      </c>
      <c r="G486" s="17"/>
      <c r="H486" s="14" t="str">
        <f t="shared" si="29"/>
        <v/>
      </c>
      <c r="I486" s="14" t="str">
        <f t="shared" si="30"/>
        <v/>
      </c>
      <c r="J486" s="15" t="str">
        <f t="shared" si="31"/>
        <v/>
      </c>
    </row>
    <row r="487" spans="1:10">
      <c r="A487" s="7" t="str">
        <f>IF(子基金及业绩基准周净值!A512="","",子基金及业绩基准周净值!A512)</f>
        <v/>
      </c>
      <c r="B487" s="1" t="str">
        <f>IF(A487="","",VLOOKUP($A487,子基金及业绩基准周净值!$A:$AV,11))</f>
        <v/>
      </c>
      <c r="C487" s="8" t="str">
        <f t="shared" si="28"/>
        <v/>
      </c>
      <c r="D487" s="9" t="str">
        <f>IF(A487="","",C487-子基金及业绩基准周净值!AI512)</f>
        <v/>
      </c>
      <c r="E487" s="12" t="str">
        <f>IF(A487="","",(MAX(B$3:B487)-B487)/MAX(B$3:B487))</f>
        <v/>
      </c>
      <c r="F487" s="12" t="str">
        <f>IF(A487="","",MAX(E$4:E487))</f>
        <v/>
      </c>
      <c r="G487" s="17"/>
      <c r="H487" s="14" t="str">
        <f t="shared" si="29"/>
        <v/>
      </c>
      <c r="I487" s="14" t="str">
        <f t="shared" si="30"/>
        <v/>
      </c>
      <c r="J487" s="15" t="str">
        <f t="shared" si="31"/>
        <v/>
      </c>
    </row>
    <row r="488" spans="1:10">
      <c r="A488" s="7" t="str">
        <f>IF(子基金及业绩基准周净值!A513="","",子基金及业绩基准周净值!A513)</f>
        <v/>
      </c>
      <c r="B488" s="1" t="str">
        <f>IF(A488="","",VLOOKUP($A488,子基金及业绩基准周净值!$A:$AV,11))</f>
        <v/>
      </c>
      <c r="C488" s="8" t="str">
        <f t="shared" si="28"/>
        <v/>
      </c>
      <c r="D488" s="9" t="str">
        <f>IF(A488="","",C488-子基金及业绩基准周净值!AI513)</f>
        <v/>
      </c>
      <c r="E488" s="12" t="str">
        <f>IF(A488="","",(MAX(B$3:B488)-B488)/MAX(B$3:B488))</f>
        <v/>
      </c>
      <c r="F488" s="12" t="str">
        <f>IF(A488="","",MAX(E$4:E488))</f>
        <v/>
      </c>
      <c r="G488" s="17"/>
      <c r="H488" s="14" t="str">
        <f t="shared" si="29"/>
        <v/>
      </c>
      <c r="I488" s="14" t="str">
        <f t="shared" si="30"/>
        <v/>
      </c>
      <c r="J488" s="15" t="str">
        <f t="shared" si="31"/>
        <v/>
      </c>
    </row>
    <row r="489" spans="1:10">
      <c r="A489" s="7" t="str">
        <f>IF(子基金及业绩基准周净值!A514="","",子基金及业绩基准周净值!A514)</f>
        <v/>
      </c>
      <c r="B489" s="1" t="str">
        <f>IF(A489="","",VLOOKUP($A489,子基金及业绩基准周净值!$A:$AV,11))</f>
        <v/>
      </c>
      <c r="C489" s="8" t="str">
        <f t="shared" si="28"/>
        <v/>
      </c>
      <c r="D489" s="9" t="str">
        <f>IF(A489="","",C489-子基金及业绩基准周净值!AI514)</f>
        <v/>
      </c>
      <c r="E489" s="12" t="str">
        <f>IF(A489="","",(MAX(B$3:B489)-B489)/MAX(B$3:B489))</f>
        <v/>
      </c>
      <c r="F489" s="12" t="str">
        <f>IF(A489="","",MAX(E$4:E489))</f>
        <v/>
      </c>
      <c r="G489" s="17"/>
      <c r="H489" s="14" t="str">
        <f t="shared" si="29"/>
        <v/>
      </c>
      <c r="I489" s="14" t="str">
        <f t="shared" si="30"/>
        <v/>
      </c>
      <c r="J489" s="15" t="str">
        <f t="shared" si="31"/>
        <v/>
      </c>
    </row>
    <row r="490" spans="1:10">
      <c r="A490" s="7" t="str">
        <f>IF(子基金及业绩基准周净值!A515="","",子基金及业绩基准周净值!A515)</f>
        <v/>
      </c>
      <c r="B490" s="1" t="str">
        <f>IF(A490="","",VLOOKUP($A490,子基金及业绩基准周净值!$A:$AV,11))</f>
        <v/>
      </c>
      <c r="C490" s="8" t="str">
        <f t="shared" si="28"/>
        <v/>
      </c>
      <c r="D490" s="9" t="str">
        <f>IF(A490="","",C490-子基金及业绩基准周净值!AI515)</f>
        <v/>
      </c>
      <c r="E490" s="12" t="str">
        <f>IF(A490="","",(MAX(B$3:B490)-B490)/MAX(B$3:B490))</f>
        <v/>
      </c>
      <c r="F490" s="12" t="str">
        <f>IF(A490="","",MAX(E$4:E490))</f>
        <v/>
      </c>
      <c r="G490" s="17"/>
      <c r="H490" s="14" t="str">
        <f t="shared" si="29"/>
        <v/>
      </c>
      <c r="I490" s="14" t="str">
        <f t="shared" si="30"/>
        <v/>
      </c>
      <c r="J490" s="15" t="str">
        <f t="shared" si="31"/>
        <v/>
      </c>
    </row>
    <row r="491" spans="1:10">
      <c r="A491" s="7" t="str">
        <f>IF(子基金及业绩基准周净值!A516="","",子基金及业绩基准周净值!A516)</f>
        <v/>
      </c>
      <c r="B491" s="1" t="str">
        <f>IF(A491="","",VLOOKUP($A491,子基金及业绩基准周净值!$A:$AV,11))</f>
        <v/>
      </c>
      <c r="C491" s="8" t="str">
        <f t="shared" si="28"/>
        <v/>
      </c>
      <c r="D491" s="9" t="str">
        <f>IF(A491="","",C491-子基金及业绩基准周净值!AI516)</f>
        <v/>
      </c>
      <c r="E491" s="12" t="str">
        <f>IF(A491="","",(MAX(B$3:B491)-B491)/MAX(B$3:B491))</f>
        <v/>
      </c>
      <c r="F491" s="12" t="str">
        <f>IF(A491="","",MAX(E$4:E491))</f>
        <v/>
      </c>
      <c r="G491" s="17"/>
      <c r="H491" s="14" t="str">
        <f t="shared" si="29"/>
        <v/>
      </c>
      <c r="I491" s="14" t="str">
        <f t="shared" si="30"/>
        <v/>
      </c>
      <c r="J491" s="15" t="str">
        <f t="shared" si="31"/>
        <v/>
      </c>
    </row>
    <row r="492" spans="1:10">
      <c r="A492" s="7" t="str">
        <f>IF(子基金及业绩基准周净值!A517="","",子基金及业绩基准周净值!A517)</f>
        <v/>
      </c>
      <c r="B492" s="1" t="str">
        <f>IF(A492="","",VLOOKUP($A492,子基金及业绩基准周净值!$A:$AV,11))</f>
        <v/>
      </c>
      <c r="C492" s="8" t="str">
        <f t="shared" si="28"/>
        <v/>
      </c>
      <c r="D492" s="9" t="str">
        <f>IF(A492="","",C492-子基金及业绩基准周净值!AI517)</f>
        <v/>
      </c>
      <c r="E492" s="12" t="str">
        <f>IF(A492="","",(MAX(B$3:B492)-B492)/MAX(B$3:B492))</f>
        <v/>
      </c>
      <c r="F492" s="12" t="str">
        <f>IF(A492="","",MAX(E$4:E492))</f>
        <v/>
      </c>
      <c r="G492" s="17"/>
      <c r="H492" s="14" t="str">
        <f t="shared" si="29"/>
        <v/>
      </c>
      <c r="I492" s="14" t="str">
        <f t="shared" si="30"/>
        <v/>
      </c>
      <c r="J492" s="15" t="str">
        <f t="shared" si="31"/>
        <v/>
      </c>
    </row>
    <row r="493" spans="1:10">
      <c r="A493" s="7" t="str">
        <f>IF(子基金及业绩基准周净值!A518="","",子基金及业绩基准周净值!A518)</f>
        <v/>
      </c>
      <c r="B493" s="1" t="str">
        <f>IF(A493="","",VLOOKUP($A493,子基金及业绩基准周净值!$A:$AV,11))</f>
        <v/>
      </c>
      <c r="C493" s="8" t="str">
        <f t="shared" si="28"/>
        <v/>
      </c>
      <c r="D493" s="9" t="str">
        <f>IF(A493="","",C493-子基金及业绩基准周净值!AI518)</f>
        <v/>
      </c>
      <c r="E493" s="12" t="str">
        <f>IF(A493="","",(MAX(B$3:B493)-B493)/MAX(B$3:B493))</f>
        <v/>
      </c>
      <c r="F493" s="12" t="str">
        <f>IF(A493="","",MAX(E$4:E493))</f>
        <v/>
      </c>
      <c r="G493" s="17"/>
      <c r="H493" s="14" t="str">
        <f t="shared" si="29"/>
        <v/>
      </c>
      <c r="I493" s="14" t="str">
        <f t="shared" si="30"/>
        <v/>
      </c>
      <c r="J493" s="15" t="str">
        <f t="shared" si="31"/>
        <v/>
      </c>
    </row>
    <row r="494" spans="1:10">
      <c r="A494" s="7" t="str">
        <f>IF(子基金及业绩基准周净值!A519="","",子基金及业绩基准周净值!A519)</f>
        <v/>
      </c>
      <c r="B494" s="1" t="str">
        <f>IF(A494="","",VLOOKUP($A494,子基金及业绩基准周净值!$A:$AV,11))</f>
        <v/>
      </c>
      <c r="C494" s="8" t="str">
        <f t="shared" si="28"/>
        <v/>
      </c>
      <c r="D494" s="9" t="str">
        <f>IF(A494="","",C494-子基金及业绩基准周净值!AI519)</f>
        <v/>
      </c>
      <c r="E494" s="12" t="str">
        <f>IF(A494="","",(MAX(B$3:B494)-B494)/MAX(B$3:B494))</f>
        <v/>
      </c>
      <c r="F494" s="12" t="str">
        <f>IF(A494="","",MAX(E$4:E494))</f>
        <v/>
      </c>
      <c r="G494" s="17"/>
      <c r="H494" s="14" t="str">
        <f t="shared" si="29"/>
        <v/>
      </c>
      <c r="I494" s="14" t="str">
        <f t="shared" si="30"/>
        <v/>
      </c>
      <c r="J494" s="15" t="str">
        <f t="shared" si="31"/>
        <v/>
      </c>
    </row>
    <row r="495" spans="1:10">
      <c r="A495" s="7" t="str">
        <f>IF(子基金及业绩基准周净值!A520="","",子基金及业绩基准周净值!A520)</f>
        <v/>
      </c>
      <c r="B495" s="1" t="str">
        <f>IF(A495="","",VLOOKUP($A495,子基金及业绩基准周净值!$A:$AV,11))</f>
        <v/>
      </c>
      <c r="C495" s="8" t="str">
        <f t="shared" si="28"/>
        <v/>
      </c>
      <c r="D495" s="9" t="str">
        <f>IF(A495="","",C495-子基金及业绩基准周净值!AI520)</f>
        <v/>
      </c>
      <c r="E495" s="12" t="str">
        <f>IF(A495="","",(MAX(B$3:B495)-B495)/MAX(B$3:B495))</f>
        <v/>
      </c>
      <c r="F495" s="12" t="str">
        <f>IF(A495="","",MAX(E$4:E495))</f>
        <v/>
      </c>
      <c r="G495" s="17"/>
      <c r="H495" s="14" t="str">
        <f t="shared" si="29"/>
        <v/>
      </c>
      <c r="I495" s="14" t="str">
        <f t="shared" si="30"/>
        <v/>
      </c>
      <c r="J495" s="15" t="str">
        <f t="shared" si="31"/>
        <v/>
      </c>
    </row>
    <row r="496" spans="1:10">
      <c r="A496" s="7" t="str">
        <f>IF(子基金及业绩基准周净值!A521="","",子基金及业绩基准周净值!A521)</f>
        <v/>
      </c>
      <c r="B496" s="1" t="str">
        <f>IF(A496="","",VLOOKUP($A496,子基金及业绩基准周净值!$A:$AV,11))</f>
        <v/>
      </c>
      <c r="C496" s="8" t="str">
        <f t="shared" si="28"/>
        <v/>
      </c>
      <c r="D496" s="9" t="str">
        <f>IF(A496="","",C496-子基金及业绩基准周净值!AI521)</f>
        <v/>
      </c>
      <c r="E496" s="12" t="str">
        <f>IF(A496="","",(MAX(B$3:B496)-B496)/MAX(B$3:B496))</f>
        <v/>
      </c>
      <c r="F496" s="12" t="str">
        <f>IF(A496="","",MAX(E$4:E496))</f>
        <v/>
      </c>
      <c r="G496" s="17"/>
      <c r="H496" s="14" t="str">
        <f t="shared" si="29"/>
        <v/>
      </c>
      <c r="I496" s="14" t="str">
        <f t="shared" si="30"/>
        <v/>
      </c>
      <c r="J496" s="15" t="str">
        <f t="shared" si="31"/>
        <v/>
      </c>
    </row>
    <row r="497" spans="1:10">
      <c r="A497" s="7" t="str">
        <f>IF(子基金及业绩基准周净值!A522="","",子基金及业绩基准周净值!A522)</f>
        <v/>
      </c>
      <c r="B497" s="1" t="str">
        <f>IF(A497="","",VLOOKUP($A497,子基金及业绩基准周净值!$A:$AV,11))</f>
        <v/>
      </c>
      <c r="C497" s="8" t="str">
        <f t="shared" si="28"/>
        <v/>
      </c>
      <c r="D497" s="9" t="str">
        <f>IF(A497="","",C497-子基金及业绩基准周净值!AI522)</f>
        <v/>
      </c>
      <c r="E497" s="12" t="str">
        <f>IF(A497="","",(MAX(B$3:B497)-B497)/MAX(B$3:B497))</f>
        <v/>
      </c>
      <c r="F497" s="12" t="str">
        <f>IF(A497="","",MAX(E$4:E497))</f>
        <v/>
      </c>
      <c r="G497" s="17"/>
      <c r="H497" s="14" t="str">
        <f t="shared" si="29"/>
        <v/>
      </c>
      <c r="I497" s="14" t="str">
        <f t="shared" si="30"/>
        <v/>
      </c>
      <c r="J497" s="15" t="str">
        <f t="shared" si="31"/>
        <v/>
      </c>
    </row>
    <row r="498" spans="1:10">
      <c r="A498" s="7" t="str">
        <f>IF(子基金及业绩基准周净值!A523="","",子基金及业绩基准周净值!A523)</f>
        <v/>
      </c>
      <c r="B498" s="1" t="str">
        <f>IF(A498="","",VLOOKUP($A498,子基金及业绩基准周净值!$A:$AV,11))</f>
        <v/>
      </c>
      <c r="C498" s="8" t="str">
        <f t="shared" si="28"/>
        <v/>
      </c>
      <c r="D498" s="9" t="str">
        <f>IF(A498="","",C498-子基金及业绩基准周净值!AI523)</f>
        <v/>
      </c>
      <c r="E498" s="12" t="str">
        <f>IF(A498="","",(MAX(B$3:B498)-B498)/MAX(B$3:B498))</f>
        <v/>
      </c>
      <c r="F498" s="12" t="str">
        <f>IF(A498="","",MAX(E$4:E498))</f>
        <v/>
      </c>
      <c r="G498" s="17"/>
      <c r="H498" s="14" t="str">
        <f t="shared" si="29"/>
        <v/>
      </c>
      <c r="I498" s="14" t="str">
        <f t="shared" si="30"/>
        <v/>
      </c>
      <c r="J498" s="15" t="str">
        <f t="shared" si="31"/>
        <v/>
      </c>
    </row>
    <row r="499" spans="1:10">
      <c r="A499" s="7" t="str">
        <f>IF(子基金及业绩基准周净值!A524="","",子基金及业绩基准周净值!A524)</f>
        <v/>
      </c>
      <c r="B499" s="1" t="str">
        <f>IF(A499="","",VLOOKUP($A499,子基金及业绩基准周净值!$A:$AV,11))</f>
        <v/>
      </c>
      <c r="C499" s="8" t="str">
        <f t="shared" si="28"/>
        <v/>
      </c>
      <c r="D499" s="9" t="str">
        <f>IF(A499="","",C499-子基金及业绩基准周净值!AI524)</f>
        <v/>
      </c>
      <c r="E499" s="12" t="str">
        <f>IF(A499="","",(MAX(B$3:B499)-B499)/MAX(B$3:B499))</f>
        <v/>
      </c>
      <c r="F499" s="12" t="str">
        <f>IF(A499="","",MAX(E$4:E499))</f>
        <v/>
      </c>
      <c r="G499" s="17"/>
      <c r="H499" s="14" t="str">
        <f t="shared" si="29"/>
        <v/>
      </c>
      <c r="I499" s="14" t="str">
        <f t="shared" si="30"/>
        <v/>
      </c>
      <c r="J499" s="15" t="str">
        <f t="shared" si="31"/>
        <v/>
      </c>
    </row>
    <row r="500" spans="1:10">
      <c r="A500" s="7" t="str">
        <f>IF(子基金及业绩基准周净值!A525="","",子基金及业绩基准周净值!A525)</f>
        <v/>
      </c>
      <c r="B500" s="1" t="str">
        <f>IF(A500="","",VLOOKUP($A500,子基金及业绩基准周净值!$A:$AV,11))</f>
        <v/>
      </c>
      <c r="C500" s="8" t="str">
        <f t="shared" si="28"/>
        <v/>
      </c>
      <c r="D500" s="9" t="str">
        <f>IF(A500="","",C500-子基金及业绩基准周净值!AI525)</f>
        <v/>
      </c>
      <c r="E500" s="12" t="str">
        <f>IF(A500="","",(MAX(B$3:B500)-B500)/MAX(B$3:B500))</f>
        <v/>
      </c>
      <c r="F500" s="12" t="str">
        <f>IF(A500="","",MAX(E$4:E500))</f>
        <v/>
      </c>
      <c r="G500" s="17"/>
      <c r="H500" s="14" t="str">
        <f t="shared" si="29"/>
        <v/>
      </c>
      <c r="I500" s="14" t="str">
        <f t="shared" si="30"/>
        <v/>
      </c>
      <c r="J500" s="15" t="str">
        <f t="shared" si="31"/>
        <v/>
      </c>
    </row>
    <row r="501" spans="1:10">
      <c r="A501" s="7" t="str">
        <f>IF(子基金及业绩基准周净值!A526="","",子基金及业绩基准周净值!A526)</f>
        <v/>
      </c>
      <c r="B501" s="1" t="str">
        <f>IF(A501="","",VLOOKUP($A501,子基金及业绩基准周净值!$A:$AV,11))</f>
        <v/>
      </c>
      <c r="C501" s="8" t="str">
        <f t="shared" si="28"/>
        <v/>
      </c>
      <c r="D501" s="9" t="str">
        <f>IF(A501="","",C501-子基金及业绩基准周净值!AI526)</f>
        <v/>
      </c>
      <c r="E501" s="12" t="str">
        <f>IF(A501="","",(MAX(B$3:B501)-B501)/MAX(B$3:B501))</f>
        <v/>
      </c>
      <c r="F501" s="12" t="str">
        <f>IF(A501="","",MAX(E$4:E501))</f>
        <v/>
      </c>
      <c r="G501" s="17"/>
      <c r="H501" s="14" t="str">
        <f t="shared" si="29"/>
        <v/>
      </c>
      <c r="I501" s="14" t="str">
        <f t="shared" si="30"/>
        <v/>
      </c>
      <c r="J501" s="15" t="str">
        <f t="shared" si="31"/>
        <v/>
      </c>
    </row>
    <row r="502" spans="1:10">
      <c r="A502" s="7" t="str">
        <f>IF(子基金及业绩基准周净值!A527="","",子基金及业绩基准周净值!A527)</f>
        <v/>
      </c>
      <c r="B502" s="1" t="str">
        <f>IF(A502="","",VLOOKUP($A502,子基金及业绩基准周净值!$A:$AV,11))</f>
        <v/>
      </c>
      <c r="C502" s="8" t="str">
        <f t="shared" si="28"/>
        <v/>
      </c>
      <c r="D502" s="9" t="str">
        <f>IF(A502="","",C502-子基金及业绩基准周净值!AI527)</f>
        <v/>
      </c>
      <c r="E502" s="12" t="str">
        <f>IF(A502="","",(MAX(B$3:B502)-B502)/MAX(B$3:B502))</f>
        <v/>
      </c>
      <c r="F502" s="12" t="str">
        <f>IF(A502="","",MAX(E$4:E502))</f>
        <v/>
      </c>
      <c r="G502" s="17"/>
      <c r="H502" s="14" t="str">
        <f t="shared" si="29"/>
        <v/>
      </c>
      <c r="I502" s="14" t="str">
        <f t="shared" si="30"/>
        <v/>
      </c>
      <c r="J502" s="15" t="str">
        <f t="shared" si="31"/>
        <v/>
      </c>
    </row>
    <row r="503" spans="1:10">
      <c r="A503" s="7" t="str">
        <f>IF(子基金及业绩基准周净值!A528="","",子基金及业绩基准周净值!A528)</f>
        <v/>
      </c>
      <c r="B503" s="1" t="str">
        <f>IF(A503="","",VLOOKUP($A503,子基金及业绩基准周净值!$A:$AV,11))</f>
        <v/>
      </c>
      <c r="C503" s="8" t="str">
        <f t="shared" si="28"/>
        <v/>
      </c>
      <c r="D503" s="9" t="str">
        <f>IF(A503="","",C503-子基金及业绩基准周净值!AI528)</f>
        <v/>
      </c>
      <c r="E503" s="12" t="str">
        <f>IF(A503="","",(MAX(B$3:B503)-B503)/MAX(B$3:B503))</f>
        <v/>
      </c>
      <c r="F503" s="12" t="str">
        <f>IF(A503="","",MAX(E$4:E503))</f>
        <v/>
      </c>
      <c r="G503" s="17"/>
      <c r="H503" s="14" t="str">
        <f t="shared" si="29"/>
        <v/>
      </c>
      <c r="I503" s="14" t="str">
        <f t="shared" si="30"/>
        <v/>
      </c>
      <c r="J503" s="15" t="str">
        <f t="shared" si="31"/>
        <v/>
      </c>
    </row>
    <row r="504" spans="1:10">
      <c r="A504" s="7" t="str">
        <f>IF(子基金及业绩基准周净值!A529="","",子基金及业绩基准周净值!A529)</f>
        <v/>
      </c>
      <c r="B504" s="1" t="str">
        <f>IF(A504="","",VLOOKUP($A504,子基金及业绩基准周净值!$A:$AV,11))</f>
        <v/>
      </c>
      <c r="C504" s="8" t="str">
        <f t="shared" si="28"/>
        <v/>
      </c>
      <c r="D504" s="9" t="str">
        <f>IF(A504="","",C504-子基金及业绩基准周净值!AI529)</f>
        <v/>
      </c>
      <c r="E504" s="12" t="str">
        <f>IF(A504="","",(MAX(B$3:B504)-B504)/MAX(B$3:B504))</f>
        <v/>
      </c>
      <c r="F504" s="12" t="str">
        <f>IF(A504="","",MAX(E$4:E504))</f>
        <v/>
      </c>
      <c r="G504" s="17"/>
      <c r="H504" s="14" t="str">
        <f t="shared" si="29"/>
        <v/>
      </c>
      <c r="I504" s="14" t="str">
        <f t="shared" si="30"/>
        <v/>
      </c>
      <c r="J504" s="15" t="str">
        <f t="shared" si="31"/>
        <v/>
      </c>
    </row>
    <row r="505" spans="1:10">
      <c r="A505" s="7" t="str">
        <f>IF(子基金及业绩基准周净值!A530="","",子基金及业绩基准周净值!A530)</f>
        <v/>
      </c>
      <c r="B505" s="1" t="str">
        <f>IF(A505="","",VLOOKUP($A505,子基金及业绩基准周净值!$A:$AV,11))</f>
        <v/>
      </c>
      <c r="C505" s="8" t="str">
        <f t="shared" si="28"/>
        <v/>
      </c>
      <c r="D505" s="9" t="str">
        <f>IF(A505="","",C505-子基金及业绩基准周净值!AI530)</f>
        <v/>
      </c>
      <c r="E505" s="12" t="str">
        <f>IF(A505="","",(MAX(B$3:B505)-B505)/MAX(B$3:B505))</f>
        <v/>
      </c>
      <c r="F505" s="12" t="str">
        <f>IF(A505="","",MAX(E$4:E505))</f>
        <v/>
      </c>
      <c r="G505" s="17"/>
      <c r="H505" s="14" t="str">
        <f t="shared" si="29"/>
        <v/>
      </c>
      <c r="I505" s="14" t="str">
        <f t="shared" si="30"/>
        <v/>
      </c>
      <c r="J505" s="15" t="str">
        <f t="shared" si="31"/>
        <v/>
      </c>
    </row>
    <row r="506" spans="1:10">
      <c r="A506" s="7" t="str">
        <f>IF(子基金及业绩基准周净值!A531="","",子基金及业绩基准周净值!A531)</f>
        <v/>
      </c>
      <c r="B506" s="1" t="str">
        <f>IF(A506="","",VLOOKUP($A506,子基金及业绩基准周净值!$A:$AV,11))</f>
        <v/>
      </c>
      <c r="C506" s="8" t="str">
        <f t="shared" si="28"/>
        <v/>
      </c>
      <c r="D506" s="9" t="str">
        <f>IF(A506="","",C506-子基金及业绩基准周净值!AI531)</f>
        <v/>
      </c>
      <c r="E506" s="12" t="str">
        <f>IF(A506="","",(MAX(B$3:B506)-B506)/MAX(B$3:B506))</f>
        <v/>
      </c>
      <c r="F506" s="12" t="str">
        <f>IF(A506="","",MAX(E$4:E506))</f>
        <v/>
      </c>
      <c r="G506" s="17"/>
      <c r="H506" s="14" t="str">
        <f t="shared" si="29"/>
        <v/>
      </c>
      <c r="I506" s="14" t="str">
        <f t="shared" si="30"/>
        <v/>
      </c>
      <c r="J506" s="15" t="str">
        <f t="shared" si="31"/>
        <v/>
      </c>
    </row>
    <row r="507" spans="1:10">
      <c r="A507" s="7" t="str">
        <f>IF(子基金及业绩基准周净值!A532="","",子基金及业绩基准周净值!A532)</f>
        <v/>
      </c>
      <c r="B507" s="1" t="str">
        <f>IF(A507="","",VLOOKUP($A507,子基金及业绩基准周净值!$A:$AV,11))</f>
        <v/>
      </c>
      <c r="C507" s="8" t="str">
        <f t="shared" si="28"/>
        <v/>
      </c>
      <c r="D507" s="9" t="str">
        <f>IF(A507="","",C507-子基金及业绩基准周净值!AI532)</f>
        <v/>
      </c>
      <c r="E507" s="12" t="str">
        <f>IF(A507="","",(MAX(B$3:B507)-B507)/MAX(B$3:B507))</f>
        <v/>
      </c>
      <c r="F507" s="12" t="str">
        <f>IF(A507="","",MAX(E$4:E507))</f>
        <v/>
      </c>
      <c r="G507" s="17"/>
      <c r="H507" s="14" t="str">
        <f t="shared" si="29"/>
        <v/>
      </c>
      <c r="I507" s="14" t="str">
        <f t="shared" si="30"/>
        <v/>
      </c>
      <c r="J507" s="15" t="str">
        <f t="shared" si="31"/>
        <v/>
      </c>
    </row>
    <row r="508" spans="1:10">
      <c r="A508" s="7" t="str">
        <f>IF(子基金及业绩基准周净值!A533="","",子基金及业绩基准周净值!A533)</f>
        <v/>
      </c>
      <c r="B508" s="1" t="str">
        <f>IF(A508="","",VLOOKUP($A508,子基金及业绩基准周净值!$A:$AV,11))</f>
        <v/>
      </c>
      <c r="C508" s="8" t="str">
        <f t="shared" si="28"/>
        <v/>
      </c>
      <c r="D508" s="9" t="str">
        <f>IF(A508="","",C508-子基金及业绩基准周净值!AI533)</f>
        <v/>
      </c>
      <c r="E508" s="12" t="str">
        <f>IF(A508="","",(MAX(B$3:B508)-B508)/MAX(B$3:B508))</f>
        <v/>
      </c>
      <c r="F508" s="12" t="str">
        <f>IF(A508="","",MAX(E$4:E508))</f>
        <v/>
      </c>
      <c r="G508" s="17"/>
      <c r="H508" s="14" t="str">
        <f t="shared" si="29"/>
        <v/>
      </c>
      <c r="I508" s="14" t="str">
        <f t="shared" si="30"/>
        <v/>
      </c>
      <c r="J508" s="15" t="str">
        <f t="shared" si="31"/>
        <v/>
      </c>
    </row>
    <row r="509" spans="1:10">
      <c r="A509" s="7" t="str">
        <f>IF(子基金及业绩基准周净值!A534="","",子基金及业绩基准周净值!A534)</f>
        <v/>
      </c>
      <c r="B509" s="1" t="str">
        <f>IF(A509="","",VLOOKUP($A509,子基金及业绩基准周净值!$A:$AV,11))</f>
        <v/>
      </c>
      <c r="C509" s="8" t="str">
        <f t="shared" si="28"/>
        <v/>
      </c>
      <c r="D509" s="9" t="str">
        <f>IF(A509="","",C509-子基金及业绩基准周净值!AI534)</f>
        <v/>
      </c>
      <c r="E509" s="12" t="str">
        <f>IF(A509="","",(MAX(B$3:B509)-B509)/MAX(B$3:B509))</f>
        <v/>
      </c>
      <c r="F509" s="12" t="str">
        <f>IF(A509="","",MAX(E$4:E509))</f>
        <v/>
      </c>
      <c r="G509" s="17"/>
      <c r="H509" s="14" t="str">
        <f t="shared" si="29"/>
        <v/>
      </c>
      <c r="I509" s="14" t="str">
        <f t="shared" si="30"/>
        <v/>
      </c>
      <c r="J509" s="15" t="str">
        <f t="shared" si="31"/>
        <v/>
      </c>
    </row>
    <row r="510" spans="1:10">
      <c r="A510" s="7" t="str">
        <f>IF(子基金及业绩基准周净值!A535="","",子基金及业绩基准周净值!A535)</f>
        <v/>
      </c>
      <c r="B510" s="1" t="str">
        <f>IF(A510="","",VLOOKUP($A510,子基金及业绩基准周净值!$A:$AV,11))</f>
        <v/>
      </c>
      <c r="C510" s="8" t="str">
        <f t="shared" si="28"/>
        <v/>
      </c>
      <c r="D510" s="9" t="str">
        <f>IF(A510="","",C510-子基金及业绩基准周净值!AI535)</f>
        <v/>
      </c>
      <c r="E510" s="12" t="str">
        <f>IF(A510="","",(MAX(B$3:B510)-B510)/MAX(B$3:B510))</f>
        <v/>
      </c>
      <c r="F510" s="12" t="str">
        <f>IF(A510="","",MAX(E$4:E510))</f>
        <v/>
      </c>
      <c r="G510" s="17"/>
      <c r="H510" s="14" t="str">
        <f t="shared" si="29"/>
        <v/>
      </c>
      <c r="I510" s="14" t="str">
        <f t="shared" si="30"/>
        <v/>
      </c>
      <c r="J510" s="15" t="str">
        <f t="shared" si="31"/>
        <v/>
      </c>
    </row>
    <row r="511" spans="1:10">
      <c r="A511" s="7" t="str">
        <f>IF(子基金及业绩基准周净值!A536="","",子基金及业绩基准周净值!A536)</f>
        <v/>
      </c>
      <c r="B511" s="1" t="str">
        <f>IF(A511="","",VLOOKUP($A511,子基金及业绩基准周净值!$A:$AV,11))</f>
        <v/>
      </c>
      <c r="C511" s="8" t="str">
        <f t="shared" si="28"/>
        <v/>
      </c>
      <c r="D511" s="9" t="str">
        <f>IF(A511="","",C511-子基金及业绩基准周净值!AI536)</f>
        <v/>
      </c>
      <c r="E511" s="12" t="str">
        <f>IF(A511="","",(MAX(B$3:B511)-B511)/MAX(B$3:B511))</f>
        <v/>
      </c>
      <c r="F511" s="12" t="str">
        <f>IF(A511="","",MAX(E$4:E511))</f>
        <v/>
      </c>
      <c r="G511" s="17"/>
      <c r="H511" s="14" t="str">
        <f t="shared" si="29"/>
        <v/>
      </c>
      <c r="I511" s="14" t="str">
        <f t="shared" si="30"/>
        <v/>
      </c>
      <c r="J511" s="15" t="str">
        <f t="shared" si="31"/>
        <v/>
      </c>
    </row>
    <row r="512" spans="1:10">
      <c r="A512" s="7" t="str">
        <f>IF(子基金及业绩基准周净值!A537="","",子基金及业绩基准周净值!A537)</f>
        <v/>
      </c>
      <c r="B512" s="1" t="str">
        <f>IF(A512="","",VLOOKUP($A512,子基金及业绩基准周净值!$A:$AV,11))</f>
        <v/>
      </c>
      <c r="C512" s="8" t="str">
        <f t="shared" si="28"/>
        <v/>
      </c>
      <c r="D512" s="9" t="str">
        <f>IF(A512="","",C512-子基金及业绩基准周净值!AI537)</f>
        <v/>
      </c>
      <c r="E512" s="12" t="str">
        <f>IF(A512="","",(MAX(B$3:B512)-B512)/MAX(B$3:B512))</f>
        <v/>
      </c>
      <c r="F512" s="12" t="str">
        <f>IF(A512="","",MAX(E$4:E512))</f>
        <v/>
      </c>
      <c r="G512" s="17"/>
      <c r="H512" s="14" t="str">
        <f t="shared" si="29"/>
        <v/>
      </c>
      <c r="I512" s="14" t="str">
        <f t="shared" si="30"/>
        <v/>
      </c>
      <c r="J512" s="15" t="str">
        <f t="shared" si="31"/>
        <v/>
      </c>
    </row>
    <row r="513" spans="1:10">
      <c r="A513" s="7" t="str">
        <f>IF(子基金及业绩基准周净值!A538="","",子基金及业绩基准周净值!A538)</f>
        <v/>
      </c>
      <c r="B513" s="1" t="str">
        <f>IF(A513="","",VLOOKUP($A513,子基金及业绩基准周净值!$A:$AV,11))</f>
        <v/>
      </c>
      <c r="C513" s="8" t="str">
        <f t="shared" si="28"/>
        <v/>
      </c>
      <c r="D513" s="9" t="str">
        <f>IF(A513="","",C513-子基金及业绩基准周净值!AI538)</f>
        <v/>
      </c>
      <c r="E513" s="12" t="str">
        <f>IF(A513="","",(MAX(B$3:B513)-B513)/MAX(B$3:B513))</f>
        <v/>
      </c>
      <c r="F513" s="12" t="str">
        <f>IF(A513="","",MAX(E$4:E513))</f>
        <v/>
      </c>
      <c r="G513" s="17"/>
      <c r="H513" s="14" t="str">
        <f t="shared" si="29"/>
        <v/>
      </c>
      <c r="I513" s="14" t="str">
        <f t="shared" si="30"/>
        <v/>
      </c>
      <c r="J513" s="15" t="str">
        <f t="shared" si="31"/>
        <v/>
      </c>
    </row>
    <row r="514" spans="1:10">
      <c r="A514" s="7" t="str">
        <f>IF(子基金及业绩基准周净值!A539="","",子基金及业绩基准周净值!A539)</f>
        <v/>
      </c>
      <c r="B514" s="1" t="str">
        <f>IF(A514="","",VLOOKUP($A514,子基金及业绩基准周净值!$A:$AV,11))</f>
        <v/>
      </c>
      <c r="C514" s="8" t="str">
        <f t="shared" si="28"/>
        <v/>
      </c>
      <c r="D514" s="9" t="str">
        <f>IF(A514="","",C514-子基金及业绩基准周净值!AI539)</f>
        <v/>
      </c>
      <c r="E514" s="12" t="str">
        <f>IF(A514="","",(MAX(B$3:B514)-B514)/MAX(B$3:B514))</f>
        <v/>
      </c>
      <c r="F514" s="12" t="str">
        <f>IF(A514="","",MAX(E$4:E514))</f>
        <v/>
      </c>
      <c r="G514" s="17"/>
      <c r="H514" s="14" t="str">
        <f t="shared" si="29"/>
        <v/>
      </c>
      <c r="I514" s="14" t="str">
        <f t="shared" si="30"/>
        <v/>
      </c>
      <c r="J514" s="15" t="str">
        <f t="shared" si="31"/>
        <v/>
      </c>
    </row>
    <row r="515" spans="1:10">
      <c r="A515" s="7" t="str">
        <f>IF(子基金及业绩基准周净值!A540="","",子基金及业绩基准周净值!A540)</f>
        <v/>
      </c>
      <c r="B515" s="1" t="str">
        <f>IF(A515="","",VLOOKUP($A515,子基金及业绩基准周净值!$A:$AV,11))</f>
        <v/>
      </c>
      <c r="C515" s="8" t="str">
        <f t="shared" si="28"/>
        <v/>
      </c>
      <c r="D515" s="9" t="str">
        <f>IF(A515="","",C515-子基金及业绩基准周净值!AI540)</f>
        <v/>
      </c>
      <c r="E515" s="12" t="str">
        <f>IF(A515="","",(MAX(B$3:B515)-B515)/MAX(B$3:B515))</f>
        <v/>
      </c>
      <c r="F515" s="12" t="str">
        <f>IF(A515="","",MAX(E$4:E515))</f>
        <v/>
      </c>
      <c r="G515" s="17"/>
      <c r="H515" s="14" t="str">
        <f t="shared" si="29"/>
        <v/>
      </c>
      <c r="I515" s="14" t="str">
        <f t="shared" si="30"/>
        <v/>
      </c>
      <c r="J515" s="15" t="str">
        <f t="shared" si="31"/>
        <v/>
      </c>
    </row>
    <row r="516" spans="1:10">
      <c r="A516" s="7" t="str">
        <f>IF(子基金及业绩基准周净值!A541="","",子基金及业绩基准周净值!A541)</f>
        <v/>
      </c>
      <c r="B516" s="1" t="str">
        <f>IF(A516="","",VLOOKUP($A516,子基金及业绩基准周净值!$A:$AV,11))</f>
        <v/>
      </c>
      <c r="C516" s="8" t="str">
        <f t="shared" si="28"/>
        <v/>
      </c>
      <c r="D516" s="9" t="str">
        <f>IF(A516="","",C516-子基金及业绩基准周净值!AI541)</f>
        <v/>
      </c>
      <c r="E516" s="12" t="str">
        <f>IF(A516="","",(MAX(B$3:B516)-B516)/MAX(B$3:B516))</f>
        <v/>
      </c>
      <c r="F516" s="12" t="str">
        <f>IF(A516="","",MAX(E$4:E516))</f>
        <v/>
      </c>
      <c r="G516" s="17"/>
      <c r="H516" s="14" t="str">
        <f t="shared" si="29"/>
        <v/>
      </c>
      <c r="I516" s="14" t="str">
        <f t="shared" si="30"/>
        <v/>
      </c>
      <c r="J516" s="15" t="str">
        <f t="shared" si="31"/>
        <v/>
      </c>
    </row>
    <row r="517" spans="1:10">
      <c r="A517" s="7" t="str">
        <f>IF(子基金及业绩基准周净值!A542="","",子基金及业绩基准周净值!A542)</f>
        <v/>
      </c>
      <c r="B517" s="1" t="str">
        <f>IF(A517="","",VLOOKUP($A517,子基金及业绩基准周净值!$A:$AV,11))</f>
        <v/>
      </c>
      <c r="C517" s="8" t="str">
        <f t="shared" ref="C517:C580" si="32">IF(A517="","",(B517-B516)/B516)</f>
        <v/>
      </c>
      <c r="D517" s="9" t="str">
        <f>IF(A517="","",C517-子基金及业绩基准周净值!AI542)</f>
        <v/>
      </c>
      <c r="E517" s="12" t="str">
        <f>IF(A517="","",(MAX(B$3:B517)-B517)/MAX(B$3:B517))</f>
        <v/>
      </c>
      <c r="F517" s="12" t="str">
        <f>IF(A517="","",MAX(E$4:E517))</f>
        <v/>
      </c>
      <c r="G517" s="17"/>
      <c r="H517" s="14" t="str">
        <f t="shared" ref="H517:H580" si="33">IF(B517="","",IF(C517&lt;-3%,"是","否"))</f>
        <v/>
      </c>
      <c r="I517" s="14" t="str">
        <f t="shared" ref="I517:I580" si="34">IF(A517="","",IF(F517&gt;5%,"是","否"))</f>
        <v/>
      </c>
      <c r="J517" s="15" t="str">
        <f t="shared" ref="J517:J580" si="35">IF(A517="","",IF(G517&gt;=4,"是","否"))</f>
        <v/>
      </c>
    </row>
    <row r="518" spans="1:10">
      <c r="A518" s="7" t="str">
        <f>IF(子基金及业绩基准周净值!A543="","",子基金及业绩基准周净值!A543)</f>
        <v/>
      </c>
      <c r="B518" s="1" t="str">
        <f>IF(A518="","",VLOOKUP($A518,子基金及业绩基准周净值!$A:$AV,11))</f>
        <v/>
      </c>
      <c r="C518" s="8" t="str">
        <f t="shared" si="32"/>
        <v/>
      </c>
      <c r="D518" s="9" t="str">
        <f>IF(A518="","",C518-子基金及业绩基准周净值!AI543)</f>
        <v/>
      </c>
      <c r="E518" s="12" t="str">
        <f>IF(A518="","",(MAX(B$3:B518)-B518)/MAX(B$3:B518))</f>
        <v/>
      </c>
      <c r="F518" s="12" t="str">
        <f>IF(A518="","",MAX(E$4:E518))</f>
        <v/>
      </c>
      <c r="G518" s="17"/>
      <c r="H518" s="14" t="str">
        <f t="shared" si="33"/>
        <v/>
      </c>
      <c r="I518" s="14" t="str">
        <f t="shared" si="34"/>
        <v/>
      </c>
      <c r="J518" s="15" t="str">
        <f t="shared" si="35"/>
        <v/>
      </c>
    </row>
    <row r="519" spans="1:10">
      <c r="A519" s="7" t="str">
        <f>IF(子基金及业绩基准周净值!A544="","",子基金及业绩基准周净值!A544)</f>
        <v/>
      </c>
      <c r="B519" s="1" t="str">
        <f>IF(A519="","",VLOOKUP($A519,子基金及业绩基准周净值!$A:$AV,11))</f>
        <v/>
      </c>
      <c r="C519" s="8" t="str">
        <f t="shared" si="32"/>
        <v/>
      </c>
      <c r="D519" s="9" t="str">
        <f>IF(A519="","",C519-子基金及业绩基准周净值!AI544)</f>
        <v/>
      </c>
      <c r="E519" s="12" t="str">
        <f>IF(A519="","",(MAX(B$3:B519)-B519)/MAX(B$3:B519))</f>
        <v/>
      </c>
      <c r="F519" s="12" t="str">
        <f>IF(A519="","",MAX(E$4:E519))</f>
        <v/>
      </c>
      <c r="G519" s="17"/>
      <c r="H519" s="14" t="str">
        <f t="shared" si="33"/>
        <v/>
      </c>
      <c r="I519" s="14" t="str">
        <f t="shared" si="34"/>
        <v/>
      </c>
      <c r="J519" s="15" t="str">
        <f t="shared" si="35"/>
        <v/>
      </c>
    </row>
    <row r="520" spans="1:10">
      <c r="A520" s="7" t="str">
        <f>IF(子基金及业绩基准周净值!A545="","",子基金及业绩基准周净值!A545)</f>
        <v/>
      </c>
      <c r="B520" s="1" t="str">
        <f>IF(A520="","",VLOOKUP($A520,子基金及业绩基准周净值!$A:$AV,11))</f>
        <v/>
      </c>
      <c r="C520" s="8" t="str">
        <f t="shared" si="32"/>
        <v/>
      </c>
      <c r="D520" s="9" t="str">
        <f>IF(A520="","",C520-子基金及业绩基准周净值!AI545)</f>
        <v/>
      </c>
      <c r="E520" s="12" t="str">
        <f>IF(A520="","",(MAX(B$3:B520)-B520)/MAX(B$3:B520))</f>
        <v/>
      </c>
      <c r="F520" s="12" t="str">
        <f>IF(A520="","",MAX(E$4:E520))</f>
        <v/>
      </c>
      <c r="G520" s="17"/>
      <c r="H520" s="14" t="str">
        <f t="shared" si="33"/>
        <v/>
      </c>
      <c r="I520" s="14" t="str">
        <f t="shared" si="34"/>
        <v/>
      </c>
      <c r="J520" s="15" t="str">
        <f t="shared" si="35"/>
        <v/>
      </c>
    </row>
    <row r="521" spans="1:10">
      <c r="A521" s="7" t="str">
        <f>IF(子基金及业绩基准周净值!A546="","",子基金及业绩基准周净值!A546)</f>
        <v/>
      </c>
      <c r="B521" s="1" t="str">
        <f>IF(A521="","",VLOOKUP($A521,子基金及业绩基准周净值!$A:$AV,11))</f>
        <v/>
      </c>
      <c r="C521" s="8" t="str">
        <f t="shared" si="32"/>
        <v/>
      </c>
      <c r="D521" s="9" t="str">
        <f>IF(A521="","",C521-子基金及业绩基准周净值!AI546)</f>
        <v/>
      </c>
      <c r="E521" s="12" t="str">
        <f>IF(A521="","",(MAX(B$3:B521)-B521)/MAX(B$3:B521))</f>
        <v/>
      </c>
      <c r="F521" s="12" t="str">
        <f>IF(A521="","",MAX(E$4:E521))</f>
        <v/>
      </c>
      <c r="G521" s="17"/>
      <c r="H521" s="14" t="str">
        <f t="shared" si="33"/>
        <v/>
      </c>
      <c r="I521" s="14" t="str">
        <f t="shared" si="34"/>
        <v/>
      </c>
      <c r="J521" s="15" t="str">
        <f t="shared" si="35"/>
        <v/>
      </c>
    </row>
    <row r="522" spans="1:10">
      <c r="A522" s="7" t="str">
        <f>IF(子基金及业绩基准周净值!A547="","",子基金及业绩基准周净值!A547)</f>
        <v/>
      </c>
      <c r="B522" s="1" t="str">
        <f>IF(A522="","",VLOOKUP($A522,子基金及业绩基准周净值!$A:$AV,11))</f>
        <v/>
      </c>
      <c r="C522" s="8" t="str">
        <f t="shared" si="32"/>
        <v/>
      </c>
      <c r="D522" s="9" t="str">
        <f>IF(A522="","",C522-子基金及业绩基准周净值!AI547)</f>
        <v/>
      </c>
      <c r="E522" s="12" t="str">
        <f>IF(A522="","",(MAX(B$3:B522)-B522)/MAX(B$3:B522))</f>
        <v/>
      </c>
      <c r="F522" s="12" t="str">
        <f>IF(A522="","",MAX(E$4:E522))</f>
        <v/>
      </c>
      <c r="G522" s="17"/>
      <c r="H522" s="14" t="str">
        <f t="shared" si="33"/>
        <v/>
      </c>
      <c r="I522" s="14" t="str">
        <f t="shared" si="34"/>
        <v/>
      </c>
      <c r="J522" s="15" t="str">
        <f t="shared" si="35"/>
        <v/>
      </c>
    </row>
    <row r="523" spans="1:10">
      <c r="A523" s="7" t="str">
        <f>IF(子基金及业绩基准周净值!A548="","",子基金及业绩基准周净值!A548)</f>
        <v/>
      </c>
      <c r="B523" s="1" t="str">
        <f>IF(A523="","",VLOOKUP($A523,子基金及业绩基准周净值!$A:$AV,11))</f>
        <v/>
      </c>
      <c r="C523" s="8" t="str">
        <f t="shared" si="32"/>
        <v/>
      </c>
      <c r="D523" s="9" t="str">
        <f>IF(A523="","",C523-子基金及业绩基准周净值!AI548)</f>
        <v/>
      </c>
      <c r="E523" s="12" t="str">
        <f>IF(A523="","",(MAX(B$3:B523)-B523)/MAX(B$3:B523))</f>
        <v/>
      </c>
      <c r="F523" s="12" t="str">
        <f>IF(A523="","",MAX(E$4:E523))</f>
        <v/>
      </c>
      <c r="G523" s="17"/>
      <c r="H523" s="14" t="str">
        <f t="shared" si="33"/>
        <v/>
      </c>
      <c r="I523" s="14" t="str">
        <f t="shared" si="34"/>
        <v/>
      </c>
      <c r="J523" s="15" t="str">
        <f t="shared" si="35"/>
        <v/>
      </c>
    </row>
    <row r="524" spans="1:10">
      <c r="A524" s="7" t="str">
        <f>IF(子基金及业绩基准周净值!A549="","",子基金及业绩基准周净值!A549)</f>
        <v/>
      </c>
      <c r="B524" s="1" t="str">
        <f>IF(A524="","",VLOOKUP($A524,子基金及业绩基准周净值!$A:$AV,11))</f>
        <v/>
      </c>
      <c r="C524" s="8" t="str">
        <f t="shared" si="32"/>
        <v/>
      </c>
      <c r="D524" s="9" t="str">
        <f>IF(A524="","",C524-子基金及业绩基准周净值!AI549)</f>
        <v/>
      </c>
      <c r="E524" s="12" t="str">
        <f>IF(A524="","",(MAX(B$3:B524)-B524)/MAX(B$3:B524))</f>
        <v/>
      </c>
      <c r="F524" s="12" t="str">
        <f>IF(A524="","",MAX(E$4:E524))</f>
        <v/>
      </c>
      <c r="G524" s="17"/>
      <c r="H524" s="14" t="str">
        <f t="shared" si="33"/>
        <v/>
      </c>
      <c r="I524" s="14" t="str">
        <f t="shared" si="34"/>
        <v/>
      </c>
      <c r="J524" s="15" t="str">
        <f t="shared" si="35"/>
        <v/>
      </c>
    </row>
    <row r="525" spans="1:10">
      <c r="A525" s="7" t="str">
        <f>IF(子基金及业绩基准周净值!A550="","",子基金及业绩基准周净值!A550)</f>
        <v/>
      </c>
      <c r="B525" s="1" t="str">
        <f>IF(A525="","",VLOOKUP($A525,子基金及业绩基准周净值!$A:$AV,11))</f>
        <v/>
      </c>
      <c r="C525" s="8" t="str">
        <f t="shared" si="32"/>
        <v/>
      </c>
      <c r="D525" s="9" t="str">
        <f>IF(A525="","",C525-子基金及业绩基准周净值!AI550)</f>
        <v/>
      </c>
      <c r="E525" s="12" t="str">
        <f>IF(A525="","",(MAX(B$3:B525)-B525)/MAX(B$3:B525))</f>
        <v/>
      </c>
      <c r="F525" s="12" t="str">
        <f>IF(A525="","",MAX(E$4:E525))</f>
        <v/>
      </c>
      <c r="G525" s="17"/>
      <c r="H525" s="14" t="str">
        <f t="shared" si="33"/>
        <v/>
      </c>
      <c r="I525" s="14" t="str">
        <f t="shared" si="34"/>
        <v/>
      </c>
      <c r="J525" s="15" t="str">
        <f t="shared" si="35"/>
        <v/>
      </c>
    </row>
    <row r="526" spans="1:10">
      <c r="A526" s="7" t="str">
        <f>IF(子基金及业绩基准周净值!A551="","",子基金及业绩基准周净值!A551)</f>
        <v/>
      </c>
      <c r="B526" s="1" t="str">
        <f>IF(A526="","",VLOOKUP($A526,子基金及业绩基准周净值!$A:$AV,11))</f>
        <v/>
      </c>
      <c r="C526" s="8" t="str">
        <f t="shared" si="32"/>
        <v/>
      </c>
      <c r="D526" s="9" t="str">
        <f>IF(A526="","",C526-子基金及业绩基准周净值!AI551)</f>
        <v/>
      </c>
      <c r="E526" s="12" t="str">
        <f>IF(A526="","",(MAX(B$3:B526)-B526)/MAX(B$3:B526))</f>
        <v/>
      </c>
      <c r="F526" s="12" t="str">
        <f>IF(A526="","",MAX(E$4:E526))</f>
        <v/>
      </c>
      <c r="G526" s="17"/>
      <c r="H526" s="14" t="str">
        <f t="shared" si="33"/>
        <v/>
      </c>
      <c r="I526" s="14" t="str">
        <f t="shared" si="34"/>
        <v/>
      </c>
      <c r="J526" s="15" t="str">
        <f t="shared" si="35"/>
        <v/>
      </c>
    </row>
    <row r="527" spans="1:10">
      <c r="A527" s="7" t="str">
        <f>IF(子基金及业绩基准周净值!A552="","",子基金及业绩基准周净值!A552)</f>
        <v/>
      </c>
      <c r="B527" s="1" t="str">
        <f>IF(A527="","",VLOOKUP($A527,子基金及业绩基准周净值!$A:$AV,11))</f>
        <v/>
      </c>
      <c r="C527" s="8" t="str">
        <f t="shared" si="32"/>
        <v/>
      </c>
      <c r="D527" s="9" t="str">
        <f>IF(A527="","",C527-子基金及业绩基准周净值!AI552)</f>
        <v/>
      </c>
      <c r="E527" s="12" t="str">
        <f>IF(A527="","",(MAX(B$3:B527)-B527)/MAX(B$3:B527))</f>
        <v/>
      </c>
      <c r="F527" s="12" t="str">
        <f>IF(A527="","",MAX(E$4:E527))</f>
        <v/>
      </c>
      <c r="G527" s="17"/>
      <c r="H527" s="14" t="str">
        <f t="shared" si="33"/>
        <v/>
      </c>
      <c r="I527" s="14" t="str">
        <f t="shared" si="34"/>
        <v/>
      </c>
      <c r="J527" s="15" t="str">
        <f t="shared" si="35"/>
        <v/>
      </c>
    </row>
    <row r="528" spans="1:10">
      <c r="A528" s="7" t="str">
        <f>IF(子基金及业绩基准周净值!A553="","",子基金及业绩基准周净值!A553)</f>
        <v/>
      </c>
      <c r="B528" s="1" t="str">
        <f>IF(A528="","",VLOOKUP($A528,子基金及业绩基准周净值!$A:$AV,11))</f>
        <v/>
      </c>
      <c r="C528" s="8" t="str">
        <f t="shared" si="32"/>
        <v/>
      </c>
      <c r="D528" s="9" t="str">
        <f>IF(A528="","",C528-子基金及业绩基准周净值!AI553)</f>
        <v/>
      </c>
      <c r="E528" s="12" t="str">
        <f>IF(A528="","",(MAX(B$3:B528)-B528)/MAX(B$3:B528))</f>
        <v/>
      </c>
      <c r="F528" s="12" t="str">
        <f>IF(A528="","",MAX(E$4:E528))</f>
        <v/>
      </c>
      <c r="G528" s="17"/>
      <c r="H528" s="14" t="str">
        <f t="shared" si="33"/>
        <v/>
      </c>
      <c r="I528" s="14" t="str">
        <f t="shared" si="34"/>
        <v/>
      </c>
      <c r="J528" s="15" t="str">
        <f t="shared" si="35"/>
        <v/>
      </c>
    </row>
    <row r="529" spans="1:10">
      <c r="A529" s="7" t="str">
        <f>IF(子基金及业绩基准周净值!A554="","",子基金及业绩基准周净值!A554)</f>
        <v/>
      </c>
      <c r="B529" s="1" t="str">
        <f>IF(A529="","",VLOOKUP($A529,子基金及业绩基准周净值!$A:$AV,11))</f>
        <v/>
      </c>
      <c r="C529" s="8" t="str">
        <f t="shared" si="32"/>
        <v/>
      </c>
      <c r="D529" s="9" t="str">
        <f>IF(A529="","",C529-子基金及业绩基准周净值!AI554)</f>
        <v/>
      </c>
      <c r="E529" s="12" t="str">
        <f>IF(A529="","",(MAX(B$3:B529)-B529)/MAX(B$3:B529))</f>
        <v/>
      </c>
      <c r="F529" s="12" t="str">
        <f>IF(A529="","",MAX(E$4:E529))</f>
        <v/>
      </c>
      <c r="G529" s="17"/>
      <c r="H529" s="14" t="str">
        <f t="shared" si="33"/>
        <v/>
      </c>
      <c r="I529" s="14" t="str">
        <f t="shared" si="34"/>
        <v/>
      </c>
      <c r="J529" s="15" t="str">
        <f t="shared" si="35"/>
        <v/>
      </c>
    </row>
    <row r="530" spans="1:10">
      <c r="A530" s="7" t="str">
        <f>IF(子基金及业绩基准周净值!A555="","",子基金及业绩基准周净值!A555)</f>
        <v/>
      </c>
      <c r="B530" s="1" t="str">
        <f>IF(A530="","",VLOOKUP($A530,子基金及业绩基准周净值!$A:$AV,11))</f>
        <v/>
      </c>
      <c r="C530" s="8" t="str">
        <f t="shared" si="32"/>
        <v/>
      </c>
      <c r="D530" s="9" t="str">
        <f>IF(A530="","",C530-子基金及业绩基准周净值!AI555)</f>
        <v/>
      </c>
      <c r="E530" s="12" t="str">
        <f>IF(A530="","",(MAX(B$3:B530)-B530)/MAX(B$3:B530))</f>
        <v/>
      </c>
      <c r="F530" s="12" t="str">
        <f>IF(A530="","",MAX(E$4:E530))</f>
        <v/>
      </c>
      <c r="G530" s="17"/>
      <c r="H530" s="14" t="str">
        <f t="shared" si="33"/>
        <v/>
      </c>
      <c r="I530" s="14" t="str">
        <f t="shared" si="34"/>
        <v/>
      </c>
      <c r="J530" s="15" t="str">
        <f t="shared" si="35"/>
        <v/>
      </c>
    </row>
    <row r="531" spans="1:10">
      <c r="A531" s="7" t="str">
        <f>IF(子基金及业绩基准周净值!A556="","",子基金及业绩基准周净值!A556)</f>
        <v/>
      </c>
      <c r="B531" s="1" t="str">
        <f>IF(A531="","",VLOOKUP($A531,子基金及业绩基准周净值!$A:$AV,11))</f>
        <v/>
      </c>
      <c r="C531" s="8" t="str">
        <f t="shared" si="32"/>
        <v/>
      </c>
      <c r="D531" s="9" t="str">
        <f>IF(A531="","",C531-子基金及业绩基准周净值!AI556)</f>
        <v/>
      </c>
      <c r="E531" s="12" t="str">
        <f>IF(A531="","",(MAX(B$3:B531)-B531)/MAX(B$3:B531))</f>
        <v/>
      </c>
      <c r="F531" s="12" t="str">
        <f>IF(A531="","",MAX(E$4:E531))</f>
        <v/>
      </c>
      <c r="G531" s="17"/>
      <c r="H531" s="14" t="str">
        <f t="shared" si="33"/>
        <v/>
      </c>
      <c r="I531" s="14" t="str">
        <f t="shared" si="34"/>
        <v/>
      </c>
      <c r="J531" s="15" t="str">
        <f t="shared" si="35"/>
        <v/>
      </c>
    </row>
    <row r="532" spans="1:10">
      <c r="A532" s="7" t="str">
        <f>IF(子基金及业绩基准周净值!A557="","",子基金及业绩基准周净值!A557)</f>
        <v/>
      </c>
      <c r="B532" s="1" t="str">
        <f>IF(A532="","",VLOOKUP($A532,子基金及业绩基准周净值!$A:$AV,11))</f>
        <v/>
      </c>
      <c r="C532" s="8" t="str">
        <f t="shared" si="32"/>
        <v/>
      </c>
      <c r="D532" s="9" t="str">
        <f>IF(A532="","",C532-子基金及业绩基准周净值!AI557)</f>
        <v/>
      </c>
      <c r="E532" s="12" t="str">
        <f>IF(A532="","",(MAX(B$3:B532)-B532)/MAX(B$3:B532))</f>
        <v/>
      </c>
      <c r="F532" s="12" t="str">
        <f>IF(A532="","",MAX(E$4:E532))</f>
        <v/>
      </c>
      <c r="G532" s="17"/>
      <c r="H532" s="14" t="str">
        <f t="shared" si="33"/>
        <v/>
      </c>
      <c r="I532" s="14" t="str">
        <f t="shared" si="34"/>
        <v/>
      </c>
      <c r="J532" s="15" t="str">
        <f t="shared" si="35"/>
        <v/>
      </c>
    </row>
    <row r="533" spans="1:10">
      <c r="A533" s="7" t="str">
        <f>IF(子基金及业绩基准周净值!A558="","",子基金及业绩基准周净值!A558)</f>
        <v/>
      </c>
      <c r="B533" s="1" t="str">
        <f>IF(A533="","",VLOOKUP($A533,子基金及业绩基准周净值!$A:$AV,11))</f>
        <v/>
      </c>
      <c r="C533" s="8" t="str">
        <f t="shared" si="32"/>
        <v/>
      </c>
      <c r="D533" s="9" t="str">
        <f>IF(A533="","",C533-子基金及业绩基准周净值!AI558)</f>
        <v/>
      </c>
      <c r="E533" s="12" t="str">
        <f>IF(A533="","",(MAX(B$3:B533)-B533)/MAX(B$3:B533))</f>
        <v/>
      </c>
      <c r="F533" s="12" t="str">
        <f>IF(A533="","",MAX(E$4:E533))</f>
        <v/>
      </c>
      <c r="G533" s="17"/>
      <c r="H533" s="14" t="str">
        <f t="shared" si="33"/>
        <v/>
      </c>
      <c r="I533" s="14" t="str">
        <f t="shared" si="34"/>
        <v/>
      </c>
      <c r="J533" s="15" t="str">
        <f t="shared" si="35"/>
        <v/>
      </c>
    </row>
    <row r="534" spans="1:10">
      <c r="A534" s="7" t="str">
        <f>IF(子基金及业绩基准周净值!A559="","",子基金及业绩基准周净值!A559)</f>
        <v/>
      </c>
      <c r="B534" s="1" t="str">
        <f>IF(A534="","",VLOOKUP($A534,子基金及业绩基准周净值!$A:$AV,11))</f>
        <v/>
      </c>
      <c r="C534" s="8" t="str">
        <f t="shared" si="32"/>
        <v/>
      </c>
      <c r="D534" s="9" t="str">
        <f>IF(A534="","",C534-子基金及业绩基准周净值!AI559)</f>
        <v/>
      </c>
      <c r="E534" s="12" t="str">
        <f>IF(A534="","",(MAX(B$3:B534)-B534)/MAX(B$3:B534))</f>
        <v/>
      </c>
      <c r="F534" s="12" t="str">
        <f>IF(A534="","",MAX(E$4:E534))</f>
        <v/>
      </c>
      <c r="G534" s="17"/>
      <c r="H534" s="14" t="str">
        <f t="shared" si="33"/>
        <v/>
      </c>
      <c r="I534" s="14" t="str">
        <f t="shared" si="34"/>
        <v/>
      </c>
      <c r="J534" s="15" t="str">
        <f t="shared" si="35"/>
        <v/>
      </c>
    </row>
    <row r="535" spans="1:10">
      <c r="A535" s="7" t="str">
        <f>IF(子基金及业绩基准周净值!A560="","",子基金及业绩基准周净值!A560)</f>
        <v/>
      </c>
      <c r="B535" s="1" t="str">
        <f>IF(A535="","",VLOOKUP($A535,子基金及业绩基准周净值!$A:$AV,11))</f>
        <v/>
      </c>
      <c r="C535" s="8" t="str">
        <f t="shared" si="32"/>
        <v/>
      </c>
      <c r="D535" s="9" t="str">
        <f>IF(A535="","",C535-子基金及业绩基准周净值!AI560)</f>
        <v/>
      </c>
      <c r="E535" s="12" t="str">
        <f>IF(A535="","",(MAX(B$3:B535)-B535)/MAX(B$3:B535))</f>
        <v/>
      </c>
      <c r="F535" s="12" t="str">
        <f>IF(A535="","",MAX(E$4:E535))</f>
        <v/>
      </c>
      <c r="G535" s="17"/>
      <c r="H535" s="14" t="str">
        <f t="shared" si="33"/>
        <v/>
      </c>
      <c r="I535" s="14" t="str">
        <f t="shared" si="34"/>
        <v/>
      </c>
      <c r="J535" s="15" t="str">
        <f t="shared" si="35"/>
        <v/>
      </c>
    </row>
    <row r="536" spans="1:10">
      <c r="A536" s="7" t="str">
        <f>IF(子基金及业绩基准周净值!A561="","",子基金及业绩基准周净值!A561)</f>
        <v/>
      </c>
      <c r="B536" s="1" t="str">
        <f>IF(A536="","",VLOOKUP($A536,子基金及业绩基准周净值!$A:$AV,11))</f>
        <v/>
      </c>
      <c r="C536" s="8" t="str">
        <f t="shared" si="32"/>
        <v/>
      </c>
      <c r="D536" s="9" t="str">
        <f>IF(A536="","",C536-子基金及业绩基准周净值!AI561)</f>
        <v/>
      </c>
      <c r="E536" s="12" t="str">
        <f>IF(A536="","",(MAX(B$3:B536)-B536)/MAX(B$3:B536))</f>
        <v/>
      </c>
      <c r="F536" s="12" t="str">
        <f>IF(A536="","",MAX(E$4:E536))</f>
        <v/>
      </c>
      <c r="G536" s="17"/>
      <c r="H536" s="14" t="str">
        <f t="shared" si="33"/>
        <v/>
      </c>
      <c r="I536" s="14" t="str">
        <f t="shared" si="34"/>
        <v/>
      </c>
      <c r="J536" s="15" t="str">
        <f t="shared" si="35"/>
        <v/>
      </c>
    </row>
    <row r="537" spans="1:10">
      <c r="A537" s="7" t="str">
        <f>IF(子基金及业绩基准周净值!A562="","",子基金及业绩基准周净值!A562)</f>
        <v/>
      </c>
      <c r="B537" s="1" t="str">
        <f>IF(A537="","",VLOOKUP($A537,子基金及业绩基准周净值!$A:$AV,11))</f>
        <v/>
      </c>
      <c r="C537" s="8" t="str">
        <f t="shared" si="32"/>
        <v/>
      </c>
      <c r="D537" s="9" t="str">
        <f>IF(A537="","",C537-子基金及业绩基准周净值!AI562)</f>
        <v/>
      </c>
      <c r="E537" s="12" t="str">
        <f>IF(A537="","",(MAX(B$3:B537)-B537)/MAX(B$3:B537))</f>
        <v/>
      </c>
      <c r="F537" s="12" t="str">
        <f>IF(A537="","",MAX(E$4:E537))</f>
        <v/>
      </c>
      <c r="G537" s="17"/>
      <c r="H537" s="14" t="str">
        <f t="shared" si="33"/>
        <v/>
      </c>
      <c r="I537" s="14" t="str">
        <f t="shared" si="34"/>
        <v/>
      </c>
      <c r="J537" s="15" t="str">
        <f t="shared" si="35"/>
        <v/>
      </c>
    </row>
    <row r="538" spans="1:10">
      <c r="A538" s="7" t="str">
        <f>IF(子基金及业绩基准周净值!A563="","",子基金及业绩基准周净值!A563)</f>
        <v/>
      </c>
      <c r="B538" s="1" t="str">
        <f>IF(A538="","",VLOOKUP($A538,子基金及业绩基准周净值!$A:$AV,11))</f>
        <v/>
      </c>
      <c r="C538" s="8" t="str">
        <f t="shared" si="32"/>
        <v/>
      </c>
      <c r="D538" s="9" t="str">
        <f>IF(A538="","",C538-子基金及业绩基准周净值!AI563)</f>
        <v/>
      </c>
      <c r="E538" s="12" t="str">
        <f>IF(A538="","",(MAX(B$3:B538)-B538)/MAX(B$3:B538))</f>
        <v/>
      </c>
      <c r="F538" s="12" t="str">
        <f>IF(A538="","",MAX(E$4:E538))</f>
        <v/>
      </c>
      <c r="G538" s="17"/>
      <c r="H538" s="14" t="str">
        <f t="shared" si="33"/>
        <v/>
      </c>
      <c r="I538" s="14" t="str">
        <f t="shared" si="34"/>
        <v/>
      </c>
      <c r="J538" s="15" t="str">
        <f t="shared" si="35"/>
        <v/>
      </c>
    </row>
    <row r="539" spans="1:10">
      <c r="A539" s="7" t="str">
        <f>IF(子基金及业绩基准周净值!A564="","",子基金及业绩基准周净值!A564)</f>
        <v/>
      </c>
      <c r="B539" s="1" t="str">
        <f>IF(A539="","",VLOOKUP($A539,子基金及业绩基准周净值!$A:$AV,11))</f>
        <v/>
      </c>
      <c r="C539" s="8" t="str">
        <f t="shared" si="32"/>
        <v/>
      </c>
      <c r="D539" s="9" t="str">
        <f>IF(A539="","",C539-子基金及业绩基准周净值!AI564)</f>
        <v/>
      </c>
      <c r="E539" s="12" t="str">
        <f>IF(A539="","",(MAX(B$3:B539)-B539)/MAX(B$3:B539))</f>
        <v/>
      </c>
      <c r="F539" s="12" t="str">
        <f>IF(A539="","",MAX(E$4:E539))</f>
        <v/>
      </c>
      <c r="G539" s="17"/>
      <c r="H539" s="14" t="str">
        <f t="shared" si="33"/>
        <v/>
      </c>
      <c r="I539" s="14" t="str">
        <f t="shared" si="34"/>
        <v/>
      </c>
      <c r="J539" s="15" t="str">
        <f t="shared" si="35"/>
        <v/>
      </c>
    </row>
    <row r="540" spans="1:10">
      <c r="A540" s="7" t="str">
        <f>IF(子基金及业绩基准周净值!A565="","",子基金及业绩基准周净值!A565)</f>
        <v/>
      </c>
      <c r="B540" s="1" t="str">
        <f>IF(A540="","",VLOOKUP($A540,子基金及业绩基准周净值!$A:$AV,11))</f>
        <v/>
      </c>
      <c r="C540" s="8" t="str">
        <f t="shared" si="32"/>
        <v/>
      </c>
      <c r="D540" s="9" t="str">
        <f>IF(A540="","",C540-子基金及业绩基准周净值!AI565)</f>
        <v/>
      </c>
      <c r="E540" s="12" t="str">
        <f>IF(A540="","",(MAX(B$3:B540)-B540)/MAX(B$3:B540))</f>
        <v/>
      </c>
      <c r="F540" s="12" t="str">
        <f>IF(A540="","",MAX(E$4:E540))</f>
        <v/>
      </c>
      <c r="G540" s="17"/>
      <c r="H540" s="14" t="str">
        <f t="shared" si="33"/>
        <v/>
      </c>
      <c r="I540" s="14" t="str">
        <f t="shared" si="34"/>
        <v/>
      </c>
      <c r="J540" s="15" t="str">
        <f t="shared" si="35"/>
        <v/>
      </c>
    </row>
    <row r="541" spans="1:10">
      <c r="A541" s="7" t="str">
        <f>IF(子基金及业绩基准周净值!A566="","",子基金及业绩基准周净值!A566)</f>
        <v/>
      </c>
      <c r="B541" s="1" t="str">
        <f>IF(A541="","",VLOOKUP($A541,子基金及业绩基准周净值!$A:$AV,11))</f>
        <v/>
      </c>
      <c r="C541" s="8" t="str">
        <f t="shared" si="32"/>
        <v/>
      </c>
      <c r="D541" s="9" t="str">
        <f>IF(A541="","",C541-子基金及业绩基准周净值!AI566)</f>
        <v/>
      </c>
      <c r="E541" s="12" t="str">
        <f>IF(A541="","",(MAX(B$3:B541)-B541)/MAX(B$3:B541))</f>
        <v/>
      </c>
      <c r="F541" s="12" t="str">
        <f>IF(A541="","",MAX(E$4:E541))</f>
        <v/>
      </c>
      <c r="G541" s="17"/>
      <c r="H541" s="14" t="str">
        <f t="shared" si="33"/>
        <v/>
      </c>
      <c r="I541" s="14" t="str">
        <f t="shared" si="34"/>
        <v/>
      </c>
      <c r="J541" s="15" t="str">
        <f t="shared" si="35"/>
        <v/>
      </c>
    </row>
    <row r="542" spans="1:10">
      <c r="A542" s="7" t="str">
        <f>IF(子基金及业绩基准周净值!A567="","",子基金及业绩基准周净值!A567)</f>
        <v/>
      </c>
      <c r="B542" s="1" t="str">
        <f>IF(A542="","",VLOOKUP($A542,子基金及业绩基准周净值!$A:$AV,11))</f>
        <v/>
      </c>
      <c r="C542" s="8" t="str">
        <f t="shared" si="32"/>
        <v/>
      </c>
      <c r="D542" s="9" t="str">
        <f>IF(A542="","",C542-子基金及业绩基准周净值!AI567)</f>
        <v/>
      </c>
      <c r="E542" s="12" t="str">
        <f>IF(A542="","",(MAX(B$3:B542)-B542)/MAX(B$3:B542))</f>
        <v/>
      </c>
      <c r="F542" s="12" t="str">
        <f>IF(A542="","",MAX(E$4:E542))</f>
        <v/>
      </c>
      <c r="G542" s="17"/>
      <c r="H542" s="14" t="str">
        <f t="shared" si="33"/>
        <v/>
      </c>
      <c r="I542" s="14" t="str">
        <f t="shared" si="34"/>
        <v/>
      </c>
      <c r="J542" s="15" t="str">
        <f t="shared" si="35"/>
        <v/>
      </c>
    </row>
    <row r="543" spans="1:10">
      <c r="A543" s="7" t="str">
        <f>IF(子基金及业绩基准周净值!A568="","",子基金及业绩基准周净值!A568)</f>
        <v/>
      </c>
      <c r="B543" s="1" t="str">
        <f>IF(A543="","",VLOOKUP($A543,子基金及业绩基准周净值!$A:$AV,11))</f>
        <v/>
      </c>
      <c r="C543" s="8" t="str">
        <f t="shared" si="32"/>
        <v/>
      </c>
      <c r="D543" s="9" t="str">
        <f>IF(A543="","",C543-子基金及业绩基准周净值!AI568)</f>
        <v/>
      </c>
      <c r="E543" s="12" t="str">
        <f>IF(A543="","",(MAX(B$3:B543)-B543)/MAX(B$3:B543))</f>
        <v/>
      </c>
      <c r="F543" s="12" t="str">
        <f>IF(A543="","",MAX(E$4:E543))</f>
        <v/>
      </c>
      <c r="G543" s="17"/>
      <c r="H543" s="14" t="str">
        <f t="shared" si="33"/>
        <v/>
      </c>
      <c r="I543" s="14" t="str">
        <f t="shared" si="34"/>
        <v/>
      </c>
      <c r="J543" s="15" t="str">
        <f t="shared" si="35"/>
        <v/>
      </c>
    </row>
    <row r="544" spans="1:10">
      <c r="A544" s="7" t="str">
        <f>IF(子基金及业绩基准周净值!A569="","",子基金及业绩基准周净值!A569)</f>
        <v/>
      </c>
      <c r="B544" s="1" t="str">
        <f>IF(A544="","",VLOOKUP($A544,子基金及业绩基准周净值!$A:$AV,11))</f>
        <v/>
      </c>
      <c r="C544" s="8" t="str">
        <f t="shared" si="32"/>
        <v/>
      </c>
      <c r="D544" s="9" t="str">
        <f>IF(A544="","",C544-子基金及业绩基准周净值!AI569)</f>
        <v/>
      </c>
      <c r="E544" s="12" t="str">
        <f>IF(A544="","",(MAX(B$3:B544)-B544)/MAX(B$3:B544))</f>
        <v/>
      </c>
      <c r="F544" s="12" t="str">
        <f>IF(A544="","",MAX(E$4:E544))</f>
        <v/>
      </c>
      <c r="G544" s="17"/>
      <c r="H544" s="14" t="str">
        <f t="shared" si="33"/>
        <v/>
      </c>
      <c r="I544" s="14" t="str">
        <f t="shared" si="34"/>
        <v/>
      </c>
      <c r="J544" s="15" t="str">
        <f t="shared" si="35"/>
        <v/>
      </c>
    </row>
    <row r="545" spans="1:10">
      <c r="A545" s="7" t="str">
        <f>IF(子基金及业绩基准周净值!A570="","",子基金及业绩基准周净值!A570)</f>
        <v/>
      </c>
      <c r="B545" s="1" t="str">
        <f>IF(A545="","",VLOOKUP($A545,子基金及业绩基准周净值!$A:$AV,11))</f>
        <v/>
      </c>
      <c r="C545" s="8" t="str">
        <f t="shared" si="32"/>
        <v/>
      </c>
      <c r="D545" s="9" t="str">
        <f>IF(A545="","",C545-子基金及业绩基准周净值!AI570)</f>
        <v/>
      </c>
      <c r="E545" s="12" t="str">
        <f>IF(A545="","",(MAX(B$3:B545)-B545)/MAX(B$3:B545))</f>
        <v/>
      </c>
      <c r="F545" s="12" t="str">
        <f>IF(A545="","",MAX(E$4:E545))</f>
        <v/>
      </c>
      <c r="G545" s="17"/>
      <c r="H545" s="14" t="str">
        <f t="shared" si="33"/>
        <v/>
      </c>
      <c r="I545" s="14" t="str">
        <f t="shared" si="34"/>
        <v/>
      </c>
      <c r="J545" s="15" t="str">
        <f t="shared" si="35"/>
        <v/>
      </c>
    </row>
    <row r="546" spans="1:10">
      <c r="A546" s="7" t="str">
        <f>IF(子基金及业绩基准周净值!A571="","",子基金及业绩基准周净值!A571)</f>
        <v/>
      </c>
      <c r="B546" s="1" t="str">
        <f>IF(A546="","",VLOOKUP($A546,子基金及业绩基准周净值!$A:$AV,11))</f>
        <v/>
      </c>
      <c r="C546" s="8" t="str">
        <f t="shared" si="32"/>
        <v/>
      </c>
      <c r="D546" s="9" t="str">
        <f>IF(A546="","",C546-子基金及业绩基准周净值!AI571)</f>
        <v/>
      </c>
      <c r="E546" s="12" t="str">
        <f>IF(A546="","",(MAX(B$3:B546)-B546)/MAX(B$3:B546))</f>
        <v/>
      </c>
      <c r="F546" s="12" t="str">
        <f>IF(A546="","",MAX(E$4:E546))</f>
        <v/>
      </c>
      <c r="G546" s="17"/>
      <c r="H546" s="14" t="str">
        <f t="shared" si="33"/>
        <v/>
      </c>
      <c r="I546" s="14" t="str">
        <f t="shared" si="34"/>
        <v/>
      </c>
      <c r="J546" s="15" t="str">
        <f t="shared" si="35"/>
        <v/>
      </c>
    </row>
    <row r="547" spans="1:10">
      <c r="A547" s="7" t="str">
        <f>IF(子基金及业绩基准周净值!A572="","",子基金及业绩基准周净值!A572)</f>
        <v/>
      </c>
      <c r="B547" s="1" t="str">
        <f>IF(A547="","",VLOOKUP($A547,子基金及业绩基准周净值!$A:$AV,11))</f>
        <v/>
      </c>
      <c r="C547" s="8" t="str">
        <f t="shared" si="32"/>
        <v/>
      </c>
      <c r="D547" s="9" t="str">
        <f>IF(A547="","",C547-子基金及业绩基准周净值!AI572)</f>
        <v/>
      </c>
      <c r="E547" s="12" t="str">
        <f>IF(A547="","",(MAX(B$3:B547)-B547)/MAX(B$3:B547))</f>
        <v/>
      </c>
      <c r="F547" s="12" t="str">
        <f>IF(A547="","",MAX(E$4:E547))</f>
        <v/>
      </c>
      <c r="G547" s="17"/>
      <c r="H547" s="14" t="str">
        <f t="shared" si="33"/>
        <v/>
      </c>
      <c r="I547" s="14" t="str">
        <f t="shared" si="34"/>
        <v/>
      </c>
      <c r="J547" s="15" t="str">
        <f t="shared" si="35"/>
        <v/>
      </c>
    </row>
    <row r="548" spans="1:10">
      <c r="A548" s="7" t="str">
        <f>IF(子基金及业绩基准周净值!A573="","",子基金及业绩基准周净值!A573)</f>
        <v/>
      </c>
      <c r="B548" s="1" t="str">
        <f>IF(A548="","",VLOOKUP($A548,子基金及业绩基准周净值!$A:$AV,11))</f>
        <v/>
      </c>
      <c r="C548" s="8" t="str">
        <f t="shared" si="32"/>
        <v/>
      </c>
      <c r="D548" s="9" t="str">
        <f>IF(A548="","",C548-子基金及业绩基准周净值!AI573)</f>
        <v/>
      </c>
      <c r="E548" s="12" t="str">
        <f>IF(A548="","",(MAX(B$3:B548)-B548)/MAX(B$3:B548))</f>
        <v/>
      </c>
      <c r="F548" s="12" t="str">
        <f>IF(A548="","",MAX(E$4:E548))</f>
        <v/>
      </c>
      <c r="G548" s="17"/>
      <c r="H548" s="14" t="str">
        <f t="shared" si="33"/>
        <v/>
      </c>
      <c r="I548" s="14" t="str">
        <f t="shared" si="34"/>
        <v/>
      </c>
      <c r="J548" s="15" t="str">
        <f t="shared" si="35"/>
        <v/>
      </c>
    </row>
    <row r="549" spans="1:10">
      <c r="A549" s="7" t="str">
        <f>IF(子基金及业绩基准周净值!A574="","",子基金及业绩基准周净值!A574)</f>
        <v/>
      </c>
      <c r="B549" s="1" t="str">
        <f>IF(A549="","",VLOOKUP($A549,子基金及业绩基准周净值!$A:$AV,11))</f>
        <v/>
      </c>
      <c r="C549" s="8" t="str">
        <f t="shared" si="32"/>
        <v/>
      </c>
      <c r="D549" s="9" t="str">
        <f>IF(A549="","",C549-子基金及业绩基准周净值!AI574)</f>
        <v/>
      </c>
      <c r="E549" s="12" t="str">
        <f>IF(A549="","",(MAX(B$3:B549)-B549)/MAX(B$3:B549))</f>
        <v/>
      </c>
      <c r="F549" s="12" t="str">
        <f>IF(A549="","",MAX(E$4:E549))</f>
        <v/>
      </c>
      <c r="G549" s="17"/>
      <c r="H549" s="14" t="str">
        <f t="shared" si="33"/>
        <v/>
      </c>
      <c r="I549" s="14" t="str">
        <f t="shared" si="34"/>
        <v/>
      </c>
      <c r="J549" s="15" t="str">
        <f t="shared" si="35"/>
        <v/>
      </c>
    </row>
    <row r="550" spans="1:10">
      <c r="A550" s="7" t="str">
        <f>IF(子基金及业绩基准周净值!A575="","",子基金及业绩基准周净值!A575)</f>
        <v/>
      </c>
      <c r="B550" s="1" t="str">
        <f>IF(A550="","",VLOOKUP($A550,子基金及业绩基准周净值!$A:$AV,11))</f>
        <v/>
      </c>
      <c r="C550" s="8" t="str">
        <f t="shared" si="32"/>
        <v/>
      </c>
      <c r="D550" s="9" t="str">
        <f>IF(A550="","",C550-子基金及业绩基准周净值!AI575)</f>
        <v/>
      </c>
      <c r="E550" s="12" t="str">
        <f>IF(A550="","",(MAX(B$3:B550)-B550)/MAX(B$3:B550))</f>
        <v/>
      </c>
      <c r="F550" s="12" t="str">
        <f>IF(A550="","",MAX(E$4:E550))</f>
        <v/>
      </c>
      <c r="G550" s="17"/>
      <c r="H550" s="14" t="str">
        <f t="shared" si="33"/>
        <v/>
      </c>
      <c r="I550" s="14" t="str">
        <f t="shared" si="34"/>
        <v/>
      </c>
      <c r="J550" s="15" t="str">
        <f t="shared" si="35"/>
        <v/>
      </c>
    </row>
    <row r="551" spans="1:10">
      <c r="A551" s="7" t="str">
        <f>IF(子基金及业绩基准周净值!A576="","",子基金及业绩基准周净值!A576)</f>
        <v/>
      </c>
      <c r="B551" s="1" t="str">
        <f>IF(A551="","",VLOOKUP($A551,子基金及业绩基准周净值!$A:$AV,11))</f>
        <v/>
      </c>
      <c r="C551" s="8" t="str">
        <f t="shared" si="32"/>
        <v/>
      </c>
      <c r="D551" s="9" t="str">
        <f>IF(A551="","",C551-子基金及业绩基准周净值!AI576)</f>
        <v/>
      </c>
      <c r="E551" s="12" t="str">
        <f>IF(A551="","",(MAX(B$3:B551)-B551)/MAX(B$3:B551))</f>
        <v/>
      </c>
      <c r="F551" s="12" t="str">
        <f>IF(A551="","",MAX(E$4:E551))</f>
        <v/>
      </c>
      <c r="G551" s="17"/>
      <c r="H551" s="14" t="str">
        <f t="shared" si="33"/>
        <v/>
      </c>
      <c r="I551" s="14" t="str">
        <f t="shared" si="34"/>
        <v/>
      </c>
      <c r="J551" s="15" t="str">
        <f t="shared" si="35"/>
        <v/>
      </c>
    </row>
    <row r="552" spans="1:10">
      <c r="A552" s="7" t="str">
        <f>IF(子基金及业绩基准周净值!A577="","",子基金及业绩基准周净值!A577)</f>
        <v/>
      </c>
      <c r="B552" s="1" t="str">
        <f>IF(A552="","",VLOOKUP($A552,子基金及业绩基准周净值!$A:$AV,11))</f>
        <v/>
      </c>
      <c r="C552" s="8" t="str">
        <f t="shared" si="32"/>
        <v/>
      </c>
      <c r="D552" s="9" t="str">
        <f>IF(A552="","",C552-子基金及业绩基准周净值!AI577)</f>
        <v/>
      </c>
      <c r="E552" s="12" t="str">
        <f>IF(A552="","",(MAX(B$3:B552)-B552)/MAX(B$3:B552))</f>
        <v/>
      </c>
      <c r="F552" s="12" t="str">
        <f>IF(A552="","",MAX(E$4:E552))</f>
        <v/>
      </c>
      <c r="G552" s="17"/>
      <c r="H552" s="14" t="str">
        <f t="shared" si="33"/>
        <v/>
      </c>
      <c r="I552" s="14" t="str">
        <f t="shared" si="34"/>
        <v/>
      </c>
      <c r="J552" s="15" t="str">
        <f t="shared" si="35"/>
        <v/>
      </c>
    </row>
    <row r="553" spans="1:10">
      <c r="A553" s="7" t="str">
        <f>IF(子基金及业绩基准周净值!A578="","",子基金及业绩基准周净值!A578)</f>
        <v/>
      </c>
      <c r="B553" s="1" t="str">
        <f>IF(A553="","",VLOOKUP($A553,子基金及业绩基准周净值!$A:$AV,11))</f>
        <v/>
      </c>
      <c r="C553" s="8" t="str">
        <f t="shared" si="32"/>
        <v/>
      </c>
      <c r="D553" s="9" t="str">
        <f>IF(A553="","",C553-子基金及业绩基准周净值!AI578)</f>
        <v/>
      </c>
      <c r="E553" s="12" t="str">
        <f>IF(A553="","",(MAX(B$3:B553)-B553)/MAX(B$3:B553))</f>
        <v/>
      </c>
      <c r="F553" s="12" t="str">
        <f>IF(A553="","",MAX(E$4:E553))</f>
        <v/>
      </c>
      <c r="G553" s="17"/>
      <c r="H553" s="14" t="str">
        <f t="shared" si="33"/>
        <v/>
      </c>
      <c r="I553" s="14" t="str">
        <f t="shared" si="34"/>
        <v/>
      </c>
      <c r="J553" s="15" t="str">
        <f t="shared" si="35"/>
        <v/>
      </c>
    </row>
    <row r="554" spans="1:10">
      <c r="A554" s="7" t="str">
        <f>IF(子基金及业绩基准周净值!A579="","",子基金及业绩基准周净值!A579)</f>
        <v/>
      </c>
      <c r="B554" s="1" t="str">
        <f>IF(A554="","",VLOOKUP($A554,子基金及业绩基准周净值!$A:$AV,11))</f>
        <v/>
      </c>
      <c r="C554" s="8" t="str">
        <f t="shared" si="32"/>
        <v/>
      </c>
      <c r="D554" s="9" t="str">
        <f>IF(A554="","",C554-子基金及业绩基准周净值!AI579)</f>
        <v/>
      </c>
      <c r="E554" s="12" t="str">
        <f>IF(A554="","",(MAX(B$3:B554)-B554)/MAX(B$3:B554))</f>
        <v/>
      </c>
      <c r="F554" s="12" t="str">
        <f>IF(A554="","",MAX(E$4:E554))</f>
        <v/>
      </c>
      <c r="G554" s="17"/>
      <c r="H554" s="14" t="str">
        <f t="shared" si="33"/>
        <v/>
      </c>
      <c r="I554" s="14" t="str">
        <f t="shared" si="34"/>
        <v/>
      </c>
      <c r="J554" s="15" t="str">
        <f t="shared" si="35"/>
        <v/>
      </c>
    </row>
    <row r="555" spans="1:10">
      <c r="A555" s="7" t="str">
        <f>IF(子基金及业绩基准周净值!A580="","",子基金及业绩基准周净值!A580)</f>
        <v/>
      </c>
      <c r="B555" s="1" t="str">
        <f>IF(A555="","",VLOOKUP($A555,子基金及业绩基准周净值!$A:$AV,11))</f>
        <v/>
      </c>
      <c r="C555" s="8" t="str">
        <f t="shared" si="32"/>
        <v/>
      </c>
      <c r="D555" s="9" t="str">
        <f>IF(A555="","",C555-子基金及业绩基准周净值!AI580)</f>
        <v/>
      </c>
      <c r="E555" s="12" t="str">
        <f>IF(A555="","",(MAX(B$3:B555)-B555)/MAX(B$3:B555))</f>
        <v/>
      </c>
      <c r="F555" s="12" t="str">
        <f>IF(A555="","",MAX(E$4:E555))</f>
        <v/>
      </c>
      <c r="G555" s="17"/>
      <c r="H555" s="14" t="str">
        <f t="shared" si="33"/>
        <v/>
      </c>
      <c r="I555" s="14" t="str">
        <f t="shared" si="34"/>
        <v/>
      </c>
      <c r="J555" s="15" t="str">
        <f t="shared" si="35"/>
        <v/>
      </c>
    </row>
    <row r="556" spans="1:10">
      <c r="A556" s="7" t="str">
        <f>IF(子基金及业绩基准周净值!A581="","",子基金及业绩基准周净值!A581)</f>
        <v/>
      </c>
      <c r="B556" s="1" t="str">
        <f>IF(A556="","",VLOOKUP($A556,子基金及业绩基准周净值!$A:$AV,11))</f>
        <v/>
      </c>
      <c r="C556" s="8" t="str">
        <f t="shared" si="32"/>
        <v/>
      </c>
      <c r="D556" s="9" t="str">
        <f>IF(A556="","",C556-子基金及业绩基准周净值!AI581)</f>
        <v/>
      </c>
      <c r="E556" s="12" t="str">
        <f>IF(A556="","",(MAX(B$3:B556)-B556)/MAX(B$3:B556))</f>
        <v/>
      </c>
      <c r="F556" s="12" t="str">
        <f>IF(A556="","",MAX(E$4:E556))</f>
        <v/>
      </c>
      <c r="G556" s="17"/>
      <c r="H556" s="14" t="str">
        <f t="shared" si="33"/>
        <v/>
      </c>
      <c r="I556" s="14" t="str">
        <f t="shared" si="34"/>
        <v/>
      </c>
      <c r="J556" s="15" t="str">
        <f t="shared" si="35"/>
        <v/>
      </c>
    </row>
    <row r="557" spans="1:10">
      <c r="A557" s="7" t="str">
        <f>IF(子基金及业绩基准周净值!A582="","",子基金及业绩基准周净值!A582)</f>
        <v/>
      </c>
      <c r="B557" s="1" t="str">
        <f>IF(A557="","",VLOOKUP($A557,子基金及业绩基准周净值!$A:$AV,11))</f>
        <v/>
      </c>
      <c r="C557" s="8" t="str">
        <f t="shared" si="32"/>
        <v/>
      </c>
      <c r="D557" s="9" t="str">
        <f>IF(A557="","",C557-子基金及业绩基准周净值!AI582)</f>
        <v/>
      </c>
      <c r="E557" s="12" t="str">
        <f>IF(A557="","",(MAX(B$3:B557)-B557)/MAX(B$3:B557))</f>
        <v/>
      </c>
      <c r="F557" s="12" t="str">
        <f>IF(A557="","",MAX(E$4:E557))</f>
        <v/>
      </c>
      <c r="G557" s="17"/>
      <c r="H557" s="14" t="str">
        <f t="shared" si="33"/>
        <v/>
      </c>
      <c r="I557" s="14" t="str">
        <f t="shared" si="34"/>
        <v/>
      </c>
      <c r="J557" s="15" t="str">
        <f t="shared" si="35"/>
        <v/>
      </c>
    </row>
    <row r="558" spans="1:10">
      <c r="A558" s="7" t="str">
        <f>IF(子基金及业绩基准周净值!A583="","",子基金及业绩基准周净值!A583)</f>
        <v/>
      </c>
      <c r="B558" s="1" t="str">
        <f>IF(A558="","",VLOOKUP($A558,子基金及业绩基准周净值!$A:$AV,11))</f>
        <v/>
      </c>
      <c r="C558" s="8" t="str">
        <f t="shared" si="32"/>
        <v/>
      </c>
      <c r="D558" s="9" t="str">
        <f>IF(A558="","",C558-子基金及业绩基准周净值!AI583)</f>
        <v/>
      </c>
      <c r="E558" s="12" t="str">
        <f>IF(A558="","",(MAX(B$3:B558)-B558)/MAX(B$3:B558))</f>
        <v/>
      </c>
      <c r="F558" s="12" t="str">
        <f>IF(A558="","",MAX(E$4:E558))</f>
        <v/>
      </c>
      <c r="G558" s="17"/>
      <c r="H558" s="14" t="str">
        <f t="shared" si="33"/>
        <v/>
      </c>
      <c r="I558" s="14" t="str">
        <f t="shared" si="34"/>
        <v/>
      </c>
      <c r="J558" s="15" t="str">
        <f t="shared" si="35"/>
        <v/>
      </c>
    </row>
    <row r="559" spans="1:10">
      <c r="A559" s="7" t="str">
        <f>IF(子基金及业绩基准周净值!A584="","",子基金及业绩基准周净值!A584)</f>
        <v/>
      </c>
      <c r="B559" s="1" t="str">
        <f>IF(A559="","",VLOOKUP($A559,子基金及业绩基准周净值!$A:$AV,11))</f>
        <v/>
      </c>
      <c r="C559" s="8" t="str">
        <f t="shared" si="32"/>
        <v/>
      </c>
      <c r="D559" s="9" t="str">
        <f>IF(A559="","",C559-子基金及业绩基准周净值!AI584)</f>
        <v/>
      </c>
      <c r="E559" s="12" t="str">
        <f>IF(A559="","",(MAX(B$3:B559)-B559)/MAX(B$3:B559))</f>
        <v/>
      </c>
      <c r="F559" s="12" t="str">
        <f>IF(A559="","",MAX(E$4:E559))</f>
        <v/>
      </c>
      <c r="G559" s="17"/>
      <c r="H559" s="14" t="str">
        <f t="shared" si="33"/>
        <v/>
      </c>
      <c r="I559" s="14" t="str">
        <f t="shared" si="34"/>
        <v/>
      </c>
      <c r="J559" s="15" t="str">
        <f t="shared" si="35"/>
        <v/>
      </c>
    </row>
    <row r="560" spans="1:10">
      <c r="A560" s="7" t="str">
        <f>IF(子基金及业绩基准周净值!A585="","",子基金及业绩基准周净值!A585)</f>
        <v/>
      </c>
      <c r="B560" s="1" t="str">
        <f>IF(A560="","",VLOOKUP($A560,子基金及业绩基准周净值!$A:$AV,11))</f>
        <v/>
      </c>
      <c r="C560" s="8" t="str">
        <f t="shared" si="32"/>
        <v/>
      </c>
      <c r="D560" s="9" t="str">
        <f>IF(A560="","",C560-子基金及业绩基准周净值!AI585)</f>
        <v/>
      </c>
      <c r="E560" s="12" t="str">
        <f>IF(A560="","",(MAX(B$3:B560)-B560)/MAX(B$3:B560))</f>
        <v/>
      </c>
      <c r="F560" s="12" t="str">
        <f>IF(A560="","",MAX(E$4:E560))</f>
        <v/>
      </c>
      <c r="G560" s="17"/>
      <c r="H560" s="14" t="str">
        <f t="shared" si="33"/>
        <v/>
      </c>
      <c r="I560" s="14" t="str">
        <f t="shared" si="34"/>
        <v/>
      </c>
      <c r="J560" s="15" t="str">
        <f t="shared" si="35"/>
        <v/>
      </c>
    </row>
    <row r="561" spans="1:10">
      <c r="A561" s="7" t="str">
        <f>IF(子基金及业绩基准周净值!A586="","",子基金及业绩基准周净值!A586)</f>
        <v/>
      </c>
      <c r="B561" s="1" t="str">
        <f>IF(A561="","",VLOOKUP($A561,子基金及业绩基准周净值!$A:$AV,11))</f>
        <v/>
      </c>
      <c r="C561" s="8" t="str">
        <f t="shared" si="32"/>
        <v/>
      </c>
      <c r="D561" s="9" t="str">
        <f>IF(A561="","",C561-子基金及业绩基准周净值!AI586)</f>
        <v/>
      </c>
      <c r="E561" s="12" t="str">
        <f>IF(A561="","",(MAX(B$3:B561)-B561)/MAX(B$3:B561))</f>
        <v/>
      </c>
      <c r="F561" s="12" t="str">
        <f>IF(A561="","",MAX(E$4:E561))</f>
        <v/>
      </c>
      <c r="G561" s="17"/>
      <c r="H561" s="14" t="str">
        <f t="shared" si="33"/>
        <v/>
      </c>
      <c r="I561" s="14" t="str">
        <f t="shared" si="34"/>
        <v/>
      </c>
      <c r="J561" s="15" t="str">
        <f t="shared" si="35"/>
        <v/>
      </c>
    </row>
    <row r="562" spans="1:10">
      <c r="A562" s="7" t="str">
        <f>IF(子基金及业绩基准周净值!A587="","",子基金及业绩基准周净值!A587)</f>
        <v/>
      </c>
      <c r="B562" s="1" t="str">
        <f>IF(A562="","",VLOOKUP($A562,子基金及业绩基准周净值!$A:$AV,11))</f>
        <v/>
      </c>
      <c r="C562" s="8" t="str">
        <f t="shared" si="32"/>
        <v/>
      </c>
      <c r="D562" s="9" t="str">
        <f>IF(A562="","",C562-子基金及业绩基准周净值!AI587)</f>
        <v/>
      </c>
      <c r="E562" s="12" t="str">
        <f>IF(A562="","",(MAX(B$3:B562)-B562)/MAX(B$3:B562))</f>
        <v/>
      </c>
      <c r="F562" s="12" t="str">
        <f>IF(A562="","",MAX(E$4:E562))</f>
        <v/>
      </c>
      <c r="G562" s="17"/>
      <c r="H562" s="14" t="str">
        <f t="shared" si="33"/>
        <v/>
      </c>
      <c r="I562" s="14" t="str">
        <f t="shared" si="34"/>
        <v/>
      </c>
      <c r="J562" s="15" t="str">
        <f t="shared" si="35"/>
        <v/>
      </c>
    </row>
    <row r="563" spans="1:10">
      <c r="A563" s="7" t="str">
        <f>IF(子基金及业绩基准周净值!A588="","",子基金及业绩基准周净值!A588)</f>
        <v/>
      </c>
      <c r="B563" s="1" t="str">
        <f>IF(A563="","",VLOOKUP($A563,子基金及业绩基准周净值!$A:$AV,11))</f>
        <v/>
      </c>
      <c r="C563" s="8" t="str">
        <f t="shared" si="32"/>
        <v/>
      </c>
      <c r="D563" s="9" t="str">
        <f>IF(A563="","",C563-子基金及业绩基准周净值!AI588)</f>
        <v/>
      </c>
      <c r="E563" s="12" t="str">
        <f>IF(A563="","",(MAX(B$3:B563)-B563)/MAX(B$3:B563))</f>
        <v/>
      </c>
      <c r="F563" s="12" t="str">
        <f>IF(A563="","",MAX(E$4:E563))</f>
        <v/>
      </c>
      <c r="G563" s="17"/>
      <c r="H563" s="14" t="str">
        <f t="shared" si="33"/>
        <v/>
      </c>
      <c r="I563" s="14" t="str">
        <f t="shared" si="34"/>
        <v/>
      </c>
      <c r="J563" s="15" t="str">
        <f t="shared" si="35"/>
        <v/>
      </c>
    </row>
    <row r="564" spans="1:10">
      <c r="A564" s="7" t="str">
        <f>IF(子基金及业绩基准周净值!A589="","",子基金及业绩基准周净值!A589)</f>
        <v/>
      </c>
      <c r="B564" s="1" t="str">
        <f>IF(A564="","",VLOOKUP($A564,子基金及业绩基准周净值!$A:$AV,11))</f>
        <v/>
      </c>
      <c r="C564" s="8" t="str">
        <f t="shared" si="32"/>
        <v/>
      </c>
      <c r="D564" s="9" t="str">
        <f>IF(A564="","",C564-子基金及业绩基准周净值!AI589)</f>
        <v/>
      </c>
      <c r="E564" s="12" t="str">
        <f>IF(A564="","",(MAX(B$3:B564)-B564)/MAX(B$3:B564))</f>
        <v/>
      </c>
      <c r="F564" s="12" t="str">
        <f>IF(A564="","",MAX(E$4:E564))</f>
        <v/>
      </c>
      <c r="G564" s="17"/>
      <c r="H564" s="14" t="str">
        <f t="shared" si="33"/>
        <v/>
      </c>
      <c r="I564" s="14" t="str">
        <f t="shared" si="34"/>
        <v/>
      </c>
      <c r="J564" s="15" t="str">
        <f t="shared" si="35"/>
        <v/>
      </c>
    </row>
    <row r="565" spans="1:10">
      <c r="A565" s="7" t="str">
        <f>IF(子基金及业绩基准周净值!A590="","",子基金及业绩基准周净值!A590)</f>
        <v/>
      </c>
      <c r="B565" s="1" t="str">
        <f>IF(A565="","",VLOOKUP($A565,子基金及业绩基准周净值!$A:$AV,11))</f>
        <v/>
      </c>
      <c r="C565" s="8" t="str">
        <f t="shared" si="32"/>
        <v/>
      </c>
      <c r="D565" s="9" t="str">
        <f>IF(A565="","",C565-子基金及业绩基准周净值!AI590)</f>
        <v/>
      </c>
      <c r="E565" s="12" t="str">
        <f>IF(A565="","",(MAX(B$3:B565)-B565)/MAX(B$3:B565))</f>
        <v/>
      </c>
      <c r="F565" s="12" t="str">
        <f>IF(A565="","",MAX(E$4:E565))</f>
        <v/>
      </c>
      <c r="G565" s="17"/>
      <c r="H565" s="14" t="str">
        <f t="shared" si="33"/>
        <v/>
      </c>
      <c r="I565" s="14" t="str">
        <f t="shared" si="34"/>
        <v/>
      </c>
      <c r="J565" s="15" t="str">
        <f t="shared" si="35"/>
        <v/>
      </c>
    </row>
    <row r="566" spans="1:10">
      <c r="A566" s="7" t="str">
        <f>IF(子基金及业绩基准周净值!A591="","",子基金及业绩基准周净值!A591)</f>
        <v/>
      </c>
      <c r="B566" s="1" t="str">
        <f>IF(A566="","",VLOOKUP($A566,子基金及业绩基准周净值!$A:$AV,11))</f>
        <v/>
      </c>
      <c r="C566" s="8" t="str">
        <f t="shared" si="32"/>
        <v/>
      </c>
      <c r="D566" s="9" t="str">
        <f>IF(A566="","",C566-子基金及业绩基准周净值!AI591)</f>
        <v/>
      </c>
      <c r="E566" s="12" t="str">
        <f>IF(A566="","",(MAX(B$3:B566)-B566)/MAX(B$3:B566))</f>
        <v/>
      </c>
      <c r="F566" s="12" t="str">
        <f>IF(A566="","",MAX(E$4:E566))</f>
        <v/>
      </c>
      <c r="G566" s="17"/>
      <c r="H566" s="14" t="str">
        <f t="shared" si="33"/>
        <v/>
      </c>
      <c r="I566" s="14" t="str">
        <f t="shared" si="34"/>
        <v/>
      </c>
      <c r="J566" s="15" t="str">
        <f t="shared" si="35"/>
        <v/>
      </c>
    </row>
    <row r="567" spans="1:10">
      <c r="A567" s="7" t="str">
        <f>IF(子基金及业绩基准周净值!A592="","",子基金及业绩基准周净值!A592)</f>
        <v/>
      </c>
      <c r="B567" s="1" t="str">
        <f>IF(A567="","",VLOOKUP($A567,子基金及业绩基准周净值!$A:$AV,11))</f>
        <v/>
      </c>
      <c r="C567" s="8" t="str">
        <f t="shared" si="32"/>
        <v/>
      </c>
      <c r="D567" s="9" t="str">
        <f>IF(A567="","",C567-子基金及业绩基准周净值!AI592)</f>
        <v/>
      </c>
      <c r="E567" s="12" t="str">
        <f>IF(A567="","",(MAX(B$3:B567)-B567)/MAX(B$3:B567))</f>
        <v/>
      </c>
      <c r="F567" s="12" t="str">
        <f>IF(A567="","",MAX(E$4:E567))</f>
        <v/>
      </c>
      <c r="G567" s="17"/>
      <c r="H567" s="14" t="str">
        <f t="shared" si="33"/>
        <v/>
      </c>
      <c r="I567" s="14" t="str">
        <f t="shared" si="34"/>
        <v/>
      </c>
      <c r="J567" s="15" t="str">
        <f t="shared" si="35"/>
        <v/>
      </c>
    </row>
    <row r="568" spans="1:10">
      <c r="A568" s="7" t="str">
        <f>IF(子基金及业绩基准周净值!A593="","",子基金及业绩基准周净值!A593)</f>
        <v/>
      </c>
      <c r="B568" s="1" t="str">
        <f>IF(A568="","",VLOOKUP($A568,子基金及业绩基准周净值!$A:$AV,11))</f>
        <v/>
      </c>
      <c r="C568" s="8" t="str">
        <f t="shared" si="32"/>
        <v/>
      </c>
      <c r="D568" s="9" t="str">
        <f>IF(A568="","",C568-子基金及业绩基准周净值!AI593)</f>
        <v/>
      </c>
      <c r="E568" s="12" t="str">
        <f>IF(A568="","",(MAX(B$3:B568)-B568)/MAX(B$3:B568))</f>
        <v/>
      </c>
      <c r="F568" s="12" t="str">
        <f>IF(A568="","",MAX(E$4:E568))</f>
        <v/>
      </c>
      <c r="G568" s="17"/>
      <c r="H568" s="14" t="str">
        <f t="shared" si="33"/>
        <v/>
      </c>
      <c r="I568" s="14" t="str">
        <f t="shared" si="34"/>
        <v/>
      </c>
      <c r="J568" s="15" t="str">
        <f t="shared" si="35"/>
        <v/>
      </c>
    </row>
    <row r="569" spans="1:10">
      <c r="A569" s="7" t="str">
        <f>IF(子基金及业绩基准周净值!A594="","",子基金及业绩基准周净值!A594)</f>
        <v/>
      </c>
      <c r="B569" s="1" t="str">
        <f>IF(A569="","",VLOOKUP($A569,子基金及业绩基准周净值!$A:$AV,11))</f>
        <v/>
      </c>
      <c r="C569" s="8" t="str">
        <f t="shared" si="32"/>
        <v/>
      </c>
      <c r="D569" s="9" t="str">
        <f>IF(A569="","",C569-子基金及业绩基准周净值!AI594)</f>
        <v/>
      </c>
      <c r="E569" s="12" t="str">
        <f>IF(A569="","",(MAX(B$3:B569)-B569)/MAX(B$3:B569))</f>
        <v/>
      </c>
      <c r="F569" s="12" t="str">
        <f>IF(A569="","",MAX(E$4:E569))</f>
        <v/>
      </c>
      <c r="G569" s="17"/>
      <c r="H569" s="14" t="str">
        <f t="shared" si="33"/>
        <v/>
      </c>
      <c r="I569" s="14" t="str">
        <f t="shared" si="34"/>
        <v/>
      </c>
      <c r="J569" s="15" t="str">
        <f t="shared" si="35"/>
        <v/>
      </c>
    </row>
    <row r="570" spans="1:10">
      <c r="A570" s="7" t="str">
        <f>IF(子基金及业绩基准周净值!A595="","",子基金及业绩基准周净值!A595)</f>
        <v/>
      </c>
      <c r="B570" s="1" t="str">
        <f>IF(A570="","",VLOOKUP($A570,子基金及业绩基准周净值!$A:$AV,11))</f>
        <v/>
      </c>
      <c r="C570" s="8" t="str">
        <f t="shared" si="32"/>
        <v/>
      </c>
      <c r="D570" s="9" t="str">
        <f>IF(A570="","",C570-子基金及业绩基准周净值!AI595)</f>
        <v/>
      </c>
      <c r="E570" s="12" t="str">
        <f>IF(A570="","",(MAX(B$3:B570)-B570)/MAX(B$3:B570))</f>
        <v/>
      </c>
      <c r="F570" s="12" t="str">
        <f>IF(A570="","",MAX(E$4:E570))</f>
        <v/>
      </c>
      <c r="G570" s="17"/>
      <c r="H570" s="14" t="str">
        <f t="shared" si="33"/>
        <v/>
      </c>
      <c r="I570" s="14" t="str">
        <f t="shared" si="34"/>
        <v/>
      </c>
      <c r="J570" s="15" t="str">
        <f t="shared" si="35"/>
        <v/>
      </c>
    </row>
    <row r="571" spans="1:10">
      <c r="A571" s="7" t="str">
        <f>IF(子基金及业绩基准周净值!A596="","",子基金及业绩基准周净值!A596)</f>
        <v/>
      </c>
      <c r="B571" s="1" t="str">
        <f>IF(A571="","",VLOOKUP($A571,子基金及业绩基准周净值!$A:$AV,11))</f>
        <v/>
      </c>
      <c r="C571" s="8" t="str">
        <f t="shared" si="32"/>
        <v/>
      </c>
      <c r="D571" s="9" t="str">
        <f>IF(A571="","",C571-子基金及业绩基准周净值!AI596)</f>
        <v/>
      </c>
      <c r="E571" s="12" t="str">
        <f>IF(A571="","",(MAX(B$3:B571)-B571)/MAX(B$3:B571))</f>
        <v/>
      </c>
      <c r="F571" s="12" t="str">
        <f>IF(A571="","",MAX(E$4:E571))</f>
        <v/>
      </c>
      <c r="G571" s="17"/>
      <c r="H571" s="14" t="str">
        <f t="shared" si="33"/>
        <v/>
      </c>
      <c r="I571" s="14" t="str">
        <f t="shared" si="34"/>
        <v/>
      </c>
      <c r="J571" s="15" t="str">
        <f t="shared" si="35"/>
        <v/>
      </c>
    </row>
    <row r="572" spans="1:10">
      <c r="A572" s="7" t="str">
        <f>IF(子基金及业绩基准周净值!A597="","",子基金及业绩基准周净值!A597)</f>
        <v/>
      </c>
      <c r="B572" s="1" t="str">
        <f>IF(A572="","",VLOOKUP($A572,子基金及业绩基准周净值!$A:$AV,11))</f>
        <v/>
      </c>
      <c r="C572" s="8" t="str">
        <f t="shared" si="32"/>
        <v/>
      </c>
      <c r="D572" s="9" t="str">
        <f>IF(A572="","",C572-子基金及业绩基准周净值!AI597)</f>
        <v/>
      </c>
      <c r="E572" s="12" t="str">
        <f>IF(A572="","",(MAX(B$3:B572)-B572)/MAX(B$3:B572))</f>
        <v/>
      </c>
      <c r="F572" s="12" t="str">
        <f>IF(A572="","",MAX(E$4:E572))</f>
        <v/>
      </c>
      <c r="G572" s="17"/>
      <c r="H572" s="14" t="str">
        <f t="shared" si="33"/>
        <v/>
      </c>
      <c r="I572" s="14" t="str">
        <f t="shared" si="34"/>
        <v/>
      </c>
      <c r="J572" s="15" t="str">
        <f t="shared" si="35"/>
        <v/>
      </c>
    </row>
    <row r="573" spans="1:10">
      <c r="A573" s="7" t="str">
        <f>IF(子基金及业绩基准周净值!A598="","",子基金及业绩基准周净值!A598)</f>
        <v/>
      </c>
      <c r="B573" s="1" t="str">
        <f>IF(A573="","",VLOOKUP($A573,子基金及业绩基准周净值!$A:$AV,11))</f>
        <v/>
      </c>
      <c r="C573" s="8" t="str">
        <f t="shared" si="32"/>
        <v/>
      </c>
      <c r="D573" s="9" t="str">
        <f>IF(A573="","",C573-子基金及业绩基准周净值!AI598)</f>
        <v/>
      </c>
      <c r="E573" s="12" t="str">
        <f>IF(A573="","",(MAX(B$3:B573)-B573)/MAX(B$3:B573))</f>
        <v/>
      </c>
      <c r="F573" s="12" t="str">
        <f>IF(A573="","",MAX(E$4:E573))</f>
        <v/>
      </c>
      <c r="G573" s="17"/>
      <c r="H573" s="14" t="str">
        <f t="shared" si="33"/>
        <v/>
      </c>
      <c r="I573" s="14" t="str">
        <f t="shared" si="34"/>
        <v/>
      </c>
      <c r="J573" s="15" t="str">
        <f t="shared" si="35"/>
        <v/>
      </c>
    </row>
    <row r="574" spans="1:10">
      <c r="A574" s="7" t="str">
        <f>IF(子基金及业绩基准周净值!A599="","",子基金及业绩基准周净值!A599)</f>
        <v/>
      </c>
      <c r="B574" s="1" t="str">
        <f>IF(A574="","",VLOOKUP($A574,子基金及业绩基准周净值!$A:$AV,11))</f>
        <v/>
      </c>
      <c r="C574" s="8" t="str">
        <f t="shared" si="32"/>
        <v/>
      </c>
      <c r="D574" s="9" t="str">
        <f>IF(A574="","",C574-子基金及业绩基准周净值!AI599)</f>
        <v/>
      </c>
      <c r="E574" s="12" t="str">
        <f>IF(A574="","",(MAX(B$3:B574)-B574)/MAX(B$3:B574))</f>
        <v/>
      </c>
      <c r="F574" s="12" t="str">
        <f>IF(A574="","",MAX(E$4:E574))</f>
        <v/>
      </c>
      <c r="G574" s="17"/>
      <c r="H574" s="14" t="str">
        <f t="shared" si="33"/>
        <v/>
      </c>
      <c r="I574" s="14" t="str">
        <f t="shared" si="34"/>
        <v/>
      </c>
      <c r="J574" s="15" t="str">
        <f t="shared" si="35"/>
        <v/>
      </c>
    </row>
    <row r="575" spans="1:10">
      <c r="A575" s="7" t="str">
        <f>IF(子基金及业绩基准周净值!A600="","",子基金及业绩基准周净值!A600)</f>
        <v/>
      </c>
      <c r="B575" s="1" t="str">
        <f>IF(A575="","",VLOOKUP($A575,子基金及业绩基准周净值!$A:$AV,11))</f>
        <v/>
      </c>
      <c r="C575" s="8" t="str">
        <f t="shared" si="32"/>
        <v/>
      </c>
      <c r="D575" s="9" t="str">
        <f>IF(A575="","",C575-子基金及业绩基准周净值!AI600)</f>
        <v/>
      </c>
      <c r="E575" s="12" t="str">
        <f>IF(A575="","",(MAX(B$3:B575)-B575)/MAX(B$3:B575))</f>
        <v/>
      </c>
      <c r="F575" s="12" t="str">
        <f>IF(A575="","",MAX(E$4:E575))</f>
        <v/>
      </c>
      <c r="G575" s="17"/>
      <c r="H575" s="14" t="str">
        <f t="shared" si="33"/>
        <v/>
      </c>
      <c r="I575" s="14" t="str">
        <f t="shared" si="34"/>
        <v/>
      </c>
      <c r="J575" s="15" t="str">
        <f t="shared" si="35"/>
        <v/>
      </c>
    </row>
    <row r="576" spans="1:10">
      <c r="A576" s="7" t="str">
        <f>IF(子基金及业绩基准周净值!A601="","",子基金及业绩基准周净值!A601)</f>
        <v/>
      </c>
      <c r="B576" s="1" t="str">
        <f>IF(A576="","",VLOOKUP($A576,子基金及业绩基准周净值!$A:$AV,11))</f>
        <v/>
      </c>
      <c r="C576" s="8" t="str">
        <f t="shared" si="32"/>
        <v/>
      </c>
      <c r="D576" s="9" t="str">
        <f>IF(A576="","",C576-子基金及业绩基准周净值!AI601)</f>
        <v/>
      </c>
      <c r="E576" s="12" t="str">
        <f>IF(A576="","",(MAX(B$3:B576)-B576)/MAX(B$3:B576))</f>
        <v/>
      </c>
      <c r="F576" s="12" t="str">
        <f>IF(A576="","",MAX(E$4:E576))</f>
        <v/>
      </c>
      <c r="G576" s="17"/>
      <c r="H576" s="14" t="str">
        <f t="shared" si="33"/>
        <v/>
      </c>
      <c r="I576" s="14" t="str">
        <f t="shared" si="34"/>
        <v/>
      </c>
      <c r="J576" s="15" t="str">
        <f t="shared" si="35"/>
        <v/>
      </c>
    </row>
    <row r="577" spans="1:10">
      <c r="A577" s="7" t="str">
        <f>IF(子基金及业绩基准周净值!A602="","",子基金及业绩基准周净值!A602)</f>
        <v/>
      </c>
      <c r="B577" s="1" t="str">
        <f>IF(A577="","",VLOOKUP($A577,子基金及业绩基准周净值!$A:$AV,11))</f>
        <v/>
      </c>
      <c r="C577" s="8" t="str">
        <f t="shared" si="32"/>
        <v/>
      </c>
      <c r="D577" s="9" t="str">
        <f>IF(A577="","",C577-子基金及业绩基准周净值!AI602)</f>
        <v/>
      </c>
      <c r="E577" s="12" t="str">
        <f>IF(A577="","",(MAX(B$3:B577)-B577)/MAX(B$3:B577))</f>
        <v/>
      </c>
      <c r="F577" s="12" t="str">
        <f>IF(A577="","",MAX(E$4:E577))</f>
        <v/>
      </c>
      <c r="G577" s="17"/>
      <c r="H577" s="14" t="str">
        <f t="shared" si="33"/>
        <v/>
      </c>
      <c r="I577" s="14" t="str">
        <f t="shared" si="34"/>
        <v/>
      </c>
      <c r="J577" s="15" t="str">
        <f t="shared" si="35"/>
        <v/>
      </c>
    </row>
    <row r="578" spans="1:10">
      <c r="A578" s="7" t="str">
        <f>IF(子基金及业绩基准周净值!A603="","",子基金及业绩基准周净值!A603)</f>
        <v/>
      </c>
      <c r="B578" s="1" t="str">
        <f>IF(A578="","",VLOOKUP($A578,子基金及业绩基准周净值!$A:$AV,11))</f>
        <v/>
      </c>
      <c r="C578" s="8" t="str">
        <f t="shared" si="32"/>
        <v/>
      </c>
      <c r="D578" s="9" t="str">
        <f>IF(A578="","",C578-子基金及业绩基准周净值!AI603)</f>
        <v/>
      </c>
      <c r="E578" s="12" t="str">
        <f>IF(A578="","",(MAX(B$3:B578)-B578)/MAX(B$3:B578))</f>
        <v/>
      </c>
      <c r="F578" s="12" t="str">
        <f>IF(A578="","",MAX(E$4:E578))</f>
        <v/>
      </c>
      <c r="G578" s="17"/>
      <c r="H578" s="14" t="str">
        <f t="shared" si="33"/>
        <v/>
      </c>
      <c r="I578" s="14" t="str">
        <f t="shared" si="34"/>
        <v/>
      </c>
      <c r="J578" s="15" t="str">
        <f t="shared" si="35"/>
        <v/>
      </c>
    </row>
    <row r="579" spans="1:10">
      <c r="A579" s="7" t="str">
        <f>IF(子基金及业绩基准周净值!A604="","",子基金及业绩基准周净值!A604)</f>
        <v/>
      </c>
      <c r="B579" s="1" t="str">
        <f>IF(A579="","",VLOOKUP($A579,子基金及业绩基准周净值!$A:$AV,11))</f>
        <v/>
      </c>
      <c r="C579" s="8" t="str">
        <f t="shared" si="32"/>
        <v/>
      </c>
      <c r="D579" s="9" t="str">
        <f>IF(A579="","",C579-子基金及业绩基准周净值!AI604)</f>
        <v/>
      </c>
      <c r="E579" s="12" t="str">
        <f>IF(A579="","",(MAX(B$3:B579)-B579)/MAX(B$3:B579))</f>
        <v/>
      </c>
      <c r="F579" s="12" t="str">
        <f>IF(A579="","",MAX(E$4:E579))</f>
        <v/>
      </c>
      <c r="G579" s="17"/>
      <c r="H579" s="14" t="str">
        <f t="shared" si="33"/>
        <v/>
      </c>
      <c r="I579" s="14" t="str">
        <f t="shared" si="34"/>
        <v/>
      </c>
      <c r="J579" s="15" t="str">
        <f t="shared" si="35"/>
        <v/>
      </c>
    </row>
    <row r="580" spans="1:10">
      <c r="A580" s="7" t="str">
        <f>IF(子基金及业绩基准周净值!A605="","",子基金及业绩基准周净值!A605)</f>
        <v/>
      </c>
      <c r="B580" s="1" t="str">
        <f>IF(A580="","",VLOOKUP($A580,子基金及业绩基准周净值!$A:$AV,11))</f>
        <v/>
      </c>
      <c r="C580" s="8" t="str">
        <f t="shared" si="32"/>
        <v/>
      </c>
      <c r="D580" s="9" t="str">
        <f>IF(A580="","",C580-子基金及业绩基准周净值!AI605)</f>
        <v/>
      </c>
      <c r="E580" s="12" t="str">
        <f>IF(A580="","",(MAX(B$3:B580)-B580)/MAX(B$3:B580))</f>
        <v/>
      </c>
      <c r="F580" s="12" t="str">
        <f>IF(A580="","",MAX(E$4:E580))</f>
        <v/>
      </c>
      <c r="G580" s="17"/>
      <c r="H580" s="14" t="str">
        <f t="shared" si="33"/>
        <v/>
      </c>
      <c r="I580" s="14" t="str">
        <f t="shared" si="34"/>
        <v/>
      </c>
      <c r="J580" s="15" t="str">
        <f t="shared" si="35"/>
        <v/>
      </c>
    </row>
    <row r="581" spans="1:10">
      <c r="A581" s="7" t="str">
        <f>IF(子基金及业绩基准周净值!A606="","",子基金及业绩基准周净值!A606)</f>
        <v/>
      </c>
      <c r="B581" s="1" t="str">
        <f>IF(A581="","",VLOOKUP($A581,子基金及业绩基准周净值!$A:$AV,11))</f>
        <v/>
      </c>
      <c r="C581" s="8" t="str">
        <f t="shared" ref="C581:C644" si="36">IF(A581="","",(B581-B580)/B580)</f>
        <v/>
      </c>
      <c r="D581" s="9" t="str">
        <f>IF(A581="","",C581-子基金及业绩基准周净值!AI606)</f>
        <v/>
      </c>
      <c r="E581" s="12" t="str">
        <f>IF(A581="","",(MAX(B$3:B581)-B581)/MAX(B$3:B581))</f>
        <v/>
      </c>
      <c r="F581" s="12" t="str">
        <f>IF(A581="","",MAX(E$4:E581))</f>
        <v/>
      </c>
      <c r="G581" s="17"/>
      <c r="H581" s="14" t="str">
        <f t="shared" ref="H581:H612" si="37">IF(B581="","",IF(C581&lt;-3%,"是","否"))</f>
        <v/>
      </c>
      <c r="I581" s="14" t="str">
        <f t="shared" ref="I581:I612" si="38">IF(A581="","",IF(F581&gt;5%,"是","否"))</f>
        <v/>
      </c>
      <c r="J581" s="15" t="str">
        <f t="shared" ref="J581:J612" si="39">IF(A581="","",IF(G581&gt;=4,"是","否"))</f>
        <v/>
      </c>
    </row>
    <row r="582" spans="1:10">
      <c r="A582" s="7" t="str">
        <f>IF(子基金及业绩基准周净值!A607="","",子基金及业绩基准周净值!A607)</f>
        <v/>
      </c>
      <c r="B582" s="1" t="str">
        <f>IF(A582="","",VLOOKUP($A582,子基金及业绩基准周净值!$A:$AV,11))</f>
        <v/>
      </c>
      <c r="C582" s="8" t="str">
        <f t="shared" si="36"/>
        <v/>
      </c>
      <c r="D582" s="9" t="str">
        <f>IF(A582="","",C582-子基金及业绩基准周净值!AI607)</f>
        <v/>
      </c>
      <c r="E582" s="12" t="str">
        <f>IF(A582="","",(MAX(B$3:B582)-B582)/MAX(B$3:B582))</f>
        <v/>
      </c>
      <c r="F582" s="12" t="str">
        <f>IF(A582="","",MAX(E$4:E582))</f>
        <v/>
      </c>
      <c r="G582" s="17"/>
      <c r="H582" s="14" t="str">
        <f t="shared" si="37"/>
        <v/>
      </c>
      <c r="I582" s="14" t="str">
        <f t="shared" si="38"/>
        <v/>
      </c>
      <c r="J582" s="15" t="str">
        <f t="shared" si="39"/>
        <v/>
      </c>
    </row>
    <row r="583" spans="1:10">
      <c r="A583" s="7" t="str">
        <f>IF(子基金及业绩基准周净值!A608="","",子基金及业绩基准周净值!A608)</f>
        <v/>
      </c>
      <c r="B583" s="1" t="str">
        <f>IF(A583="","",VLOOKUP($A583,子基金及业绩基准周净值!$A:$AV,11))</f>
        <v/>
      </c>
      <c r="C583" s="8" t="str">
        <f t="shared" si="36"/>
        <v/>
      </c>
      <c r="D583" s="9" t="str">
        <f>IF(A583="","",C583-子基金及业绩基准周净值!AI608)</f>
        <v/>
      </c>
      <c r="E583" s="12" t="str">
        <f>IF(A583="","",(MAX(B$3:B583)-B583)/MAX(B$3:B583))</f>
        <v/>
      </c>
      <c r="F583" s="12" t="str">
        <f>IF(A583="","",MAX(E$4:E583))</f>
        <v/>
      </c>
      <c r="G583" s="17"/>
      <c r="H583" s="14" t="str">
        <f t="shared" si="37"/>
        <v/>
      </c>
      <c r="I583" s="14" t="str">
        <f t="shared" si="38"/>
        <v/>
      </c>
      <c r="J583" s="15" t="str">
        <f t="shared" si="39"/>
        <v/>
      </c>
    </row>
    <row r="584" spans="1:10">
      <c r="A584" s="7" t="str">
        <f>IF(子基金及业绩基准周净值!A609="","",子基金及业绩基准周净值!A609)</f>
        <v/>
      </c>
      <c r="B584" s="1" t="str">
        <f>IF(A584="","",VLOOKUP($A584,子基金及业绩基准周净值!$A:$AV,11))</f>
        <v/>
      </c>
      <c r="C584" s="8" t="str">
        <f t="shared" si="36"/>
        <v/>
      </c>
      <c r="D584" s="9" t="str">
        <f>IF(A584="","",C584-子基金及业绩基准周净值!AI609)</f>
        <v/>
      </c>
      <c r="E584" s="12" t="str">
        <f>IF(A584="","",(MAX(B$3:B584)-B584)/MAX(B$3:B584))</f>
        <v/>
      </c>
      <c r="F584" s="12" t="str">
        <f>IF(A584="","",MAX(E$4:E584))</f>
        <v/>
      </c>
      <c r="G584" s="17"/>
      <c r="H584" s="14" t="str">
        <f t="shared" si="37"/>
        <v/>
      </c>
      <c r="I584" s="14" t="str">
        <f t="shared" si="38"/>
        <v/>
      </c>
      <c r="J584" s="15" t="str">
        <f t="shared" si="39"/>
        <v/>
      </c>
    </row>
    <row r="585" spans="1:10">
      <c r="A585" s="7" t="str">
        <f>IF(子基金及业绩基准周净值!A610="","",子基金及业绩基准周净值!A610)</f>
        <v/>
      </c>
      <c r="B585" s="1" t="str">
        <f>IF(A585="","",VLOOKUP($A585,子基金及业绩基准周净值!$A:$AV,11))</f>
        <v/>
      </c>
      <c r="C585" s="8" t="str">
        <f t="shared" si="36"/>
        <v/>
      </c>
      <c r="D585" s="9" t="str">
        <f>IF(A585="","",C585-子基金及业绩基准周净值!AI610)</f>
        <v/>
      </c>
      <c r="E585" s="12" t="str">
        <f>IF(A585="","",(MAX(B$3:B585)-B585)/MAX(B$3:B585))</f>
        <v/>
      </c>
      <c r="F585" s="12" t="str">
        <f>IF(A585="","",MAX(E$4:E585))</f>
        <v/>
      </c>
      <c r="G585" s="17"/>
      <c r="H585" s="14" t="str">
        <f t="shared" si="37"/>
        <v/>
      </c>
      <c r="I585" s="14" t="str">
        <f t="shared" si="38"/>
        <v/>
      </c>
      <c r="J585" s="15" t="str">
        <f t="shared" si="39"/>
        <v/>
      </c>
    </row>
    <row r="586" spans="1:10">
      <c r="A586" s="7" t="str">
        <f>IF(子基金及业绩基准周净值!A611="","",子基金及业绩基准周净值!A611)</f>
        <v/>
      </c>
      <c r="B586" s="1" t="str">
        <f>IF(A586="","",VLOOKUP($A586,子基金及业绩基准周净值!$A:$AV,11))</f>
        <v/>
      </c>
      <c r="C586" s="8" t="str">
        <f t="shared" si="36"/>
        <v/>
      </c>
      <c r="D586" s="9" t="str">
        <f>IF(A586="","",C586-子基金及业绩基准周净值!AI611)</f>
        <v/>
      </c>
      <c r="E586" s="12" t="str">
        <f>IF(A586="","",(MAX(B$3:B586)-B586)/MAX(B$3:B586))</f>
        <v/>
      </c>
      <c r="F586" s="12" t="str">
        <f>IF(A586="","",MAX(E$4:E586))</f>
        <v/>
      </c>
      <c r="G586" s="17"/>
      <c r="H586" s="14" t="str">
        <f t="shared" si="37"/>
        <v/>
      </c>
      <c r="I586" s="14" t="str">
        <f t="shared" si="38"/>
        <v/>
      </c>
      <c r="J586" s="15" t="str">
        <f t="shared" si="39"/>
        <v/>
      </c>
    </row>
    <row r="587" spans="1:10">
      <c r="A587" s="7" t="str">
        <f>IF(子基金及业绩基准周净值!A612="","",子基金及业绩基准周净值!A612)</f>
        <v/>
      </c>
      <c r="B587" s="1" t="str">
        <f>IF(A587="","",VLOOKUP($A587,子基金及业绩基准周净值!$A:$AV,11))</f>
        <v/>
      </c>
      <c r="C587" s="8" t="str">
        <f t="shared" si="36"/>
        <v/>
      </c>
      <c r="D587" s="9" t="str">
        <f>IF(A587="","",C587-子基金及业绩基准周净值!AI612)</f>
        <v/>
      </c>
      <c r="E587" s="12" t="str">
        <f>IF(A587="","",(MAX(B$3:B587)-B587)/MAX(B$3:B587))</f>
        <v/>
      </c>
      <c r="F587" s="12" t="str">
        <f>IF(A587="","",MAX(E$4:E587))</f>
        <v/>
      </c>
      <c r="G587" s="17"/>
      <c r="H587" s="14" t="str">
        <f t="shared" si="37"/>
        <v/>
      </c>
      <c r="I587" s="14" t="str">
        <f t="shared" si="38"/>
        <v/>
      </c>
      <c r="J587" s="15" t="str">
        <f t="shared" si="39"/>
        <v/>
      </c>
    </row>
    <row r="588" spans="1:10">
      <c r="A588" s="7" t="str">
        <f>IF(子基金及业绩基准周净值!A613="","",子基金及业绩基准周净值!A613)</f>
        <v/>
      </c>
      <c r="B588" s="1" t="str">
        <f>IF(A588="","",VLOOKUP($A588,子基金及业绩基准周净值!$A:$AV,11))</f>
        <v/>
      </c>
      <c r="C588" s="8" t="str">
        <f t="shared" si="36"/>
        <v/>
      </c>
      <c r="D588" s="9" t="str">
        <f>IF(A588="","",C588-子基金及业绩基准周净值!AI613)</f>
        <v/>
      </c>
      <c r="E588" s="12" t="str">
        <f>IF(A588="","",(MAX(B$3:B588)-B588)/MAX(B$3:B588))</f>
        <v/>
      </c>
      <c r="F588" s="12" t="str">
        <f>IF(A588="","",MAX(E$4:E588))</f>
        <v/>
      </c>
      <c r="G588" s="17"/>
      <c r="H588" s="14" t="str">
        <f t="shared" si="37"/>
        <v/>
      </c>
      <c r="I588" s="14" t="str">
        <f t="shared" si="38"/>
        <v/>
      </c>
      <c r="J588" s="15" t="str">
        <f t="shared" si="39"/>
        <v/>
      </c>
    </row>
    <row r="589" spans="1:10">
      <c r="A589" s="7" t="str">
        <f>IF(子基金及业绩基准周净值!A614="","",子基金及业绩基准周净值!A614)</f>
        <v/>
      </c>
      <c r="B589" s="1" t="str">
        <f>IF(A589="","",VLOOKUP($A589,子基金及业绩基准周净值!$A:$AV,11))</f>
        <v/>
      </c>
      <c r="C589" s="8" t="str">
        <f t="shared" si="36"/>
        <v/>
      </c>
      <c r="D589" s="9" t="str">
        <f>IF(A589="","",C589-子基金及业绩基准周净值!AI614)</f>
        <v/>
      </c>
      <c r="E589" s="12" t="str">
        <f>IF(A589="","",(MAX(B$3:B589)-B589)/MAX(B$3:B589))</f>
        <v/>
      </c>
      <c r="F589" s="12" t="str">
        <f>IF(A589="","",MAX(E$4:E589))</f>
        <v/>
      </c>
      <c r="G589" s="17"/>
      <c r="H589" s="14" t="str">
        <f t="shared" si="37"/>
        <v/>
      </c>
      <c r="I589" s="14" t="str">
        <f t="shared" si="38"/>
        <v/>
      </c>
      <c r="J589" s="15" t="str">
        <f t="shared" si="39"/>
        <v/>
      </c>
    </row>
    <row r="590" spans="1:10">
      <c r="A590" s="7" t="str">
        <f>IF(子基金及业绩基准周净值!A615="","",子基金及业绩基准周净值!A615)</f>
        <v/>
      </c>
      <c r="B590" s="1" t="str">
        <f>IF(A590="","",VLOOKUP($A590,子基金及业绩基准周净值!$A:$AV,11))</f>
        <v/>
      </c>
      <c r="C590" s="8" t="str">
        <f t="shared" si="36"/>
        <v/>
      </c>
      <c r="D590" s="9" t="str">
        <f>IF(A590="","",C590-子基金及业绩基准周净值!AI615)</f>
        <v/>
      </c>
      <c r="E590" s="12" t="str">
        <f>IF(A590="","",(MAX(B$3:B590)-B590)/MAX(B$3:B590))</f>
        <v/>
      </c>
      <c r="F590" s="12" t="str">
        <f>IF(A590="","",MAX(E$4:E590))</f>
        <v/>
      </c>
      <c r="G590" s="17"/>
      <c r="H590" s="14" t="str">
        <f t="shared" si="37"/>
        <v/>
      </c>
      <c r="I590" s="14" t="str">
        <f t="shared" si="38"/>
        <v/>
      </c>
      <c r="J590" s="15" t="str">
        <f t="shared" si="39"/>
        <v/>
      </c>
    </row>
    <row r="591" spans="1:10">
      <c r="A591" s="7" t="str">
        <f>IF(子基金及业绩基准周净值!A616="","",子基金及业绩基准周净值!A616)</f>
        <v/>
      </c>
      <c r="B591" s="1" t="str">
        <f>IF(A591="","",VLOOKUP($A591,子基金及业绩基准周净值!$A:$AV,11))</f>
        <v/>
      </c>
      <c r="C591" s="8" t="str">
        <f t="shared" si="36"/>
        <v/>
      </c>
      <c r="D591" s="9" t="str">
        <f>IF(A591="","",C591-子基金及业绩基准周净值!AI616)</f>
        <v/>
      </c>
      <c r="E591" s="12" t="str">
        <f>IF(A591="","",(MAX(B$3:B591)-B591)/MAX(B$3:B591))</f>
        <v/>
      </c>
      <c r="F591" s="12" t="str">
        <f>IF(A591="","",MAX(E$4:E591))</f>
        <v/>
      </c>
      <c r="G591" s="17"/>
      <c r="H591" s="14" t="str">
        <f t="shared" si="37"/>
        <v/>
      </c>
      <c r="I591" s="14" t="str">
        <f t="shared" si="38"/>
        <v/>
      </c>
      <c r="J591" s="15" t="str">
        <f t="shared" si="39"/>
        <v/>
      </c>
    </row>
    <row r="592" spans="1:10">
      <c r="A592" s="7" t="str">
        <f>IF(子基金及业绩基准周净值!A617="","",子基金及业绩基准周净值!A617)</f>
        <v/>
      </c>
      <c r="B592" s="1" t="str">
        <f>IF(A592="","",VLOOKUP($A592,子基金及业绩基准周净值!$A:$AV,11))</f>
        <v/>
      </c>
      <c r="C592" s="8" t="str">
        <f t="shared" si="36"/>
        <v/>
      </c>
      <c r="D592" s="9" t="str">
        <f>IF(A592="","",C592-子基金及业绩基准周净值!AI617)</f>
        <v/>
      </c>
      <c r="E592" s="12" t="str">
        <f>IF(A592="","",(MAX(B$3:B592)-B592)/MAX(B$3:B592))</f>
        <v/>
      </c>
      <c r="F592" s="12" t="str">
        <f>IF(A592="","",MAX(E$4:E592))</f>
        <v/>
      </c>
      <c r="G592" s="17"/>
      <c r="H592" s="14" t="str">
        <f t="shared" si="37"/>
        <v/>
      </c>
      <c r="I592" s="14" t="str">
        <f t="shared" si="38"/>
        <v/>
      </c>
      <c r="J592" s="15" t="str">
        <f t="shared" si="39"/>
        <v/>
      </c>
    </row>
    <row r="593" spans="1:10">
      <c r="A593" s="7" t="str">
        <f>IF(子基金及业绩基准周净值!A618="","",子基金及业绩基准周净值!A618)</f>
        <v/>
      </c>
      <c r="B593" s="1" t="str">
        <f>IF(A593="","",VLOOKUP($A593,子基金及业绩基准周净值!$A:$AV,11))</f>
        <v/>
      </c>
      <c r="C593" s="8" t="str">
        <f t="shared" si="36"/>
        <v/>
      </c>
      <c r="D593" s="9" t="str">
        <f>IF(A593="","",C593-子基金及业绩基准周净值!AI618)</f>
        <v/>
      </c>
      <c r="E593" s="12" t="str">
        <f>IF(A593="","",(MAX(B$3:B593)-B593)/MAX(B$3:B593))</f>
        <v/>
      </c>
      <c r="F593" s="12" t="str">
        <f>IF(A593="","",MAX(E$4:E593))</f>
        <v/>
      </c>
      <c r="G593" s="17"/>
      <c r="H593" s="14" t="str">
        <f t="shared" si="37"/>
        <v/>
      </c>
      <c r="I593" s="14" t="str">
        <f t="shared" si="38"/>
        <v/>
      </c>
      <c r="J593" s="15" t="str">
        <f t="shared" si="39"/>
        <v/>
      </c>
    </row>
    <row r="594" spans="1:10">
      <c r="A594" s="7" t="str">
        <f>IF(子基金及业绩基准周净值!A619="","",子基金及业绩基准周净值!A619)</f>
        <v/>
      </c>
      <c r="B594" s="1" t="str">
        <f>IF(A594="","",VLOOKUP($A594,子基金及业绩基准周净值!$A:$AV,11))</f>
        <v/>
      </c>
      <c r="C594" s="8" t="str">
        <f t="shared" si="36"/>
        <v/>
      </c>
      <c r="D594" s="9" t="str">
        <f>IF(A594="","",C594-子基金及业绩基准周净值!AI619)</f>
        <v/>
      </c>
      <c r="E594" s="12" t="str">
        <f>IF(A594="","",(MAX(B$3:B594)-B594)/MAX(B$3:B594))</f>
        <v/>
      </c>
      <c r="F594" s="12" t="str">
        <f>IF(A594="","",MAX(E$4:E594))</f>
        <v/>
      </c>
      <c r="G594" s="17"/>
      <c r="H594" s="14" t="str">
        <f t="shared" si="37"/>
        <v/>
      </c>
      <c r="I594" s="14" t="str">
        <f t="shared" si="38"/>
        <v/>
      </c>
      <c r="J594" s="15" t="str">
        <f t="shared" si="39"/>
        <v/>
      </c>
    </row>
    <row r="595" spans="1:10">
      <c r="A595" s="7" t="str">
        <f>IF(子基金及业绩基准周净值!A620="","",子基金及业绩基准周净值!A620)</f>
        <v/>
      </c>
      <c r="B595" s="1" t="str">
        <f>IF(A595="","",VLOOKUP($A595,子基金及业绩基准周净值!$A:$AV,11))</f>
        <v/>
      </c>
      <c r="C595" s="8" t="str">
        <f t="shared" si="36"/>
        <v/>
      </c>
      <c r="D595" s="9" t="str">
        <f>IF(A595="","",C595-子基金及业绩基准周净值!AI620)</f>
        <v/>
      </c>
      <c r="E595" s="12" t="str">
        <f>IF(A595="","",(MAX(B$3:B595)-B595)/MAX(B$3:B595))</f>
        <v/>
      </c>
      <c r="F595" s="12" t="str">
        <f>IF(A595="","",MAX(E$4:E595))</f>
        <v/>
      </c>
      <c r="G595" s="17"/>
      <c r="H595" s="14" t="str">
        <f t="shared" si="37"/>
        <v/>
      </c>
      <c r="I595" s="14" t="str">
        <f t="shared" si="38"/>
        <v/>
      </c>
      <c r="J595" s="15" t="str">
        <f t="shared" si="39"/>
        <v/>
      </c>
    </row>
    <row r="596" spans="1:10">
      <c r="A596" s="7" t="str">
        <f>IF(子基金及业绩基准周净值!A621="","",子基金及业绩基准周净值!A621)</f>
        <v/>
      </c>
      <c r="B596" s="1" t="str">
        <f>IF(A596="","",VLOOKUP($A596,子基金及业绩基准周净值!$A:$AV,11))</f>
        <v/>
      </c>
      <c r="C596" s="8" t="str">
        <f t="shared" si="36"/>
        <v/>
      </c>
      <c r="D596" s="9" t="str">
        <f>IF(A596="","",C596-子基金及业绩基准周净值!AI621)</f>
        <v/>
      </c>
      <c r="E596" s="12" t="str">
        <f>IF(A596="","",(MAX(B$3:B596)-B596)/MAX(B$3:B596))</f>
        <v/>
      </c>
      <c r="F596" s="12" t="str">
        <f>IF(A596="","",MAX(E$4:E596))</f>
        <v/>
      </c>
      <c r="G596" s="17"/>
      <c r="H596" s="14" t="str">
        <f t="shared" si="37"/>
        <v/>
      </c>
      <c r="I596" s="14" t="str">
        <f t="shared" si="38"/>
        <v/>
      </c>
      <c r="J596" s="15" t="str">
        <f t="shared" si="39"/>
        <v/>
      </c>
    </row>
    <row r="597" spans="1:10">
      <c r="A597" s="7" t="str">
        <f>IF(子基金及业绩基准周净值!A622="","",子基金及业绩基准周净值!A622)</f>
        <v/>
      </c>
      <c r="B597" s="1" t="str">
        <f>IF(A597="","",VLOOKUP($A597,子基金及业绩基准周净值!$A:$AV,11))</f>
        <v/>
      </c>
      <c r="C597" s="8" t="str">
        <f t="shared" si="36"/>
        <v/>
      </c>
      <c r="D597" s="9" t="str">
        <f>IF(A597="","",C597-子基金及业绩基准周净值!AI622)</f>
        <v/>
      </c>
      <c r="E597" s="12" t="str">
        <f>IF(A597="","",(MAX(B$3:B597)-B597)/MAX(B$3:B597))</f>
        <v/>
      </c>
      <c r="F597" s="12" t="str">
        <f>IF(A597="","",MAX(E$4:E597))</f>
        <v/>
      </c>
      <c r="G597" s="17"/>
      <c r="H597" s="14" t="str">
        <f t="shared" si="37"/>
        <v/>
      </c>
      <c r="I597" s="14" t="str">
        <f t="shared" si="38"/>
        <v/>
      </c>
      <c r="J597" s="15" t="str">
        <f t="shared" si="39"/>
        <v/>
      </c>
    </row>
    <row r="598" spans="1:10">
      <c r="A598" s="7" t="str">
        <f>IF(子基金及业绩基准周净值!A623="","",子基金及业绩基准周净值!A623)</f>
        <v/>
      </c>
      <c r="B598" s="1" t="str">
        <f>IF(A598="","",VLOOKUP($A598,子基金及业绩基准周净值!$A:$AV,11))</f>
        <v/>
      </c>
      <c r="C598" s="8" t="str">
        <f t="shared" si="36"/>
        <v/>
      </c>
      <c r="D598" s="9" t="str">
        <f>IF(A598="","",C598-子基金及业绩基准周净值!AI623)</f>
        <v/>
      </c>
      <c r="E598" s="12" t="str">
        <f>IF(A598="","",(MAX(B$3:B598)-B598)/MAX(B$3:B598))</f>
        <v/>
      </c>
      <c r="F598" s="12" t="str">
        <f>IF(A598="","",MAX(E$4:E598))</f>
        <v/>
      </c>
      <c r="G598" s="17"/>
      <c r="H598" s="14" t="str">
        <f t="shared" si="37"/>
        <v/>
      </c>
      <c r="I598" s="14" t="str">
        <f t="shared" si="38"/>
        <v/>
      </c>
      <c r="J598" s="15" t="str">
        <f t="shared" si="39"/>
        <v/>
      </c>
    </row>
    <row r="599" spans="1:10">
      <c r="A599" s="7" t="str">
        <f>IF(子基金及业绩基准周净值!A624="","",子基金及业绩基准周净值!A624)</f>
        <v/>
      </c>
      <c r="B599" s="1" t="str">
        <f>IF(A599="","",VLOOKUP($A599,子基金及业绩基准周净值!$A:$AV,11))</f>
        <v/>
      </c>
      <c r="C599" s="8" t="str">
        <f t="shared" si="36"/>
        <v/>
      </c>
      <c r="D599" s="9" t="str">
        <f>IF(A599="","",C599-子基金及业绩基准周净值!AI624)</f>
        <v/>
      </c>
      <c r="E599" s="12" t="str">
        <f>IF(A599="","",(MAX(B$3:B599)-B599)/MAX(B$3:B599))</f>
        <v/>
      </c>
      <c r="F599" s="12" t="str">
        <f>IF(A599="","",MAX(E$4:E599))</f>
        <v/>
      </c>
      <c r="G599" s="17"/>
      <c r="H599" s="14" t="str">
        <f t="shared" si="37"/>
        <v/>
      </c>
      <c r="I599" s="14" t="str">
        <f t="shared" si="38"/>
        <v/>
      </c>
      <c r="J599" s="15" t="str">
        <f t="shared" si="39"/>
        <v/>
      </c>
    </row>
    <row r="600" spans="1:10">
      <c r="A600" s="7" t="str">
        <f>IF(子基金及业绩基准周净值!A625="","",子基金及业绩基准周净值!A625)</f>
        <v/>
      </c>
      <c r="B600" s="1" t="str">
        <f>IF(A600="","",VLOOKUP($A600,子基金及业绩基准周净值!$A:$AV,11))</f>
        <v/>
      </c>
      <c r="C600" s="8" t="str">
        <f t="shared" si="36"/>
        <v/>
      </c>
      <c r="D600" s="9" t="str">
        <f>IF(A600="","",C600-子基金及业绩基准周净值!AI625)</f>
        <v/>
      </c>
      <c r="E600" s="12" t="str">
        <f>IF(A600="","",(MAX(B$3:B600)-B600)/MAX(B$3:B600))</f>
        <v/>
      </c>
      <c r="F600" s="12" t="str">
        <f>IF(A600="","",MAX(E$4:E600))</f>
        <v/>
      </c>
      <c r="G600" s="17"/>
      <c r="H600" s="14" t="str">
        <f t="shared" si="37"/>
        <v/>
      </c>
      <c r="I600" s="14" t="str">
        <f t="shared" si="38"/>
        <v/>
      </c>
      <c r="J600" s="15" t="str">
        <f t="shared" si="39"/>
        <v/>
      </c>
    </row>
    <row r="601" spans="1:10">
      <c r="A601" s="7" t="str">
        <f>IF(子基金及业绩基准周净值!A626="","",子基金及业绩基准周净值!A626)</f>
        <v/>
      </c>
      <c r="B601" s="1" t="str">
        <f>IF(A601="","",VLOOKUP($A601,子基金及业绩基准周净值!$A:$AV,11))</f>
        <v/>
      </c>
      <c r="C601" s="8" t="str">
        <f t="shared" si="36"/>
        <v/>
      </c>
      <c r="D601" s="9" t="str">
        <f>IF(A601="","",C601-子基金及业绩基准周净值!AI626)</f>
        <v/>
      </c>
      <c r="E601" s="12" t="str">
        <f>IF(A601="","",(MAX(B$3:B601)-B601)/MAX(B$3:B601))</f>
        <v/>
      </c>
      <c r="F601" s="12" t="str">
        <f>IF(A601="","",MAX(E$4:E601))</f>
        <v/>
      </c>
      <c r="G601" s="17"/>
      <c r="H601" s="14" t="str">
        <f t="shared" si="37"/>
        <v/>
      </c>
      <c r="I601" s="14" t="str">
        <f t="shared" si="38"/>
        <v/>
      </c>
      <c r="J601" s="15" t="str">
        <f t="shared" si="39"/>
        <v/>
      </c>
    </row>
    <row r="602" spans="1:10">
      <c r="A602" s="7" t="str">
        <f>IF(子基金及业绩基准周净值!A627="","",子基金及业绩基准周净值!A627)</f>
        <v/>
      </c>
      <c r="B602" s="1" t="str">
        <f>IF(A602="","",VLOOKUP($A602,子基金及业绩基准周净值!$A:$AV,11))</f>
        <v/>
      </c>
      <c r="C602" s="8" t="str">
        <f t="shared" si="36"/>
        <v/>
      </c>
      <c r="D602" s="9" t="str">
        <f>IF(A602="","",C602-子基金及业绩基准周净值!AI627)</f>
        <v/>
      </c>
      <c r="E602" s="12" t="str">
        <f>IF(A602="","",(MAX(B$3:B602)-B602)/MAX(B$3:B602))</f>
        <v/>
      </c>
      <c r="F602" s="12" t="str">
        <f>IF(A602="","",MAX(E$4:E602))</f>
        <v/>
      </c>
      <c r="G602" s="17"/>
      <c r="H602" s="14" t="str">
        <f t="shared" si="37"/>
        <v/>
      </c>
      <c r="I602" s="14" t="str">
        <f t="shared" si="38"/>
        <v/>
      </c>
      <c r="J602" s="15" t="str">
        <f t="shared" si="39"/>
        <v/>
      </c>
    </row>
    <row r="603" spans="1:10">
      <c r="A603" s="7" t="str">
        <f>IF(子基金及业绩基准周净值!A628="","",子基金及业绩基准周净值!A628)</f>
        <v/>
      </c>
      <c r="B603" s="1" t="str">
        <f>IF(A603="","",VLOOKUP($A603,子基金及业绩基准周净值!$A:$AV,11))</f>
        <v/>
      </c>
      <c r="C603" s="8" t="str">
        <f t="shared" si="36"/>
        <v/>
      </c>
      <c r="D603" s="9" t="str">
        <f>IF(A603="","",C603-子基金及业绩基准周净值!AI628)</f>
        <v/>
      </c>
      <c r="E603" s="12" t="str">
        <f>IF(A603="","",(MAX(B$3:B603)-B603)/MAX(B$3:B603))</f>
        <v/>
      </c>
      <c r="F603" s="12" t="str">
        <f>IF(A603="","",MAX(E$4:E603))</f>
        <v/>
      </c>
      <c r="G603" s="17"/>
      <c r="H603" s="14" t="str">
        <f t="shared" si="37"/>
        <v/>
      </c>
      <c r="I603" s="14" t="str">
        <f t="shared" si="38"/>
        <v/>
      </c>
      <c r="J603" s="15" t="str">
        <f t="shared" si="39"/>
        <v/>
      </c>
    </row>
    <row r="604" spans="1:10">
      <c r="A604" s="7" t="str">
        <f>IF(子基金及业绩基准周净值!A629="","",子基金及业绩基准周净值!A629)</f>
        <v/>
      </c>
      <c r="B604" s="1" t="str">
        <f>IF(A604="","",VLOOKUP($A604,子基金及业绩基准周净值!$A:$AV,11))</f>
        <v/>
      </c>
      <c r="C604" s="8" t="str">
        <f t="shared" si="36"/>
        <v/>
      </c>
      <c r="D604" s="9" t="str">
        <f>IF(A604="","",C604-子基金及业绩基准周净值!AI629)</f>
        <v/>
      </c>
      <c r="E604" s="12" t="str">
        <f>IF(A604="","",(MAX(B$3:B604)-B604)/MAX(B$3:B604))</f>
        <v/>
      </c>
      <c r="F604" s="12" t="str">
        <f>IF(A604="","",MAX(E$4:E604))</f>
        <v/>
      </c>
      <c r="G604" s="17"/>
      <c r="H604" s="14" t="str">
        <f t="shared" si="37"/>
        <v/>
      </c>
      <c r="I604" s="14" t="str">
        <f t="shared" si="38"/>
        <v/>
      </c>
      <c r="J604" s="15" t="str">
        <f t="shared" si="39"/>
        <v/>
      </c>
    </row>
    <row r="605" spans="1:10">
      <c r="A605" s="7" t="str">
        <f>IF(子基金及业绩基准周净值!A630="","",子基金及业绩基准周净值!A630)</f>
        <v/>
      </c>
      <c r="B605" s="1" t="str">
        <f>IF(A605="","",VLOOKUP($A605,子基金及业绩基准周净值!$A:$AV,11))</f>
        <v/>
      </c>
      <c r="C605" s="8" t="str">
        <f t="shared" si="36"/>
        <v/>
      </c>
      <c r="D605" s="9" t="str">
        <f>IF(A605="","",C605-子基金及业绩基准周净值!AI630)</f>
        <v/>
      </c>
      <c r="E605" s="12" t="str">
        <f>IF(A605="","",(MAX(B$3:B605)-B605)/MAX(B$3:B605))</f>
        <v/>
      </c>
      <c r="F605" s="12" t="str">
        <f>IF(A605="","",MAX(E$4:E605))</f>
        <v/>
      </c>
      <c r="G605" s="17"/>
      <c r="H605" s="14" t="str">
        <f t="shared" si="37"/>
        <v/>
      </c>
      <c r="I605" s="14" t="str">
        <f t="shared" si="38"/>
        <v/>
      </c>
      <c r="J605" s="15" t="str">
        <f t="shared" si="39"/>
        <v/>
      </c>
    </row>
    <row r="606" spans="1:10">
      <c r="A606" s="7" t="str">
        <f>IF(子基金及业绩基准周净值!A631="","",子基金及业绩基准周净值!A631)</f>
        <v/>
      </c>
      <c r="B606" s="1" t="str">
        <f>IF(A606="","",VLOOKUP($A606,子基金及业绩基准周净值!$A:$AV,11))</f>
        <v/>
      </c>
      <c r="C606" s="8" t="str">
        <f t="shared" si="36"/>
        <v/>
      </c>
      <c r="D606" s="9" t="str">
        <f>IF(A606="","",C606-子基金及业绩基准周净值!AI631)</f>
        <v/>
      </c>
      <c r="E606" s="12" t="str">
        <f>IF(A606="","",(MAX(B$3:B606)-B606)/MAX(B$3:B606))</f>
        <v/>
      </c>
      <c r="F606" s="12" t="str">
        <f>IF(A606="","",MAX(E$4:E606))</f>
        <v/>
      </c>
      <c r="G606" s="17"/>
      <c r="H606" s="14" t="str">
        <f t="shared" si="37"/>
        <v/>
      </c>
      <c r="I606" s="14" t="str">
        <f t="shared" si="38"/>
        <v/>
      </c>
      <c r="J606" s="15" t="str">
        <f t="shared" si="39"/>
        <v/>
      </c>
    </row>
    <row r="607" spans="1:10">
      <c r="A607" s="7" t="str">
        <f>IF(子基金及业绩基准周净值!A632="","",子基金及业绩基准周净值!A632)</f>
        <v/>
      </c>
      <c r="B607" s="1" t="str">
        <f>IF(A607="","",VLOOKUP($A607,子基金及业绩基准周净值!$A:$AV,11))</f>
        <v/>
      </c>
      <c r="C607" s="8" t="str">
        <f t="shared" si="36"/>
        <v/>
      </c>
      <c r="D607" s="9" t="str">
        <f>IF(A607="","",C607-子基金及业绩基准周净值!AI632)</f>
        <v/>
      </c>
      <c r="E607" s="12" t="str">
        <f>IF(A607="","",(MAX(B$3:B607)-B607)/MAX(B$3:B607))</f>
        <v/>
      </c>
      <c r="F607" s="12" t="str">
        <f>IF(A607="","",MAX(E$4:E607))</f>
        <v/>
      </c>
      <c r="G607" s="17"/>
      <c r="H607" s="14" t="str">
        <f t="shared" si="37"/>
        <v/>
      </c>
      <c r="I607" s="14" t="str">
        <f t="shared" si="38"/>
        <v/>
      </c>
      <c r="J607" s="15" t="str">
        <f t="shared" si="39"/>
        <v/>
      </c>
    </row>
    <row r="608" spans="1:10">
      <c r="A608" s="7" t="str">
        <f>IF(子基金及业绩基准周净值!A633="","",子基金及业绩基准周净值!A633)</f>
        <v/>
      </c>
      <c r="B608" s="1" t="str">
        <f>IF(A608="","",VLOOKUP($A608,子基金及业绩基准周净值!$A:$AV,11))</f>
        <v/>
      </c>
      <c r="C608" s="8" t="str">
        <f t="shared" si="36"/>
        <v/>
      </c>
      <c r="D608" s="9" t="str">
        <f>IF(A608="","",C608-子基金及业绩基准周净值!AI633)</f>
        <v/>
      </c>
      <c r="E608" s="12" t="str">
        <f>IF(A608="","",(MAX(B$3:B608)-B608)/MAX(B$3:B608))</f>
        <v/>
      </c>
      <c r="F608" s="12" t="str">
        <f>IF(A608="","",MAX(E$4:E608))</f>
        <v/>
      </c>
      <c r="G608" s="17"/>
      <c r="H608" s="14" t="str">
        <f t="shared" si="37"/>
        <v/>
      </c>
      <c r="I608" s="14" t="str">
        <f t="shared" si="38"/>
        <v/>
      </c>
      <c r="J608" s="15" t="str">
        <f t="shared" si="39"/>
        <v/>
      </c>
    </row>
    <row r="609" spans="1:10">
      <c r="A609" s="7" t="str">
        <f>IF(子基金及业绩基准周净值!A634="","",子基金及业绩基准周净值!A634)</f>
        <v/>
      </c>
      <c r="B609" s="1" t="str">
        <f>IF(A609="","",VLOOKUP($A609,子基金及业绩基准周净值!$A:$AV,11))</f>
        <v/>
      </c>
      <c r="C609" s="8" t="str">
        <f t="shared" si="36"/>
        <v/>
      </c>
      <c r="D609" s="9" t="str">
        <f>IF(A609="","",C609-子基金及业绩基准周净值!AI634)</f>
        <v/>
      </c>
      <c r="E609" s="12" t="str">
        <f>IF(A609="","",(MAX(B$3:B609)-B609)/MAX(B$3:B609))</f>
        <v/>
      </c>
      <c r="F609" s="12" t="str">
        <f>IF(A609="","",MAX(E$4:E609))</f>
        <v/>
      </c>
      <c r="G609" s="17"/>
      <c r="H609" s="14" t="str">
        <f t="shared" si="37"/>
        <v/>
      </c>
      <c r="I609" s="14" t="str">
        <f t="shared" si="38"/>
        <v/>
      </c>
      <c r="J609" s="15" t="str">
        <f t="shared" si="39"/>
        <v/>
      </c>
    </row>
    <row r="610" spans="1:10">
      <c r="A610" s="7" t="str">
        <f>IF(子基金及业绩基准周净值!A635="","",子基金及业绩基准周净值!A635)</f>
        <v/>
      </c>
      <c r="B610" s="1" t="str">
        <f>IF(A610="","",VLOOKUP($A610,子基金及业绩基准周净值!$A:$AV,11))</f>
        <v/>
      </c>
      <c r="C610" s="8" t="str">
        <f t="shared" si="36"/>
        <v/>
      </c>
      <c r="D610" s="9" t="str">
        <f>IF(A610="","",C610-子基金及业绩基准周净值!AI635)</f>
        <v/>
      </c>
      <c r="E610" s="12" t="str">
        <f>IF(A610="","",(MAX(B$3:B610)-B610)/MAX(B$3:B610))</f>
        <v/>
      </c>
      <c r="F610" s="12" t="str">
        <f>IF(A610="","",MAX(E$4:E610))</f>
        <v/>
      </c>
      <c r="G610" s="17"/>
      <c r="H610" s="14" t="str">
        <f t="shared" si="37"/>
        <v/>
      </c>
      <c r="I610" s="14" t="str">
        <f t="shared" si="38"/>
        <v/>
      </c>
      <c r="J610" s="15" t="str">
        <f t="shared" si="39"/>
        <v/>
      </c>
    </row>
    <row r="611" spans="1:10">
      <c r="A611" s="7" t="str">
        <f>IF(子基金及业绩基准周净值!A636="","",子基金及业绩基准周净值!A636)</f>
        <v/>
      </c>
      <c r="B611" s="1" t="str">
        <f>IF(A611="","",VLOOKUP($A611,子基金及业绩基准周净值!$A:$AV,11))</f>
        <v/>
      </c>
      <c r="C611" s="8" t="str">
        <f t="shared" si="36"/>
        <v/>
      </c>
      <c r="D611" s="9" t="str">
        <f>IF(A611="","",C611-子基金及业绩基准周净值!AI636)</f>
        <v/>
      </c>
      <c r="E611" s="12" t="str">
        <f>IF(A611="","",(MAX(B$3:B611)-B611)/MAX(B$3:B611))</f>
        <v/>
      </c>
      <c r="F611" s="12" t="str">
        <f>IF(A611="","",MAX(E$4:E611))</f>
        <v/>
      </c>
      <c r="G611" s="17"/>
      <c r="H611" s="14" t="str">
        <f t="shared" si="37"/>
        <v/>
      </c>
      <c r="I611" s="14" t="str">
        <f t="shared" si="38"/>
        <v/>
      </c>
      <c r="J611" s="15" t="str">
        <f t="shared" si="39"/>
        <v/>
      </c>
    </row>
    <row r="612" spans="1:10">
      <c r="A612" s="7" t="str">
        <f>IF(子基金及业绩基准周净值!A637="","",子基金及业绩基准周净值!A637)</f>
        <v/>
      </c>
      <c r="B612" s="1" t="str">
        <f>IF(A612="","",VLOOKUP($A612,子基金及业绩基准周净值!$A:$AV,11))</f>
        <v/>
      </c>
      <c r="C612" s="8" t="str">
        <f t="shared" si="36"/>
        <v/>
      </c>
      <c r="D612" s="9" t="str">
        <f>IF(A612="","",C612-子基金及业绩基准周净值!AI637)</f>
        <v/>
      </c>
      <c r="E612" s="12" t="str">
        <f>IF(A612="","",(MAX(B$3:B612)-B612)/MAX(B$3:B612))</f>
        <v/>
      </c>
      <c r="F612" s="12" t="str">
        <f>IF(A612="","",MAX(E$4:E612))</f>
        <v/>
      </c>
      <c r="G612" s="17"/>
      <c r="H612" s="14" t="str">
        <f t="shared" si="37"/>
        <v/>
      </c>
      <c r="I612" s="14" t="str">
        <f t="shared" si="38"/>
        <v/>
      </c>
      <c r="J612" s="15" t="str">
        <f t="shared" si="39"/>
        <v/>
      </c>
    </row>
    <row r="613" spans="1:7">
      <c r="A613" s="7" t="str">
        <f>IF(子基金及业绩基准周净值!A638="","",子基金及业绩基准周净值!A638)</f>
        <v/>
      </c>
      <c r="B613" s="1" t="str">
        <f>IF(A613="","",VLOOKUP($A613,子基金及业绩基准周净值!$A:$AV,11))</f>
        <v/>
      </c>
      <c r="C613" s="8" t="str">
        <f t="shared" si="36"/>
        <v/>
      </c>
      <c r="D613" s="9" t="str">
        <f>IF(A613="","",C613-子基金及业绩基准周净值!AI638)</f>
        <v/>
      </c>
      <c r="E613" s="12" t="str">
        <f>IF(A613="","",(MAX(B$3:B613)-B613)/MAX(B$3:B613))</f>
        <v/>
      </c>
      <c r="F613" s="12" t="str">
        <f>IF(A613="","",MAX(E$4:E613))</f>
        <v/>
      </c>
      <c r="G613" s="17"/>
    </row>
    <row r="614" spans="1:7">
      <c r="A614" s="7" t="str">
        <f>IF(子基金及业绩基准周净值!A639="","",子基金及业绩基准周净值!A639)</f>
        <v/>
      </c>
      <c r="B614" s="1" t="str">
        <f>IF(A614="","",VLOOKUP($A614,子基金及业绩基准周净值!$A:$AV,11))</f>
        <v/>
      </c>
      <c r="C614" s="8" t="str">
        <f t="shared" si="36"/>
        <v/>
      </c>
      <c r="D614" s="9" t="str">
        <f>IF(A614="","",C614-子基金及业绩基准周净值!AI639)</f>
        <v/>
      </c>
      <c r="E614" s="12" t="str">
        <f>IF(A614="","",(MAX(B$3:B614)-B614)/MAX(B$3:B614))</f>
        <v/>
      </c>
      <c r="F614" s="12" t="str">
        <f>IF(A614="","",MAX(E$4:E614))</f>
        <v/>
      </c>
      <c r="G614" s="17"/>
    </row>
    <row r="615" spans="1:7">
      <c r="A615" s="7" t="str">
        <f>IF(子基金及业绩基准周净值!A640="","",子基金及业绩基准周净值!A640)</f>
        <v/>
      </c>
      <c r="B615" s="1" t="str">
        <f>IF(A615="","",VLOOKUP($A615,子基金及业绩基准周净值!$A:$AV,11))</f>
        <v/>
      </c>
      <c r="C615" s="8" t="str">
        <f t="shared" si="36"/>
        <v/>
      </c>
      <c r="D615" s="9" t="str">
        <f>IF(A615="","",C615-子基金及业绩基准周净值!AI640)</f>
        <v/>
      </c>
      <c r="E615" s="12" t="str">
        <f>IF(A615="","",(MAX(B$3:B615)-B615)/MAX(B$3:B615))</f>
        <v/>
      </c>
      <c r="F615" s="12" t="str">
        <f>IF(A615="","",MAX(E$4:E615))</f>
        <v/>
      </c>
      <c r="G615" s="17"/>
    </row>
    <row r="616" spans="1:7">
      <c r="A616" s="7" t="str">
        <f>IF(子基金及业绩基准周净值!A641="","",子基金及业绩基准周净值!A641)</f>
        <v/>
      </c>
      <c r="B616" s="1" t="str">
        <f>IF(A616="","",VLOOKUP($A616,子基金及业绩基准周净值!$A:$AV,11))</f>
        <v/>
      </c>
      <c r="C616" s="8" t="str">
        <f t="shared" si="36"/>
        <v/>
      </c>
      <c r="D616" s="9" t="str">
        <f>IF(A616="","",C616-子基金及业绩基准周净值!AI641)</f>
        <v/>
      </c>
      <c r="E616" s="12" t="str">
        <f>IF(A616="","",(MAX(B$3:B616)-B616)/MAX(B$3:B616))</f>
        <v/>
      </c>
      <c r="F616" s="12" t="str">
        <f>IF(A616="","",MAX(E$4:E616))</f>
        <v/>
      </c>
      <c r="G616" s="17"/>
    </row>
    <row r="617" spans="1:7">
      <c r="A617" s="7" t="str">
        <f>IF(子基金及业绩基准周净值!A642="","",子基金及业绩基准周净值!A642)</f>
        <v/>
      </c>
      <c r="B617" s="1" t="str">
        <f>IF(A617="","",VLOOKUP($A617,子基金及业绩基准周净值!$A:$AV,11))</f>
        <v/>
      </c>
      <c r="C617" s="8" t="str">
        <f t="shared" si="36"/>
        <v/>
      </c>
      <c r="D617" s="9" t="str">
        <f>IF(A617="","",C617-子基金及业绩基准周净值!AI642)</f>
        <v/>
      </c>
      <c r="E617" s="12" t="str">
        <f>IF(A617="","",(MAX(B$3:B617)-B617)/MAX(B$3:B617))</f>
        <v/>
      </c>
      <c r="F617" s="12" t="str">
        <f>IF(A617="","",MAX(E$4:E617))</f>
        <v/>
      </c>
      <c r="G617" s="17"/>
    </row>
    <row r="618" spans="1:7">
      <c r="A618" s="7" t="str">
        <f>IF(子基金及业绩基准周净值!A643="","",子基金及业绩基准周净值!A643)</f>
        <v/>
      </c>
      <c r="B618" s="1" t="str">
        <f>IF(A618="","",VLOOKUP($A618,子基金及业绩基准周净值!$A:$AV,11))</f>
        <v/>
      </c>
      <c r="C618" s="8" t="str">
        <f t="shared" si="36"/>
        <v/>
      </c>
      <c r="D618" s="9" t="str">
        <f>IF(A618="","",C618-子基金及业绩基准周净值!AI643)</f>
        <v/>
      </c>
      <c r="E618" s="12" t="str">
        <f>IF(A618="","",(MAX(B$3:B618)-B618)/MAX(B$3:B618))</f>
        <v/>
      </c>
      <c r="F618" s="12" t="str">
        <f>IF(A618="","",MAX(E$4:E618))</f>
        <v/>
      </c>
      <c r="G618" s="17"/>
    </row>
    <row r="619" spans="1:7">
      <c r="A619" s="7" t="str">
        <f>IF(子基金及业绩基准周净值!A644="","",子基金及业绩基准周净值!A644)</f>
        <v/>
      </c>
      <c r="B619" s="1" t="str">
        <f>IF(A619="","",VLOOKUP($A619,子基金及业绩基准周净值!$A:$AV,11))</f>
        <v/>
      </c>
      <c r="C619" s="8" t="str">
        <f t="shared" si="36"/>
        <v/>
      </c>
      <c r="D619" s="9" t="str">
        <f>IF(A619="","",C619-子基金及业绩基准周净值!AI644)</f>
        <v/>
      </c>
      <c r="E619" s="12" t="str">
        <f>IF(A619="","",(MAX(B$3:B619)-B619)/MAX(B$3:B619))</f>
        <v/>
      </c>
      <c r="F619" s="12" t="str">
        <f>IF(A619="","",MAX(E$4:E619))</f>
        <v/>
      </c>
      <c r="G619" s="17"/>
    </row>
    <row r="620" spans="1:7">
      <c r="A620" s="7" t="str">
        <f>IF(子基金及业绩基准周净值!A645="","",子基金及业绩基准周净值!A645)</f>
        <v/>
      </c>
      <c r="B620" s="1" t="str">
        <f>IF(A620="","",VLOOKUP($A620,子基金及业绩基准周净值!$A:$AV,11))</f>
        <v/>
      </c>
      <c r="C620" s="8" t="str">
        <f t="shared" si="36"/>
        <v/>
      </c>
      <c r="D620" s="9" t="str">
        <f>IF(A620="","",C620-子基金及业绩基准周净值!AI645)</f>
        <v/>
      </c>
      <c r="E620" s="12" t="str">
        <f>IF(A620="","",(MAX(B$3:B620)-B620)/MAX(B$3:B620))</f>
        <v/>
      </c>
      <c r="F620" s="12" t="str">
        <f>IF(A620="","",MAX(E$4:E620))</f>
        <v/>
      </c>
      <c r="G620" s="17"/>
    </row>
    <row r="621" spans="1:7">
      <c r="A621" s="7" t="str">
        <f>IF(子基金及业绩基准周净值!A646="","",子基金及业绩基准周净值!A646)</f>
        <v/>
      </c>
      <c r="B621" s="1" t="str">
        <f>IF(A621="","",VLOOKUP($A621,子基金及业绩基准周净值!$A:$AV,11))</f>
        <v/>
      </c>
      <c r="C621" s="8" t="str">
        <f t="shared" si="36"/>
        <v/>
      </c>
      <c r="D621" s="9" t="str">
        <f>IF(A621="","",C621-子基金及业绩基准周净值!AI646)</f>
        <v/>
      </c>
      <c r="E621" s="12" t="str">
        <f>IF(A621="","",(MAX(B$3:B621)-B621)/MAX(B$3:B621))</f>
        <v/>
      </c>
      <c r="F621" s="12" t="str">
        <f>IF(A621="","",MAX(E$4:E621))</f>
        <v/>
      </c>
      <c r="G621" s="17"/>
    </row>
    <row r="622" spans="1:7">
      <c r="A622" s="7" t="str">
        <f>IF(子基金及业绩基准周净值!A647="","",子基金及业绩基准周净值!A647)</f>
        <v/>
      </c>
      <c r="B622" s="1" t="str">
        <f>IF(A622="","",VLOOKUP($A622,子基金及业绩基准周净值!$A:$AV,11))</f>
        <v/>
      </c>
      <c r="C622" s="8" t="str">
        <f t="shared" si="36"/>
        <v/>
      </c>
      <c r="D622" s="9" t="str">
        <f>IF(A622="","",C622-子基金及业绩基准周净值!AI647)</f>
        <v/>
      </c>
      <c r="E622" s="12" t="str">
        <f>IF(A622="","",(MAX(B$3:B622)-B622)/MAX(B$3:B622))</f>
        <v/>
      </c>
      <c r="F622" s="12" t="str">
        <f>IF(A622="","",MAX(E$4:E622))</f>
        <v/>
      </c>
      <c r="G622" s="17"/>
    </row>
    <row r="623" spans="1:7">
      <c r="A623" s="7" t="str">
        <f>IF(子基金及业绩基准周净值!A648="","",子基金及业绩基准周净值!A648)</f>
        <v/>
      </c>
      <c r="B623" s="1" t="str">
        <f>IF(A623="","",VLOOKUP($A623,子基金及业绩基准周净值!$A:$AV,11))</f>
        <v/>
      </c>
      <c r="C623" s="8" t="str">
        <f t="shared" si="36"/>
        <v/>
      </c>
      <c r="D623" s="9" t="str">
        <f>IF(A623="","",C623-子基金及业绩基准周净值!AI648)</f>
        <v/>
      </c>
      <c r="E623" s="12" t="str">
        <f>IF(A623="","",(MAX(B$3:B623)-B623)/MAX(B$3:B623))</f>
        <v/>
      </c>
      <c r="F623" s="12" t="str">
        <f>IF(A623="","",MAX(E$4:E623))</f>
        <v/>
      </c>
      <c r="G623" s="17"/>
    </row>
    <row r="624" spans="1:7">
      <c r="A624" s="7" t="str">
        <f>IF(子基金及业绩基准周净值!A649="","",子基金及业绩基准周净值!A649)</f>
        <v/>
      </c>
      <c r="B624" s="1" t="str">
        <f>IF(A624="","",VLOOKUP($A624,子基金及业绩基准周净值!$A:$AV,11))</f>
        <v/>
      </c>
      <c r="C624" s="8" t="str">
        <f t="shared" si="36"/>
        <v/>
      </c>
      <c r="D624" s="9" t="str">
        <f>IF(A624="","",C624-子基金及业绩基准周净值!AI649)</f>
        <v/>
      </c>
      <c r="E624" s="12" t="str">
        <f>IF(A624="","",(MAX(B$3:B624)-B624)/MAX(B$3:B624))</f>
        <v/>
      </c>
      <c r="F624" s="12" t="str">
        <f>IF(A624="","",MAX(E$4:E624))</f>
        <v/>
      </c>
      <c r="G624" s="17"/>
    </row>
    <row r="625" spans="1:7">
      <c r="A625" s="7" t="str">
        <f>IF(子基金及业绩基准周净值!A650="","",子基金及业绩基准周净值!A650)</f>
        <v/>
      </c>
      <c r="B625" s="1" t="str">
        <f>IF(A625="","",VLOOKUP($A625,子基金及业绩基准周净值!$A:$AV,11))</f>
        <v/>
      </c>
      <c r="C625" s="8" t="str">
        <f t="shared" si="36"/>
        <v/>
      </c>
      <c r="D625" s="9" t="str">
        <f>IF(A625="","",C625-子基金及业绩基准周净值!AI650)</f>
        <v/>
      </c>
      <c r="E625" s="12" t="str">
        <f>IF(A625="","",(MAX(B$3:B625)-B625)/MAX(B$3:B625))</f>
        <v/>
      </c>
      <c r="F625" s="12" t="str">
        <f>IF(A625="","",MAX(E$4:E625))</f>
        <v/>
      </c>
      <c r="G625" s="17"/>
    </row>
    <row r="626" spans="1:7">
      <c r="A626" s="7" t="str">
        <f>IF(子基金及业绩基准周净值!A651="","",子基金及业绩基准周净值!A651)</f>
        <v/>
      </c>
      <c r="B626" s="1" t="str">
        <f>IF(A626="","",VLOOKUP($A626,子基金及业绩基准周净值!$A:$AV,11))</f>
        <v/>
      </c>
      <c r="C626" s="8" t="str">
        <f t="shared" si="36"/>
        <v/>
      </c>
      <c r="D626" s="9" t="str">
        <f>IF(A626="","",C626-子基金及业绩基准周净值!AI651)</f>
        <v/>
      </c>
      <c r="E626" s="12" t="str">
        <f>IF(A626="","",(MAX(B$3:B626)-B626)/MAX(B$3:B626))</f>
        <v/>
      </c>
      <c r="F626" s="12" t="str">
        <f>IF(A626="","",MAX(E$4:E626))</f>
        <v/>
      </c>
      <c r="G626" s="17"/>
    </row>
    <row r="627" spans="1:7">
      <c r="A627" s="7" t="str">
        <f>IF(子基金及业绩基准周净值!A652="","",子基金及业绩基准周净值!A652)</f>
        <v/>
      </c>
      <c r="B627" s="1" t="str">
        <f>IF(A627="","",VLOOKUP($A627,子基金及业绩基准周净值!$A:$AV,11))</f>
        <v/>
      </c>
      <c r="C627" s="8" t="str">
        <f t="shared" si="36"/>
        <v/>
      </c>
      <c r="D627" s="9" t="str">
        <f>IF(A627="","",C627-子基金及业绩基准周净值!AI652)</f>
        <v/>
      </c>
      <c r="E627" s="12" t="str">
        <f>IF(A627="","",(MAX(B$3:B627)-B627)/MAX(B$3:B627))</f>
        <v/>
      </c>
      <c r="F627" s="12" t="str">
        <f>IF(A627="","",MAX(E$4:E627))</f>
        <v/>
      </c>
      <c r="G627" s="17"/>
    </row>
    <row r="628" spans="1:7">
      <c r="A628" s="7" t="str">
        <f>IF(子基金及业绩基准周净值!A653="","",子基金及业绩基准周净值!A653)</f>
        <v/>
      </c>
      <c r="B628" s="1" t="str">
        <f>IF(A628="","",VLOOKUP($A628,子基金及业绩基准周净值!$A:$AV,11))</f>
        <v/>
      </c>
      <c r="C628" s="8" t="str">
        <f t="shared" si="36"/>
        <v/>
      </c>
      <c r="D628" s="9" t="str">
        <f>IF(A628="","",C628-子基金及业绩基准周净值!AI653)</f>
        <v/>
      </c>
      <c r="E628" s="12" t="str">
        <f>IF(A628="","",(MAX(B$3:B628)-B628)/MAX(B$3:B628))</f>
        <v/>
      </c>
      <c r="F628" s="12" t="str">
        <f>IF(A628="","",MAX(E$4:E628))</f>
        <v/>
      </c>
      <c r="G628" s="17"/>
    </row>
    <row r="629" spans="1:7">
      <c r="A629" s="7" t="str">
        <f>IF(子基金及业绩基准周净值!A654="","",子基金及业绩基准周净值!A654)</f>
        <v/>
      </c>
      <c r="B629" s="1" t="str">
        <f>IF(A629="","",VLOOKUP($A629,子基金及业绩基准周净值!$A:$AV,11))</f>
        <v/>
      </c>
      <c r="C629" s="8" t="str">
        <f t="shared" si="36"/>
        <v/>
      </c>
      <c r="D629" s="9" t="str">
        <f>IF(A629="","",C629-子基金及业绩基准周净值!AI654)</f>
        <v/>
      </c>
      <c r="E629" s="12" t="str">
        <f>IF(A629="","",(MAX(B$3:B629)-B629)/MAX(B$3:B629))</f>
        <v/>
      </c>
      <c r="F629" s="12" t="str">
        <f>IF(A629="","",MAX(E$4:E629))</f>
        <v/>
      </c>
      <c r="G629" s="17"/>
    </row>
    <row r="630" spans="1:7">
      <c r="A630" s="7" t="str">
        <f>IF(子基金及业绩基准周净值!A655="","",子基金及业绩基准周净值!A655)</f>
        <v/>
      </c>
      <c r="B630" s="1" t="str">
        <f>IF(A630="","",VLOOKUP($A630,子基金及业绩基准周净值!$A:$AV,11))</f>
        <v/>
      </c>
      <c r="C630" s="8" t="str">
        <f t="shared" si="36"/>
        <v/>
      </c>
      <c r="D630" s="9" t="str">
        <f>IF(A630="","",C630-子基金及业绩基准周净值!AI655)</f>
        <v/>
      </c>
      <c r="E630" s="12" t="str">
        <f>IF(A630="","",(MAX(B$3:B630)-B630)/MAX(B$3:B630))</f>
        <v/>
      </c>
      <c r="F630" s="12" t="str">
        <f>IF(A630="","",MAX(E$4:E630))</f>
        <v/>
      </c>
      <c r="G630" s="17"/>
    </row>
    <row r="631" spans="1:7">
      <c r="A631" s="7" t="str">
        <f>IF(子基金及业绩基准周净值!A656="","",子基金及业绩基准周净值!A656)</f>
        <v/>
      </c>
      <c r="B631" s="1" t="str">
        <f>IF(A631="","",VLOOKUP($A631,子基金及业绩基准周净值!$A:$AV,11))</f>
        <v/>
      </c>
      <c r="C631" s="8" t="str">
        <f t="shared" si="36"/>
        <v/>
      </c>
      <c r="D631" s="9" t="str">
        <f>IF(A631="","",C631-子基金及业绩基准周净值!AI656)</f>
        <v/>
      </c>
      <c r="E631" s="12" t="str">
        <f>IF(A631="","",(MAX(B$3:B631)-B631)/MAX(B$3:B631))</f>
        <v/>
      </c>
      <c r="F631" s="12" t="str">
        <f>IF(A631="","",MAX(E$4:E631))</f>
        <v/>
      </c>
      <c r="G631" s="17"/>
    </row>
    <row r="632" spans="1:7">
      <c r="A632" s="7" t="str">
        <f>IF(子基金及业绩基准周净值!A657="","",子基金及业绩基准周净值!A657)</f>
        <v/>
      </c>
      <c r="B632" s="1" t="str">
        <f>IF(A632="","",VLOOKUP($A632,子基金及业绩基准周净值!$A:$AV,11))</f>
        <v/>
      </c>
      <c r="C632" s="8" t="str">
        <f t="shared" si="36"/>
        <v/>
      </c>
      <c r="D632" s="9" t="str">
        <f>IF(A632="","",C632-子基金及业绩基准周净值!AI657)</f>
        <v/>
      </c>
      <c r="E632" s="12" t="str">
        <f>IF(A632="","",(MAX(B$3:B632)-B632)/MAX(B$3:B632))</f>
        <v/>
      </c>
      <c r="F632" s="12" t="str">
        <f>IF(A632="","",MAX(E$4:E632))</f>
        <v/>
      </c>
      <c r="G632" s="17"/>
    </row>
    <row r="633" spans="1:7">
      <c r="A633" s="7" t="str">
        <f>IF(子基金及业绩基准周净值!A658="","",子基金及业绩基准周净值!A658)</f>
        <v/>
      </c>
      <c r="B633" s="1" t="str">
        <f>IF(A633="","",VLOOKUP($A633,子基金及业绩基准周净值!$A:$AV,11))</f>
        <v/>
      </c>
      <c r="C633" s="8" t="str">
        <f t="shared" si="36"/>
        <v/>
      </c>
      <c r="D633" s="9" t="str">
        <f>IF(A633="","",C633-子基金及业绩基准周净值!AI658)</f>
        <v/>
      </c>
      <c r="E633" s="12" t="str">
        <f>IF(A633="","",(MAX(B$3:B633)-B633)/MAX(B$3:B633))</f>
        <v/>
      </c>
      <c r="F633" s="12" t="str">
        <f>IF(A633="","",MAX(E$4:E633))</f>
        <v/>
      </c>
      <c r="G633" s="17"/>
    </row>
    <row r="634" spans="1:7">
      <c r="A634" s="7" t="str">
        <f>IF(子基金及业绩基准周净值!A659="","",子基金及业绩基准周净值!A659)</f>
        <v/>
      </c>
      <c r="B634" s="1" t="str">
        <f>IF(A634="","",VLOOKUP($A634,子基金及业绩基准周净值!$A:$AV,11))</f>
        <v/>
      </c>
      <c r="C634" s="8" t="str">
        <f t="shared" si="36"/>
        <v/>
      </c>
      <c r="D634" s="9" t="str">
        <f>IF(A634="","",C634-子基金及业绩基准周净值!AI659)</f>
        <v/>
      </c>
      <c r="E634" s="12" t="str">
        <f>IF(A634="","",(MAX(B$3:B634)-B634)/MAX(B$3:B634))</f>
        <v/>
      </c>
      <c r="F634" s="12" t="str">
        <f>IF(A634="","",MAX(E$4:E634))</f>
        <v/>
      </c>
      <c r="G634" s="17"/>
    </row>
    <row r="635" spans="1:7">
      <c r="A635" s="7" t="str">
        <f>IF(子基金及业绩基准周净值!A660="","",子基金及业绩基准周净值!A660)</f>
        <v/>
      </c>
      <c r="B635" s="1" t="str">
        <f>IF(A635="","",VLOOKUP($A635,子基金及业绩基准周净值!$A:$AV,11))</f>
        <v/>
      </c>
      <c r="C635" s="8" t="str">
        <f t="shared" si="36"/>
        <v/>
      </c>
      <c r="D635" s="9" t="str">
        <f>IF(A635="","",C635-子基金及业绩基准周净值!AI660)</f>
        <v/>
      </c>
      <c r="E635" s="12" t="str">
        <f>IF(A635="","",(MAX(B$3:B635)-B635)/MAX(B$3:B635))</f>
        <v/>
      </c>
      <c r="F635" s="12" t="str">
        <f>IF(A635="","",MAX(E$4:E635))</f>
        <v/>
      </c>
      <c r="G635" s="17"/>
    </row>
    <row r="636" spans="1:7">
      <c r="A636" s="7" t="str">
        <f>IF(子基金及业绩基准周净值!A661="","",子基金及业绩基准周净值!A661)</f>
        <v/>
      </c>
      <c r="B636" s="1" t="str">
        <f>IF(A636="","",VLOOKUP($A636,子基金及业绩基准周净值!$A:$AV,11))</f>
        <v/>
      </c>
      <c r="C636" s="8" t="str">
        <f t="shared" si="36"/>
        <v/>
      </c>
      <c r="D636" s="9" t="str">
        <f>IF(A636="","",C636-子基金及业绩基准周净值!AI661)</f>
        <v/>
      </c>
      <c r="E636" s="12" t="str">
        <f>IF(A636="","",(MAX(B$3:B636)-B636)/MAX(B$3:B636))</f>
        <v/>
      </c>
      <c r="F636" s="12" t="str">
        <f>IF(A636="","",MAX(E$4:E636))</f>
        <v/>
      </c>
      <c r="G636" s="17"/>
    </row>
    <row r="637" spans="1:7">
      <c r="A637" s="7" t="str">
        <f>IF(子基金及业绩基准周净值!A662="","",子基金及业绩基准周净值!A662)</f>
        <v/>
      </c>
      <c r="B637" s="1" t="str">
        <f>IF(A637="","",VLOOKUP($A637,子基金及业绩基准周净值!$A:$AV,11))</f>
        <v/>
      </c>
      <c r="C637" s="8" t="str">
        <f t="shared" si="36"/>
        <v/>
      </c>
      <c r="D637" s="9" t="str">
        <f>IF(A637="","",C637-子基金及业绩基准周净值!AI662)</f>
        <v/>
      </c>
      <c r="E637" s="12" t="str">
        <f>IF(A637="","",(MAX(B$3:B637)-B637)/MAX(B$3:B637))</f>
        <v/>
      </c>
      <c r="F637" s="12" t="str">
        <f>IF(A637="","",MAX(E$4:E637))</f>
        <v/>
      </c>
      <c r="G637" s="17"/>
    </row>
    <row r="638" spans="1:7">
      <c r="A638" s="7" t="str">
        <f>IF(子基金及业绩基准周净值!A663="","",子基金及业绩基准周净值!A663)</f>
        <v/>
      </c>
      <c r="B638" s="1" t="str">
        <f>IF(A638="","",VLOOKUP($A638,子基金及业绩基准周净值!$A:$AV,11))</f>
        <v/>
      </c>
      <c r="C638" s="8" t="str">
        <f t="shared" si="36"/>
        <v/>
      </c>
      <c r="D638" s="9" t="str">
        <f>IF(A638="","",C638-子基金及业绩基准周净值!AI663)</f>
        <v/>
      </c>
      <c r="E638" s="12" t="str">
        <f>IF(A638="","",(MAX(B$3:B638)-B638)/MAX(B$3:B638))</f>
        <v/>
      </c>
      <c r="F638" s="12" t="str">
        <f>IF(A638="","",MAX(E$4:E638))</f>
        <v/>
      </c>
      <c r="G638" s="17"/>
    </row>
    <row r="639" spans="1:7">
      <c r="A639" s="7" t="str">
        <f>IF(子基金及业绩基准周净值!A664="","",子基金及业绩基准周净值!A664)</f>
        <v/>
      </c>
      <c r="B639" s="1" t="str">
        <f>IF(A639="","",VLOOKUP($A639,子基金及业绩基准周净值!$A:$AV,11))</f>
        <v/>
      </c>
      <c r="C639" s="8" t="str">
        <f t="shared" si="36"/>
        <v/>
      </c>
      <c r="D639" s="9" t="str">
        <f>IF(A639="","",C639-子基金及业绩基准周净值!AI664)</f>
        <v/>
      </c>
      <c r="E639" s="12" t="str">
        <f>IF(A639="","",(MAX(B$3:B639)-B639)/MAX(B$3:B639))</f>
        <v/>
      </c>
      <c r="F639" s="12" t="str">
        <f>IF(A639="","",MAX(E$4:E639))</f>
        <v/>
      </c>
      <c r="G639" s="17"/>
    </row>
    <row r="640" spans="1:7">
      <c r="A640" s="7" t="str">
        <f>IF(子基金及业绩基准周净值!A665="","",子基金及业绩基准周净值!A665)</f>
        <v/>
      </c>
      <c r="B640" s="1" t="str">
        <f>IF(A640="","",VLOOKUP($A640,子基金及业绩基准周净值!$A:$AV,11))</f>
        <v/>
      </c>
      <c r="C640" s="8" t="str">
        <f t="shared" si="36"/>
        <v/>
      </c>
      <c r="D640" s="9" t="str">
        <f>IF(A640="","",C640-子基金及业绩基准周净值!AI665)</f>
        <v/>
      </c>
      <c r="E640" s="12" t="str">
        <f>IF(A640="","",(MAX(B$3:B640)-B640)/MAX(B$3:B640))</f>
        <v/>
      </c>
      <c r="F640" s="12" t="str">
        <f>IF(A640="","",MAX(E$4:E640))</f>
        <v/>
      </c>
      <c r="G640" s="17"/>
    </row>
    <row r="641" spans="1:7">
      <c r="A641" s="7" t="str">
        <f>IF(子基金及业绩基准周净值!A666="","",子基金及业绩基准周净值!A666)</f>
        <v/>
      </c>
      <c r="B641" s="1" t="str">
        <f>IF(A641="","",VLOOKUP($A641,子基金及业绩基准周净值!$A:$AV,11))</f>
        <v/>
      </c>
      <c r="C641" s="8" t="str">
        <f t="shared" si="36"/>
        <v/>
      </c>
      <c r="D641" s="9" t="str">
        <f>IF(A641="","",C641-子基金及业绩基准周净值!AI666)</f>
        <v/>
      </c>
      <c r="E641" s="12" t="str">
        <f>IF(A641="","",(MAX(B$3:B641)-B641)/MAX(B$3:B641))</f>
        <v/>
      </c>
      <c r="F641" s="12" t="str">
        <f>IF(A641="","",MAX(E$4:E641))</f>
        <v/>
      </c>
      <c r="G641" s="17"/>
    </row>
    <row r="642" spans="1:7">
      <c r="A642" s="7" t="str">
        <f>IF(子基金及业绩基准周净值!A667="","",子基金及业绩基准周净值!A667)</f>
        <v/>
      </c>
      <c r="B642" s="1" t="str">
        <f>IF(A642="","",VLOOKUP($A642,子基金及业绩基准周净值!$A:$AV,11))</f>
        <v/>
      </c>
      <c r="C642" s="8" t="str">
        <f t="shared" si="36"/>
        <v/>
      </c>
      <c r="D642" s="9" t="str">
        <f>IF(A642="","",C642-子基金及业绩基准周净值!AI667)</f>
        <v/>
      </c>
      <c r="E642" s="12" t="str">
        <f>IF(A642="","",(MAX(B$3:B642)-B642)/MAX(B$3:B642))</f>
        <v/>
      </c>
      <c r="F642" s="12" t="str">
        <f>IF(A642="","",MAX(E$4:E642))</f>
        <v/>
      </c>
      <c r="G642" s="17"/>
    </row>
    <row r="643" spans="1:7">
      <c r="A643" s="7" t="str">
        <f>IF(子基金及业绩基准周净值!A668="","",子基金及业绩基准周净值!A668)</f>
        <v/>
      </c>
      <c r="B643" s="1" t="str">
        <f>IF(A643="","",VLOOKUP($A643,子基金及业绩基准周净值!$A:$AV,11))</f>
        <v/>
      </c>
      <c r="C643" s="8" t="str">
        <f t="shared" si="36"/>
        <v/>
      </c>
      <c r="D643" s="9" t="str">
        <f>IF(A643="","",C643-子基金及业绩基准周净值!AI668)</f>
        <v/>
      </c>
      <c r="E643" s="12" t="str">
        <f>IF(A643="","",(MAX(B$3:B643)-B643)/MAX(B$3:B643))</f>
        <v/>
      </c>
      <c r="F643" s="12" t="str">
        <f>IF(A643="","",MAX(E$4:E643))</f>
        <v/>
      </c>
      <c r="G643" s="17"/>
    </row>
    <row r="644" spans="1:7">
      <c r="A644" s="7" t="str">
        <f>IF(子基金及业绩基准周净值!A669="","",子基金及业绩基准周净值!A669)</f>
        <v/>
      </c>
      <c r="B644" s="1" t="str">
        <f>IF(A644="","",VLOOKUP($A644,子基金及业绩基准周净值!$A:$AV,11))</f>
        <v/>
      </c>
      <c r="C644" s="8" t="str">
        <f t="shared" si="36"/>
        <v/>
      </c>
      <c r="D644" s="9" t="str">
        <f>IF(A644="","",C644-子基金及业绩基准周净值!AI669)</f>
        <v/>
      </c>
      <c r="E644" s="12" t="str">
        <f>IF(A644="","",(MAX(B$3:B644)-B644)/MAX(B$3:B644))</f>
        <v/>
      </c>
      <c r="F644" s="12" t="str">
        <f>IF(A644="","",MAX(E$4:E644))</f>
        <v/>
      </c>
      <c r="G644" s="17"/>
    </row>
    <row r="645" spans="1:7">
      <c r="A645" s="7" t="str">
        <f>IF(子基金及业绩基准周净值!A670="","",子基金及业绩基准周净值!A670)</f>
        <v/>
      </c>
      <c r="B645" s="1" t="str">
        <f>IF(A645="","",VLOOKUP($A645,子基金及业绩基准周净值!$A:$AV,11))</f>
        <v/>
      </c>
      <c r="C645" s="8" t="str">
        <f t="shared" ref="C645:C708" si="40">IF(A645="","",(B645-B644)/B644)</f>
        <v/>
      </c>
      <c r="D645" s="9" t="str">
        <f>IF(A645="","",C645-子基金及业绩基准周净值!AI670)</f>
        <v/>
      </c>
      <c r="E645" s="12" t="str">
        <f>IF(A645="","",(MAX(B$3:B645)-B645)/MAX(B$3:B645))</f>
        <v/>
      </c>
      <c r="F645" s="12" t="str">
        <f>IF(A645="","",MAX(E$4:E645))</f>
        <v/>
      </c>
      <c r="G645" s="17"/>
    </row>
    <row r="646" spans="1:7">
      <c r="A646" s="7" t="str">
        <f>IF(子基金及业绩基准周净值!A671="","",子基金及业绩基准周净值!A671)</f>
        <v/>
      </c>
      <c r="B646" s="1" t="str">
        <f>IF(A646="","",VLOOKUP($A646,子基金及业绩基准周净值!$A:$AV,11))</f>
        <v/>
      </c>
      <c r="C646" s="8" t="str">
        <f t="shared" si="40"/>
        <v/>
      </c>
      <c r="D646" s="9" t="str">
        <f>IF(A646="","",C646-子基金及业绩基准周净值!AI671)</f>
        <v/>
      </c>
      <c r="E646" s="12" t="str">
        <f>IF(A646="","",(MAX(B$3:B646)-B646)/MAX(B$3:B646))</f>
        <v/>
      </c>
      <c r="F646" s="12" t="str">
        <f>IF(A646="","",MAX(E$4:E646))</f>
        <v/>
      </c>
      <c r="G646" s="17"/>
    </row>
    <row r="647" spans="1:7">
      <c r="A647" s="7" t="str">
        <f>IF(子基金及业绩基准周净值!A672="","",子基金及业绩基准周净值!A672)</f>
        <v/>
      </c>
      <c r="B647" s="1" t="str">
        <f>IF(A647="","",VLOOKUP($A647,子基金及业绩基准周净值!$A:$AV,11))</f>
        <v/>
      </c>
      <c r="C647" s="8" t="str">
        <f t="shared" si="40"/>
        <v/>
      </c>
      <c r="D647" s="9" t="str">
        <f>IF(A647="","",C647-子基金及业绩基准周净值!AI672)</f>
        <v/>
      </c>
      <c r="E647" s="12" t="str">
        <f>IF(A647="","",(MAX(B$3:B647)-B647)/MAX(B$3:B647))</f>
        <v/>
      </c>
      <c r="F647" s="12" t="str">
        <f>IF(A647="","",MAX(E$4:E647))</f>
        <v/>
      </c>
      <c r="G647" s="17"/>
    </row>
    <row r="648" spans="1:7">
      <c r="A648" s="7" t="str">
        <f>IF(子基金及业绩基准周净值!A673="","",子基金及业绩基准周净值!A673)</f>
        <v/>
      </c>
      <c r="B648" s="1" t="str">
        <f>IF(A648="","",VLOOKUP($A648,子基金及业绩基准周净值!$A:$AV,11))</f>
        <v/>
      </c>
      <c r="C648" s="8" t="str">
        <f t="shared" si="40"/>
        <v/>
      </c>
      <c r="D648" s="9" t="str">
        <f>IF(A648="","",C648-子基金及业绩基准周净值!AI673)</f>
        <v/>
      </c>
      <c r="E648" s="12" t="str">
        <f>IF(A648="","",(MAX(B$3:B648)-B648)/MAX(B$3:B648))</f>
        <v/>
      </c>
      <c r="F648" s="12" t="str">
        <f>IF(A648="","",MAX(E$4:E648))</f>
        <v/>
      </c>
      <c r="G648" s="17"/>
    </row>
    <row r="649" spans="1:7">
      <c r="A649" s="7" t="str">
        <f>IF(子基金及业绩基准周净值!A674="","",子基金及业绩基准周净值!A674)</f>
        <v/>
      </c>
      <c r="B649" s="1" t="str">
        <f>IF(A649="","",VLOOKUP($A649,子基金及业绩基准周净值!$A:$AV,11))</f>
        <v/>
      </c>
      <c r="C649" s="8" t="str">
        <f t="shared" si="40"/>
        <v/>
      </c>
      <c r="D649" s="9" t="str">
        <f>IF(A649="","",C649-子基金及业绩基准周净值!AI674)</f>
        <v/>
      </c>
      <c r="E649" s="12" t="str">
        <f>IF(A649="","",(MAX(B$3:B649)-B649)/MAX(B$3:B649))</f>
        <v/>
      </c>
      <c r="F649" s="12" t="str">
        <f>IF(A649="","",MAX(E$4:E649))</f>
        <v/>
      </c>
      <c r="G649" s="17"/>
    </row>
    <row r="650" spans="1:7">
      <c r="A650" s="7" t="str">
        <f>IF(子基金及业绩基准周净值!A675="","",子基金及业绩基准周净值!A675)</f>
        <v/>
      </c>
      <c r="B650" s="1" t="str">
        <f>IF(A650="","",VLOOKUP($A650,子基金及业绩基准周净值!$A:$AV,11))</f>
        <v/>
      </c>
      <c r="C650" s="8" t="str">
        <f t="shared" si="40"/>
        <v/>
      </c>
      <c r="D650" s="9" t="str">
        <f>IF(A650="","",C650-子基金及业绩基准周净值!AI675)</f>
        <v/>
      </c>
      <c r="E650" s="12" t="str">
        <f>IF(A650="","",(MAX(B$3:B650)-B650)/MAX(B$3:B650))</f>
        <v/>
      </c>
      <c r="F650" s="12" t="str">
        <f>IF(A650="","",MAX(E$4:E650))</f>
        <v/>
      </c>
      <c r="G650" s="17"/>
    </row>
    <row r="651" spans="1:7">
      <c r="A651" s="7" t="str">
        <f>IF(子基金及业绩基准周净值!A676="","",子基金及业绩基准周净值!A676)</f>
        <v/>
      </c>
      <c r="B651" s="1" t="str">
        <f>IF(A651="","",VLOOKUP($A651,子基金及业绩基准周净值!$A:$AV,11))</f>
        <v/>
      </c>
      <c r="C651" s="8" t="str">
        <f t="shared" si="40"/>
        <v/>
      </c>
      <c r="D651" s="9" t="str">
        <f>IF(A651="","",C651-子基金及业绩基准周净值!AI676)</f>
        <v/>
      </c>
      <c r="E651" s="12" t="str">
        <f>IF(A651="","",(MAX(B$3:B651)-B651)/MAX(B$3:B651))</f>
        <v/>
      </c>
      <c r="F651" s="12" t="str">
        <f>IF(A651="","",MAX(E$4:E651))</f>
        <v/>
      </c>
      <c r="G651" s="17"/>
    </row>
    <row r="652" spans="1:7">
      <c r="A652" s="7" t="str">
        <f>IF(子基金及业绩基准周净值!A677="","",子基金及业绩基准周净值!A677)</f>
        <v/>
      </c>
      <c r="B652" s="1" t="str">
        <f>IF(A652="","",VLOOKUP($A652,子基金及业绩基准周净值!$A:$AV,11))</f>
        <v/>
      </c>
      <c r="C652" s="8" t="str">
        <f t="shared" si="40"/>
        <v/>
      </c>
      <c r="D652" s="9" t="str">
        <f>IF(A652="","",C652-子基金及业绩基准周净值!AI677)</f>
        <v/>
      </c>
      <c r="E652" s="12" t="str">
        <f>IF(A652="","",(MAX(B$3:B652)-B652)/MAX(B$3:B652))</f>
        <v/>
      </c>
      <c r="F652" s="12" t="str">
        <f>IF(A652="","",MAX(E$4:E652))</f>
        <v/>
      </c>
      <c r="G652" s="17"/>
    </row>
    <row r="653" spans="1:7">
      <c r="A653" s="7" t="str">
        <f>IF(子基金及业绩基准周净值!A678="","",子基金及业绩基准周净值!A678)</f>
        <v/>
      </c>
      <c r="B653" s="1" t="str">
        <f>IF(A653="","",VLOOKUP($A653,子基金及业绩基准周净值!$A:$AV,11))</f>
        <v/>
      </c>
      <c r="C653" s="8" t="str">
        <f t="shared" si="40"/>
        <v/>
      </c>
      <c r="D653" s="9" t="str">
        <f>IF(A653="","",C653-子基金及业绩基准周净值!AI678)</f>
        <v/>
      </c>
      <c r="E653" s="12" t="str">
        <f>IF(A653="","",(MAX(B$3:B653)-B653)/MAX(B$3:B653))</f>
        <v/>
      </c>
      <c r="F653" s="12" t="str">
        <f>IF(A653="","",MAX(E$4:E653))</f>
        <v/>
      </c>
      <c r="G653" s="17"/>
    </row>
    <row r="654" spans="1:7">
      <c r="A654" s="7" t="str">
        <f>IF(子基金及业绩基准周净值!A679="","",子基金及业绩基准周净值!A679)</f>
        <v/>
      </c>
      <c r="B654" s="1" t="str">
        <f>IF(A654="","",VLOOKUP($A654,子基金及业绩基准周净值!$A:$AV,11))</f>
        <v/>
      </c>
      <c r="C654" s="8" t="str">
        <f t="shared" si="40"/>
        <v/>
      </c>
      <c r="D654" s="9" t="str">
        <f>IF(A654="","",C654-子基金及业绩基准周净值!AI679)</f>
        <v/>
      </c>
      <c r="E654" s="12" t="str">
        <f>IF(A654="","",(MAX(B$3:B654)-B654)/MAX(B$3:B654))</f>
        <v/>
      </c>
      <c r="F654" s="12" t="str">
        <f>IF(A654="","",MAX(E$4:E654))</f>
        <v/>
      </c>
      <c r="G654" s="17"/>
    </row>
    <row r="655" spans="1:7">
      <c r="A655" s="7" t="str">
        <f>IF(子基金及业绩基准周净值!A680="","",子基金及业绩基准周净值!A680)</f>
        <v/>
      </c>
      <c r="B655" s="1" t="str">
        <f>IF(A655="","",VLOOKUP($A655,子基金及业绩基准周净值!$A:$AV,11))</f>
        <v/>
      </c>
      <c r="C655" s="8" t="str">
        <f t="shared" si="40"/>
        <v/>
      </c>
      <c r="D655" s="9" t="str">
        <f>IF(A655="","",C655-子基金及业绩基准周净值!AI680)</f>
        <v/>
      </c>
      <c r="E655" s="12" t="str">
        <f>IF(A655="","",(MAX(B$3:B655)-B655)/MAX(B$3:B655))</f>
        <v/>
      </c>
      <c r="F655" s="12" t="str">
        <f>IF(A655="","",MAX(E$4:E655))</f>
        <v/>
      </c>
      <c r="G655" s="17"/>
    </row>
    <row r="656" spans="1:7">
      <c r="A656" s="7" t="str">
        <f>IF(子基金及业绩基准周净值!A681="","",子基金及业绩基准周净值!A681)</f>
        <v/>
      </c>
      <c r="B656" s="1" t="str">
        <f>IF(A656="","",VLOOKUP($A656,子基金及业绩基准周净值!$A:$AV,11))</f>
        <v/>
      </c>
      <c r="C656" s="8" t="str">
        <f t="shared" si="40"/>
        <v/>
      </c>
      <c r="D656" s="9" t="str">
        <f>IF(A656="","",C656-子基金及业绩基准周净值!AI681)</f>
        <v/>
      </c>
      <c r="E656" s="12" t="str">
        <f>IF(A656="","",(MAX(B$3:B656)-B656)/MAX(B$3:B656))</f>
        <v/>
      </c>
      <c r="F656" s="12" t="str">
        <f>IF(A656="","",MAX(E$4:E656))</f>
        <v/>
      </c>
      <c r="G656" s="17"/>
    </row>
    <row r="657" spans="1:7">
      <c r="A657" s="7" t="str">
        <f>IF(子基金及业绩基准周净值!A682="","",子基金及业绩基准周净值!A682)</f>
        <v/>
      </c>
      <c r="B657" s="1" t="str">
        <f>IF(A657="","",VLOOKUP($A657,子基金及业绩基准周净值!$A:$AV,11))</f>
        <v/>
      </c>
      <c r="C657" s="8" t="str">
        <f t="shared" si="40"/>
        <v/>
      </c>
      <c r="D657" s="9" t="str">
        <f>IF(A657="","",C657-子基金及业绩基准周净值!AI682)</f>
        <v/>
      </c>
      <c r="E657" s="12" t="str">
        <f>IF(A657="","",(MAX(B$3:B657)-B657)/MAX(B$3:B657))</f>
        <v/>
      </c>
      <c r="F657" s="12" t="str">
        <f>IF(A657="","",MAX(E$4:E657))</f>
        <v/>
      </c>
      <c r="G657" s="17"/>
    </row>
    <row r="658" spans="1:7">
      <c r="A658" s="7" t="str">
        <f>IF(子基金及业绩基准周净值!A683="","",子基金及业绩基准周净值!A683)</f>
        <v/>
      </c>
      <c r="B658" s="1" t="str">
        <f>IF(A658="","",VLOOKUP($A658,子基金及业绩基准周净值!$A:$AV,11))</f>
        <v/>
      </c>
      <c r="C658" s="8" t="str">
        <f t="shared" si="40"/>
        <v/>
      </c>
      <c r="D658" s="9" t="str">
        <f>IF(A658="","",C658-子基金及业绩基准周净值!AI683)</f>
        <v/>
      </c>
      <c r="E658" s="12" t="str">
        <f>IF(A658="","",(MAX(B$3:B658)-B658)/MAX(B$3:B658))</f>
        <v/>
      </c>
      <c r="F658" s="12" t="str">
        <f>IF(A658="","",MAX(E$4:E658))</f>
        <v/>
      </c>
      <c r="G658" s="17"/>
    </row>
    <row r="659" spans="1:7">
      <c r="A659" s="7" t="str">
        <f>IF(子基金及业绩基准周净值!A684="","",子基金及业绩基准周净值!A684)</f>
        <v/>
      </c>
      <c r="B659" s="1" t="str">
        <f>IF(A659="","",VLOOKUP($A659,子基金及业绩基准周净值!$A:$AV,11))</f>
        <v/>
      </c>
      <c r="C659" s="8" t="str">
        <f t="shared" si="40"/>
        <v/>
      </c>
      <c r="D659" s="9" t="str">
        <f>IF(A659="","",C659-子基金及业绩基准周净值!AI684)</f>
        <v/>
      </c>
      <c r="E659" s="12" t="str">
        <f>IF(A659="","",(MAX(B$3:B659)-B659)/MAX(B$3:B659))</f>
        <v/>
      </c>
      <c r="F659" s="12" t="str">
        <f>IF(A659="","",MAX(E$4:E659))</f>
        <v/>
      </c>
      <c r="G659" s="17"/>
    </row>
    <row r="660" spans="1:7">
      <c r="A660" s="7" t="str">
        <f>IF(子基金及业绩基准周净值!A685="","",子基金及业绩基准周净值!A685)</f>
        <v/>
      </c>
      <c r="B660" s="1" t="str">
        <f>IF(A660="","",VLOOKUP($A660,子基金及业绩基准周净值!$A:$AV,11))</f>
        <v/>
      </c>
      <c r="C660" s="8" t="str">
        <f t="shared" si="40"/>
        <v/>
      </c>
      <c r="D660" s="9" t="str">
        <f>IF(A660="","",C660-子基金及业绩基准周净值!AI685)</f>
        <v/>
      </c>
      <c r="E660" s="12" t="str">
        <f>IF(A660="","",(MAX(B$3:B660)-B660)/MAX(B$3:B660))</f>
        <v/>
      </c>
      <c r="F660" s="12" t="str">
        <f>IF(A660="","",MAX(E$4:E660))</f>
        <v/>
      </c>
      <c r="G660" s="17"/>
    </row>
    <row r="661" spans="1:7">
      <c r="A661" s="7" t="str">
        <f>IF(子基金及业绩基准周净值!A686="","",子基金及业绩基准周净值!A686)</f>
        <v/>
      </c>
      <c r="B661" s="1" t="str">
        <f>IF(A661="","",VLOOKUP($A661,子基金及业绩基准周净值!$A:$AV,11))</f>
        <v/>
      </c>
      <c r="C661" s="8" t="str">
        <f t="shared" si="40"/>
        <v/>
      </c>
      <c r="D661" s="9" t="str">
        <f>IF(A661="","",C661-子基金及业绩基准周净值!AI686)</f>
        <v/>
      </c>
      <c r="E661" s="12" t="str">
        <f>IF(A661="","",(MAX(B$3:B661)-B661)/MAX(B$3:B661))</f>
        <v/>
      </c>
      <c r="F661" s="12" t="str">
        <f>IF(A661="","",MAX(E$4:E661))</f>
        <v/>
      </c>
      <c r="G661" s="17"/>
    </row>
    <row r="662" spans="1:7">
      <c r="A662" s="7" t="str">
        <f>IF(子基金及业绩基准周净值!A687="","",子基金及业绩基准周净值!A687)</f>
        <v/>
      </c>
      <c r="B662" s="1" t="str">
        <f>IF(A662="","",VLOOKUP($A662,子基金及业绩基准周净值!$A:$AV,11))</f>
        <v/>
      </c>
      <c r="C662" s="8" t="str">
        <f t="shared" si="40"/>
        <v/>
      </c>
      <c r="D662" s="9" t="str">
        <f>IF(A662="","",C662-子基金及业绩基准周净值!AI687)</f>
        <v/>
      </c>
      <c r="E662" s="12" t="str">
        <f>IF(A662="","",(MAX(B$3:B662)-B662)/MAX(B$3:B662))</f>
        <v/>
      </c>
      <c r="F662" s="12" t="str">
        <f>IF(A662="","",MAX(E$4:E662))</f>
        <v/>
      </c>
      <c r="G662" s="17"/>
    </row>
    <row r="663" spans="1:7">
      <c r="A663" s="7" t="str">
        <f>IF(子基金及业绩基准周净值!A688="","",子基金及业绩基准周净值!A688)</f>
        <v/>
      </c>
      <c r="B663" s="1" t="str">
        <f>IF(A663="","",VLOOKUP($A663,子基金及业绩基准周净值!$A:$AV,11))</f>
        <v/>
      </c>
      <c r="C663" s="8" t="str">
        <f t="shared" si="40"/>
        <v/>
      </c>
      <c r="D663" s="9" t="str">
        <f>IF(A663="","",C663-子基金及业绩基准周净值!AI688)</f>
        <v/>
      </c>
      <c r="E663" s="12" t="str">
        <f>IF(A663="","",(MAX(B$3:B663)-B663)/MAX(B$3:B663))</f>
        <v/>
      </c>
      <c r="F663" s="12" t="str">
        <f>IF(A663="","",MAX(E$4:E663))</f>
        <v/>
      </c>
      <c r="G663" s="17"/>
    </row>
    <row r="664" spans="1:7">
      <c r="A664" s="7" t="str">
        <f>IF(子基金及业绩基准周净值!A689="","",子基金及业绩基准周净值!A689)</f>
        <v/>
      </c>
      <c r="B664" s="1" t="str">
        <f>IF(A664="","",VLOOKUP($A664,子基金及业绩基准周净值!$A:$AV,11))</f>
        <v/>
      </c>
      <c r="C664" s="8" t="str">
        <f t="shared" si="40"/>
        <v/>
      </c>
      <c r="D664" s="9" t="str">
        <f>IF(A664="","",C664-子基金及业绩基准周净值!AI689)</f>
        <v/>
      </c>
      <c r="E664" s="12" t="str">
        <f>IF(A664="","",(MAX(B$3:B664)-B664)/MAX(B$3:B664))</f>
        <v/>
      </c>
      <c r="F664" s="12" t="str">
        <f>IF(A664="","",MAX(E$4:E664))</f>
        <v/>
      </c>
      <c r="G664" s="17"/>
    </row>
    <row r="665" spans="1:7">
      <c r="A665" s="7" t="str">
        <f>IF(子基金及业绩基准周净值!A690="","",子基金及业绩基准周净值!A690)</f>
        <v/>
      </c>
      <c r="B665" s="1" t="str">
        <f>IF(A665="","",VLOOKUP($A665,子基金及业绩基准周净值!$A:$AV,11))</f>
        <v/>
      </c>
      <c r="C665" s="8" t="str">
        <f t="shared" si="40"/>
        <v/>
      </c>
      <c r="D665" s="9" t="str">
        <f>IF(A665="","",C665-子基金及业绩基准周净值!AI690)</f>
        <v/>
      </c>
      <c r="E665" s="12" t="str">
        <f>IF(A665="","",(MAX(B$3:B665)-B665)/MAX(B$3:B665))</f>
        <v/>
      </c>
      <c r="F665" s="12" t="str">
        <f>IF(A665="","",MAX(E$4:E665))</f>
        <v/>
      </c>
      <c r="G665" s="17"/>
    </row>
    <row r="666" spans="1:7">
      <c r="A666" s="7" t="str">
        <f>IF(子基金及业绩基准周净值!A691="","",子基金及业绩基准周净值!A691)</f>
        <v/>
      </c>
      <c r="B666" s="1" t="str">
        <f>IF(A666="","",VLOOKUP($A666,子基金及业绩基准周净值!$A:$AV,11))</f>
        <v/>
      </c>
      <c r="C666" s="8" t="str">
        <f t="shared" si="40"/>
        <v/>
      </c>
      <c r="D666" s="9" t="str">
        <f>IF(A666="","",C666-子基金及业绩基准周净值!AI691)</f>
        <v/>
      </c>
      <c r="E666" s="12" t="str">
        <f>IF(A666="","",(MAX(B$3:B666)-B666)/MAX(B$3:B666))</f>
        <v/>
      </c>
      <c r="F666" s="12" t="str">
        <f>IF(A666="","",MAX(E$4:E666))</f>
        <v/>
      </c>
      <c r="G666" s="17"/>
    </row>
    <row r="667" spans="1:7">
      <c r="A667" s="7" t="str">
        <f>IF(子基金及业绩基准周净值!A692="","",子基金及业绩基准周净值!A692)</f>
        <v/>
      </c>
      <c r="B667" s="1" t="str">
        <f>IF(A667="","",VLOOKUP($A667,子基金及业绩基准周净值!$A:$AV,11))</f>
        <v/>
      </c>
      <c r="C667" s="8" t="str">
        <f t="shared" si="40"/>
        <v/>
      </c>
      <c r="D667" s="9" t="str">
        <f>IF(A667="","",C667-子基金及业绩基准周净值!AI692)</f>
        <v/>
      </c>
      <c r="E667" s="12" t="str">
        <f>IF(A667="","",(MAX(B$3:B667)-B667)/MAX(B$3:B667))</f>
        <v/>
      </c>
      <c r="F667" s="12" t="str">
        <f>IF(A667="","",MAX(E$4:E667))</f>
        <v/>
      </c>
      <c r="G667" s="17"/>
    </row>
    <row r="668" spans="1:7">
      <c r="A668" s="7" t="str">
        <f>IF(子基金及业绩基准周净值!A693="","",子基金及业绩基准周净值!A693)</f>
        <v/>
      </c>
      <c r="B668" s="1" t="str">
        <f>IF(A668="","",VLOOKUP($A668,子基金及业绩基准周净值!$A:$AV,11))</f>
        <v/>
      </c>
      <c r="C668" s="8" t="str">
        <f t="shared" si="40"/>
        <v/>
      </c>
      <c r="D668" s="9" t="str">
        <f>IF(A668="","",C668-子基金及业绩基准周净值!AI693)</f>
        <v/>
      </c>
      <c r="E668" s="12" t="str">
        <f>IF(A668="","",(MAX(B$3:B668)-B668)/MAX(B$3:B668))</f>
        <v/>
      </c>
      <c r="F668" s="12" t="str">
        <f>IF(A668="","",MAX(E$4:E668))</f>
        <v/>
      </c>
      <c r="G668" s="17"/>
    </row>
    <row r="669" spans="1:7">
      <c r="A669" s="7" t="str">
        <f>IF(子基金及业绩基准周净值!A694="","",子基金及业绩基准周净值!A694)</f>
        <v/>
      </c>
      <c r="B669" s="1" t="str">
        <f>IF(A669="","",VLOOKUP($A669,子基金及业绩基准周净值!$A:$AV,11))</f>
        <v/>
      </c>
      <c r="C669" s="8" t="str">
        <f t="shared" si="40"/>
        <v/>
      </c>
      <c r="D669" s="9" t="str">
        <f>IF(A669="","",C669-子基金及业绩基准周净值!AI694)</f>
        <v/>
      </c>
      <c r="E669" s="12" t="str">
        <f>IF(A669="","",(MAX(B$3:B669)-B669)/MAX(B$3:B669))</f>
        <v/>
      </c>
      <c r="F669" s="12" t="str">
        <f>IF(A669="","",MAX(E$4:E669))</f>
        <v/>
      </c>
      <c r="G669" s="17"/>
    </row>
    <row r="670" spans="1:7">
      <c r="A670" s="7" t="str">
        <f>IF(子基金及业绩基准周净值!A695="","",子基金及业绩基准周净值!A695)</f>
        <v/>
      </c>
      <c r="B670" s="1" t="str">
        <f>IF(A670="","",VLOOKUP($A670,子基金及业绩基准周净值!$A:$AV,11))</f>
        <v/>
      </c>
      <c r="C670" s="8" t="str">
        <f t="shared" si="40"/>
        <v/>
      </c>
      <c r="D670" s="9" t="str">
        <f>IF(A670="","",C670-子基金及业绩基准周净值!AI695)</f>
        <v/>
      </c>
      <c r="E670" s="12" t="str">
        <f>IF(A670="","",(MAX(B$3:B670)-B670)/MAX(B$3:B670))</f>
        <v/>
      </c>
      <c r="F670" s="12" t="str">
        <f>IF(A670="","",MAX(E$4:E670))</f>
        <v/>
      </c>
      <c r="G670" s="17"/>
    </row>
    <row r="671" spans="1:7">
      <c r="A671" s="7" t="str">
        <f>IF(子基金及业绩基准周净值!A696="","",子基金及业绩基准周净值!A696)</f>
        <v/>
      </c>
      <c r="B671" s="1" t="str">
        <f>IF(A671="","",VLOOKUP($A671,子基金及业绩基准周净值!$A:$AV,11))</f>
        <v/>
      </c>
      <c r="C671" s="8" t="str">
        <f t="shared" si="40"/>
        <v/>
      </c>
      <c r="D671" s="9" t="str">
        <f>IF(A671="","",C671-子基金及业绩基准周净值!AI696)</f>
        <v/>
      </c>
      <c r="E671" s="12" t="str">
        <f>IF(A671="","",(MAX(B$3:B671)-B671)/MAX(B$3:B671))</f>
        <v/>
      </c>
      <c r="F671" s="12" t="str">
        <f>IF(A671="","",MAX(E$4:E671))</f>
        <v/>
      </c>
      <c r="G671" s="17"/>
    </row>
    <row r="672" spans="1:7">
      <c r="A672" s="7" t="str">
        <f>IF(子基金及业绩基准周净值!A697="","",子基金及业绩基准周净值!A697)</f>
        <v/>
      </c>
      <c r="B672" s="1" t="str">
        <f>IF(A672="","",VLOOKUP($A672,子基金及业绩基准周净值!$A:$AV,11))</f>
        <v/>
      </c>
      <c r="C672" s="8" t="str">
        <f t="shared" si="40"/>
        <v/>
      </c>
      <c r="D672" s="9" t="str">
        <f>IF(A672="","",C672-子基金及业绩基准周净值!AI697)</f>
        <v/>
      </c>
      <c r="E672" s="12" t="str">
        <f>IF(A672="","",(MAX(B$3:B672)-B672)/MAX(B$3:B672))</f>
        <v/>
      </c>
      <c r="F672" s="12" t="str">
        <f>IF(A672="","",MAX(E$4:E672))</f>
        <v/>
      </c>
      <c r="G672" s="17"/>
    </row>
    <row r="673" spans="1:7">
      <c r="A673" s="7" t="str">
        <f>IF(子基金及业绩基准周净值!A698="","",子基金及业绩基准周净值!A698)</f>
        <v/>
      </c>
      <c r="B673" s="1" t="str">
        <f>IF(A673="","",VLOOKUP($A673,子基金及业绩基准周净值!$A:$AV,11))</f>
        <v/>
      </c>
      <c r="C673" s="8" t="str">
        <f t="shared" si="40"/>
        <v/>
      </c>
      <c r="D673" s="9" t="str">
        <f>IF(A673="","",C673-子基金及业绩基准周净值!AI698)</f>
        <v/>
      </c>
      <c r="E673" s="12" t="str">
        <f>IF(A673="","",(MAX(B$3:B673)-B673)/MAX(B$3:B673))</f>
        <v/>
      </c>
      <c r="F673" s="12" t="str">
        <f>IF(A673="","",MAX(E$4:E673))</f>
        <v/>
      </c>
      <c r="G673" s="17"/>
    </row>
    <row r="674" spans="1:7">
      <c r="A674" s="7" t="str">
        <f>IF(子基金及业绩基准周净值!A699="","",子基金及业绩基准周净值!A699)</f>
        <v/>
      </c>
      <c r="B674" s="1" t="str">
        <f>IF(A674="","",VLOOKUP($A674,子基金及业绩基准周净值!$A:$AV,11))</f>
        <v/>
      </c>
      <c r="C674" s="8" t="str">
        <f t="shared" si="40"/>
        <v/>
      </c>
      <c r="D674" s="9" t="str">
        <f>IF(A674="","",C674-子基金及业绩基准周净值!AI699)</f>
        <v/>
      </c>
      <c r="E674" s="12" t="str">
        <f>IF(A674="","",(MAX(B$3:B674)-B674)/MAX(B$3:B674))</f>
        <v/>
      </c>
      <c r="F674" s="12" t="str">
        <f>IF(A674="","",MAX(E$4:E674))</f>
        <v/>
      </c>
      <c r="G674" s="17"/>
    </row>
    <row r="675" spans="1:7">
      <c r="A675" s="7" t="str">
        <f>IF(子基金及业绩基准周净值!A700="","",子基金及业绩基准周净值!A700)</f>
        <v/>
      </c>
      <c r="B675" s="1" t="str">
        <f>IF(A675="","",VLOOKUP($A675,子基金及业绩基准周净值!$A:$AV,11))</f>
        <v/>
      </c>
      <c r="C675" s="8" t="str">
        <f t="shared" si="40"/>
        <v/>
      </c>
      <c r="D675" s="9" t="str">
        <f>IF(A675="","",C675-子基金及业绩基准周净值!AI700)</f>
        <v/>
      </c>
      <c r="E675" s="12" t="str">
        <f>IF(A675="","",(MAX(B$3:B675)-B675)/MAX(B$3:B675))</f>
        <v/>
      </c>
      <c r="F675" s="12" t="str">
        <f>IF(A675="","",MAX(E$4:E675))</f>
        <v/>
      </c>
      <c r="G675" s="17"/>
    </row>
    <row r="676" spans="1:7">
      <c r="A676" s="7" t="str">
        <f>IF(子基金及业绩基准周净值!A701="","",子基金及业绩基准周净值!A701)</f>
        <v/>
      </c>
      <c r="B676" s="1" t="str">
        <f>IF(A676="","",VLOOKUP($A676,子基金及业绩基准周净值!$A:$AV,11))</f>
        <v/>
      </c>
      <c r="C676" s="8" t="str">
        <f t="shared" si="40"/>
        <v/>
      </c>
      <c r="D676" s="9" t="str">
        <f>IF(A676="","",C676-子基金及业绩基准周净值!AI701)</f>
        <v/>
      </c>
      <c r="E676" s="12" t="str">
        <f>IF(A676="","",(MAX(B$3:B676)-B676)/MAX(B$3:B676))</f>
        <v/>
      </c>
      <c r="F676" s="12" t="str">
        <f>IF(A676="","",MAX(E$4:E676))</f>
        <v/>
      </c>
      <c r="G676" s="17"/>
    </row>
    <row r="677" spans="1:7">
      <c r="A677" s="7" t="str">
        <f>IF(子基金及业绩基准周净值!A702="","",子基金及业绩基准周净值!A702)</f>
        <v/>
      </c>
      <c r="B677" s="1" t="str">
        <f>IF(A677="","",VLOOKUP($A677,子基金及业绩基准周净值!$A:$AV,11))</f>
        <v/>
      </c>
      <c r="C677" s="8" t="str">
        <f t="shared" si="40"/>
        <v/>
      </c>
      <c r="D677" s="9" t="str">
        <f>IF(A677="","",C677-子基金及业绩基准周净值!AI702)</f>
        <v/>
      </c>
      <c r="E677" s="12" t="str">
        <f>IF(A677="","",(MAX(B$3:B677)-B677)/MAX(B$3:B677))</f>
        <v/>
      </c>
      <c r="F677" s="12" t="str">
        <f>IF(A677="","",MAX(E$4:E677))</f>
        <v/>
      </c>
      <c r="G677" s="17"/>
    </row>
    <row r="678" spans="1:7">
      <c r="A678" s="7" t="str">
        <f>IF(子基金及业绩基准周净值!A703="","",子基金及业绩基准周净值!A703)</f>
        <v/>
      </c>
      <c r="B678" s="1" t="str">
        <f>IF(A678="","",VLOOKUP($A678,子基金及业绩基准周净值!$A:$AV,11))</f>
        <v/>
      </c>
      <c r="C678" s="8" t="str">
        <f t="shared" si="40"/>
        <v/>
      </c>
      <c r="D678" s="9" t="str">
        <f>IF(A678="","",C678-子基金及业绩基准周净值!AI703)</f>
        <v/>
      </c>
      <c r="E678" s="12" t="str">
        <f>IF(A678="","",(MAX(B$3:B678)-B678)/MAX(B$3:B678))</f>
        <v/>
      </c>
      <c r="F678" s="12" t="str">
        <f>IF(A678="","",MAX(E$4:E678))</f>
        <v/>
      </c>
      <c r="G678" s="17"/>
    </row>
    <row r="679" spans="1:7">
      <c r="A679" s="7" t="str">
        <f>IF(子基金及业绩基准周净值!A704="","",子基金及业绩基准周净值!A704)</f>
        <v/>
      </c>
      <c r="B679" s="1" t="str">
        <f>IF(A679="","",VLOOKUP($A679,子基金及业绩基准周净值!$A:$AV,11))</f>
        <v/>
      </c>
      <c r="C679" s="8" t="str">
        <f t="shared" si="40"/>
        <v/>
      </c>
      <c r="D679" s="9" t="str">
        <f>IF(A679="","",C679-子基金及业绩基准周净值!AI704)</f>
        <v/>
      </c>
      <c r="E679" s="12" t="str">
        <f>IF(A679="","",(MAX(B$3:B679)-B679)/MAX(B$3:B679))</f>
        <v/>
      </c>
      <c r="F679" s="12" t="str">
        <f>IF(A679="","",MAX(E$4:E679))</f>
        <v/>
      </c>
      <c r="G679" s="17"/>
    </row>
    <row r="680" spans="1:7">
      <c r="A680" s="7" t="str">
        <f>IF(子基金及业绩基准周净值!A705="","",子基金及业绩基准周净值!A705)</f>
        <v/>
      </c>
      <c r="B680" s="1" t="str">
        <f>IF(A680="","",VLOOKUP($A680,子基金及业绩基准周净值!$A:$AV,11))</f>
        <v/>
      </c>
      <c r="C680" s="8" t="str">
        <f t="shared" si="40"/>
        <v/>
      </c>
      <c r="D680" s="9" t="str">
        <f>IF(A680="","",C680-子基金及业绩基准周净值!AI705)</f>
        <v/>
      </c>
      <c r="E680" s="12" t="str">
        <f>IF(A680="","",(MAX(B$3:B680)-B680)/MAX(B$3:B680))</f>
        <v/>
      </c>
      <c r="F680" s="12" t="str">
        <f>IF(A680="","",MAX(E$4:E680))</f>
        <v/>
      </c>
      <c r="G680" s="17"/>
    </row>
    <row r="681" spans="1:7">
      <c r="A681" s="7" t="str">
        <f>IF(子基金及业绩基准周净值!A706="","",子基金及业绩基准周净值!A706)</f>
        <v/>
      </c>
      <c r="B681" s="1" t="str">
        <f>IF(A681="","",VLOOKUP($A681,子基金及业绩基准周净值!$A:$AV,11))</f>
        <v/>
      </c>
      <c r="C681" s="8" t="str">
        <f t="shared" si="40"/>
        <v/>
      </c>
      <c r="D681" s="9" t="str">
        <f>IF(A681="","",C681-子基金及业绩基准周净值!AI706)</f>
        <v/>
      </c>
      <c r="E681" s="12" t="str">
        <f>IF(A681="","",(MAX(B$3:B681)-B681)/MAX(B$3:B681))</f>
        <v/>
      </c>
      <c r="F681" s="12" t="str">
        <f>IF(A681="","",MAX(E$4:E681))</f>
        <v/>
      </c>
      <c r="G681" s="17"/>
    </row>
    <row r="682" spans="1:7">
      <c r="A682" s="7" t="str">
        <f>IF(子基金及业绩基准周净值!A707="","",子基金及业绩基准周净值!A707)</f>
        <v/>
      </c>
      <c r="B682" s="1" t="str">
        <f>IF(A682="","",VLOOKUP($A682,子基金及业绩基准周净值!$A:$AV,11))</f>
        <v/>
      </c>
      <c r="C682" s="8" t="str">
        <f t="shared" si="40"/>
        <v/>
      </c>
      <c r="D682" s="9" t="str">
        <f>IF(A682="","",C682-子基金及业绩基准周净值!AI707)</f>
        <v/>
      </c>
      <c r="E682" s="12" t="str">
        <f>IF(A682="","",(MAX(B$3:B682)-B682)/MAX(B$3:B682))</f>
        <v/>
      </c>
      <c r="F682" s="12" t="str">
        <f>IF(A682="","",MAX(E$4:E682))</f>
        <v/>
      </c>
      <c r="G682" s="17"/>
    </row>
    <row r="683" spans="1:7">
      <c r="A683" s="7" t="str">
        <f>IF(子基金及业绩基准周净值!A708="","",子基金及业绩基准周净值!A708)</f>
        <v/>
      </c>
      <c r="B683" s="1" t="str">
        <f>IF(A683="","",VLOOKUP($A683,子基金及业绩基准周净值!$A:$AV,11))</f>
        <v/>
      </c>
      <c r="C683" s="8" t="str">
        <f t="shared" si="40"/>
        <v/>
      </c>
      <c r="D683" s="9" t="str">
        <f>IF(A683="","",C683-子基金及业绩基准周净值!AI708)</f>
        <v/>
      </c>
      <c r="E683" s="12" t="str">
        <f>IF(A683="","",(MAX(B$3:B683)-B683)/MAX(B$3:B683))</f>
        <v/>
      </c>
      <c r="F683" s="12" t="str">
        <f>IF(A683="","",MAX(E$4:E683))</f>
        <v/>
      </c>
      <c r="G683" s="17"/>
    </row>
    <row r="684" spans="1:7">
      <c r="A684" s="7" t="str">
        <f>IF(子基金及业绩基准周净值!A709="","",子基金及业绩基准周净值!A709)</f>
        <v/>
      </c>
      <c r="B684" s="1" t="str">
        <f>IF(A684="","",VLOOKUP($A684,子基金及业绩基准周净值!$A:$AV,11))</f>
        <v/>
      </c>
      <c r="C684" s="8" t="str">
        <f t="shared" si="40"/>
        <v/>
      </c>
      <c r="D684" s="9" t="str">
        <f>IF(A684="","",C684-子基金及业绩基准周净值!AI709)</f>
        <v/>
      </c>
      <c r="E684" s="12" t="str">
        <f>IF(A684="","",(MAX(B$3:B684)-B684)/MAX(B$3:B684))</f>
        <v/>
      </c>
      <c r="F684" s="12" t="str">
        <f>IF(A684="","",MAX(E$4:E684))</f>
        <v/>
      </c>
      <c r="G684" s="17"/>
    </row>
    <row r="685" spans="1:7">
      <c r="A685" s="7" t="str">
        <f>IF(子基金及业绩基准周净值!A710="","",子基金及业绩基准周净值!A710)</f>
        <v/>
      </c>
      <c r="B685" s="1" t="str">
        <f>IF(A685="","",VLOOKUP($A685,子基金及业绩基准周净值!$A:$AV,11))</f>
        <v/>
      </c>
      <c r="C685" s="8" t="str">
        <f t="shared" si="40"/>
        <v/>
      </c>
      <c r="D685" s="9" t="str">
        <f>IF(A685="","",C685-子基金及业绩基准周净值!AI710)</f>
        <v/>
      </c>
      <c r="E685" s="12" t="str">
        <f>IF(A685="","",(MAX(B$3:B685)-B685)/MAX(B$3:B685))</f>
        <v/>
      </c>
      <c r="F685" s="12" t="str">
        <f>IF(A685="","",MAX(E$4:E685))</f>
        <v/>
      </c>
      <c r="G685" s="17"/>
    </row>
    <row r="686" spans="1:7">
      <c r="A686" s="7" t="str">
        <f>IF(子基金及业绩基准周净值!A711="","",子基金及业绩基准周净值!A711)</f>
        <v/>
      </c>
      <c r="B686" s="1" t="str">
        <f>IF(A686="","",VLOOKUP($A686,子基金及业绩基准周净值!$A:$AV,11))</f>
        <v/>
      </c>
      <c r="C686" s="8" t="str">
        <f t="shared" si="40"/>
        <v/>
      </c>
      <c r="D686" s="9" t="str">
        <f>IF(A686="","",C686-子基金及业绩基准周净值!AI711)</f>
        <v/>
      </c>
      <c r="E686" s="12" t="str">
        <f>IF(A686="","",(MAX(B$3:B686)-B686)/MAX(B$3:B686))</f>
        <v/>
      </c>
      <c r="F686" s="12" t="str">
        <f>IF(A686="","",MAX(E$4:E686))</f>
        <v/>
      </c>
      <c r="G686" s="17"/>
    </row>
    <row r="687" spans="1:7">
      <c r="A687" s="7" t="str">
        <f>IF(子基金及业绩基准周净值!A712="","",子基金及业绩基准周净值!A712)</f>
        <v/>
      </c>
      <c r="B687" s="1" t="str">
        <f>IF(A687="","",VLOOKUP($A687,子基金及业绩基准周净值!$A:$AV,11))</f>
        <v/>
      </c>
      <c r="C687" s="8" t="str">
        <f t="shared" si="40"/>
        <v/>
      </c>
      <c r="D687" s="9" t="str">
        <f>IF(A687="","",C687-子基金及业绩基准周净值!AI712)</f>
        <v/>
      </c>
      <c r="E687" s="12" t="str">
        <f>IF(A687="","",(MAX(B$3:B687)-B687)/MAX(B$3:B687))</f>
        <v/>
      </c>
      <c r="F687" s="12" t="str">
        <f>IF(A687="","",MAX(E$4:E687))</f>
        <v/>
      </c>
      <c r="G687" s="17"/>
    </row>
    <row r="688" spans="1:7">
      <c r="A688" s="7" t="str">
        <f>IF(子基金及业绩基准周净值!A713="","",子基金及业绩基准周净值!A713)</f>
        <v/>
      </c>
      <c r="B688" s="1" t="str">
        <f>IF(A688="","",VLOOKUP($A688,子基金及业绩基准周净值!$A:$AV,11))</f>
        <v/>
      </c>
      <c r="C688" s="8" t="str">
        <f t="shared" si="40"/>
        <v/>
      </c>
      <c r="D688" s="9" t="str">
        <f>IF(A688="","",C688-子基金及业绩基准周净值!AI713)</f>
        <v/>
      </c>
      <c r="E688" s="12" t="str">
        <f>IF(A688="","",(MAX(B$3:B688)-B688)/MAX(B$3:B688))</f>
        <v/>
      </c>
      <c r="F688" s="12" t="str">
        <f>IF(A688="","",MAX(E$4:E688))</f>
        <v/>
      </c>
      <c r="G688" s="17"/>
    </row>
    <row r="689" spans="1:7">
      <c r="A689" s="7" t="str">
        <f>IF(子基金及业绩基准周净值!A714="","",子基金及业绩基准周净值!A714)</f>
        <v/>
      </c>
      <c r="B689" s="1" t="str">
        <f>IF(A689="","",VLOOKUP($A689,子基金及业绩基准周净值!$A:$AV,11))</f>
        <v/>
      </c>
      <c r="C689" s="8" t="str">
        <f t="shared" si="40"/>
        <v/>
      </c>
      <c r="D689" s="9" t="str">
        <f>IF(A689="","",C689-子基金及业绩基准周净值!AI714)</f>
        <v/>
      </c>
      <c r="E689" s="12" t="str">
        <f>IF(A689="","",(MAX(B$3:B689)-B689)/MAX(B$3:B689))</f>
        <v/>
      </c>
      <c r="F689" s="12" t="str">
        <f>IF(A689="","",MAX(E$4:E689))</f>
        <v/>
      </c>
      <c r="G689" s="17"/>
    </row>
    <row r="690" spans="1:7">
      <c r="A690" s="7" t="str">
        <f>IF(子基金及业绩基准周净值!A715="","",子基金及业绩基准周净值!A715)</f>
        <v/>
      </c>
      <c r="B690" s="1" t="str">
        <f>IF(A690="","",VLOOKUP($A690,子基金及业绩基准周净值!$A:$AV,11))</f>
        <v/>
      </c>
      <c r="C690" s="8" t="str">
        <f t="shared" si="40"/>
        <v/>
      </c>
      <c r="D690" s="9" t="str">
        <f>IF(A690="","",C690-子基金及业绩基准周净值!AI715)</f>
        <v/>
      </c>
      <c r="E690" s="12" t="str">
        <f>IF(A690="","",(MAX(B$3:B690)-B690)/MAX(B$3:B690))</f>
        <v/>
      </c>
      <c r="F690" s="12" t="str">
        <f>IF(A690="","",MAX(E$4:E690))</f>
        <v/>
      </c>
      <c r="G690" s="17"/>
    </row>
    <row r="691" spans="1:7">
      <c r="A691" s="7" t="str">
        <f>IF(子基金及业绩基准周净值!A716="","",子基金及业绩基准周净值!A716)</f>
        <v/>
      </c>
      <c r="B691" s="1" t="str">
        <f>IF(A691="","",VLOOKUP($A691,子基金及业绩基准周净值!$A:$AV,11))</f>
        <v/>
      </c>
      <c r="C691" s="8" t="str">
        <f t="shared" si="40"/>
        <v/>
      </c>
      <c r="D691" s="9" t="str">
        <f>IF(A691="","",C691-子基金及业绩基准周净值!AI716)</f>
        <v/>
      </c>
      <c r="E691" s="12" t="str">
        <f>IF(A691="","",(MAX(B$3:B691)-B691)/MAX(B$3:B691))</f>
        <v/>
      </c>
      <c r="F691" s="12" t="str">
        <f>IF(A691="","",MAX(E$4:E691))</f>
        <v/>
      </c>
      <c r="G691" s="17"/>
    </row>
    <row r="692" spans="1:7">
      <c r="A692" s="7" t="str">
        <f>IF(子基金及业绩基准周净值!A717="","",子基金及业绩基准周净值!A717)</f>
        <v/>
      </c>
      <c r="B692" s="1" t="str">
        <f>IF(A692="","",VLOOKUP($A692,子基金及业绩基准周净值!$A:$AV,11))</f>
        <v/>
      </c>
      <c r="C692" s="8" t="str">
        <f t="shared" si="40"/>
        <v/>
      </c>
      <c r="D692" s="9" t="str">
        <f>IF(A692="","",C692-子基金及业绩基准周净值!AI717)</f>
        <v/>
      </c>
      <c r="E692" s="12" t="str">
        <f>IF(A692="","",(MAX(B$3:B692)-B692)/MAX(B$3:B692))</f>
        <v/>
      </c>
      <c r="F692" s="12" t="str">
        <f>IF(A692="","",MAX(E$4:E692))</f>
        <v/>
      </c>
      <c r="G692" s="17"/>
    </row>
    <row r="693" spans="1:7">
      <c r="A693" s="7" t="str">
        <f>IF(子基金及业绩基准周净值!A718="","",子基金及业绩基准周净值!A718)</f>
        <v/>
      </c>
      <c r="B693" s="1" t="str">
        <f>IF(A693="","",VLOOKUP($A693,子基金及业绩基准周净值!$A:$AV,11))</f>
        <v/>
      </c>
      <c r="C693" s="8" t="str">
        <f t="shared" si="40"/>
        <v/>
      </c>
      <c r="D693" s="9" t="str">
        <f>IF(A693="","",C693-子基金及业绩基准周净值!AI718)</f>
        <v/>
      </c>
      <c r="E693" s="12" t="str">
        <f>IF(A693="","",(MAX(B$3:B693)-B693)/MAX(B$3:B693))</f>
        <v/>
      </c>
      <c r="F693" s="12" t="str">
        <f>IF(A693="","",MAX(E$4:E693))</f>
        <v/>
      </c>
      <c r="G693" s="17"/>
    </row>
    <row r="694" spans="1:7">
      <c r="A694" s="7" t="str">
        <f>IF(子基金及业绩基准周净值!A719="","",子基金及业绩基准周净值!A719)</f>
        <v/>
      </c>
      <c r="B694" s="1" t="str">
        <f>IF(A694="","",VLOOKUP($A694,子基金及业绩基准周净值!$A:$AV,11))</f>
        <v/>
      </c>
      <c r="C694" s="8" t="str">
        <f t="shared" si="40"/>
        <v/>
      </c>
      <c r="D694" s="9" t="str">
        <f>IF(A694="","",C694-子基金及业绩基准周净值!AI719)</f>
        <v/>
      </c>
      <c r="E694" s="12" t="str">
        <f>IF(A694="","",(MAX(B$3:B694)-B694)/MAX(B$3:B694))</f>
        <v/>
      </c>
      <c r="F694" s="12" t="str">
        <f>IF(A694="","",MAX(E$4:E694))</f>
        <v/>
      </c>
      <c r="G694" s="17"/>
    </row>
    <row r="695" spans="1:7">
      <c r="A695" s="7" t="str">
        <f>IF(子基金及业绩基准周净值!A720="","",子基金及业绩基准周净值!A720)</f>
        <v/>
      </c>
      <c r="B695" s="1" t="str">
        <f>IF(A695="","",VLOOKUP($A695,子基金及业绩基准周净值!$A:$AV,11))</f>
        <v/>
      </c>
      <c r="C695" s="8" t="str">
        <f t="shared" si="40"/>
        <v/>
      </c>
      <c r="D695" s="9" t="str">
        <f>IF(A695="","",C695-子基金及业绩基准周净值!AI720)</f>
        <v/>
      </c>
      <c r="E695" s="12" t="str">
        <f>IF(A695="","",(MAX(B$3:B695)-B695)/MAX(B$3:B695))</f>
        <v/>
      </c>
      <c r="F695" s="12" t="str">
        <f>IF(A695="","",MAX(E$4:E695))</f>
        <v/>
      </c>
      <c r="G695" s="17"/>
    </row>
    <row r="696" spans="1:7">
      <c r="A696" s="7" t="str">
        <f>IF(子基金及业绩基准周净值!A721="","",子基金及业绩基准周净值!A721)</f>
        <v/>
      </c>
      <c r="B696" s="1" t="str">
        <f>IF(A696="","",VLOOKUP($A696,子基金及业绩基准周净值!$A:$AV,11))</f>
        <v/>
      </c>
      <c r="C696" s="8" t="str">
        <f t="shared" si="40"/>
        <v/>
      </c>
      <c r="D696" s="9" t="str">
        <f>IF(A696="","",C696-子基金及业绩基准周净值!AI721)</f>
        <v/>
      </c>
      <c r="E696" s="12" t="str">
        <f>IF(A696="","",(MAX(B$3:B696)-B696)/MAX(B$3:B696))</f>
        <v/>
      </c>
      <c r="F696" s="12" t="str">
        <f>IF(A696="","",MAX(E$4:E696))</f>
        <v/>
      </c>
      <c r="G696" s="17"/>
    </row>
    <row r="697" spans="1:7">
      <c r="A697" s="7" t="str">
        <f>IF(子基金及业绩基准周净值!A722="","",子基金及业绩基准周净值!A722)</f>
        <v/>
      </c>
      <c r="B697" s="1" t="str">
        <f>IF(A697="","",VLOOKUP($A697,子基金及业绩基准周净值!$A:$AV,11))</f>
        <v/>
      </c>
      <c r="C697" s="8" t="str">
        <f t="shared" si="40"/>
        <v/>
      </c>
      <c r="D697" s="9" t="str">
        <f>IF(A697="","",C697-子基金及业绩基准周净值!AI722)</f>
        <v/>
      </c>
      <c r="E697" s="12" t="str">
        <f>IF(A697="","",(MAX(B$3:B697)-B697)/MAX(B$3:B697))</f>
        <v/>
      </c>
      <c r="F697" s="12" t="str">
        <f>IF(A697="","",MAX(E$4:E697))</f>
        <v/>
      </c>
      <c r="G697" s="17"/>
    </row>
    <row r="698" spans="1:7">
      <c r="A698" s="7" t="str">
        <f>IF(子基金及业绩基准周净值!A723="","",子基金及业绩基准周净值!A723)</f>
        <v/>
      </c>
      <c r="B698" s="1" t="str">
        <f>IF(A698="","",VLOOKUP($A698,子基金及业绩基准周净值!$A:$AV,11))</f>
        <v/>
      </c>
      <c r="C698" s="8" t="str">
        <f t="shared" si="40"/>
        <v/>
      </c>
      <c r="D698" s="9" t="str">
        <f>IF(A698="","",C698-子基金及业绩基准周净值!AI723)</f>
        <v/>
      </c>
      <c r="E698" s="12" t="str">
        <f>IF(A698="","",(MAX(B$3:B698)-B698)/MAX(B$3:B698))</f>
        <v/>
      </c>
      <c r="F698" s="12" t="str">
        <f>IF(A698="","",MAX(E$4:E698))</f>
        <v/>
      </c>
      <c r="G698" s="17"/>
    </row>
    <row r="699" spans="1:7">
      <c r="A699" s="7" t="str">
        <f>IF(子基金及业绩基准周净值!A724="","",子基金及业绩基准周净值!A724)</f>
        <v/>
      </c>
      <c r="B699" s="1" t="str">
        <f>IF(A699="","",VLOOKUP($A699,子基金及业绩基准周净值!$A:$AV,11))</f>
        <v/>
      </c>
      <c r="C699" s="8" t="str">
        <f t="shared" si="40"/>
        <v/>
      </c>
      <c r="D699" s="9" t="str">
        <f>IF(A699="","",C699-子基金及业绩基准周净值!AI724)</f>
        <v/>
      </c>
      <c r="E699" s="12" t="str">
        <f>IF(A699="","",(MAX(B$3:B699)-B699)/MAX(B$3:B699))</f>
        <v/>
      </c>
      <c r="F699" s="12" t="str">
        <f>IF(A699="","",MAX(E$4:E699))</f>
        <v/>
      </c>
      <c r="G699" s="17"/>
    </row>
    <row r="700" spans="1:7">
      <c r="A700" s="7" t="str">
        <f>IF(子基金及业绩基准周净值!A725="","",子基金及业绩基准周净值!A725)</f>
        <v/>
      </c>
      <c r="B700" s="1" t="str">
        <f>IF(A700="","",VLOOKUP($A700,子基金及业绩基准周净值!$A:$AV,11))</f>
        <v/>
      </c>
      <c r="C700" s="8" t="str">
        <f t="shared" si="40"/>
        <v/>
      </c>
      <c r="D700" s="9" t="str">
        <f>IF(A700="","",C700-子基金及业绩基准周净值!AI725)</f>
        <v/>
      </c>
      <c r="E700" s="12" t="str">
        <f>IF(A700="","",(MAX(B$3:B700)-B700)/MAX(B$3:B700))</f>
        <v/>
      </c>
      <c r="F700" s="12" t="str">
        <f>IF(A700="","",MAX(E$4:E700))</f>
        <v/>
      </c>
      <c r="G700" s="17"/>
    </row>
    <row r="701" spans="1:7">
      <c r="A701" s="7" t="str">
        <f>IF(子基金及业绩基准周净值!A726="","",子基金及业绩基准周净值!A726)</f>
        <v/>
      </c>
      <c r="B701" s="1" t="str">
        <f>IF(A701="","",VLOOKUP($A701,子基金及业绩基准周净值!$A:$AV,11))</f>
        <v/>
      </c>
      <c r="C701" s="8" t="str">
        <f t="shared" si="40"/>
        <v/>
      </c>
      <c r="D701" s="9" t="str">
        <f>IF(A701="","",C701-子基金及业绩基准周净值!AI726)</f>
        <v/>
      </c>
      <c r="E701" s="12" t="str">
        <f>IF(A701="","",(MAX(B$3:B701)-B701)/MAX(B$3:B701))</f>
        <v/>
      </c>
      <c r="F701" s="12" t="str">
        <f>IF(A701="","",MAX(E$4:E701))</f>
        <v/>
      </c>
      <c r="G701" s="17"/>
    </row>
    <row r="702" spans="1:7">
      <c r="A702" s="7" t="str">
        <f>IF(子基金及业绩基准周净值!A727="","",子基金及业绩基准周净值!A727)</f>
        <v/>
      </c>
      <c r="B702" s="1" t="str">
        <f>IF(A702="","",VLOOKUP($A702,子基金及业绩基准周净值!$A:$AV,11))</f>
        <v/>
      </c>
      <c r="C702" s="8" t="str">
        <f t="shared" si="40"/>
        <v/>
      </c>
      <c r="D702" s="9" t="str">
        <f>IF(A702="","",C702-子基金及业绩基准周净值!AI727)</f>
        <v/>
      </c>
      <c r="E702" s="12" t="str">
        <f>IF(A702="","",(MAX(B$3:B702)-B702)/MAX(B$3:B702))</f>
        <v/>
      </c>
      <c r="F702" s="12" t="str">
        <f>IF(A702="","",MAX(E$4:E702))</f>
        <v/>
      </c>
      <c r="G702" s="17"/>
    </row>
    <row r="703" spans="1:7">
      <c r="A703" s="7" t="str">
        <f>IF(子基金及业绩基准周净值!A728="","",子基金及业绩基准周净值!A728)</f>
        <v/>
      </c>
      <c r="B703" s="1" t="str">
        <f>IF(A703="","",VLOOKUP($A703,子基金及业绩基准周净值!$A:$AV,11))</f>
        <v/>
      </c>
      <c r="C703" s="8" t="str">
        <f t="shared" si="40"/>
        <v/>
      </c>
      <c r="D703" s="9" t="str">
        <f>IF(A703="","",C703-子基金及业绩基准周净值!AI728)</f>
        <v/>
      </c>
      <c r="E703" s="12" t="str">
        <f>IF(A703="","",(MAX(B$3:B703)-B703)/MAX(B$3:B703))</f>
        <v/>
      </c>
      <c r="F703" s="12" t="str">
        <f>IF(A703="","",MAX(E$4:E703))</f>
        <v/>
      </c>
      <c r="G703" s="17"/>
    </row>
    <row r="704" spans="1:7">
      <c r="A704" s="7" t="str">
        <f>IF(子基金及业绩基准周净值!A729="","",子基金及业绩基准周净值!A729)</f>
        <v/>
      </c>
      <c r="B704" s="1" t="str">
        <f>IF(A704="","",VLOOKUP($A704,子基金及业绩基准周净值!$A:$AV,11))</f>
        <v/>
      </c>
      <c r="C704" s="8" t="str">
        <f t="shared" si="40"/>
        <v/>
      </c>
      <c r="D704" s="9" t="str">
        <f>IF(A704="","",C704-子基金及业绩基准周净值!AI729)</f>
        <v/>
      </c>
      <c r="E704" s="12" t="str">
        <f>IF(A704="","",(MAX(B$3:B704)-B704)/MAX(B$3:B704))</f>
        <v/>
      </c>
      <c r="F704" s="12" t="str">
        <f>IF(A704="","",MAX(E$4:E704))</f>
        <v/>
      </c>
      <c r="G704" s="17"/>
    </row>
    <row r="705" spans="1:7">
      <c r="A705" s="7" t="str">
        <f>IF(子基金及业绩基准周净值!A730="","",子基金及业绩基准周净值!A730)</f>
        <v/>
      </c>
      <c r="B705" s="1" t="str">
        <f>IF(A705="","",VLOOKUP($A705,子基金及业绩基准周净值!$A:$AV,11))</f>
        <v/>
      </c>
      <c r="C705" s="8" t="str">
        <f t="shared" si="40"/>
        <v/>
      </c>
      <c r="D705" s="9" t="str">
        <f>IF(A705="","",C705-子基金及业绩基准周净值!AI730)</f>
        <v/>
      </c>
      <c r="E705" s="12" t="str">
        <f>IF(A705="","",(MAX(B$3:B705)-B705)/MAX(B$3:B705))</f>
        <v/>
      </c>
      <c r="F705" s="12" t="str">
        <f>IF(A705="","",MAX(E$4:E705))</f>
        <v/>
      </c>
      <c r="G705" s="17"/>
    </row>
    <row r="706" spans="1:7">
      <c r="A706" s="7" t="str">
        <f>IF(子基金及业绩基准周净值!A731="","",子基金及业绩基准周净值!A731)</f>
        <v/>
      </c>
      <c r="B706" s="1" t="str">
        <f>IF(A706="","",VLOOKUP($A706,子基金及业绩基准周净值!$A:$AV,11))</f>
        <v/>
      </c>
      <c r="C706" s="8" t="str">
        <f t="shared" si="40"/>
        <v/>
      </c>
      <c r="D706" s="9" t="str">
        <f>IF(A706="","",C706-子基金及业绩基准周净值!AI731)</f>
        <v/>
      </c>
      <c r="E706" s="12" t="str">
        <f>IF(A706="","",(MAX(B$3:B706)-B706)/MAX(B$3:B706))</f>
        <v/>
      </c>
      <c r="F706" s="12" t="str">
        <f>IF(A706="","",MAX(E$4:E706))</f>
        <v/>
      </c>
      <c r="G706" s="17"/>
    </row>
    <row r="707" spans="1:7">
      <c r="A707" s="7" t="str">
        <f>IF(子基金及业绩基准周净值!A732="","",子基金及业绩基准周净值!A732)</f>
        <v/>
      </c>
      <c r="B707" s="1" t="str">
        <f>IF(A707="","",VLOOKUP($A707,子基金及业绩基准周净值!$A:$AV,11))</f>
        <v/>
      </c>
      <c r="C707" s="8" t="str">
        <f t="shared" si="40"/>
        <v/>
      </c>
      <c r="D707" s="9" t="str">
        <f>IF(A707="","",C707-子基金及业绩基准周净值!AI732)</f>
        <v/>
      </c>
      <c r="E707" s="12" t="str">
        <f>IF(A707="","",(MAX(B$3:B707)-B707)/MAX(B$3:B707))</f>
        <v/>
      </c>
      <c r="F707" s="12" t="str">
        <f>IF(A707="","",MAX(E$4:E707))</f>
        <v/>
      </c>
      <c r="G707" s="17"/>
    </row>
    <row r="708" spans="1:7">
      <c r="A708" s="7" t="str">
        <f>IF(子基金及业绩基准周净值!A733="","",子基金及业绩基准周净值!A733)</f>
        <v/>
      </c>
      <c r="B708" s="1" t="str">
        <f>IF(A708="","",VLOOKUP($A708,子基金及业绩基准周净值!$A:$AV,11))</f>
        <v/>
      </c>
      <c r="C708" s="8" t="str">
        <f t="shared" si="40"/>
        <v/>
      </c>
      <c r="D708" s="9" t="str">
        <f>IF(A708="","",C708-子基金及业绩基准周净值!AI733)</f>
        <v/>
      </c>
      <c r="E708" s="12" t="str">
        <f>IF(A708="","",(MAX(B$3:B708)-B708)/MAX(B$3:B708))</f>
        <v/>
      </c>
      <c r="F708" s="12" t="str">
        <f>IF(A708="","",MAX(E$4:E708))</f>
        <v/>
      </c>
      <c r="G708" s="17"/>
    </row>
    <row r="709" spans="1:7">
      <c r="A709" s="7" t="str">
        <f>IF(子基金及业绩基准周净值!A734="","",子基金及业绩基准周净值!A734)</f>
        <v/>
      </c>
      <c r="B709" s="1" t="str">
        <f>IF(A709="","",VLOOKUP($A709,子基金及业绩基准周净值!$A:$AV,11))</f>
        <v/>
      </c>
      <c r="C709" s="8" t="str">
        <f t="shared" ref="C709:C772" si="41">IF(A709="","",(B709-B708)/B708)</f>
        <v/>
      </c>
      <c r="D709" s="9" t="str">
        <f>IF(A709="","",C709-子基金及业绩基准周净值!AI734)</f>
        <v/>
      </c>
      <c r="E709" s="12" t="str">
        <f>IF(A709="","",(MAX(B$3:B709)-B709)/MAX(B$3:B709))</f>
        <v/>
      </c>
      <c r="F709" s="12" t="str">
        <f>IF(A709="","",MAX(E$4:E709))</f>
        <v/>
      </c>
      <c r="G709" s="17"/>
    </row>
    <row r="710" spans="1:7">
      <c r="A710" s="7" t="str">
        <f>IF(子基金及业绩基准周净值!A735="","",子基金及业绩基准周净值!A735)</f>
        <v/>
      </c>
      <c r="B710" s="1" t="str">
        <f>IF(A710="","",VLOOKUP($A710,子基金及业绩基准周净值!$A:$AV,11))</f>
        <v/>
      </c>
      <c r="C710" s="8" t="str">
        <f t="shared" si="41"/>
        <v/>
      </c>
      <c r="D710" s="9" t="str">
        <f>IF(A710="","",C710-子基金及业绩基准周净值!AI735)</f>
        <v/>
      </c>
      <c r="E710" s="12" t="str">
        <f>IF(A710="","",(MAX(B$3:B710)-B710)/MAX(B$3:B710))</f>
        <v/>
      </c>
      <c r="F710" s="12" t="str">
        <f>IF(A710="","",MAX(E$4:E710))</f>
        <v/>
      </c>
      <c r="G710" s="17"/>
    </row>
    <row r="711" spans="1:7">
      <c r="A711" s="7" t="str">
        <f>IF(子基金及业绩基准周净值!A736="","",子基金及业绩基准周净值!A736)</f>
        <v/>
      </c>
      <c r="B711" s="1" t="str">
        <f>IF(A711="","",VLOOKUP($A711,子基金及业绩基准周净值!$A:$AV,11))</f>
        <v/>
      </c>
      <c r="C711" s="8" t="str">
        <f t="shared" si="41"/>
        <v/>
      </c>
      <c r="D711" s="9" t="str">
        <f>IF(A711="","",C711-子基金及业绩基准周净值!AI736)</f>
        <v/>
      </c>
      <c r="E711" s="12" t="str">
        <f>IF(A711="","",(MAX(B$3:B711)-B711)/MAX(B$3:B711))</f>
        <v/>
      </c>
      <c r="F711" s="12" t="str">
        <f>IF(A711="","",MAX(E$4:E711))</f>
        <v/>
      </c>
      <c r="G711" s="17"/>
    </row>
    <row r="712" spans="1:7">
      <c r="A712" s="7" t="str">
        <f>IF(子基金及业绩基准周净值!A737="","",子基金及业绩基准周净值!A737)</f>
        <v/>
      </c>
      <c r="B712" s="1" t="str">
        <f>IF(A712="","",VLOOKUP($A712,子基金及业绩基准周净值!$A:$AV,11))</f>
        <v/>
      </c>
      <c r="C712" s="8" t="str">
        <f t="shared" si="41"/>
        <v/>
      </c>
      <c r="D712" s="9" t="str">
        <f>IF(A712="","",C712-子基金及业绩基准周净值!AI737)</f>
        <v/>
      </c>
      <c r="E712" s="12" t="str">
        <f>IF(A712="","",(MAX(B$3:B712)-B712)/MAX(B$3:B712))</f>
        <v/>
      </c>
      <c r="F712" s="12" t="str">
        <f>IF(A712="","",MAX(E$4:E712))</f>
        <v/>
      </c>
      <c r="G712" s="17"/>
    </row>
    <row r="713" spans="1:7">
      <c r="A713" s="7" t="str">
        <f>IF(子基金及业绩基准周净值!A738="","",子基金及业绩基准周净值!A738)</f>
        <v/>
      </c>
      <c r="B713" s="1" t="str">
        <f>IF(A713="","",VLOOKUP($A713,子基金及业绩基准周净值!$A:$AV,11))</f>
        <v/>
      </c>
      <c r="C713" s="8" t="str">
        <f t="shared" si="41"/>
        <v/>
      </c>
      <c r="D713" s="9" t="str">
        <f>IF(A713="","",C713-子基金及业绩基准周净值!AI738)</f>
        <v/>
      </c>
      <c r="E713" s="12" t="str">
        <f>IF(A713="","",(MAX(B$3:B713)-B713)/MAX(B$3:B713))</f>
        <v/>
      </c>
      <c r="F713" s="12" t="str">
        <f>IF(A713="","",MAX(E$4:E713))</f>
        <v/>
      </c>
      <c r="G713" s="17"/>
    </row>
    <row r="714" spans="1:7">
      <c r="A714" s="7" t="str">
        <f>IF(子基金及业绩基准周净值!A739="","",子基金及业绩基准周净值!A739)</f>
        <v/>
      </c>
      <c r="B714" s="1" t="str">
        <f>IF(A714="","",VLOOKUP($A714,子基金及业绩基准周净值!$A:$AV,11))</f>
        <v/>
      </c>
      <c r="C714" s="8" t="str">
        <f t="shared" si="41"/>
        <v/>
      </c>
      <c r="D714" s="9" t="str">
        <f>IF(A714="","",C714-子基金及业绩基准周净值!AI739)</f>
        <v/>
      </c>
      <c r="E714" s="12" t="str">
        <f>IF(A714="","",(MAX(B$3:B714)-B714)/MAX(B$3:B714))</f>
        <v/>
      </c>
      <c r="F714" s="12" t="str">
        <f>IF(A714="","",MAX(E$4:E714))</f>
        <v/>
      </c>
      <c r="G714" s="17"/>
    </row>
    <row r="715" spans="1:7">
      <c r="A715" s="7" t="str">
        <f>IF(子基金及业绩基准周净值!A740="","",子基金及业绩基准周净值!A740)</f>
        <v/>
      </c>
      <c r="B715" s="1" t="str">
        <f>IF(A715="","",VLOOKUP($A715,子基金及业绩基准周净值!$A:$AV,11))</f>
        <v/>
      </c>
      <c r="C715" s="8" t="str">
        <f t="shared" si="41"/>
        <v/>
      </c>
      <c r="D715" s="9" t="str">
        <f>IF(A715="","",C715-子基金及业绩基准周净值!AI740)</f>
        <v/>
      </c>
      <c r="E715" s="12" t="str">
        <f>IF(A715="","",(MAX(B$3:B715)-B715)/MAX(B$3:B715))</f>
        <v/>
      </c>
      <c r="F715" s="12" t="str">
        <f>IF(A715="","",MAX(E$4:E715))</f>
        <v/>
      </c>
      <c r="G715" s="17"/>
    </row>
    <row r="716" spans="1:7">
      <c r="A716" s="7" t="str">
        <f>IF(子基金及业绩基准周净值!A741="","",子基金及业绩基准周净值!A741)</f>
        <v/>
      </c>
      <c r="B716" s="1" t="str">
        <f>IF(A716="","",VLOOKUP($A716,子基金及业绩基准周净值!$A:$AV,11))</f>
        <v/>
      </c>
      <c r="C716" s="8" t="str">
        <f t="shared" si="41"/>
        <v/>
      </c>
      <c r="D716" s="9" t="str">
        <f>IF(A716="","",C716-子基金及业绩基准周净值!AI741)</f>
        <v/>
      </c>
      <c r="E716" s="12" t="str">
        <f>IF(A716="","",(MAX(B$3:B716)-B716)/MAX(B$3:B716))</f>
        <v/>
      </c>
      <c r="F716" s="12" t="str">
        <f>IF(A716="","",MAX(E$4:E716))</f>
        <v/>
      </c>
      <c r="G716" s="17"/>
    </row>
    <row r="717" spans="1:7">
      <c r="A717" s="7" t="str">
        <f>IF(子基金及业绩基准周净值!A742="","",子基金及业绩基准周净值!A742)</f>
        <v/>
      </c>
      <c r="B717" s="1" t="str">
        <f>IF(A717="","",VLOOKUP($A717,子基金及业绩基准周净值!$A:$AV,11))</f>
        <v/>
      </c>
      <c r="C717" s="8" t="str">
        <f t="shared" si="41"/>
        <v/>
      </c>
      <c r="D717" s="9" t="str">
        <f>IF(A717="","",C717-子基金及业绩基准周净值!AI742)</f>
        <v/>
      </c>
      <c r="E717" s="12" t="str">
        <f>IF(A717="","",(MAX(B$3:B717)-B717)/MAX(B$3:B717))</f>
        <v/>
      </c>
      <c r="F717" s="12" t="str">
        <f>IF(A717="","",MAX(E$4:E717))</f>
        <v/>
      </c>
      <c r="G717" s="17"/>
    </row>
    <row r="718" spans="1:7">
      <c r="A718" s="7" t="str">
        <f>IF(子基金及业绩基准周净值!A743="","",子基金及业绩基准周净值!A743)</f>
        <v/>
      </c>
      <c r="B718" s="1" t="str">
        <f>IF(A718="","",VLOOKUP($A718,子基金及业绩基准周净值!$A:$AV,11))</f>
        <v/>
      </c>
      <c r="C718" s="8" t="str">
        <f t="shared" si="41"/>
        <v/>
      </c>
      <c r="D718" s="9" t="str">
        <f>IF(A718="","",C718-子基金及业绩基准周净值!AI743)</f>
        <v/>
      </c>
      <c r="E718" s="12" t="str">
        <f>IF(A718="","",(MAX(B$3:B718)-B718)/MAX(B$3:B718))</f>
        <v/>
      </c>
      <c r="F718" s="12" t="str">
        <f>IF(A718="","",MAX(E$4:E718))</f>
        <v/>
      </c>
      <c r="G718" s="17"/>
    </row>
    <row r="719" spans="1:7">
      <c r="A719" s="7" t="str">
        <f>IF(子基金及业绩基准周净值!A744="","",子基金及业绩基准周净值!A744)</f>
        <v/>
      </c>
      <c r="B719" s="1" t="str">
        <f>IF(A719="","",VLOOKUP($A719,子基金及业绩基准周净值!$A:$AV,11))</f>
        <v/>
      </c>
      <c r="C719" s="8" t="str">
        <f t="shared" si="41"/>
        <v/>
      </c>
      <c r="D719" s="9" t="str">
        <f>IF(A719="","",C719-子基金及业绩基准周净值!AI744)</f>
        <v/>
      </c>
      <c r="E719" s="12" t="str">
        <f>IF(A719="","",(MAX(B$3:B719)-B719)/MAX(B$3:B719))</f>
        <v/>
      </c>
      <c r="F719" s="12" t="str">
        <f>IF(A719="","",MAX(E$4:E719))</f>
        <v/>
      </c>
      <c r="G719" s="17"/>
    </row>
    <row r="720" spans="1:7">
      <c r="A720" s="7" t="str">
        <f>IF(子基金及业绩基准周净值!A745="","",子基金及业绩基准周净值!A745)</f>
        <v/>
      </c>
      <c r="B720" s="1" t="str">
        <f>IF(A720="","",VLOOKUP($A720,子基金及业绩基准周净值!$A:$AV,11))</f>
        <v/>
      </c>
      <c r="C720" s="8" t="str">
        <f t="shared" si="41"/>
        <v/>
      </c>
      <c r="D720" s="9" t="str">
        <f>IF(A720="","",C720-子基金及业绩基准周净值!AI745)</f>
        <v/>
      </c>
      <c r="E720" s="12" t="str">
        <f>IF(A720="","",(MAX(B$3:B720)-B720)/MAX(B$3:B720))</f>
        <v/>
      </c>
      <c r="F720" s="12" t="str">
        <f>IF(A720="","",MAX(E$4:E720))</f>
        <v/>
      </c>
      <c r="G720" s="17"/>
    </row>
    <row r="721" spans="1:7">
      <c r="A721" s="7" t="str">
        <f>IF(子基金及业绩基准周净值!A746="","",子基金及业绩基准周净值!A746)</f>
        <v/>
      </c>
      <c r="B721" s="1" t="str">
        <f>IF(A721="","",VLOOKUP($A721,子基金及业绩基准周净值!$A:$AV,11))</f>
        <v/>
      </c>
      <c r="C721" s="8" t="str">
        <f t="shared" si="41"/>
        <v/>
      </c>
      <c r="D721" s="9" t="str">
        <f>IF(A721="","",C721-子基金及业绩基准周净值!AI746)</f>
        <v/>
      </c>
      <c r="E721" s="12" t="str">
        <f>IF(A721="","",(MAX(B$3:B721)-B721)/MAX(B$3:B721))</f>
        <v/>
      </c>
      <c r="F721" s="12" t="str">
        <f>IF(A721="","",MAX(E$4:E721))</f>
        <v/>
      </c>
      <c r="G721" s="17"/>
    </row>
    <row r="722" spans="1:7">
      <c r="A722" s="7" t="str">
        <f>IF(子基金及业绩基准周净值!A747="","",子基金及业绩基准周净值!A747)</f>
        <v/>
      </c>
      <c r="B722" s="1" t="str">
        <f>IF(A722="","",VLOOKUP($A722,子基金及业绩基准周净值!$A:$AV,11))</f>
        <v/>
      </c>
      <c r="C722" s="8" t="str">
        <f t="shared" si="41"/>
        <v/>
      </c>
      <c r="D722" s="9" t="str">
        <f>IF(A722="","",C722-子基金及业绩基准周净值!AI747)</f>
        <v/>
      </c>
      <c r="E722" s="12" t="str">
        <f>IF(A722="","",(MAX(B$3:B722)-B722)/MAX(B$3:B722))</f>
        <v/>
      </c>
      <c r="F722" s="12" t="str">
        <f>IF(A722="","",MAX(E$4:E722))</f>
        <v/>
      </c>
      <c r="G722" s="17"/>
    </row>
    <row r="723" spans="1:7">
      <c r="A723" s="7" t="str">
        <f>IF(子基金及业绩基准周净值!A748="","",子基金及业绩基准周净值!A748)</f>
        <v/>
      </c>
      <c r="B723" s="1" t="str">
        <f>IF(A723="","",VLOOKUP($A723,子基金及业绩基准周净值!$A:$AV,11))</f>
        <v/>
      </c>
      <c r="C723" s="8" t="str">
        <f t="shared" si="41"/>
        <v/>
      </c>
      <c r="D723" s="9" t="str">
        <f>IF(A723="","",C723-子基金及业绩基准周净值!AI748)</f>
        <v/>
      </c>
      <c r="E723" s="12" t="str">
        <f>IF(A723="","",(MAX(B$3:B723)-B723)/MAX(B$3:B723))</f>
        <v/>
      </c>
      <c r="F723" s="12" t="str">
        <f>IF(A723="","",MAX(E$4:E723))</f>
        <v/>
      </c>
      <c r="G723" s="17"/>
    </row>
    <row r="724" spans="1:7">
      <c r="A724" s="7" t="str">
        <f>IF(子基金及业绩基准周净值!A749="","",子基金及业绩基准周净值!A749)</f>
        <v/>
      </c>
      <c r="B724" s="1" t="str">
        <f>IF(A724="","",VLOOKUP($A724,子基金及业绩基准周净值!$A:$AV,11))</f>
        <v/>
      </c>
      <c r="C724" s="8" t="str">
        <f t="shared" si="41"/>
        <v/>
      </c>
      <c r="D724" s="9" t="str">
        <f>IF(A724="","",C724-子基金及业绩基准周净值!AI749)</f>
        <v/>
      </c>
      <c r="E724" s="12" t="str">
        <f>IF(A724="","",(MAX(B$3:B724)-B724)/MAX(B$3:B724))</f>
        <v/>
      </c>
      <c r="F724" s="12" t="str">
        <f>IF(A724="","",MAX(E$4:E724))</f>
        <v/>
      </c>
      <c r="G724" s="17"/>
    </row>
    <row r="725" spans="1:7">
      <c r="A725" s="7" t="str">
        <f>IF(子基金及业绩基准周净值!A750="","",子基金及业绩基准周净值!A750)</f>
        <v/>
      </c>
      <c r="B725" s="1" t="str">
        <f>IF(A725="","",VLOOKUP($A725,子基金及业绩基准周净值!$A:$AV,11))</f>
        <v/>
      </c>
      <c r="C725" s="8" t="str">
        <f t="shared" si="41"/>
        <v/>
      </c>
      <c r="D725" s="9" t="str">
        <f>IF(A725="","",C725-子基金及业绩基准周净值!AI750)</f>
        <v/>
      </c>
      <c r="E725" s="12" t="str">
        <f>IF(A725="","",(MAX(B$3:B725)-B725)/MAX(B$3:B725))</f>
        <v/>
      </c>
      <c r="F725" s="12" t="str">
        <f>IF(A725="","",MAX(E$4:E725))</f>
        <v/>
      </c>
      <c r="G725" s="17"/>
    </row>
    <row r="726" spans="1:7">
      <c r="A726" s="7" t="str">
        <f>IF(子基金及业绩基准周净值!A751="","",子基金及业绩基准周净值!A751)</f>
        <v/>
      </c>
      <c r="B726" s="1" t="str">
        <f>IF(A726="","",VLOOKUP($A726,子基金及业绩基准周净值!$A:$AV,11))</f>
        <v/>
      </c>
      <c r="C726" s="8" t="str">
        <f t="shared" si="41"/>
        <v/>
      </c>
      <c r="D726" s="9" t="str">
        <f>IF(A726="","",C726-子基金及业绩基准周净值!AI751)</f>
        <v/>
      </c>
      <c r="E726" s="12" t="str">
        <f>IF(A726="","",(MAX(B$3:B726)-B726)/MAX(B$3:B726))</f>
        <v/>
      </c>
      <c r="F726" s="12" t="str">
        <f>IF(A726="","",MAX(E$4:E726))</f>
        <v/>
      </c>
      <c r="G726" s="17"/>
    </row>
    <row r="727" spans="1:7">
      <c r="A727" s="7" t="str">
        <f>IF(子基金及业绩基准周净值!A752="","",子基金及业绩基准周净值!A752)</f>
        <v/>
      </c>
      <c r="B727" s="1" t="str">
        <f>IF(A727="","",VLOOKUP($A727,子基金及业绩基准周净值!$A:$AV,11))</f>
        <v/>
      </c>
      <c r="C727" s="8" t="str">
        <f t="shared" si="41"/>
        <v/>
      </c>
      <c r="D727" s="9" t="str">
        <f>IF(A727="","",C727-子基金及业绩基准周净值!AI752)</f>
        <v/>
      </c>
      <c r="E727" s="12" t="str">
        <f>IF(A727="","",(MAX(B$3:B727)-B727)/MAX(B$3:B727))</f>
        <v/>
      </c>
      <c r="F727" s="12" t="str">
        <f>IF(A727="","",MAX(E$4:E727))</f>
        <v/>
      </c>
      <c r="G727" s="17"/>
    </row>
    <row r="728" spans="1:7">
      <c r="A728" s="7" t="str">
        <f>IF(子基金及业绩基准周净值!A753="","",子基金及业绩基准周净值!A753)</f>
        <v/>
      </c>
      <c r="B728" s="1" t="str">
        <f>IF(A728="","",VLOOKUP($A728,子基金及业绩基准周净值!$A:$AV,11))</f>
        <v/>
      </c>
      <c r="C728" s="8" t="str">
        <f t="shared" si="41"/>
        <v/>
      </c>
      <c r="D728" s="9" t="str">
        <f>IF(A728="","",C728-子基金及业绩基准周净值!AI753)</f>
        <v/>
      </c>
      <c r="E728" s="12" t="str">
        <f>IF(A728="","",(MAX(B$3:B728)-B728)/MAX(B$3:B728))</f>
        <v/>
      </c>
      <c r="F728" s="12" t="str">
        <f>IF(A728="","",MAX(E$4:E728))</f>
        <v/>
      </c>
      <c r="G728" s="17"/>
    </row>
    <row r="729" spans="1:7">
      <c r="A729" s="7" t="str">
        <f>IF(子基金及业绩基准周净值!A754="","",子基金及业绩基准周净值!A754)</f>
        <v/>
      </c>
      <c r="B729" s="1" t="str">
        <f>IF(A729="","",VLOOKUP($A729,子基金及业绩基准周净值!$A:$AV,11))</f>
        <v/>
      </c>
      <c r="C729" s="8" t="str">
        <f t="shared" si="41"/>
        <v/>
      </c>
      <c r="D729" s="9" t="str">
        <f>IF(A729="","",C729-子基金及业绩基准周净值!AI754)</f>
        <v/>
      </c>
      <c r="E729" s="12" t="str">
        <f>IF(A729="","",(MAX(B$3:B729)-B729)/MAX(B$3:B729))</f>
        <v/>
      </c>
      <c r="F729" s="12" t="str">
        <f>IF(A729="","",MAX(E$4:E729))</f>
        <v/>
      </c>
      <c r="G729" s="17"/>
    </row>
    <row r="730" spans="1:7">
      <c r="A730" s="7" t="str">
        <f>IF(子基金及业绩基准周净值!A755="","",子基金及业绩基准周净值!A755)</f>
        <v/>
      </c>
      <c r="B730" s="1" t="str">
        <f>IF(A730="","",VLOOKUP($A730,子基金及业绩基准周净值!$A:$AV,11))</f>
        <v/>
      </c>
      <c r="C730" s="8" t="str">
        <f t="shared" si="41"/>
        <v/>
      </c>
      <c r="D730" s="9" t="str">
        <f>IF(A730="","",C730-子基金及业绩基准周净值!AI755)</f>
        <v/>
      </c>
      <c r="E730" s="12" t="str">
        <f>IF(A730="","",(MAX(B$3:B730)-B730)/MAX(B$3:B730))</f>
        <v/>
      </c>
      <c r="F730" s="12" t="str">
        <f>IF(A730="","",MAX(E$4:E730))</f>
        <v/>
      </c>
      <c r="G730" s="17"/>
    </row>
    <row r="731" spans="1:7">
      <c r="A731" s="7" t="str">
        <f>IF(子基金及业绩基准周净值!A756="","",子基金及业绩基准周净值!A756)</f>
        <v/>
      </c>
      <c r="B731" s="1" t="str">
        <f>IF(A731="","",VLOOKUP($A731,子基金及业绩基准周净值!$A:$AV,11))</f>
        <v/>
      </c>
      <c r="C731" s="8" t="str">
        <f t="shared" si="41"/>
        <v/>
      </c>
      <c r="D731" s="9" t="str">
        <f>IF(A731="","",C731-子基金及业绩基准周净值!AI756)</f>
        <v/>
      </c>
      <c r="E731" s="12" t="str">
        <f>IF(A731="","",(MAX(B$3:B731)-B731)/MAX(B$3:B731))</f>
        <v/>
      </c>
      <c r="F731" s="12" t="str">
        <f>IF(A731="","",MAX(E$4:E731))</f>
        <v/>
      </c>
      <c r="G731" s="17"/>
    </row>
    <row r="732" spans="1:7">
      <c r="A732" s="7" t="str">
        <f>IF(子基金及业绩基准周净值!A757="","",子基金及业绩基准周净值!A757)</f>
        <v/>
      </c>
      <c r="B732" s="1" t="str">
        <f>IF(A732="","",VLOOKUP($A732,子基金及业绩基准周净值!$A:$AV,11))</f>
        <v/>
      </c>
      <c r="C732" s="8" t="str">
        <f t="shared" si="41"/>
        <v/>
      </c>
      <c r="D732" s="9" t="str">
        <f>IF(A732="","",C732-子基金及业绩基准周净值!AI757)</f>
        <v/>
      </c>
      <c r="E732" s="12" t="str">
        <f>IF(A732="","",(MAX(B$3:B732)-B732)/MAX(B$3:B732))</f>
        <v/>
      </c>
      <c r="F732" s="12" t="str">
        <f>IF(A732="","",MAX(E$4:E732))</f>
        <v/>
      </c>
      <c r="G732" s="17"/>
    </row>
    <row r="733" spans="1:7">
      <c r="A733" s="7" t="str">
        <f>IF(子基金及业绩基准周净值!A758="","",子基金及业绩基准周净值!A758)</f>
        <v/>
      </c>
      <c r="B733" s="1" t="str">
        <f>IF(A733="","",VLOOKUP($A733,子基金及业绩基准周净值!$A:$AV,11))</f>
        <v/>
      </c>
      <c r="C733" s="8" t="str">
        <f t="shared" si="41"/>
        <v/>
      </c>
      <c r="D733" s="9" t="str">
        <f>IF(A733="","",C733-子基金及业绩基准周净值!AI758)</f>
        <v/>
      </c>
      <c r="E733" s="12" t="str">
        <f>IF(A733="","",(MAX(B$3:B733)-B733)/MAX(B$3:B733))</f>
        <v/>
      </c>
      <c r="F733" s="12" t="str">
        <f>IF(A733="","",MAX(E$4:E733))</f>
        <v/>
      </c>
      <c r="G733" s="17"/>
    </row>
    <row r="734" spans="1:7">
      <c r="A734" s="7" t="str">
        <f>IF(子基金及业绩基准周净值!A759="","",子基金及业绩基准周净值!A759)</f>
        <v/>
      </c>
      <c r="B734" s="1" t="str">
        <f>IF(A734="","",VLOOKUP($A734,子基金及业绩基准周净值!$A:$AV,11))</f>
        <v/>
      </c>
      <c r="C734" s="8" t="str">
        <f t="shared" si="41"/>
        <v/>
      </c>
      <c r="D734" s="9" t="str">
        <f>IF(A734="","",C734-子基金及业绩基准周净值!AI759)</f>
        <v/>
      </c>
      <c r="E734" s="12" t="str">
        <f>IF(A734="","",(MAX(B$3:B734)-B734)/MAX(B$3:B734))</f>
        <v/>
      </c>
      <c r="F734" s="12" t="str">
        <f>IF(A734="","",MAX(E$4:E734))</f>
        <v/>
      </c>
      <c r="G734" s="17"/>
    </row>
    <row r="735" spans="1:7">
      <c r="A735" s="7" t="str">
        <f>IF(子基金及业绩基准周净值!A760="","",子基金及业绩基准周净值!A760)</f>
        <v/>
      </c>
      <c r="B735" s="1" t="str">
        <f>IF(A735="","",VLOOKUP($A735,子基金及业绩基准周净值!$A:$AV,11))</f>
        <v/>
      </c>
      <c r="C735" s="8" t="str">
        <f t="shared" si="41"/>
        <v/>
      </c>
      <c r="D735" s="9" t="str">
        <f>IF(A735="","",C735-子基金及业绩基准周净值!AI760)</f>
        <v/>
      </c>
      <c r="E735" s="12" t="str">
        <f>IF(A735="","",(MAX(B$3:B735)-B735)/MAX(B$3:B735))</f>
        <v/>
      </c>
      <c r="F735" s="12" t="str">
        <f>IF(A735="","",MAX(E$4:E735))</f>
        <v/>
      </c>
      <c r="G735" s="17"/>
    </row>
    <row r="736" spans="1:7">
      <c r="A736" s="7" t="str">
        <f>IF(子基金及业绩基准周净值!A761="","",子基金及业绩基准周净值!A761)</f>
        <v/>
      </c>
      <c r="B736" s="1" t="str">
        <f>IF(A736="","",VLOOKUP($A736,子基金及业绩基准周净值!$A:$AV,11))</f>
        <v/>
      </c>
      <c r="C736" s="8" t="str">
        <f t="shared" si="41"/>
        <v/>
      </c>
      <c r="D736" s="9" t="str">
        <f>IF(A736="","",C736-子基金及业绩基准周净值!AI761)</f>
        <v/>
      </c>
      <c r="E736" s="12" t="str">
        <f>IF(A736="","",(MAX(B$3:B736)-B736)/MAX(B$3:B736))</f>
        <v/>
      </c>
      <c r="F736" s="12" t="str">
        <f>IF(A736="","",MAX(E$4:E736))</f>
        <v/>
      </c>
      <c r="G736" s="17"/>
    </row>
    <row r="737" spans="1:7">
      <c r="A737" s="7" t="str">
        <f>IF(子基金及业绩基准周净值!A762="","",子基金及业绩基准周净值!A762)</f>
        <v/>
      </c>
      <c r="B737" s="1" t="str">
        <f>IF(A737="","",VLOOKUP($A737,子基金及业绩基准周净值!$A:$AV,11))</f>
        <v/>
      </c>
      <c r="C737" s="8" t="str">
        <f t="shared" si="41"/>
        <v/>
      </c>
      <c r="D737" s="9" t="str">
        <f>IF(A737="","",C737-子基金及业绩基准周净值!AI762)</f>
        <v/>
      </c>
      <c r="E737" s="12" t="str">
        <f>IF(A737="","",(MAX(B$3:B737)-B737)/MAX(B$3:B737))</f>
        <v/>
      </c>
      <c r="F737" s="12" t="str">
        <f>IF(A737="","",MAX(E$4:E737))</f>
        <v/>
      </c>
      <c r="G737" s="17"/>
    </row>
    <row r="738" spans="1:7">
      <c r="A738" s="7" t="str">
        <f>IF(子基金及业绩基准周净值!A763="","",子基金及业绩基准周净值!A763)</f>
        <v/>
      </c>
      <c r="B738" s="1" t="str">
        <f>IF(A738="","",VLOOKUP($A738,子基金及业绩基准周净值!$A:$AV,11))</f>
        <v/>
      </c>
      <c r="C738" s="8" t="str">
        <f t="shared" si="41"/>
        <v/>
      </c>
      <c r="D738" s="9" t="str">
        <f>IF(A738="","",C738-子基金及业绩基准周净值!AI763)</f>
        <v/>
      </c>
      <c r="E738" s="12" t="str">
        <f>IF(A738="","",(MAX(B$3:B738)-B738)/MAX(B$3:B738))</f>
        <v/>
      </c>
      <c r="F738" s="12" t="str">
        <f>IF(A738="","",MAX(E$4:E738))</f>
        <v/>
      </c>
      <c r="G738" s="17"/>
    </row>
    <row r="739" spans="1:7">
      <c r="A739" s="7" t="str">
        <f>IF(子基金及业绩基准周净值!A764="","",子基金及业绩基准周净值!A764)</f>
        <v/>
      </c>
      <c r="B739" s="1" t="str">
        <f>IF(A739="","",VLOOKUP($A739,子基金及业绩基准周净值!$A:$AV,11))</f>
        <v/>
      </c>
      <c r="C739" s="8" t="str">
        <f t="shared" si="41"/>
        <v/>
      </c>
      <c r="D739" s="9" t="str">
        <f>IF(A739="","",C739-子基金及业绩基准周净值!AI764)</f>
        <v/>
      </c>
      <c r="E739" s="12" t="str">
        <f>IF(A739="","",(MAX(B$3:B739)-B739)/MAX(B$3:B739))</f>
        <v/>
      </c>
      <c r="F739" s="12" t="str">
        <f>IF(A739="","",MAX(E$4:E739))</f>
        <v/>
      </c>
      <c r="G739" s="17"/>
    </row>
    <row r="740" spans="1:7">
      <c r="A740" s="7" t="str">
        <f>IF(子基金及业绩基准周净值!A765="","",子基金及业绩基准周净值!A765)</f>
        <v/>
      </c>
      <c r="B740" s="1" t="str">
        <f>IF(A740="","",VLOOKUP($A740,子基金及业绩基准周净值!$A:$AV,11))</f>
        <v/>
      </c>
      <c r="C740" s="8" t="str">
        <f t="shared" si="41"/>
        <v/>
      </c>
      <c r="D740" s="9" t="str">
        <f>IF(A740="","",C740-子基金及业绩基准周净值!AI765)</f>
        <v/>
      </c>
      <c r="E740" s="12" t="str">
        <f>IF(A740="","",(MAX(B$3:B740)-B740)/MAX(B$3:B740))</f>
        <v/>
      </c>
      <c r="F740" s="12" t="str">
        <f>IF(A740="","",MAX(E$4:E740))</f>
        <v/>
      </c>
      <c r="G740" s="17"/>
    </row>
    <row r="741" spans="1:7">
      <c r="A741" s="7" t="str">
        <f>IF(子基金及业绩基准周净值!A766="","",子基金及业绩基准周净值!A766)</f>
        <v/>
      </c>
      <c r="B741" s="1" t="str">
        <f>IF(A741="","",VLOOKUP($A741,子基金及业绩基准周净值!$A:$AV,11))</f>
        <v/>
      </c>
      <c r="C741" s="8" t="str">
        <f t="shared" si="41"/>
        <v/>
      </c>
      <c r="D741" s="9" t="str">
        <f>IF(A741="","",C741-子基金及业绩基准周净值!AI766)</f>
        <v/>
      </c>
      <c r="E741" s="12" t="str">
        <f>IF(A741="","",(MAX(B$3:B741)-B741)/MAX(B$3:B741))</f>
        <v/>
      </c>
      <c r="F741" s="12" t="str">
        <f>IF(A741="","",MAX(E$4:E741))</f>
        <v/>
      </c>
      <c r="G741" s="17"/>
    </row>
    <row r="742" spans="1:7">
      <c r="A742" s="7" t="str">
        <f>IF(子基金及业绩基准周净值!A767="","",子基金及业绩基准周净值!A767)</f>
        <v/>
      </c>
      <c r="B742" s="1" t="str">
        <f>IF(A742="","",VLOOKUP($A742,子基金及业绩基准周净值!$A:$AV,11))</f>
        <v/>
      </c>
      <c r="C742" s="8" t="str">
        <f t="shared" si="41"/>
        <v/>
      </c>
      <c r="D742" s="9" t="str">
        <f>IF(A742="","",C742-子基金及业绩基准周净值!AI767)</f>
        <v/>
      </c>
      <c r="E742" s="12" t="str">
        <f>IF(A742="","",(MAX(B$3:B742)-B742)/MAX(B$3:B742))</f>
        <v/>
      </c>
      <c r="F742" s="12" t="str">
        <f>IF(A742="","",MAX(E$4:E742))</f>
        <v/>
      </c>
      <c r="G742" s="17"/>
    </row>
    <row r="743" spans="1:7">
      <c r="A743" s="7" t="str">
        <f>IF(子基金及业绩基准周净值!A768="","",子基金及业绩基准周净值!A768)</f>
        <v/>
      </c>
      <c r="B743" s="1" t="str">
        <f>IF(A743="","",VLOOKUP($A743,子基金及业绩基准周净值!$A:$AV,11))</f>
        <v/>
      </c>
      <c r="C743" s="8" t="str">
        <f t="shared" si="41"/>
        <v/>
      </c>
      <c r="D743" s="9" t="str">
        <f>IF(A743="","",C743-子基金及业绩基准周净值!AI768)</f>
        <v/>
      </c>
      <c r="E743" s="12" t="str">
        <f>IF(A743="","",(MAX(B$3:B743)-B743)/MAX(B$3:B743))</f>
        <v/>
      </c>
      <c r="F743" s="12" t="str">
        <f>IF(A743="","",MAX(E$4:E743))</f>
        <v/>
      </c>
      <c r="G743" s="17"/>
    </row>
    <row r="744" spans="1:7">
      <c r="A744" s="7" t="str">
        <f>IF(子基金及业绩基准周净值!A769="","",子基金及业绩基准周净值!A769)</f>
        <v/>
      </c>
      <c r="B744" s="1" t="str">
        <f>IF(A744="","",VLOOKUP($A744,子基金及业绩基准周净值!$A:$AV,11))</f>
        <v/>
      </c>
      <c r="C744" s="8" t="str">
        <f t="shared" si="41"/>
        <v/>
      </c>
      <c r="D744" s="9" t="str">
        <f>IF(A744="","",C744-子基金及业绩基准周净值!AI769)</f>
        <v/>
      </c>
      <c r="E744" s="12" t="str">
        <f>IF(A744="","",(MAX(B$3:B744)-B744)/MAX(B$3:B744))</f>
        <v/>
      </c>
      <c r="F744" s="12" t="str">
        <f>IF(A744="","",MAX(E$4:E744))</f>
        <v/>
      </c>
      <c r="G744" s="17"/>
    </row>
    <row r="745" spans="1:7">
      <c r="A745" s="7" t="str">
        <f>IF(子基金及业绩基准周净值!A770="","",子基金及业绩基准周净值!A770)</f>
        <v/>
      </c>
      <c r="B745" s="1" t="str">
        <f>IF(A745="","",VLOOKUP($A745,子基金及业绩基准周净值!$A:$AV,11))</f>
        <v/>
      </c>
      <c r="C745" s="8" t="str">
        <f t="shared" si="41"/>
        <v/>
      </c>
      <c r="D745" s="9" t="str">
        <f>IF(A745="","",C745-子基金及业绩基准周净值!AI770)</f>
        <v/>
      </c>
      <c r="E745" s="12" t="str">
        <f>IF(A745="","",(MAX(B$3:B745)-B745)/MAX(B$3:B745))</f>
        <v/>
      </c>
      <c r="F745" s="12" t="str">
        <f>IF(A745="","",MAX(E$4:E745))</f>
        <v/>
      </c>
      <c r="G745" s="17"/>
    </row>
    <row r="746" spans="1:7">
      <c r="A746" s="7" t="str">
        <f>IF(子基金及业绩基准周净值!A771="","",子基金及业绩基准周净值!A771)</f>
        <v/>
      </c>
      <c r="B746" s="1" t="str">
        <f>IF(A746="","",VLOOKUP($A746,子基金及业绩基准周净值!$A:$AV,11))</f>
        <v/>
      </c>
      <c r="C746" s="8" t="str">
        <f t="shared" si="41"/>
        <v/>
      </c>
      <c r="D746" s="9" t="str">
        <f>IF(A746="","",C746-子基金及业绩基准周净值!AI771)</f>
        <v/>
      </c>
      <c r="E746" s="12" t="str">
        <f>IF(A746="","",(MAX(B$3:B746)-B746)/MAX(B$3:B746))</f>
        <v/>
      </c>
      <c r="F746" s="12" t="str">
        <f>IF(A746="","",MAX(E$4:E746))</f>
        <v/>
      </c>
      <c r="G746" s="17"/>
    </row>
    <row r="747" spans="1:7">
      <c r="A747" s="7" t="str">
        <f>IF(子基金及业绩基准周净值!A772="","",子基金及业绩基准周净值!A772)</f>
        <v/>
      </c>
      <c r="B747" s="1" t="str">
        <f>IF(A747="","",VLOOKUP($A747,子基金及业绩基准周净值!$A:$AV,11))</f>
        <v/>
      </c>
      <c r="C747" s="8" t="str">
        <f t="shared" si="41"/>
        <v/>
      </c>
      <c r="D747" s="9" t="str">
        <f>IF(A747="","",C747-子基金及业绩基准周净值!AI772)</f>
        <v/>
      </c>
      <c r="E747" s="12" t="str">
        <f>IF(A747="","",(MAX(B$3:B747)-B747)/MAX(B$3:B747))</f>
        <v/>
      </c>
      <c r="F747" s="12" t="str">
        <f>IF(A747="","",MAX(E$4:E747))</f>
        <v/>
      </c>
      <c r="G747" s="17"/>
    </row>
    <row r="748" spans="1:7">
      <c r="A748" s="7" t="str">
        <f>IF(子基金及业绩基准周净值!A773="","",子基金及业绩基准周净值!A773)</f>
        <v/>
      </c>
      <c r="B748" s="1" t="str">
        <f>IF(A748="","",VLOOKUP($A748,子基金及业绩基准周净值!$A:$AV,11))</f>
        <v/>
      </c>
      <c r="C748" s="8" t="str">
        <f t="shared" si="41"/>
        <v/>
      </c>
      <c r="D748" s="9" t="str">
        <f>IF(A748="","",C748-子基金及业绩基准周净值!AI773)</f>
        <v/>
      </c>
      <c r="E748" s="12" t="str">
        <f>IF(A748="","",(MAX(B$3:B748)-B748)/MAX(B$3:B748))</f>
        <v/>
      </c>
      <c r="F748" s="12" t="str">
        <f>IF(A748="","",MAX(E$4:E748))</f>
        <v/>
      </c>
      <c r="G748" s="17"/>
    </row>
    <row r="749" spans="1:7">
      <c r="A749" s="7" t="str">
        <f>IF(子基金及业绩基准周净值!A774="","",子基金及业绩基准周净值!A774)</f>
        <v/>
      </c>
      <c r="B749" s="1" t="str">
        <f>IF(A749="","",VLOOKUP($A749,子基金及业绩基准周净值!$A:$AV,11))</f>
        <v/>
      </c>
      <c r="C749" s="8" t="str">
        <f t="shared" si="41"/>
        <v/>
      </c>
      <c r="D749" s="9" t="str">
        <f>IF(A749="","",C749-子基金及业绩基准周净值!AI774)</f>
        <v/>
      </c>
      <c r="E749" s="12" t="str">
        <f>IF(A749="","",(MAX(B$3:B749)-B749)/MAX(B$3:B749))</f>
        <v/>
      </c>
      <c r="F749" s="12" t="str">
        <f>IF(A749="","",MAX(E$4:E749))</f>
        <v/>
      </c>
      <c r="G749" s="17"/>
    </row>
    <row r="750" spans="1:7">
      <c r="A750" s="7" t="str">
        <f>IF(子基金及业绩基准周净值!A775="","",子基金及业绩基准周净值!A775)</f>
        <v/>
      </c>
      <c r="B750" s="1" t="str">
        <f>IF(A750="","",VLOOKUP($A750,子基金及业绩基准周净值!$A:$AV,11))</f>
        <v/>
      </c>
      <c r="C750" s="8" t="str">
        <f t="shared" si="41"/>
        <v/>
      </c>
      <c r="D750" s="9" t="str">
        <f>IF(A750="","",C750-子基金及业绩基准周净值!AI775)</f>
        <v/>
      </c>
      <c r="E750" s="12" t="str">
        <f>IF(A750="","",(MAX(B$3:B750)-B750)/MAX(B$3:B750))</f>
        <v/>
      </c>
      <c r="F750" s="12" t="str">
        <f>IF(A750="","",MAX(E$4:E750))</f>
        <v/>
      </c>
      <c r="G750" s="17"/>
    </row>
    <row r="751" spans="1:7">
      <c r="A751" s="7" t="str">
        <f>IF(子基金及业绩基准周净值!A776="","",子基金及业绩基准周净值!A776)</f>
        <v/>
      </c>
      <c r="B751" s="1" t="str">
        <f>IF(A751="","",VLOOKUP($A751,子基金及业绩基准周净值!$A:$AV,11))</f>
        <v/>
      </c>
      <c r="C751" s="8" t="str">
        <f t="shared" si="41"/>
        <v/>
      </c>
      <c r="D751" s="9" t="str">
        <f>IF(A751="","",C751-子基金及业绩基准周净值!AI776)</f>
        <v/>
      </c>
      <c r="E751" s="12" t="str">
        <f>IF(A751="","",(MAX(B$3:B751)-B751)/MAX(B$3:B751))</f>
        <v/>
      </c>
      <c r="F751" s="12" t="str">
        <f>IF(A751="","",MAX(E$4:E751))</f>
        <v/>
      </c>
      <c r="G751" s="17"/>
    </row>
    <row r="752" spans="1:7">
      <c r="A752" s="7" t="str">
        <f>IF(子基金及业绩基准周净值!A777="","",子基金及业绩基准周净值!A777)</f>
        <v/>
      </c>
      <c r="B752" s="1" t="str">
        <f>IF(A752="","",VLOOKUP($A752,子基金及业绩基准周净值!$A:$AV,11))</f>
        <v/>
      </c>
      <c r="C752" s="8" t="str">
        <f t="shared" si="41"/>
        <v/>
      </c>
      <c r="D752" s="9" t="str">
        <f>IF(A752="","",C752-子基金及业绩基准周净值!AI777)</f>
        <v/>
      </c>
      <c r="E752" s="12" t="str">
        <f>IF(A752="","",(MAX(B$3:B752)-B752)/MAX(B$3:B752))</f>
        <v/>
      </c>
      <c r="F752" s="12" t="str">
        <f>IF(A752="","",MAX(E$4:E752))</f>
        <v/>
      </c>
      <c r="G752" s="17"/>
    </row>
    <row r="753" spans="1:7">
      <c r="A753" s="7" t="str">
        <f>IF(子基金及业绩基准周净值!A778="","",子基金及业绩基准周净值!A778)</f>
        <v/>
      </c>
      <c r="B753" s="1" t="str">
        <f>IF(A753="","",VLOOKUP($A753,子基金及业绩基准周净值!$A:$AV,11))</f>
        <v/>
      </c>
      <c r="C753" s="8" t="str">
        <f t="shared" si="41"/>
        <v/>
      </c>
      <c r="D753" s="9" t="str">
        <f>IF(A753="","",C753-子基金及业绩基准周净值!AI778)</f>
        <v/>
      </c>
      <c r="E753" s="12" t="str">
        <f>IF(A753="","",(MAX(B$3:B753)-B753)/MAX(B$3:B753))</f>
        <v/>
      </c>
      <c r="F753" s="12" t="str">
        <f>IF(A753="","",MAX(E$4:E753))</f>
        <v/>
      </c>
      <c r="G753" s="17"/>
    </row>
    <row r="754" spans="1:7">
      <c r="A754" s="7" t="str">
        <f>IF(子基金及业绩基准周净值!A779="","",子基金及业绩基准周净值!A779)</f>
        <v/>
      </c>
      <c r="B754" s="1" t="str">
        <f>IF(A754="","",VLOOKUP($A754,子基金及业绩基准周净值!$A:$AV,11))</f>
        <v/>
      </c>
      <c r="C754" s="8" t="str">
        <f t="shared" si="41"/>
        <v/>
      </c>
      <c r="D754" s="9" t="str">
        <f>IF(A754="","",C754-子基金及业绩基准周净值!AI779)</f>
        <v/>
      </c>
      <c r="E754" s="12" t="str">
        <f>IF(A754="","",(MAX(B$3:B754)-B754)/MAX(B$3:B754))</f>
        <v/>
      </c>
      <c r="F754" s="12" t="str">
        <f>IF(A754="","",MAX(E$4:E754))</f>
        <v/>
      </c>
      <c r="G754" s="17"/>
    </row>
    <row r="755" spans="1:7">
      <c r="A755" s="7" t="str">
        <f>IF(子基金及业绩基准周净值!A780="","",子基金及业绩基准周净值!A780)</f>
        <v/>
      </c>
      <c r="B755" s="1" t="str">
        <f>IF(A755="","",VLOOKUP($A755,子基金及业绩基准周净值!$A:$AV,11))</f>
        <v/>
      </c>
      <c r="C755" s="8" t="str">
        <f t="shared" si="41"/>
        <v/>
      </c>
      <c r="D755" s="9" t="str">
        <f>IF(A755="","",C755-子基金及业绩基准周净值!AI780)</f>
        <v/>
      </c>
      <c r="E755" s="12" t="str">
        <f>IF(A755="","",(MAX(B$3:B755)-B755)/MAX(B$3:B755))</f>
        <v/>
      </c>
      <c r="F755" s="12" t="str">
        <f>IF(A755="","",MAX(E$4:E755))</f>
        <v/>
      </c>
      <c r="G755" s="17"/>
    </row>
    <row r="756" spans="1:7">
      <c r="A756" s="7" t="str">
        <f>IF(子基金及业绩基准周净值!A781="","",子基金及业绩基准周净值!A781)</f>
        <v/>
      </c>
      <c r="B756" s="1" t="str">
        <f>IF(A756="","",VLOOKUP($A756,子基金及业绩基准周净值!$A:$AV,11))</f>
        <v/>
      </c>
      <c r="C756" s="8" t="str">
        <f t="shared" si="41"/>
        <v/>
      </c>
      <c r="D756" s="9" t="str">
        <f>IF(A756="","",C756-子基金及业绩基准周净值!AI781)</f>
        <v/>
      </c>
      <c r="E756" s="12" t="str">
        <f>IF(A756="","",(MAX(B$3:B756)-B756)/MAX(B$3:B756))</f>
        <v/>
      </c>
      <c r="F756" s="12" t="str">
        <f>IF(A756="","",MAX(E$4:E756))</f>
        <v/>
      </c>
      <c r="G756" s="17"/>
    </row>
    <row r="757" spans="1:7">
      <c r="A757" s="7" t="str">
        <f>IF(子基金及业绩基准周净值!A782="","",子基金及业绩基准周净值!A782)</f>
        <v/>
      </c>
      <c r="B757" s="1" t="str">
        <f>IF(A757="","",VLOOKUP($A757,子基金及业绩基准周净值!$A:$AV,11))</f>
        <v/>
      </c>
      <c r="C757" s="8" t="str">
        <f t="shared" si="41"/>
        <v/>
      </c>
      <c r="D757" s="9" t="str">
        <f>IF(A757="","",C757-子基金及业绩基准周净值!AI782)</f>
        <v/>
      </c>
      <c r="E757" s="12" t="str">
        <f>IF(A757="","",(MAX(B$3:B757)-B757)/MAX(B$3:B757))</f>
        <v/>
      </c>
      <c r="F757" s="12" t="str">
        <f>IF(A757="","",MAX(E$4:E757))</f>
        <v/>
      </c>
      <c r="G757" s="17"/>
    </row>
    <row r="758" spans="1:7">
      <c r="A758" s="7" t="str">
        <f>IF(子基金及业绩基准周净值!A783="","",子基金及业绩基准周净值!A783)</f>
        <v/>
      </c>
      <c r="B758" s="1" t="str">
        <f>IF(A758="","",VLOOKUP($A758,子基金及业绩基准周净值!$A:$AV,11))</f>
        <v/>
      </c>
      <c r="C758" s="8" t="str">
        <f t="shared" si="41"/>
        <v/>
      </c>
      <c r="D758" s="9" t="str">
        <f>IF(A758="","",C758-子基金及业绩基准周净值!AI783)</f>
        <v/>
      </c>
      <c r="E758" s="12" t="str">
        <f>IF(A758="","",(MAX(B$3:B758)-B758)/MAX(B$3:B758))</f>
        <v/>
      </c>
      <c r="F758" s="12" t="str">
        <f>IF(A758="","",MAX(E$4:E758))</f>
        <v/>
      </c>
      <c r="G758" s="17"/>
    </row>
    <row r="759" spans="1:7">
      <c r="A759" s="7" t="str">
        <f>IF(子基金及业绩基准周净值!A784="","",子基金及业绩基准周净值!A784)</f>
        <v/>
      </c>
      <c r="B759" s="1" t="str">
        <f>IF(A759="","",VLOOKUP($A759,子基金及业绩基准周净值!$A:$AV,11))</f>
        <v/>
      </c>
      <c r="C759" s="8" t="str">
        <f t="shared" si="41"/>
        <v/>
      </c>
      <c r="D759" s="9" t="str">
        <f>IF(A759="","",C759-子基金及业绩基准周净值!AI784)</f>
        <v/>
      </c>
      <c r="E759" s="12" t="str">
        <f>IF(A759="","",(MAX(B$3:B759)-B759)/MAX(B$3:B759))</f>
        <v/>
      </c>
      <c r="F759" s="12" t="str">
        <f>IF(A759="","",MAX(E$4:E759))</f>
        <v/>
      </c>
      <c r="G759" s="17"/>
    </row>
    <row r="760" spans="1:7">
      <c r="A760" s="7" t="str">
        <f>IF(子基金及业绩基准周净值!A785="","",子基金及业绩基准周净值!A785)</f>
        <v/>
      </c>
      <c r="B760" s="1" t="str">
        <f>IF(A760="","",VLOOKUP($A760,子基金及业绩基准周净值!$A:$AV,11))</f>
        <v/>
      </c>
      <c r="C760" s="8" t="str">
        <f t="shared" si="41"/>
        <v/>
      </c>
      <c r="D760" s="9" t="str">
        <f>IF(A760="","",C760-子基金及业绩基准周净值!AI785)</f>
        <v/>
      </c>
      <c r="E760" s="12" t="str">
        <f>IF(A760="","",(MAX(B$3:B760)-B760)/MAX(B$3:B760))</f>
        <v/>
      </c>
      <c r="F760" s="12" t="str">
        <f>IF(A760="","",MAX(E$4:E760))</f>
        <v/>
      </c>
      <c r="G760" s="17"/>
    </row>
    <row r="761" spans="1:7">
      <c r="A761" s="7" t="str">
        <f>IF(子基金及业绩基准周净值!A786="","",子基金及业绩基准周净值!A786)</f>
        <v/>
      </c>
      <c r="B761" s="1" t="str">
        <f>IF(A761="","",VLOOKUP($A761,子基金及业绩基准周净值!$A:$AV,11))</f>
        <v/>
      </c>
      <c r="C761" s="8" t="str">
        <f t="shared" si="41"/>
        <v/>
      </c>
      <c r="D761" s="9" t="str">
        <f>IF(A761="","",C761-子基金及业绩基准周净值!AI786)</f>
        <v/>
      </c>
      <c r="E761" s="12" t="str">
        <f>IF(A761="","",(MAX(B$3:B761)-B761)/MAX(B$3:B761))</f>
        <v/>
      </c>
      <c r="F761" s="12" t="str">
        <f>IF(A761="","",MAX(E$4:E761))</f>
        <v/>
      </c>
      <c r="G761" s="17"/>
    </row>
    <row r="762" spans="1:7">
      <c r="A762" s="7" t="str">
        <f>IF(子基金及业绩基准周净值!A787="","",子基金及业绩基准周净值!A787)</f>
        <v/>
      </c>
      <c r="B762" s="1" t="str">
        <f>IF(A762="","",VLOOKUP($A762,子基金及业绩基准周净值!$A:$AV,11))</f>
        <v/>
      </c>
      <c r="C762" s="8" t="str">
        <f t="shared" si="41"/>
        <v/>
      </c>
      <c r="D762" s="9" t="str">
        <f>IF(A762="","",C762-子基金及业绩基准周净值!AI787)</f>
        <v/>
      </c>
      <c r="E762" s="12" t="str">
        <f>IF(A762="","",(MAX(B$3:B762)-B762)/MAX(B$3:B762))</f>
        <v/>
      </c>
      <c r="F762" s="12" t="str">
        <f>IF(A762="","",MAX(E$4:E762))</f>
        <v/>
      </c>
      <c r="G762" s="17"/>
    </row>
    <row r="763" spans="1:7">
      <c r="A763" s="7" t="str">
        <f>IF(子基金及业绩基准周净值!A788="","",子基金及业绩基准周净值!A788)</f>
        <v/>
      </c>
      <c r="B763" s="1" t="str">
        <f>IF(A763="","",VLOOKUP($A763,子基金及业绩基准周净值!$A:$AV,11))</f>
        <v/>
      </c>
      <c r="C763" s="8" t="str">
        <f t="shared" si="41"/>
        <v/>
      </c>
      <c r="D763" s="9" t="str">
        <f>IF(A763="","",C763-子基金及业绩基准周净值!AI788)</f>
        <v/>
      </c>
      <c r="E763" s="12" t="str">
        <f>IF(A763="","",(MAX(B$3:B763)-B763)/MAX(B$3:B763))</f>
        <v/>
      </c>
      <c r="F763" s="12" t="str">
        <f>IF(A763="","",MAX(E$4:E763))</f>
        <v/>
      </c>
      <c r="G763" s="17"/>
    </row>
    <row r="764" spans="1:7">
      <c r="A764" s="7" t="str">
        <f>IF(子基金及业绩基准周净值!A789="","",子基金及业绩基准周净值!A789)</f>
        <v/>
      </c>
      <c r="B764" s="1" t="str">
        <f>IF(A764="","",VLOOKUP($A764,子基金及业绩基准周净值!$A:$AV,11))</f>
        <v/>
      </c>
      <c r="C764" s="8" t="str">
        <f t="shared" si="41"/>
        <v/>
      </c>
      <c r="D764" s="9" t="str">
        <f>IF(A764="","",C764-子基金及业绩基准周净值!AI789)</f>
        <v/>
      </c>
      <c r="E764" s="12" t="str">
        <f>IF(A764="","",(MAX(B$3:B764)-B764)/MAX(B$3:B764))</f>
        <v/>
      </c>
      <c r="F764" s="12" t="str">
        <f>IF(A764="","",MAX(E$4:E764))</f>
        <v/>
      </c>
      <c r="G764" s="17"/>
    </row>
    <row r="765" spans="1:7">
      <c r="A765" s="7" t="str">
        <f>IF(子基金及业绩基准周净值!A790="","",子基金及业绩基准周净值!A790)</f>
        <v/>
      </c>
      <c r="B765" s="1" t="str">
        <f>IF(A765="","",VLOOKUP($A765,子基金及业绩基准周净值!$A:$AV,11))</f>
        <v/>
      </c>
      <c r="C765" s="8" t="str">
        <f t="shared" si="41"/>
        <v/>
      </c>
      <c r="D765" s="9" t="str">
        <f>IF(A765="","",C765-子基金及业绩基准周净值!AI790)</f>
        <v/>
      </c>
      <c r="E765" s="12" t="str">
        <f>IF(A765="","",(MAX(B$3:B765)-B765)/MAX(B$3:B765))</f>
        <v/>
      </c>
      <c r="F765" s="12" t="str">
        <f>IF(A765="","",MAX(E$4:E765))</f>
        <v/>
      </c>
      <c r="G765" s="17"/>
    </row>
    <row r="766" spans="1:7">
      <c r="A766" s="7" t="str">
        <f>IF(子基金及业绩基准周净值!A791="","",子基金及业绩基准周净值!A791)</f>
        <v/>
      </c>
      <c r="B766" s="1" t="str">
        <f>IF(A766="","",VLOOKUP($A766,子基金及业绩基准周净值!$A:$AV,11))</f>
        <v/>
      </c>
      <c r="C766" s="8" t="str">
        <f t="shared" si="41"/>
        <v/>
      </c>
      <c r="D766" s="9" t="str">
        <f>IF(A766="","",C766-子基金及业绩基准周净值!AI791)</f>
        <v/>
      </c>
      <c r="E766" s="12" t="str">
        <f>IF(A766="","",(MAX(B$3:B766)-B766)/MAX(B$3:B766))</f>
        <v/>
      </c>
      <c r="F766" s="12" t="str">
        <f>IF(A766="","",MAX(E$4:E766))</f>
        <v/>
      </c>
      <c r="G766" s="17"/>
    </row>
    <row r="767" spans="1:7">
      <c r="A767" s="7" t="str">
        <f>IF(子基金及业绩基准周净值!A792="","",子基金及业绩基准周净值!A792)</f>
        <v/>
      </c>
      <c r="B767" s="1" t="str">
        <f>IF(A767="","",VLOOKUP($A767,子基金及业绩基准周净值!$A:$AV,11))</f>
        <v/>
      </c>
      <c r="C767" s="8" t="str">
        <f t="shared" si="41"/>
        <v/>
      </c>
      <c r="D767" s="9" t="str">
        <f>IF(A767="","",C767-子基金及业绩基准周净值!AI792)</f>
        <v/>
      </c>
      <c r="E767" s="12" t="str">
        <f>IF(A767="","",(MAX(B$3:B767)-B767)/MAX(B$3:B767))</f>
        <v/>
      </c>
      <c r="F767" s="12" t="str">
        <f>IF(A767="","",MAX(E$4:E767))</f>
        <v/>
      </c>
      <c r="G767" s="17"/>
    </row>
    <row r="768" spans="1:7">
      <c r="A768" s="7" t="str">
        <f>IF(子基金及业绩基准周净值!A793="","",子基金及业绩基准周净值!A793)</f>
        <v/>
      </c>
      <c r="B768" s="1" t="str">
        <f>IF(A768="","",VLOOKUP($A768,子基金及业绩基准周净值!$A:$AV,11))</f>
        <v/>
      </c>
      <c r="C768" s="8" t="str">
        <f t="shared" si="41"/>
        <v/>
      </c>
      <c r="D768" s="9" t="str">
        <f>IF(A768="","",C768-子基金及业绩基准周净值!AI793)</f>
        <v/>
      </c>
      <c r="E768" s="12" t="str">
        <f>IF(A768="","",(MAX(B$3:B768)-B768)/MAX(B$3:B768))</f>
        <v/>
      </c>
      <c r="F768" s="12" t="str">
        <f>IF(A768="","",MAX(E$4:E768))</f>
        <v/>
      </c>
      <c r="G768" s="17"/>
    </row>
    <row r="769" spans="1:7">
      <c r="A769" s="7" t="str">
        <f>IF(子基金及业绩基准周净值!A794="","",子基金及业绩基准周净值!A794)</f>
        <v/>
      </c>
      <c r="B769" s="1" t="str">
        <f>IF(A769="","",VLOOKUP($A769,子基金及业绩基准周净值!$A:$AV,11))</f>
        <v/>
      </c>
      <c r="C769" s="8" t="str">
        <f t="shared" si="41"/>
        <v/>
      </c>
      <c r="D769" s="9" t="str">
        <f>IF(A769="","",C769-子基金及业绩基准周净值!AI794)</f>
        <v/>
      </c>
      <c r="E769" s="12" t="str">
        <f>IF(A769="","",(MAX(B$3:B769)-B769)/MAX(B$3:B769))</f>
        <v/>
      </c>
      <c r="F769" s="12" t="str">
        <f>IF(A769="","",MAX(E$4:E769))</f>
        <v/>
      </c>
      <c r="G769" s="17"/>
    </row>
    <row r="770" spans="1:7">
      <c r="A770" s="7" t="str">
        <f>IF(子基金及业绩基准周净值!A795="","",子基金及业绩基准周净值!A795)</f>
        <v/>
      </c>
      <c r="B770" s="1" t="str">
        <f>IF(A770="","",VLOOKUP($A770,子基金及业绩基准周净值!$A:$AV,11))</f>
        <v/>
      </c>
      <c r="C770" s="8" t="str">
        <f t="shared" si="41"/>
        <v/>
      </c>
      <c r="D770" s="9" t="str">
        <f>IF(A770="","",C770-子基金及业绩基准周净值!AI795)</f>
        <v/>
      </c>
      <c r="E770" s="12" t="str">
        <f>IF(A770="","",(MAX(B$3:B770)-B770)/MAX(B$3:B770))</f>
        <v/>
      </c>
      <c r="F770" s="12" t="str">
        <f>IF(A770="","",MAX(E$4:E770))</f>
        <v/>
      </c>
      <c r="G770" s="17"/>
    </row>
    <row r="771" spans="1:7">
      <c r="A771" s="7" t="str">
        <f>IF(子基金及业绩基准周净值!A796="","",子基金及业绩基准周净值!A796)</f>
        <v/>
      </c>
      <c r="B771" s="1" t="str">
        <f>IF(A771="","",VLOOKUP($A771,子基金及业绩基准周净值!$A:$AV,11))</f>
        <v/>
      </c>
      <c r="C771" s="8" t="str">
        <f t="shared" si="41"/>
        <v/>
      </c>
      <c r="D771" s="9" t="str">
        <f>IF(A771="","",C771-子基金及业绩基准周净值!AI796)</f>
        <v/>
      </c>
      <c r="E771" s="12" t="str">
        <f>IF(A771="","",(MAX(B$3:B771)-B771)/MAX(B$3:B771))</f>
        <v/>
      </c>
      <c r="F771" s="12" t="str">
        <f>IF(A771="","",MAX(E$4:E771))</f>
        <v/>
      </c>
      <c r="G771" s="17"/>
    </row>
    <row r="772" spans="1:7">
      <c r="A772" s="7" t="str">
        <f>IF(子基金及业绩基准周净值!A797="","",子基金及业绩基准周净值!A797)</f>
        <v/>
      </c>
      <c r="B772" s="1" t="str">
        <f>IF(A772="","",VLOOKUP($A772,子基金及业绩基准周净值!$A:$AV,11))</f>
        <v/>
      </c>
      <c r="C772" s="8" t="str">
        <f t="shared" si="41"/>
        <v/>
      </c>
      <c r="D772" s="9" t="str">
        <f>IF(A772="","",C772-子基金及业绩基准周净值!AI797)</f>
        <v/>
      </c>
      <c r="E772" s="12" t="str">
        <f>IF(A772="","",(MAX(B$3:B772)-B772)/MAX(B$3:B772))</f>
        <v/>
      </c>
      <c r="F772" s="12" t="str">
        <f>IF(A772="","",MAX(E$4:E772))</f>
        <v/>
      </c>
      <c r="G772" s="17"/>
    </row>
    <row r="773" spans="1:7">
      <c r="A773" s="7" t="str">
        <f>IF(子基金及业绩基准周净值!A798="","",子基金及业绩基准周净值!A798)</f>
        <v/>
      </c>
      <c r="B773" s="1" t="str">
        <f>IF(A773="","",VLOOKUP($A773,子基金及业绩基准周净值!$A:$AV,11))</f>
        <v/>
      </c>
      <c r="C773" s="8" t="str">
        <f t="shared" ref="C773:C836" si="42">IF(A773="","",(B773-B772)/B772)</f>
        <v/>
      </c>
      <c r="D773" s="9" t="str">
        <f>IF(A773="","",C773-子基金及业绩基准周净值!AI798)</f>
        <v/>
      </c>
      <c r="E773" s="12" t="str">
        <f>IF(A773="","",(MAX(B$3:B773)-B773)/MAX(B$3:B773))</f>
        <v/>
      </c>
      <c r="F773" s="12" t="str">
        <f>IF(A773="","",MAX(E$4:E773))</f>
        <v/>
      </c>
      <c r="G773" s="17"/>
    </row>
    <row r="774" spans="1:7">
      <c r="A774" s="7" t="str">
        <f>IF(子基金及业绩基准周净值!A799="","",子基金及业绩基准周净值!A799)</f>
        <v/>
      </c>
      <c r="B774" s="1" t="str">
        <f>IF(A774="","",VLOOKUP($A774,子基金及业绩基准周净值!$A:$AV,11))</f>
        <v/>
      </c>
      <c r="C774" s="8" t="str">
        <f t="shared" si="42"/>
        <v/>
      </c>
      <c r="D774" s="9" t="str">
        <f>IF(A774="","",C774-子基金及业绩基准周净值!AI799)</f>
        <v/>
      </c>
      <c r="E774" s="12" t="str">
        <f>IF(A774="","",(MAX(B$3:B774)-B774)/MAX(B$3:B774))</f>
        <v/>
      </c>
      <c r="F774" s="12" t="str">
        <f>IF(A774="","",MAX(E$4:E774))</f>
        <v/>
      </c>
      <c r="G774" s="17"/>
    </row>
    <row r="775" spans="1:7">
      <c r="A775" s="7" t="str">
        <f>IF(子基金及业绩基准周净值!A800="","",子基金及业绩基准周净值!A800)</f>
        <v/>
      </c>
      <c r="B775" s="1" t="str">
        <f>IF(A775="","",VLOOKUP($A775,子基金及业绩基准周净值!$A:$AV,11))</f>
        <v/>
      </c>
      <c r="C775" s="8" t="str">
        <f t="shared" si="42"/>
        <v/>
      </c>
      <c r="D775" s="9" t="str">
        <f>IF(A775="","",C775-子基金及业绩基准周净值!AI800)</f>
        <v/>
      </c>
      <c r="E775" s="12" t="str">
        <f>IF(A775="","",(MAX(B$3:B775)-B775)/MAX(B$3:B775))</f>
        <v/>
      </c>
      <c r="F775" s="12" t="str">
        <f>IF(A775="","",MAX(E$4:E775))</f>
        <v/>
      </c>
      <c r="G775" s="17"/>
    </row>
    <row r="776" spans="1:7">
      <c r="A776" s="7" t="str">
        <f>IF(子基金及业绩基准周净值!A801="","",子基金及业绩基准周净值!A801)</f>
        <v/>
      </c>
      <c r="B776" s="1" t="str">
        <f>IF(A776="","",VLOOKUP($A776,子基金及业绩基准周净值!$A:$AV,11))</f>
        <v/>
      </c>
      <c r="C776" s="8" t="str">
        <f t="shared" si="42"/>
        <v/>
      </c>
      <c r="D776" s="9" t="str">
        <f>IF(A776="","",C776-子基金及业绩基准周净值!AI801)</f>
        <v/>
      </c>
      <c r="E776" s="12" t="str">
        <f>IF(A776="","",(MAX(B$3:B776)-B776)/MAX(B$3:B776))</f>
        <v/>
      </c>
      <c r="F776" s="12" t="str">
        <f>IF(A776="","",MAX(E$4:E776))</f>
        <v/>
      </c>
      <c r="G776" s="17"/>
    </row>
    <row r="777" spans="1:7">
      <c r="A777" s="7" t="str">
        <f>IF(子基金及业绩基准周净值!A802="","",子基金及业绩基准周净值!A802)</f>
        <v/>
      </c>
      <c r="B777" s="1" t="str">
        <f>IF(A777="","",VLOOKUP($A777,子基金及业绩基准周净值!$A:$AV,11))</f>
        <v/>
      </c>
      <c r="C777" s="8" t="str">
        <f t="shared" si="42"/>
        <v/>
      </c>
      <c r="D777" s="9" t="str">
        <f>IF(A777="","",C777-子基金及业绩基准周净值!AI802)</f>
        <v/>
      </c>
      <c r="E777" s="12" t="str">
        <f>IF(A777="","",(MAX(B$3:B777)-B777)/MAX(B$3:B777))</f>
        <v/>
      </c>
      <c r="F777" s="12" t="str">
        <f>IF(A777="","",MAX(E$4:E777))</f>
        <v/>
      </c>
      <c r="G777" s="17"/>
    </row>
    <row r="778" spans="1:7">
      <c r="A778" s="7" t="str">
        <f>IF(子基金及业绩基准周净值!A803="","",子基金及业绩基准周净值!A803)</f>
        <v/>
      </c>
      <c r="B778" s="1" t="str">
        <f>IF(A778="","",VLOOKUP($A778,子基金及业绩基准周净值!$A:$AV,11))</f>
        <v/>
      </c>
      <c r="C778" s="8" t="str">
        <f t="shared" si="42"/>
        <v/>
      </c>
      <c r="D778" s="9" t="str">
        <f>IF(A778="","",C778-子基金及业绩基准周净值!AI803)</f>
        <v/>
      </c>
      <c r="E778" s="12" t="str">
        <f>IF(A778="","",(MAX(B$3:B778)-B778)/MAX(B$3:B778))</f>
        <v/>
      </c>
      <c r="F778" s="12" t="str">
        <f>IF(A778="","",MAX(E$4:E778))</f>
        <v/>
      </c>
      <c r="G778" s="17"/>
    </row>
    <row r="779" spans="1:7">
      <c r="A779" s="7" t="str">
        <f>IF(子基金及业绩基准周净值!A804="","",子基金及业绩基准周净值!A804)</f>
        <v/>
      </c>
      <c r="B779" s="1" t="str">
        <f>IF(A779="","",VLOOKUP($A779,子基金及业绩基准周净值!$A:$AV,11))</f>
        <v/>
      </c>
      <c r="C779" s="8" t="str">
        <f t="shared" si="42"/>
        <v/>
      </c>
      <c r="D779" s="9" t="str">
        <f>IF(A779="","",C779-子基金及业绩基准周净值!AI804)</f>
        <v/>
      </c>
      <c r="E779" s="12" t="str">
        <f>IF(A779="","",(MAX(B$3:B779)-B779)/MAX(B$3:B779))</f>
        <v/>
      </c>
      <c r="F779" s="12" t="str">
        <f>IF(A779="","",MAX(E$4:E779))</f>
        <v/>
      </c>
      <c r="G779" s="17"/>
    </row>
    <row r="780" spans="1:7">
      <c r="A780" s="7" t="str">
        <f>IF(子基金及业绩基准周净值!A805="","",子基金及业绩基准周净值!A805)</f>
        <v/>
      </c>
      <c r="B780" s="1" t="str">
        <f>IF(A780="","",VLOOKUP($A780,子基金及业绩基准周净值!$A:$AV,11))</f>
        <v/>
      </c>
      <c r="C780" s="8" t="str">
        <f t="shared" si="42"/>
        <v/>
      </c>
      <c r="D780" s="9" t="str">
        <f>IF(A780="","",C780-子基金及业绩基准周净值!AI805)</f>
        <v/>
      </c>
      <c r="E780" s="12" t="str">
        <f>IF(A780="","",(MAX(B$3:B780)-B780)/MAX(B$3:B780))</f>
        <v/>
      </c>
      <c r="F780" s="12" t="str">
        <f>IF(A780="","",MAX(E$4:E780))</f>
        <v/>
      </c>
      <c r="G780" s="17"/>
    </row>
    <row r="781" spans="1:7">
      <c r="A781" s="7" t="str">
        <f>IF(子基金及业绩基准周净值!A806="","",子基金及业绩基准周净值!A806)</f>
        <v/>
      </c>
      <c r="B781" s="1" t="str">
        <f>IF(A781="","",VLOOKUP($A781,子基金及业绩基准周净值!$A:$AV,11))</f>
        <v/>
      </c>
      <c r="C781" s="8" t="str">
        <f t="shared" si="42"/>
        <v/>
      </c>
      <c r="D781" s="9" t="str">
        <f>IF(A781="","",C781-子基金及业绩基准周净值!AI806)</f>
        <v/>
      </c>
      <c r="E781" s="12" t="str">
        <f>IF(A781="","",(MAX(B$3:B781)-B781)/MAX(B$3:B781))</f>
        <v/>
      </c>
      <c r="F781" s="12" t="str">
        <f>IF(A781="","",MAX(E$4:E781))</f>
        <v/>
      </c>
      <c r="G781" s="17"/>
    </row>
    <row r="782" spans="1:7">
      <c r="A782" s="7" t="str">
        <f>IF(子基金及业绩基准周净值!A807="","",子基金及业绩基准周净值!A807)</f>
        <v/>
      </c>
      <c r="B782" s="1" t="str">
        <f>IF(A782="","",VLOOKUP($A782,子基金及业绩基准周净值!$A:$AV,11))</f>
        <v/>
      </c>
      <c r="C782" s="8" t="str">
        <f t="shared" si="42"/>
        <v/>
      </c>
      <c r="D782" s="9" t="str">
        <f>IF(A782="","",C782-子基金及业绩基准周净值!AI807)</f>
        <v/>
      </c>
      <c r="E782" s="12" t="str">
        <f>IF(A782="","",(MAX(B$3:B782)-B782)/MAX(B$3:B782))</f>
        <v/>
      </c>
      <c r="F782" s="12" t="str">
        <f>IF(A782="","",MAX(E$4:E782))</f>
        <v/>
      </c>
      <c r="G782" s="17"/>
    </row>
    <row r="783" spans="1:7">
      <c r="A783" s="7" t="str">
        <f>IF(子基金及业绩基准周净值!A808="","",子基金及业绩基准周净值!A808)</f>
        <v/>
      </c>
      <c r="B783" s="1" t="str">
        <f>IF(A783="","",VLOOKUP($A783,子基金及业绩基准周净值!$A:$AV,11))</f>
        <v/>
      </c>
      <c r="C783" s="8" t="str">
        <f t="shared" si="42"/>
        <v/>
      </c>
      <c r="D783" s="9" t="str">
        <f>IF(A783="","",C783-子基金及业绩基准周净值!AI808)</f>
        <v/>
      </c>
      <c r="E783" s="12" t="str">
        <f>IF(A783="","",(MAX(B$3:B783)-B783)/MAX(B$3:B783))</f>
        <v/>
      </c>
      <c r="F783" s="12" t="str">
        <f>IF(A783="","",MAX(E$4:E783))</f>
        <v/>
      </c>
      <c r="G783" s="17"/>
    </row>
    <row r="784" spans="1:7">
      <c r="A784" s="7" t="str">
        <f>IF(子基金及业绩基准周净值!A809="","",子基金及业绩基准周净值!A809)</f>
        <v/>
      </c>
      <c r="B784" s="1" t="str">
        <f>IF(A784="","",VLOOKUP($A784,子基金及业绩基准周净值!$A:$AV,11))</f>
        <v/>
      </c>
      <c r="C784" s="8" t="str">
        <f t="shared" si="42"/>
        <v/>
      </c>
      <c r="D784" s="9" t="str">
        <f>IF(A784="","",C784-子基金及业绩基准周净值!AI809)</f>
        <v/>
      </c>
      <c r="E784" s="12" t="str">
        <f>IF(A784="","",(MAX(B$3:B784)-B784)/MAX(B$3:B784))</f>
        <v/>
      </c>
      <c r="F784" s="12" t="str">
        <f>IF(A784="","",MAX(E$4:E784))</f>
        <v/>
      </c>
      <c r="G784" s="17"/>
    </row>
    <row r="785" spans="1:7">
      <c r="A785" s="7" t="str">
        <f>IF(子基金及业绩基准周净值!A810="","",子基金及业绩基准周净值!A810)</f>
        <v/>
      </c>
      <c r="B785" s="1" t="str">
        <f>IF(A785="","",VLOOKUP($A785,子基金及业绩基准周净值!$A:$AV,11))</f>
        <v/>
      </c>
      <c r="C785" s="8" t="str">
        <f t="shared" si="42"/>
        <v/>
      </c>
      <c r="D785" s="9" t="str">
        <f>IF(A785="","",C785-子基金及业绩基准周净值!AI810)</f>
        <v/>
      </c>
      <c r="E785" s="12" t="str">
        <f>IF(A785="","",(MAX(B$3:B785)-B785)/MAX(B$3:B785))</f>
        <v/>
      </c>
      <c r="F785" s="12" t="str">
        <f>IF(A785="","",MAX(E$4:E785))</f>
        <v/>
      </c>
      <c r="G785" s="17"/>
    </row>
    <row r="786" spans="1:7">
      <c r="A786" s="7" t="str">
        <f>IF(子基金及业绩基准周净值!A811="","",子基金及业绩基准周净值!A811)</f>
        <v/>
      </c>
      <c r="B786" s="1" t="str">
        <f>IF(A786="","",VLOOKUP($A786,子基金及业绩基准周净值!$A:$AV,11))</f>
        <v/>
      </c>
      <c r="C786" s="8" t="str">
        <f t="shared" si="42"/>
        <v/>
      </c>
      <c r="D786" s="9" t="str">
        <f>IF(A786="","",C786-子基金及业绩基准周净值!AI811)</f>
        <v/>
      </c>
      <c r="E786" s="12" t="str">
        <f>IF(A786="","",(MAX(B$3:B786)-B786)/MAX(B$3:B786))</f>
        <v/>
      </c>
      <c r="F786" s="12" t="str">
        <f>IF(A786="","",MAX(E$4:E786))</f>
        <v/>
      </c>
      <c r="G786" s="17"/>
    </row>
    <row r="787" spans="1:7">
      <c r="A787" s="7" t="str">
        <f>IF(子基金及业绩基准周净值!A812="","",子基金及业绩基准周净值!A812)</f>
        <v/>
      </c>
      <c r="B787" s="1" t="str">
        <f>IF(A787="","",VLOOKUP($A787,子基金及业绩基准周净值!$A:$AV,11))</f>
        <v/>
      </c>
      <c r="C787" s="8" t="str">
        <f t="shared" si="42"/>
        <v/>
      </c>
      <c r="D787" s="9" t="str">
        <f>IF(A787="","",C787-子基金及业绩基准周净值!AI812)</f>
        <v/>
      </c>
      <c r="E787" s="12" t="str">
        <f>IF(A787="","",(MAX(B$3:B787)-B787)/MAX(B$3:B787))</f>
        <v/>
      </c>
      <c r="F787" s="12" t="str">
        <f>IF(A787="","",MAX(E$4:E787))</f>
        <v/>
      </c>
      <c r="G787" s="17"/>
    </row>
    <row r="788" spans="1:7">
      <c r="A788" s="7" t="str">
        <f>IF(子基金及业绩基准周净值!A813="","",子基金及业绩基准周净值!A813)</f>
        <v/>
      </c>
      <c r="B788" s="1" t="str">
        <f>IF(A788="","",VLOOKUP($A788,子基金及业绩基准周净值!$A:$AV,11))</f>
        <v/>
      </c>
      <c r="C788" s="8" t="str">
        <f t="shared" si="42"/>
        <v/>
      </c>
      <c r="D788" s="9" t="str">
        <f>IF(A788="","",C788-子基金及业绩基准周净值!AI813)</f>
        <v/>
      </c>
      <c r="E788" s="12" t="str">
        <f>IF(A788="","",(MAX(B$3:B788)-B788)/MAX(B$3:B788))</f>
        <v/>
      </c>
      <c r="F788" s="12" t="str">
        <f>IF(A788="","",MAX(E$4:E788))</f>
        <v/>
      </c>
      <c r="G788" s="17"/>
    </row>
    <row r="789" spans="1:7">
      <c r="A789" s="7" t="str">
        <f>IF(子基金及业绩基准周净值!A814="","",子基金及业绩基准周净值!A814)</f>
        <v/>
      </c>
      <c r="B789" s="1" t="str">
        <f>IF(A789="","",VLOOKUP($A789,子基金及业绩基准周净值!$A:$AV,11))</f>
        <v/>
      </c>
      <c r="C789" s="8" t="str">
        <f t="shared" si="42"/>
        <v/>
      </c>
      <c r="D789" s="9" t="str">
        <f>IF(A789="","",C789-子基金及业绩基准周净值!AI814)</f>
        <v/>
      </c>
      <c r="E789" s="12" t="str">
        <f>IF(A789="","",(MAX(B$3:B789)-B789)/MAX(B$3:B789))</f>
        <v/>
      </c>
      <c r="F789" s="12" t="str">
        <f>IF(A789="","",MAX(E$4:E789))</f>
        <v/>
      </c>
      <c r="G789" s="17"/>
    </row>
    <row r="790" spans="1:7">
      <c r="A790" s="7" t="str">
        <f>IF(子基金及业绩基准周净值!A815="","",子基金及业绩基准周净值!A815)</f>
        <v/>
      </c>
      <c r="B790" s="1" t="str">
        <f>IF(A790="","",VLOOKUP($A790,子基金及业绩基准周净值!$A:$AV,11))</f>
        <v/>
      </c>
      <c r="C790" s="8" t="str">
        <f t="shared" si="42"/>
        <v/>
      </c>
      <c r="D790" s="9" t="str">
        <f>IF(A790="","",C790-子基金及业绩基准周净值!AI815)</f>
        <v/>
      </c>
      <c r="E790" s="12" t="str">
        <f>IF(A790="","",(MAX(B$3:B790)-B790)/MAX(B$3:B790))</f>
        <v/>
      </c>
      <c r="F790" s="12" t="str">
        <f>IF(A790="","",MAX(E$4:E790))</f>
        <v/>
      </c>
      <c r="G790" s="17"/>
    </row>
    <row r="791" spans="1:7">
      <c r="A791" s="7" t="str">
        <f>IF(子基金及业绩基准周净值!A816="","",子基金及业绩基准周净值!A816)</f>
        <v/>
      </c>
      <c r="B791" s="1" t="str">
        <f>IF(A791="","",VLOOKUP($A791,子基金及业绩基准周净值!$A:$AV,11))</f>
        <v/>
      </c>
      <c r="C791" s="8" t="str">
        <f t="shared" si="42"/>
        <v/>
      </c>
      <c r="D791" s="9" t="str">
        <f>IF(A791="","",C791-子基金及业绩基准周净值!AI816)</f>
        <v/>
      </c>
      <c r="E791" s="12" t="str">
        <f>IF(A791="","",(MAX(B$3:B791)-B791)/MAX(B$3:B791))</f>
        <v/>
      </c>
      <c r="F791" s="12" t="str">
        <f>IF(A791="","",MAX(E$4:E791))</f>
        <v/>
      </c>
      <c r="G791" s="17"/>
    </row>
    <row r="792" spans="1:7">
      <c r="A792" s="7" t="str">
        <f>IF(子基金及业绩基准周净值!A817="","",子基金及业绩基准周净值!A817)</f>
        <v/>
      </c>
      <c r="B792" s="1" t="str">
        <f>IF(A792="","",VLOOKUP($A792,子基金及业绩基准周净值!$A:$AV,11))</f>
        <v/>
      </c>
      <c r="C792" s="8" t="str">
        <f t="shared" si="42"/>
        <v/>
      </c>
      <c r="D792" s="9" t="str">
        <f>IF(A792="","",C792-子基金及业绩基准周净值!AI817)</f>
        <v/>
      </c>
      <c r="E792" s="12" t="str">
        <f>IF(A792="","",(MAX(B$3:B792)-B792)/MAX(B$3:B792))</f>
        <v/>
      </c>
      <c r="F792" s="12" t="str">
        <f>IF(A792="","",MAX(E$4:E792))</f>
        <v/>
      </c>
      <c r="G792" s="17"/>
    </row>
    <row r="793" spans="1:7">
      <c r="A793" s="7" t="str">
        <f>IF(子基金及业绩基准周净值!A818="","",子基金及业绩基准周净值!A818)</f>
        <v/>
      </c>
      <c r="B793" s="1" t="str">
        <f>IF(A793="","",VLOOKUP($A793,子基金及业绩基准周净值!$A:$AV,11))</f>
        <v/>
      </c>
      <c r="C793" s="8" t="str">
        <f t="shared" si="42"/>
        <v/>
      </c>
      <c r="D793" s="9" t="str">
        <f>IF(A793="","",C793-子基金及业绩基准周净值!AI818)</f>
        <v/>
      </c>
      <c r="E793" s="12" t="str">
        <f>IF(A793="","",(MAX(B$3:B793)-B793)/MAX(B$3:B793))</f>
        <v/>
      </c>
      <c r="F793" s="12" t="str">
        <f>IF(A793="","",MAX(E$4:E793))</f>
        <v/>
      </c>
      <c r="G793" s="17"/>
    </row>
    <row r="794" spans="1:7">
      <c r="A794" s="7" t="str">
        <f>IF(子基金及业绩基准周净值!A819="","",子基金及业绩基准周净值!A819)</f>
        <v/>
      </c>
      <c r="B794" s="1" t="str">
        <f>IF(A794="","",VLOOKUP($A794,子基金及业绩基准周净值!$A:$AV,11))</f>
        <v/>
      </c>
      <c r="C794" s="8" t="str">
        <f t="shared" si="42"/>
        <v/>
      </c>
      <c r="D794" s="9" t="str">
        <f>IF(A794="","",C794-子基金及业绩基准周净值!AI819)</f>
        <v/>
      </c>
      <c r="E794" s="12" t="str">
        <f>IF(A794="","",(MAX(B$3:B794)-B794)/MAX(B$3:B794))</f>
        <v/>
      </c>
      <c r="F794" s="12" t="str">
        <f>IF(A794="","",MAX(E$4:E794))</f>
        <v/>
      </c>
      <c r="G794" s="17"/>
    </row>
    <row r="795" spans="1:7">
      <c r="A795" s="7" t="str">
        <f>IF(子基金及业绩基准周净值!A820="","",子基金及业绩基准周净值!A820)</f>
        <v/>
      </c>
      <c r="B795" s="1" t="str">
        <f>IF(A795="","",VLOOKUP($A795,子基金及业绩基准周净值!$A:$AV,11))</f>
        <v/>
      </c>
      <c r="C795" s="8" t="str">
        <f t="shared" si="42"/>
        <v/>
      </c>
      <c r="D795" s="9" t="str">
        <f>IF(A795="","",C795-子基金及业绩基准周净值!AI820)</f>
        <v/>
      </c>
      <c r="E795" s="12" t="str">
        <f>IF(A795="","",(MAX(B$3:B795)-B795)/MAX(B$3:B795))</f>
        <v/>
      </c>
      <c r="F795" s="12" t="str">
        <f>IF(A795="","",MAX(E$4:E795))</f>
        <v/>
      </c>
      <c r="G795" s="17"/>
    </row>
    <row r="796" spans="1:7">
      <c r="A796" s="7" t="str">
        <f>IF(子基金及业绩基准周净值!A821="","",子基金及业绩基准周净值!A821)</f>
        <v/>
      </c>
      <c r="B796" s="1" t="str">
        <f>IF(A796="","",VLOOKUP($A796,子基金及业绩基准周净值!$A:$AV,11))</f>
        <v/>
      </c>
      <c r="C796" s="8" t="str">
        <f t="shared" si="42"/>
        <v/>
      </c>
      <c r="D796" s="9" t="str">
        <f>IF(A796="","",C796-子基金及业绩基准周净值!AI821)</f>
        <v/>
      </c>
      <c r="E796" s="12" t="str">
        <f>IF(A796="","",(MAX(B$3:B796)-B796)/MAX(B$3:B796))</f>
        <v/>
      </c>
      <c r="F796" s="12" t="str">
        <f>IF(A796="","",MAX(E$4:E796))</f>
        <v/>
      </c>
      <c r="G796" s="17"/>
    </row>
    <row r="797" spans="1:7">
      <c r="A797" s="7" t="str">
        <f>IF(子基金及业绩基准周净值!A822="","",子基金及业绩基准周净值!A822)</f>
        <v/>
      </c>
      <c r="B797" s="1" t="str">
        <f>IF(A797="","",VLOOKUP($A797,子基金及业绩基准周净值!$A:$AV,11))</f>
        <v/>
      </c>
      <c r="C797" s="8" t="str">
        <f t="shared" si="42"/>
        <v/>
      </c>
      <c r="D797" s="9" t="str">
        <f>IF(A797="","",C797-子基金及业绩基准周净值!AI822)</f>
        <v/>
      </c>
      <c r="E797" s="12" t="str">
        <f>IF(A797="","",(MAX(B$3:B797)-B797)/MAX(B$3:B797))</f>
        <v/>
      </c>
      <c r="F797" s="12" t="str">
        <f>IF(A797="","",MAX(E$4:E797))</f>
        <v/>
      </c>
      <c r="G797" s="17"/>
    </row>
    <row r="798" spans="1:7">
      <c r="A798" s="7" t="str">
        <f>IF(子基金及业绩基准周净值!A823="","",子基金及业绩基准周净值!A823)</f>
        <v/>
      </c>
      <c r="B798" s="1" t="str">
        <f>IF(A798="","",VLOOKUP($A798,子基金及业绩基准周净值!$A:$AV,11))</f>
        <v/>
      </c>
      <c r="C798" s="8" t="str">
        <f t="shared" si="42"/>
        <v/>
      </c>
      <c r="D798" s="9" t="str">
        <f>IF(A798="","",C798-子基金及业绩基准周净值!AI823)</f>
        <v/>
      </c>
      <c r="E798" s="12" t="str">
        <f>IF(A798="","",(MAX(B$3:B798)-B798)/MAX(B$3:B798))</f>
        <v/>
      </c>
      <c r="F798" s="12" t="str">
        <f>IF(A798="","",MAX(E$4:E798))</f>
        <v/>
      </c>
      <c r="G798" s="17"/>
    </row>
    <row r="799" spans="1:7">
      <c r="A799" s="7" t="str">
        <f>IF(子基金及业绩基准周净值!A824="","",子基金及业绩基准周净值!A824)</f>
        <v/>
      </c>
      <c r="B799" s="1" t="str">
        <f>IF(A799="","",VLOOKUP($A799,子基金及业绩基准周净值!$A:$AV,11))</f>
        <v/>
      </c>
      <c r="C799" s="8" t="str">
        <f t="shared" si="42"/>
        <v/>
      </c>
      <c r="D799" s="9" t="str">
        <f>IF(A799="","",C799-子基金及业绩基准周净值!AI824)</f>
        <v/>
      </c>
      <c r="E799" s="12" t="str">
        <f>IF(A799="","",(MAX(B$3:B799)-B799)/MAX(B$3:B799))</f>
        <v/>
      </c>
      <c r="F799" s="12" t="str">
        <f>IF(A799="","",MAX(E$4:E799))</f>
        <v/>
      </c>
      <c r="G799" s="17"/>
    </row>
    <row r="800" spans="1:7">
      <c r="A800" s="7" t="str">
        <f>IF(子基金及业绩基准周净值!A825="","",子基金及业绩基准周净值!A825)</f>
        <v/>
      </c>
      <c r="B800" s="1" t="str">
        <f>IF(A800="","",VLOOKUP($A800,子基金及业绩基准周净值!$A:$AV,11))</f>
        <v/>
      </c>
      <c r="C800" s="8" t="str">
        <f t="shared" si="42"/>
        <v/>
      </c>
      <c r="D800" s="9" t="str">
        <f>IF(A800="","",C800-子基金及业绩基准周净值!AI825)</f>
        <v/>
      </c>
      <c r="E800" s="12" t="str">
        <f>IF(A800="","",(MAX(B$3:B800)-B800)/MAX(B$3:B800))</f>
        <v/>
      </c>
      <c r="F800" s="12" t="str">
        <f>IF(A800="","",MAX(E$4:E800))</f>
        <v/>
      </c>
      <c r="G800" s="17"/>
    </row>
    <row r="801" spans="1:7">
      <c r="A801" s="7" t="str">
        <f>IF(子基金及业绩基准周净值!A826="","",子基金及业绩基准周净值!A826)</f>
        <v/>
      </c>
      <c r="B801" s="1" t="str">
        <f>IF(A801="","",VLOOKUP($A801,子基金及业绩基准周净值!$A:$AV,11))</f>
        <v/>
      </c>
      <c r="C801" s="8" t="str">
        <f t="shared" si="42"/>
        <v/>
      </c>
      <c r="D801" s="9" t="str">
        <f>IF(A801="","",C801-子基金及业绩基准周净值!AI826)</f>
        <v/>
      </c>
      <c r="E801" s="12" t="str">
        <f>IF(A801="","",(MAX(B$3:B801)-B801)/MAX(B$3:B801))</f>
        <v/>
      </c>
      <c r="F801" s="12" t="str">
        <f>IF(A801="","",MAX(E$4:E801))</f>
        <v/>
      </c>
      <c r="G801" s="17"/>
    </row>
    <row r="802" spans="1:7">
      <c r="A802" s="7" t="str">
        <f>IF(子基金及业绩基准周净值!A827="","",子基金及业绩基准周净值!A827)</f>
        <v/>
      </c>
      <c r="B802" s="1" t="str">
        <f>IF(A802="","",VLOOKUP($A802,子基金及业绩基准周净值!$A:$AV,11))</f>
        <v/>
      </c>
      <c r="C802" s="8" t="str">
        <f t="shared" si="42"/>
        <v/>
      </c>
      <c r="D802" s="9" t="str">
        <f>IF(A802="","",C802-子基金及业绩基准周净值!AI827)</f>
        <v/>
      </c>
      <c r="E802" s="12" t="str">
        <f>IF(A802="","",(MAX(B$3:B802)-B802)/MAX(B$3:B802))</f>
        <v/>
      </c>
      <c r="F802" s="12" t="str">
        <f>IF(A802="","",MAX(E$4:E802))</f>
        <v/>
      </c>
      <c r="G802" s="17"/>
    </row>
    <row r="803" spans="1:7">
      <c r="A803" s="7" t="str">
        <f>IF(子基金及业绩基准周净值!A828="","",子基金及业绩基准周净值!A828)</f>
        <v/>
      </c>
      <c r="B803" s="1" t="str">
        <f>IF(A803="","",VLOOKUP($A803,子基金及业绩基准周净值!$A:$AV,11))</f>
        <v/>
      </c>
      <c r="C803" s="8" t="str">
        <f t="shared" si="42"/>
        <v/>
      </c>
      <c r="D803" s="9" t="str">
        <f>IF(A803="","",C803-子基金及业绩基准周净值!AI828)</f>
        <v/>
      </c>
      <c r="E803" s="12" t="str">
        <f>IF(A803="","",(MAX(B$3:B803)-B803)/MAX(B$3:B803))</f>
        <v/>
      </c>
      <c r="F803" s="12" t="str">
        <f>IF(A803="","",MAX(E$4:E803))</f>
        <v/>
      </c>
      <c r="G803" s="17"/>
    </row>
    <row r="804" spans="1:7">
      <c r="A804" s="7" t="str">
        <f>IF(子基金及业绩基准周净值!A829="","",子基金及业绩基准周净值!A829)</f>
        <v/>
      </c>
      <c r="B804" s="1" t="str">
        <f>IF(A804="","",VLOOKUP($A804,子基金及业绩基准周净值!$A:$AV,11))</f>
        <v/>
      </c>
      <c r="C804" s="8" t="str">
        <f t="shared" si="42"/>
        <v/>
      </c>
      <c r="D804" s="9" t="str">
        <f>IF(A804="","",C804-子基金及业绩基准周净值!AI829)</f>
        <v/>
      </c>
      <c r="E804" s="12" t="str">
        <f>IF(A804="","",(MAX(B$3:B804)-B804)/MAX(B$3:B804))</f>
        <v/>
      </c>
      <c r="F804" s="12" t="str">
        <f>IF(A804="","",MAX(E$4:E804))</f>
        <v/>
      </c>
      <c r="G804" s="17"/>
    </row>
    <row r="805" spans="1:7">
      <c r="A805" s="7" t="str">
        <f>IF(子基金及业绩基准周净值!A830="","",子基金及业绩基准周净值!A830)</f>
        <v/>
      </c>
      <c r="B805" s="1" t="str">
        <f>IF(A805="","",VLOOKUP($A805,子基金及业绩基准周净值!$A:$AV,11))</f>
        <v/>
      </c>
      <c r="C805" s="8" t="str">
        <f t="shared" si="42"/>
        <v/>
      </c>
      <c r="D805" s="9" t="str">
        <f>IF(A805="","",C805-子基金及业绩基准周净值!AI830)</f>
        <v/>
      </c>
      <c r="E805" s="12" t="str">
        <f>IF(A805="","",(MAX(B$3:B805)-B805)/MAX(B$3:B805))</f>
        <v/>
      </c>
      <c r="F805" s="12" t="str">
        <f>IF(A805="","",MAX(E$4:E805))</f>
        <v/>
      </c>
      <c r="G805" s="17"/>
    </row>
    <row r="806" spans="1:7">
      <c r="A806" s="7" t="str">
        <f>IF(子基金及业绩基准周净值!A831="","",子基金及业绩基准周净值!A831)</f>
        <v/>
      </c>
      <c r="B806" s="1" t="str">
        <f>IF(A806="","",VLOOKUP($A806,子基金及业绩基准周净值!$A:$AV,11))</f>
        <v/>
      </c>
      <c r="C806" s="8" t="str">
        <f t="shared" si="42"/>
        <v/>
      </c>
      <c r="D806" s="9" t="str">
        <f>IF(A806="","",C806-子基金及业绩基准周净值!AI831)</f>
        <v/>
      </c>
      <c r="E806" s="12" t="str">
        <f>IF(A806="","",(MAX(B$3:B806)-B806)/MAX(B$3:B806))</f>
        <v/>
      </c>
      <c r="F806" s="12" t="str">
        <f>IF(A806="","",MAX(E$4:E806))</f>
        <v/>
      </c>
      <c r="G806" s="17"/>
    </row>
    <row r="807" spans="1:7">
      <c r="A807" s="7" t="str">
        <f>IF(子基金及业绩基准周净值!A832="","",子基金及业绩基准周净值!A832)</f>
        <v/>
      </c>
      <c r="B807" s="1" t="str">
        <f>IF(A807="","",VLOOKUP($A807,子基金及业绩基准周净值!$A:$AV,11))</f>
        <v/>
      </c>
      <c r="C807" s="8" t="str">
        <f t="shared" si="42"/>
        <v/>
      </c>
      <c r="D807" s="9" t="str">
        <f>IF(A807="","",C807-子基金及业绩基准周净值!AI832)</f>
        <v/>
      </c>
      <c r="E807" s="12" t="str">
        <f>IF(A807="","",(MAX(B$3:B807)-B807)/MAX(B$3:B807))</f>
        <v/>
      </c>
      <c r="F807" s="12" t="str">
        <f>IF(A807="","",MAX(E$4:E807))</f>
        <v/>
      </c>
      <c r="G807" s="17"/>
    </row>
    <row r="808" spans="1:7">
      <c r="A808" s="7" t="str">
        <f>IF(子基金及业绩基准周净值!A833="","",子基金及业绩基准周净值!A833)</f>
        <v/>
      </c>
      <c r="B808" s="1" t="str">
        <f>IF(A808="","",VLOOKUP($A808,子基金及业绩基准周净值!$A:$AV,11))</f>
        <v/>
      </c>
      <c r="C808" s="8" t="str">
        <f t="shared" si="42"/>
        <v/>
      </c>
      <c r="D808" s="9" t="str">
        <f>IF(A808="","",C808-子基金及业绩基准周净值!AI833)</f>
        <v/>
      </c>
      <c r="E808" s="12" t="str">
        <f>IF(A808="","",(MAX(B$3:B808)-B808)/MAX(B$3:B808))</f>
        <v/>
      </c>
      <c r="F808" s="12" t="str">
        <f>IF(A808="","",MAX(E$4:E808))</f>
        <v/>
      </c>
      <c r="G808" s="17"/>
    </row>
    <row r="809" spans="1:7">
      <c r="A809" s="7" t="str">
        <f>IF(子基金及业绩基准周净值!A834="","",子基金及业绩基准周净值!A834)</f>
        <v/>
      </c>
      <c r="B809" s="1" t="str">
        <f>IF(A809="","",VLOOKUP($A809,子基金及业绩基准周净值!$A:$AV,11))</f>
        <v/>
      </c>
      <c r="C809" s="8" t="str">
        <f t="shared" si="42"/>
        <v/>
      </c>
      <c r="D809" s="9" t="str">
        <f>IF(A809="","",C809-子基金及业绩基准周净值!AI834)</f>
        <v/>
      </c>
      <c r="E809" s="12" t="str">
        <f>IF(A809="","",(MAX(B$3:B809)-B809)/MAX(B$3:B809))</f>
        <v/>
      </c>
      <c r="F809" s="12" t="str">
        <f>IF(A809="","",MAX(E$4:E809))</f>
        <v/>
      </c>
      <c r="G809" s="17"/>
    </row>
    <row r="810" spans="1:7">
      <c r="A810" s="7" t="str">
        <f>IF(子基金及业绩基准周净值!A835="","",子基金及业绩基准周净值!A835)</f>
        <v/>
      </c>
      <c r="B810" s="1" t="str">
        <f>IF(A810="","",VLOOKUP($A810,子基金及业绩基准周净值!$A:$AV,11))</f>
        <v/>
      </c>
      <c r="C810" s="8" t="str">
        <f t="shared" si="42"/>
        <v/>
      </c>
      <c r="D810" s="9" t="str">
        <f>IF(A810="","",C810-子基金及业绩基准周净值!AI835)</f>
        <v/>
      </c>
      <c r="E810" s="12" t="str">
        <f>IF(A810="","",(MAX(B$3:B810)-B810)/MAX(B$3:B810))</f>
        <v/>
      </c>
      <c r="F810" s="12" t="str">
        <f>IF(A810="","",MAX(E$4:E810))</f>
        <v/>
      </c>
      <c r="G810" s="17"/>
    </row>
    <row r="811" spans="1:7">
      <c r="A811" s="7" t="str">
        <f>IF(子基金及业绩基准周净值!A836="","",子基金及业绩基准周净值!A836)</f>
        <v/>
      </c>
      <c r="B811" s="1" t="str">
        <f>IF(A811="","",VLOOKUP($A811,子基金及业绩基准周净值!$A:$AV,11))</f>
        <v/>
      </c>
      <c r="C811" s="8" t="str">
        <f t="shared" si="42"/>
        <v/>
      </c>
      <c r="D811" s="9" t="str">
        <f>IF(A811="","",C811-子基金及业绩基准周净值!AI836)</f>
        <v/>
      </c>
      <c r="E811" s="12" t="str">
        <f>IF(A811="","",(MAX(B$3:B811)-B811)/MAX(B$3:B811))</f>
        <v/>
      </c>
      <c r="F811" s="12" t="str">
        <f>IF(A811="","",MAX(E$4:E811))</f>
        <v/>
      </c>
      <c r="G811" s="17"/>
    </row>
    <row r="812" spans="1:7">
      <c r="A812" s="7" t="str">
        <f>IF(子基金及业绩基准周净值!A837="","",子基金及业绩基准周净值!A837)</f>
        <v/>
      </c>
      <c r="B812" s="1" t="str">
        <f>IF(A812="","",VLOOKUP($A812,子基金及业绩基准周净值!$A:$AV,11))</f>
        <v/>
      </c>
      <c r="C812" s="8" t="str">
        <f t="shared" si="42"/>
        <v/>
      </c>
      <c r="D812" s="9" t="str">
        <f>IF(A812="","",C812-子基金及业绩基准周净值!AI837)</f>
        <v/>
      </c>
      <c r="E812" s="12" t="str">
        <f>IF(A812="","",(MAX(B$3:B812)-B812)/MAX(B$3:B812))</f>
        <v/>
      </c>
      <c r="F812" s="12" t="str">
        <f>IF(A812="","",MAX(E$4:E812))</f>
        <v/>
      </c>
      <c r="G812" s="17"/>
    </row>
    <row r="813" spans="1:7">
      <c r="A813" s="7" t="str">
        <f>IF(子基金及业绩基准周净值!A838="","",子基金及业绩基准周净值!A838)</f>
        <v/>
      </c>
      <c r="B813" s="1" t="str">
        <f>IF(A813="","",VLOOKUP($A813,子基金及业绩基准周净值!$A:$AV,11))</f>
        <v/>
      </c>
      <c r="C813" s="8" t="str">
        <f t="shared" si="42"/>
        <v/>
      </c>
      <c r="D813" s="9" t="str">
        <f>IF(A813="","",C813-子基金及业绩基准周净值!AI838)</f>
        <v/>
      </c>
      <c r="E813" s="12" t="str">
        <f>IF(A813="","",(MAX(B$3:B813)-B813)/MAX(B$3:B813))</f>
        <v/>
      </c>
      <c r="F813" s="12" t="str">
        <f>IF(A813="","",MAX(E$4:E813))</f>
        <v/>
      </c>
      <c r="G813" s="17"/>
    </row>
    <row r="814" spans="1:7">
      <c r="A814" s="7" t="str">
        <f>IF(子基金及业绩基准周净值!A839="","",子基金及业绩基准周净值!A839)</f>
        <v/>
      </c>
      <c r="B814" s="1" t="str">
        <f>IF(A814="","",VLOOKUP($A814,子基金及业绩基准周净值!$A:$AV,11))</f>
        <v/>
      </c>
      <c r="C814" s="8" t="str">
        <f t="shared" si="42"/>
        <v/>
      </c>
      <c r="D814" s="9" t="str">
        <f>IF(A814="","",C814-子基金及业绩基准周净值!AI839)</f>
        <v/>
      </c>
      <c r="E814" s="12" t="str">
        <f>IF(A814="","",(MAX(B$3:B814)-B814)/MAX(B$3:B814))</f>
        <v/>
      </c>
      <c r="F814" s="12" t="str">
        <f>IF(A814="","",MAX(E$4:E814))</f>
        <v/>
      </c>
      <c r="G814" s="17"/>
    </row>
    <row r="815" spans="1:7">
      <c r="A815" s="7" t="str">
        <f>IF(子基金及业绩基准周净值!A840="","",子基金及业绩基准周净值!A840)</f>
        <v/>
      </c>
      <c r="B815" s="1" t="str">
        <f>IF(A815="","",VLOOKUP($A815,子基金及业绩基准周净值!$A:$AV,11))</f>
        <v/>
      </c>
      <c r="C815" s="8" t="str">
        <f t="shared" si="42"/>
        <v/>
      </c>
      <c r="D815" s="9" t="str">
        <f>IF(A815="","",C815-子基金及业绩基准周净值!AI840)</f>
        <v/>
      </c>
      <c r="E815" s="12" t="str">
        <f>IF(A815="","",(MAX(B$3:B815)-B815)/MAX(B$3:B815))</f>
        <v/>
      </c>
      <c r="F815" s="12" t="str">
        <f>IF(A815="","",MAX(E$4:E815))</f>
        <v/>
      </c>
      <c r="G815" s="17"/>
    </row>
    <row r="816" spans="1:7">
      <c r="A816" s="7" t="str">
        <f>IF(子基金及业绩基准周净值!A841="","",子基金及业绩基准周净值!A841)</f>
        <v/>
      </c>
      <c r="B816" s="1" t="str">
        <f>IF(A816="","",VLOOKUP($A816,子基金及业绩基准周净值!$A:$AV,11))</f>
        <v/>
      </c>
      <c r="C816" s="8" t="str">
        <f t="shared" si="42"/>
        <v/>
      </c>
      <c r="D816" s="9" t="str">
        <f>IF(A816="","",C816-子基金及业绩基准周净值!AI841)</f>
        <v/>
      </c>
      <c r="E816" s="12" t="str">
        <f>IF(A816="","",(MAX(B$3:B816)-B816)/MAX(B$3:B816))</f>
        <v/>
      </c>
      <c r="F816" s="12" t="str">
        <f>IF(A816="","",MAX(E$4:E816))</f>
        <v/>
      </c>
      <c r="G816" s="17"/>
    </row>
    <row r="817" spans="1:7">
      <c r="A817" s="7" t="str">
        <f>IF(子基金及业绩基准周净值!A842="","",子基金及业绩基准周净值!A842)</f>
        <v/>
      </c>
      <c r="B817" s="1" t="str">
        <f>IF(A817="","",VLOOKUP($A817,子基金及业绩基准周净值!$A:$AV,11))</f>
        <v/>
      </c>
      <c r="C817" s="8" t="str">
        <f t="shared" si="42"/>
        <v/>
      </c>
      <c r="D817" s="9" t="str">
        <f>IF(A817="","",C817-子基金及业绩基准周净值!AI842)</f>
        <v/>
      </c>
      <c r="E817" s="12" t="str">
        <f>IF(A817="","",(MAX(B$3:B817)-B817)/MAX(B$3:B817))</f>
        <v/>
      </c>
      <c r="F817" s="12" t="str">
        <f>IF(A817="","",MAX(E$4:E817))</f>
        <v/>
      </c>
      <c r="G817" s="17"/>
    </row>
    <row r="818" spans="1:7">
      <c r="A818" s="7" t="str">
        <f>IF(子基金及业绩基准周净值!A843="","",子基金及业绩基准周净值!A843)</f>
        <v/>
      </c>
      <c r="B818" s="1" t="str">
        <f>IF(A818="","",VLOOKUP($A818,子基金及业绩基准周净值!$A:$AV,11))</f>
        <v/>
      </c>
      <c r="C818" s="8" t="str">
        <f t="shared" si="42"/>
        <v/>
      </c>
      <c r="D818" s="9" t="str">
        <f>IF(A818="","",C818-子基金及业绩基准周净值!AI843)</f>
        <v/>
      </c>
      <c r="E818" s="12" t="str">
        <f>IF(A818="","",(MAX(B$3:B818)-B818)/MAX(B$3:B818))</f>
        <v/>
      </c>
      <c r="F818" s="12" t="str">
        <f>IF(A818="","",MAX(E$4:E818))</f>
        <v/>
      </c>
      <c r="G818" s="17"/>
    </row>
    <row r="819" spans="1:7">
      <c r="A819" s="7" t="str">
        <f>IF(子基金及业绩基准周净值!A844="","",子基金及业绩基准周净值!A844)</f>
        <v/>
      </c>
      <c r="B819" s="1" t="str">
        <f>IF(A819="","",VLOOKUP($A819,子基金及业绩基准周净值!$A:$AV,11))</f>
        <v/>
      </c>
      <c r="C819" s="8" t="str">
        <f t="shared" si="42"/>
        <v/>
      </c>
      <c r="D819" s="9" t="str">
        <f>IF(A819="","",C819-子基金及业绩基准周净值!AI844)</f>
        <v/>
      </c>
      <c r="E819" s="12" t="str">
        <f>IF(A819="","",(MAX(B$3:B819)-B819)/MAX(B$3:B819))</f>
        <v/>
      </c>
      <c r="F819" s="12" t="str">
        <f>IF(A819="","",MAX(E$4:E819))</f>
        <v/>
      </c>
      <c r="G819" s="17"/>
    </row>
    <row r="820" spans="1:7">
      <c r="A820" s="7" t="str">
        <f>IF(子基金及业绩基准周净值!A845="","",子基金及业绩基准周净值!A845)</f>
        <v/>
      </c>
      <c r="B820" s="1" t="str">
        <f>IF(A820="","",VLOOKUP($A820,子基金及业绩基准周净值!$A:$AV,11))</f>
        <v/>
      </c>
      <c r="C820" s="8" t="str">
        <f t="shared" si="42"/>
        <v/>
      </c>
      <c r="D820" s="9" t="str">
        <f>IF(A820="","",C820-子基金及业绩基准周净值!AI845)</f>
        <v/>
      </c>
      <c r="E820" s="12" t="str">
        <f>IF(A820="","",(MAX(B$3:B820)-B820)/MAX(B$3:B820))</f>
        <v/>
      </c>
      <c r="F820" s="12" t="str">
        <f>IF(A820="","",MAX(E$4:E820))</f>
        <v/>
      </c>
      <c r="G820" s="17"/>
    </row>
    <row r="821" spans="1:7">
      <c r="A821" s="7" t="str">
        <f>IF(子基金及业绩基准周净值!A846="","",子基金及业绩基准周净值!A846)</f>
        <v/>
      </c>
      <c r="B821" s="1" t="str">
        <f>IF(A821="","",VLOOKUP($A821,子基金及业绩基准周净值!$A:$AV,11))</f>
        <v/>
      </c>
      <c r="C821" s="8" t="str">
        <f t="shared" si="42"/>
        <v/>
      </c>
      <c r="D821" s="9" t="str">
        <f>IF(A821="","",C821-子基金及业绩基准周净值!AI846)</f>
        <v/>
      </c>
      <c r="E821" s="12" t="str">
        <f>IF(A821="","",(MAX(B$3:B821)-B821)/MAX(B$3:B821))</f>
        <v/>
      </c>
      <c r="F821" s="12" t="str">
        <f>IF(A821="","",MAX(E$4:E821))</f>
        <v/>
      </c>
      <c r="G821" s="17"/>
    </row>
    <row r="822" spans="1:7">
      <c r="A822" s="7" t="str">
        <f>IF(子基金及业绩基准周净值!A847="","",子基金及业绩基准周净值!A847)</f>
        <v/>
      </c>
      <c r="B822" s="1" t="str">
        <f>IF(A822="","",VLOOKUP($A822,子基金及业绩基准周净值!$A:$AV,11))</f>
        <v/>
      </c>
      <c r="C822" s="8" t="str">
        <f t="shared" si="42"/>
        <v/>
      </c>
      <c r="D822" s="9" t="str">
        <f>IF(A822="","",C822-子基金及业绩基准周净值!AI847)</f>
        <v/>
      </c>
      <c r="E822" s="12" t="str">
        <f>IF(A822="","",(MAX(B$3:B822)-B822)/MAX(B$3:B822))</f>
        <v/>
      </c>
      <c r="F822" s="12" t="str">
        <f>IF(A822="","",MAX(E$4:E822))</f>
        <v/>
      </c>
      <c r="G822" s="17"/>
    </row>
    <row r="823" spans="1:7">
      <c r="A823" s="7" t="str">
        <f>IF(子基金及业绩基准周净值!A848="","",子基金及业绩基准周净值!A848)</f>
        <v/>
      </c>
      <c r="B823" s="1" t="str">
        <f>IF(A823="","",VLOOKUP($A823,子基金及业绩基准周净值!$A:$AV,11))</f>
        <v/>
      </c>
      <c r="C823" s="8" t="str">
        <f t="shared" si="42"/>
        <v/>
      </c>
      <c r="D823" s="9" t="str">
        <f>IF(A823="","",C823-子基金及业绩基准周净值!AI848)</f>
        <v/>
      </c>
      <c r="E823" s="12" t="str">
        <f>IF(A823="","",(MAX(B$3:B823)-B823)/MAX(B$3:B823))</f>
        <v/>
      </c>
      <c r="F823" s="12" t="str">
        <f>IF(A823="","",MAX(E$4:E823))</f>
        <v/>
      </c>
      <c r="G823" s="17"/>
    </row>
    <row r="824" spans="1:7">
      <c r="A824" s="7" t="str">
        <f>IF(子基金及业绩基准周净值!A849="","",子基金及业绩基准周净值!A849)</f>
        <v/>
      </c>
      <c r="B824" s="1" t="str">
        <f>IF(A824="","",VLOOKUP($A824,子基金及业绩基准周净值!$A:$AV,11))</f>
        <v/>
      </c>
      <c r="C824" s="8" t="str">
        <f t="shared" si="42"/>
        <v/>
      </c>
      <c r="D824" s="9" t="str">
        <f>IF(A824="","",C824-子基金及业绩基准周净值!AI849)</f>
        <v/>
      </c>
      <c r="E824" s="12" t="str">
        <f>IF(A824="","",(MAX(B$3:B824)-B824)/MAX(B$3:B824))</f>
        <v/>
      </c>
      <c r="F824" s="12" t="str">
        <f>IF(A824="","",MAX(E$4:E824))</f>
        <v/>
      </c>
      <c r="G824" s="17"/>
    </row>
    <row r="825" spans="1:7">
      <c r="A825" s="7" t="str">
        <f>IF(子基金及业绩基准周净值!A850="","",子基金及业绩基准周净值!A850)</f>
        <v/>
      </c>
      <c r="B825" s="1" t="str">
        <f>IF(A825="","",VLOOKUP($A825,子基金及业绩基准周净值!$A:$AV,11))</f>
        <v/>
      </c>
      <c r="C825" s="8" t="str">
        <f t="shared" si="42"/>
        <v/>
      </c>
      <c r="D825" s="9" t="str">
        <f>IF(A825="","",C825-子基金及业绩基准周净值!AI850)</f>
        <v/>
      </c>
      <c r="E825" s="12" t="str">
        <f>IF(A825="","",(MAX(B$3:B825)-B825)/MAX(B$3:B825))</f>
        <v/>
      </c>
      <c r="F825" s="12" t="str">
        <f>IF(A825="","",MAX(E$4:E825))</f>
        <v/>
      </c>
      <c r="G825" s="17"/>
    </row>
    <row r="826" spans="1:7">
      <c r="A826" s="7" t="str">
        <f>IF(子基金及业绩基准周净值!A851="","",子基金及业绩基准周净值!A851)</f>
        <v/>
      </c>
      <c r="B826" s="1" t="str">
        <f>IF(A826="","",VLOOKUP($A826,子基金及业绩基准周净值!$A:$AV,11))</f>
        <v/>
      </c>
      <c r="C826" s="8" t="str">
        <f t="shared" si="42"/>
        <v/>
      </c>
      <c r="D826" s="9" t="str">
        <f>IF(A826="","",C826-子基金及业绩基准周净值!AI851)</f>
        <v/>
      </c>
      <c r="E826" s="12" t="str">
        <f>IF(A826="","",(MAX(B$3:B826)-B826)/MAX(B$3:B826))</f>
        <v/>
      </c>
      <c r="F826" s="12" t="str">
        <f>IF(A826="","",MAX(E$4:E826))</f>
        <v/>
      </c>
      <c r="G826" s="17"/>
    </row>
    <row r="827" spans="1:7">
      <c r="A827" s="7" t="str">
        <f>IF(子基金及业绩基准周净值!A852="","",子基金及业绩基准周净值!A852)</f>
        <v/>
      </c>
      <c r="B827" s="1" t="str">
        <f>IF(A827="","",VLOOKUP($A827,子基金及业绩基准周净值!$A:$AV,11))</f>
        <v/>
      </c>
      <c r="C827" s="8" t="str">
        <f t="shared" si="42"/>
        <v/>
      </c>
      <c r="D827" s="9" t="str">
        <f>IF(A827="","",C827-子基金及业绩基准周净值!AI852)</f>
        <v/>
      </c>
      <c r="E827" s="12" t="str">
        <f>IF(A827="","",(MAX(B$3:B827)-B827)/MAX(B$3:B827))</f>
        <v/>
      </c>
      <c r="F827" s="12" t="str">
        <f>IF(A827="","",MAX(E$4:E827))</f>
        <v/>
      </c>
      <c r="G827" s="17"/>
    </row>
    <row r="828" spans="1:7">
      <c r="A828" s="7" t="str">
        <f>IF(子基金及业绩基准周净值!A853="","",子基金及业绩基准周净值!A853)</f>
        <v/>
      </c>
      <c r="B828" s="1" t="str">
        <f>IF(A828="","",VLOOKUP($A828,子基金及业绩基准周净值!$A:$AV,11))</f>
        <v/>
      </c>
      <c r="C828" s="8" t="str">
        <f t="shared" si="42"/>
        <v/>
      </c>
      <c r="D828" s="9" t="str">
        <f>IF(A828="","",C828-子基金及业绩基准周净值!AI853)</f>
        <v/>
      </c>
      <c r="E828" s="12" t="str">
        <f>IF(A828="","",(MAX(B$3:B828)-B828)/MAX(B$3:B828))</f>
        <v/>
      </c>
      <c r="F828" s="12" t="str">
        <f>IF(A828="","",MAX(E$4:E828))</f>
        <v/>
      </c>
      <c r="G828" s="17"/>
    </row>
    <row r="829" spans="1:7">
      <c r="A829" s="7" t="str">
        <f>IF(子基金及业绩基准周净值!A854="","",子基金及业绩基准周净值!A854)</f>
        <v/>
      </c>
      <c r="B829" s="1" t="str">
        <f>IF(A829="","",VLOOKUP($A829,子基金及业绩基准周净值!$A:$AV,11))</f>
        <v/>
      </c>
      <c r="C829" s="8" t="str">
        <f t="shared" si="42"/>
        <v/>
      </c>
      <c r="D829" s="9" t="str">
        <f>IF(A829="","",C829-子基金及业绩基准周净值!AI854)</f>
        <v/>
      </c>
      <c r="E829" s="12" t="str">
        <f>IF(A829="","",(MAX(B$3:B829)-B829)/MAX(B$3:B829))</f>
        <v/>
      </c>
      <c r="F829" s="12" t="str">
        <f>IF(A829="","",MAX(E$4:E829))</f>
        <v/>
      </c>
      <c r="G829" s="17"/>
    </row>
    <row r="830" spans="1:7">
      <c r="A830" s="7" t="str">
        <f>IF(子基金及业绩基准周净值!A855="","",子基金及业绩基准周净值!A855)</f>
        <v/>
      </c>
      <c r="B830" s="1" t="str">
        <f>IF(A830="","",VLOOKUP($A830,子基金及业绩基准周净值!$A:$AV,11))</f>
        <v/>
      </c>
      <c r="C830" s="8" t="str">
        <f t="shared" si="42"/>
        <v/>
      </c>
      <c r="D830" s="9" t="str">
        <f>IF(A830="","",C830-子基金及业绩基准周净值!AI855)</f>
        <v/>
      </c>
      <c r="E830" s="12" t="str">
        <f>IF(A830="","",(MAX(B$3:B830)-B830)/MAX(B$3:B830))</f>
        <v/>
      </c>
      <c r="F830" s="12" t="str">
        <f>IF(A830="","",MAX(E$4:E830))</f>
        <v/>
      </c>
      <c r="G830" s="17"/>
    </row>
    <row r="831" spans="1:7">
      <c r="A831" s="7" t="str">
        <f>IF(子基金及业绩基准周净值!A856="","",子基金及业绩基准周净值!A856)</f>
        <v/>
      </c>
      <c r="B831" s="1" t="str">
        <f>IF(A831="","",VLOOKUP($A831,子基金及业绩基准周净值!$A:$AV,11))</f>
        <v/>
      </c>
      <c r="C831" s="8" t="str">
        <f t="shared" si="42"/>
        <v/>
      </c>
      <c r="D831" s="9" t="str">
        <f>IF(A831="","",C831-子基金及业绩基准周净值!AI856)</f>
        <v/>
      </c>
      <c r="E831" s="12" t="str">
        <f>IF(A831="","",(MAX(B$3:B831)-B831)/MAX(B$3:B831))</f>
        <v/>
      </c>
      <c r="F831" s="12" t="str">
        <f>IF(A831="","",MAX(E$4:E831))</f>
        <v/>
      </c>
      <c r="G831" s="17"/>
    </row>
    <row r="832" spans="1:7">
      <c r="A832" s="7" t="str">
        <f>IF(子基金及业绩基准周净值!A857="","",子基金及业绩基准周净值!A857)</f>
        <v/>
      </c>
      <c r="B832" s="1" t="str">
        <f>IF(A832="","",VLOOKUP($A832,子基金及业绩基准周净值!$A:$AV,11))</f>
        <v/>
      </c>
      <c r="C832" s="8" t="str">
        <f t="shared" si="42"/>
        <v/>
      </c>
      <c r="D832" s="9" t="str">
        <f>IF(A832="","",C832-子基金及业绩基准周净值!AI857)</f>
        <v/>
      </c>
      <c r="E832" s="12" t="str">
        <f>IF(A832="","",(MAX(B$3:B832)-B832)/MAX(B$3:B832))</f>
        <v/>
      </c>
      <c r="F832" s="12" t="str">
        <f>IF(A832="","",MAX(E$4:E832))</f>
        <v/>
      </c>
      <c r="G832" s="17"/>
    </row>
    <row r="833" spans="1:7">
      <c r="A833" s="7" t="str">
        <f>IF(子基金及业绩基准周净值!A858="","",子基金及业绩基准周净值!A858)</f>
        <v/>
      </c>
      <c r="B833" s="1" t="str">
        <f>IF(A833="","",VLOOKUP($A833,子基金及业绩基准周净值!$A:$AV,11))</f>
        <v/>
      </c>
      <c r="C833" s="8" t="str">
        <f t="shared" si="42"/>
        <v/>
      </c>
      <c r="D833" s="9" t="str">
        <f>IF(A833="","",C833-子基金及业绩基准周净值!AI858)</f>
        <v/>
      </c>
      <c r="E833" s="12" t="str">
        <f>IF(A833="","",(MAX(B$3:B833)-B833)/MAX(B$3:B833))</f>
        <v/>
      </c>
      <c r="F833" s="12" t="str">
        <f>IF(A833="","",MAX(E$4:E833))</f>
        <v/>
      </c>
      <c r="G833" s="17"/>
    </row>
    <row r="834" spans="1:7">
      <c r="A834" s="7" t="str">
        <f>IF(子基金及业绩基准周净值!A859="","",子基金及业绩基准周净值!A859)</f>
        <v/>
      </c>
      <c r="B834" s="1" t="str">
        <f>IF(A834="","",VLOOKUP($A834,子基金及业绩基准周净值!$A:$AV,11))</f>
        <v/>
      </c>
      <c r="C834" s="8" t="str">
        <f t="shared" si="42"/>
        <v/>
      </c>
      <c r="D834" s="9" t="str">
        <f>IF(A834="","",C834-子基金及业绩基准周净值!AI859)</f>
        <v/>
      </c>
      <c r="E834" s="12" t="str">
        <f>IF(A834="","",(MAX(B$3:B834)-B834)/MAX(B$3:B834))</f>
        <v/>
      </c>
      <c r="F834" s="12" t="str">
        <f>IF(A834="","",MAX(E$4:E834))</f>
        <v/>
      </c>
      <c r="G834" s="17"/>
    </row>
    <row r="835" spans="1:7">
      <c r="A835" s="7" t="str">
        <f>IF(子基金及业绩基准周净值!A860="","",子基金及业绩基准周净值!A860)</f>
        <v/>
      </c>
      <c r="B835" s="1" t="str">
        <f>IF(A835="","",VLOOKUP($A835,子基金及业绩基准周净值!$A:$AV,11))</f>
        <v/>
      </c>
      <c r="C835" s="8" t="str">
        <f t="shared" si="42"/>
        <v/>
      </c>
      <c r="D835" s="9" t="str">
        <f>IF(A835="","",C835-子基金及业绩基准周净值!AI860)</f>
        <v/>
      </c>
      <c r="E835" s="12" t="str">
        <f>IF(A835="","",(MAX(B$3:B835)-B835)/MAX(B$3:B835))</f>
        <v/>
      </c>
      <c r="F835" s="12" t="str">
        <f>IF(A835="","",MAX(E$4:E835))</f>
        <v/>
      </c>
      <c r="G835" s="17"/>
    </row>
    <row r="836" spans="1:7">
      <c r="A836" s="7" t="str">
        <f>IF(子基金及业绩基准周净值!A861="","",子基金及业绩基准周净值!A861)</f>
        <v/>
      </c>
      <c r="B836" s="1" t="str">
        <f>IF(A836="","",VLOOKUP($A836,子基金及业绩基准周净值!$A:$AV,11))</f>
        <v/>
      </c>
      <c r="C836" s="8" t="str">
        <f t="shared" si="42"/>
        <v/>
      </c>
      <c r="D836" s="9" t="str">
        <f>IF(A836="","",C836-子基金及业绩基准周净值!AI861)</f>
        <v/>
      </c>
      <c r="E836" s="12" t="str">
        <f>IF(A836="","",(MAX(B$3:B836)-B836)/MAX(B$3:B836))</f>
        <v/>
      </c>
      <c r="F836" s="12" t="str">
        <f>IF(A836="","",MAX(E$4:E836))</f>
        <v/>
      </c>
      <c r="G836" s="17"/>
    </row>
    <row r="837" spans="1:7">
      <c r="A837" s="7" t="str">
        <f>IF(子基金及业绩基准周净值!A862="","",子基金及业绩基准周净值!A862)</f>
        <v/>
      </c>
      <c r="B837" s="1" t="str">
        <f>IF(A837="","",VLOOKUP($A837,子基金及业绩基准周净值!$A:$AV,11))</f>
        <v/>
      </c>
      <c r="C837" s="8" t="str">
        <f t="shared" ref="C837:C900" si="43">IF(A837="","",(B837-B836)/B836)</f>
        <v/>
      </c>
      <c r="D837" s="9" t="str">
        <f>IF(A837="","",C837-子基金及业绩基准周净值!AI862)</f>
        <v/>
      </c>
      <c r="E837" s="12" t="str">
        <f>IF(A837="","",(MAX(B$3:B837)-B837)/MAX(B$3:B837))</f>
        <v/>
      </c>
      <c r="F837" s="12" t="str">
        <f>IF(A837="","",MAX(E$4:E837))</f>
        <v/>
      </c>
      <c r="G837" s="17"/>
    </row>
    <row r="838" spans="1:7">
      <c r="A838" s="7" t="str">
        <f>IF(子基金及业绩基准周净值!A863="","",子基金及业绩基准周净值!A863)</f>
        <v/>
      </c>
      <c r="B838" s="1" t="str">
        <f>IF(A838="","",VLOOKUP($A838,子基金及业绩基准周净值!$A:$AV,11))</f>
        <v/>
      </c>
      <c r="C838" s="8" t="str">
        <f t="shared" si="43"/>
        <v/>
      </c>
      <c r="D838" s="9" t="str">
        <f>IF(A838="","",C838-子基金及业绩基准周净值!AI863)</f>
        <v/>
      </c>
      <c r="E838" s="12" t="str">
        <f>IF(A838="","",(MAX(B$3:B838)-B838)/MAX(B$3:B838))</f>
        <v/>
      </c>
      <c r="F838" s="12" t="str">
        <f>IF(A838="","",MAX(E$4:E838))</f>
        <v/>
      </c>
      <c r="G838" s="17"/>
    </row>
    <row r="839" spans="1:7">
      <c r="A839" s="7" t="str">
        <f>IF(子基金及业绩基准周净值!A864="","",子基金及业绩基准周净值!A864)</f>
        <v/>
      </c>
      <c r="B839" s="1" t="str">
        <f>IF(A839="","",VLOOKUP($A839,子基金及业绩基准周净值!$A:$AV,11))</f>
        <v/>
      </c>
      <c r="C839" s="8" t="str">
        <f t="shared" si="43"/>
        <v/>
      </c>
      <c r="D839" s="9" t="str">
        <f>IF(A839="","",C839-子基金及业绩基准周净值!AI864)</f>
        <v/>
      </c>
      <c r="E839" s="12" t="str">
        <f>IF(A839="","",(MAX(B$3:B839)-B839)/MAX(B$3:B839))</f>
        <v/>
      </c>
      <c r="F839" s="12" t="str">
        <f>IF(A839="","",MAX(E$4:E839))</f>
        <v/>
      </c>
      <c r="G839" s="17"/>
    </row>
    <row r="840" spans="1:7">
      <c r="A840" s="7" t="str">
        <f>IF(子基金及业绩基准周净值!A865="","",子基金及业绩基准周净值!A865)</f>
        <v/>
      </c>
      <c r="B840" s="1" t="str">
        <f>IF(A840="","",VLOOKUP($A840,子基金及业绩基准周净值!$A:$AV,11))</f>
        <v/>
      </c>
      <c r="C840" s="8" t="str">
        <f t="shared" si="43"/>
        <v/>
      </c>
      <c r="D840" s="9" t="str">
        <f>IF(A840="","",C840-子基金及业绩基准周净值!AI865)</f>
        <v/>
      </c>
      <c r="E840" s="12" t="str">
        <f>IF(A840="","",(MAX(B$3:B840)-B840)/MAX(B$3:B840))</f>
        <v/>
      </c>
      <c r="F840" s="12" t="str">
        <f>IF(A840="","",MAX(E$4:E840))</f>
        <v/>
      </c>
      <c r="G840" s="17"/>
    </row>
    <row r="841" spans="1:7">
      <c r="A841" s="7" t="str">
        <f>IF(子基金及业绩基准周净值!A866="","",子基金及业绩基准周净值!A866)</f>
        <v/>
      </c>
      <c r="B841" s="1" t="str">
        <f>IF(A841="","",VLOOKUP($A841,子基金及业绩基准周净值!$A:$AV,11))</f>
        <v/>
      </c>
      <c r="C841" s="8" t="str">
        <f t="shared" si="43"/>
        <v/>
      </c>
      <c r="D841" s="9" t="str">
        <f>IF(A841="","",C841-子基金及业绩基准周净值!AI866)</f>
        <v/>
      </c>
      <c r="E841" s="12" t="str">
        <f>IF(A841="","",(MAX(B$3:B841)-B841)/MAX(B$3:B841))</f>
        <v/>
      </c>
      <c r="F841" s="12" t="str">
        <f>IF(A841="","",MAX(E$4:E841))</f>
        <v/>
      </c>
      <c r="G841" s="17"/>
    </row>
    <row r="842" spans="1:7">
      <c r="A842" s="7" t="str">
        <f>IF(子基金及业绩基准周净值!A867="","",子基金及业绩基准周净值!A867)</f>
        <v/>
      </c>
      <c r="B842" s="1" t="str">
        <f>IF(A842="","",VLOOKUP($A842,子基金及业绩基准周净值!$A:$AV,11))</f>
        <v/>
      </c>
      <c r="C842" s="8" t="str">
        <f t="shared" si="43"/>
        <v/>
      </c>
      <c r="D842" s="9" t="str">
        <f>IF(A842="","",C842-子基金及业绩基准周净值!AI867)</f>
        <v/>
      </c>
      <c r="E842" s="12" t="str">
        <f>IF(A842="","",(MAX(B$3:B842)-B842)/MAX(B$3:B842))</f>
        <v/>
      </c>
      <c r="F842" s="12" t="str">
        <f>IF(A842="","",MAX(E$4:E842))</f>
        <v/>
      </c>
      <c r="G842" s="17"/>
    </row>
    <row r="843" spans="1:7">
      <c r="A843" s="7" t="str">
        <f>IF(子基金及业绩基准周净值!A868="","",子基金及业绩基准周净值!A868)</f>
        <v/>
      </c>
      <c r="B843" s="1" t="str">
        <f>IF(A843="","",VLOOKUP($A843,子基金及业绩基准周净值!$A:$AV,11))</f>
        <v/>
      </c>
      <c r="C843" s="8" t="str">
        <f t="shared" si="43"/>
        <v/>
      </c>
      <c r="D843" s="9" t="str">
        <f>IF(A843="","",C843-子基金及业绩基准周净值!AI868)</f>
        <v/>
      </c>
      <c r="E843" s="12" t="str">
        <f>IF(A843="","",(MAX(B$3:B843)-B843)/MAX(B$3:B843))</f>
        <v/>
      </c>
      <c r="F843" s="12" t="str">
        <f>IF(A843="","",MAX(E$4:E843))</f>
        <v/>
      </c>
      <c r="G843" s="17"/>
    </row>
    <row r="844" spans="1:7">
      <c r="A844" s="7" t="str">
        <f>IF(子基金及业绩基准周净值!A869="","",子基金及业绩基准周净值!A869)</f>
        <v/>
      </c>
      <c r="B844" s="1" t="str">
        <f>IF(A844="","",VLOOKUP($A844,子基金及业绩基准周净值!$A:$AV,11))</f>
        <v/>
      </c>
      <c r="C844" s="8" t="str">
        <f t="shared" si="43"/>
        <v/>
      </c>
      <c r="D844" s="9" t="str">
        <f>IF(A844="","",C844-子基金及业绩基准周净值!AI869)</f>
        <v/>
      </c>
      <c r="E844" s="12" t="str">
        <f>IF(A844="","",(MAX(B$3:B844)-B844)/MAX(B$3:B844))</f>
        <v/>
      </c>
      <c r="F844" s="12" t="str">
        <f>IF(A844="","",MAX(E$4:E844))</f>
        <v/>
      </c>
      <c r="G844" s="17"/>
    </row>
    <row r="845" spans="1:7">
      <c r="A845" s="7" t="str">
        <f>IF(子基金及业绩基准周净值!A870="","",子基金及业绩基准周净值!A870)</f>
        <v/>
      </c>
      <c r="B845" s="1" t="str">
        <f>IF(A845="","",VLOOKUP($A845,子基金及业绩基准周净值!$A:$AV,11))</f>
        <v/>
      </c>
      <c r="C845" s="8" t="str">
        <f t="shared" si="43"/>
        <v/>
      </c>
      <c r="D845" s="9" t="str">
        <f>IF(A845="","",C845-子基金及业绩基准周净值!AI870)</f>
        <v/>
      </c>
      <c r="E845" s="12" t="str">
        <f>IF(A845="","",(MAX(B$3:B845)-B845)/MAX(B$3:B845))</f>
        <v/>
      </c>
      <c r="F845" s="12" t="str">
        <f>IF(A845="","",MAX(E$4:E845))</f>
        <v/>
      </c>
      <c r="G845" s="17"/>
    </row>
    <row r="846" spans="1:7">
      <c r="A846" s="7" t="str">
        <f>IF(子基金及业绩基准周净值!A871="","",子基金及业绩基准周净值!A871)</f>
        <v/>
      </c>
      <c r="B846" s="1" t="str">
        <f>IF(A846="","",VLOOKUP($A846,子基金及业绩基准周净值!$A:$AV,11))</f>
        <v/>
      </c>
      <c r="C846" s="8" t="str">
        <f t="shared" si="43"/>
        <v/>
      </c>
      <c r="D846" s="9" t="str">
        <f>IF(A846="","",C846-子基金及业绩基准周净值!AI871)</f>
        <v/>
      </c>
      <c r="E846" s="12" t="str">
        <f>IF(A846="","",(MAX(B$3:B846)-B846)/MAX(B$3:B846))</f>
        <v/>
      </c>
      <c r="F846" s="12" t="str">
        <f>IF(A846="","",MAX(E$4:E846))</f>
        <v/>
      </c>
      <c r="G846" s="17"/>
    </row>
    <row r="847" spans="1:7">
      <c r="A847" s="7" t="str">
        <f>IF(子基金及业绩基准周净值!A872="","",子基金及业绩基准周净值!A872)</f>
        <v/>
      </c>
      <c r="B847" s="1" t="str">
        <f>IF(A847="","",VLOOKUP($A847,子基金及业绩基准周净值!$A:$AV,11))</f>
        <v/>
      </c>
      <c r="C847" s="8" t="str">
        <f t="shared" si="43"/>
        <v/>
      </c>
      <c r="D847" s="9" t="str">
        <f>IF(A847="","",C847-子基金及业绩基准周净值!AI872)</f>
        <v/>
      </c>
      <c r="E847" s="12" t="str">
        <f>IF(A847="","",(MAX(B$3:B847)-B847)/MAX(B$3:B847))</f>
        <v/>
      </c>
      <c r="F847" s="12" t="str">
        <f>IF(A847="","",MAX(E$4:E847))</f>
        <v/>
      </c>
      <c r="G847" s="17"/>
    </row>
    <row r="848" spans="1:7">
      <c r="A848" s="7" t="str">
        <f>IF(子基金及业绩基准周净值!A873="","",子基金及业绩基准周净值!A873)</f>
        <v/>
      </c>
      <c r="B848" s="1" t="str">
        <f>IF(A848="","",VLOOKUP($A848,子基金及业绩基准周净值!$A:$AV,11))</f>
        <v/>
      </c>
      <c r="C848" s="8" t="str">
        <f t="shared" si="43"/>
        <v/>
      </c>
      <c r="D848" s="9" t="str">
        <f>IF(A848="","",C848-子基金及业绩基准周净值!AI873)</f>
        <v/>
      </c>
      <c r="E848" s="12" t="str">
        <f>IF(A848="","",(MAX(B$3:B848)-B848)/MAX(B$3:B848))</f>
        <v/>
      </c>
      <c r="F848" s="12" t="str">
        <f>IF(A848="","",MAX(E$4:E848))</f>
        <v/>
      </c>
      <c r="G848" s="17"/>
    </row>
    <row r="849" spans="1:7">
      <c r="A849" s="7" t="str">
        <f>IF(子基金及业绩基准周净值!A874="","",子基金及业绩基准周净值!A874)</f>
        <v/>
      </c>
      <c r="B849" s="1" t="str">
        <f>IF(A849="","",VLOOKUP($A849,子基金及业绩基准周净值!$A:$AV,11))</f>
        <v/>
      </c>
      <c r="C849" s="8" t="str">
        <f t="shared" si="43"/>
        <v/>
      </c>
      <c r="D849" s="9" t="str">
        <f>IF(A849="","",C849-子基金及业绩基准周净值!AI874)</f>
        <v/>
      </c>
      <c r="E849" s="12" t="str">
        <f>IF(A849="","",(MAX(B$3:B849)-B849)/MAX(B$3:B849))</f>
        <v/>
      </c>
      <c r="F849" s="12" t="str">
        <f>IF(A849="","",MAX(E$4:E849))</f>
        <v/>
      </c>
      <c r="G849" s="17"/>
    </row>
    <row r="850" spans="1:7">
      <c r="A850" s="7" t="str">
        <f>IF(子基金及业绩基准周净值!A875="","",子基金及业绩基准周净值!A875)</f>
        <v/>
      </c>
      <c r="B850" s="1" t="str">
        <f>IF(A850="","",VLOOKUP($A850,子基金及业绩基准周净值!$A:$AV,11))</f>
        <v/>
      </c>
      <c r="C850" s="8" t="str">
        <f t="shared" si="43"/>
        <v/>
      </c>
      <c r="D850" s="9" t="str">
        <f>IF(A850="","",C850-子基金及业绩基准周净值!AI875)</f>
        <v/>
      </c>
      <c r="E850" s="12" t="str">
        <f>IF(A850="","",(MAX(B$3:B850)-B850)/MAX(B$3:B850))</f>
        <v/>
      </c>
      <c r="F850" s="12" t="str">
        <f>IF(A850="","",MAX(E$4:E850))</f>
        <v/>
      </c>
      <c r="G850" s="17"/>
    </row>
    <row r="851" spans="1:7">
      <c r="A851" s="7" t="str">
        <f>IF(子基金及业绩基准周净值!A876="","",子基金及业绩基准周净值!A876)</f>
        <v/>
      </c>
      <c r="B851" s="1" t="str">
        <f>IF(A851="","",VLOOKUP($A851,子基金及业绩基准周净值!$A:$AV,11))</f>
        <v/>
      </c>
      <c r="C851" s="8" t="str">
        <f t="shared" si="43"/>
        <v/>
      </c>
      <c r="D851" s="9" t="str">
        <f>IF(A851="","",C851-子基金及业绩基准周净值!AI876)</f>
        <v/>
      </c>
      <c r="E851" s="12" t="str">
        <f>IF(A851="","",(MAX(B$3:B851)-B851)/MAX(B$3:B851))</f>
        <v/>
      </c>
      <c r="F851" s="12" t="str">
        <f>IF(A851="","",MAX(E$4:E851))</f>
        <v/>
      </c>
      <c r="G851" s="17"/>
    </row>
    <row r="852" spans="1:7">
      <c r="A852" s="7" t="str">
        <f>IF(子基金及业绩基准周净值!A877="","",子基金及业绩基准周净值!A877)</f>
        <v/>
      </c>
      <c r="B852" s="1" t="str">
        <f>IF(A852="","",VLOOKUP($A852,子基金及业绩基准周净值!$A:$AV,11))</f>
        <v/>
      </c>
      <c r="C852" s="8" t="str">
        <f t="shared" si="43"/>
        <v/>
      </c>
      <c r="D852" s="9" t="str">
        <f>IF(A852="","",C852-子基金及业绩基准周净值!AI877)</f>
        <v/>
      </c>
      <c r="E852" s="12" t="str">
        <f>IF(A852="","",(MAX(B$3:B852)-B852)/MAX(B$3:B852))</f>
        <v/>
      </c>
      <c r="F852" s="12" t="str">
        <f>IF(A852="","",MAX(E$4:E852))</f>
        <v/>
      </c>
      <c r="G852" s="17"/>
    </row>
    <row r="853" spans="1:7">
      <c r="A853" s="7" t="str">
        <f>IF(子基金及业绩基准周净值!A878="","",子基金及业绩基准周净值!A878)</f>
        <v/>
      </c>
      <c r="B853" s="1" t="str">
        <f>IF(A853="","",VLOOKUP($A853,子基金及业绩基准周净值!$A:$AV,11))</f>
        <v/>
      </c>
      <c r="C853" s="8" t="str">
        <f t="shared" si="43"/>
        <v/>
      </c>
      <c r="D853" s="9" t="str">
        <f>IF(A853="","",C853-子基金及业绩基准周净值!AI878)</f>
        <v/>
      </c>
      <c r="E853" s="12" t="str">
        <f>IF(A853="","",(MAX(B$3:B853)-B853)/MAX(B$3:B853))</f>
        <v/>
      </c>
      <c r="F853" s="12" t="str">
        <f>IF(A853="","",MAX(E$4:E853))</f>
        <v/>
      </c>
      <c r="G853" s="17"/>
    </row>
    <row r="854" spans="1:7">
      <c r="A854" s="7" t="str">
        <f>IF(子基金及业绩基准周净值!A879="","",子基金及业绩基准周净值!A879)</f>
        <v/>
      </c>
      <c r="B854" s="1" t="str">
        <f>IF(A854="","",VLOOKUP($A854,子基金及业绩基准周净值!$A:$AV,11))</f>
        <v/>
      </c>
      <c r="C854" s="8" t="str">
        <f t="shared" si="43"/>
        <v/>
      </c>
      <c r="D854" s="9" t="str">
        <f>IF(A854="","",C854-子基金及业绩基准周净值!AI879)</f>
        <v/>
      </c>
      <c r="E854" s="12" t="str">
        <f>IF(A854="","",(MAX(B$3:B854)-B854)/MAX(B$3:B854))</f>
        <v/>
      </c>
      <c r="F854" s="12" t="str">
        <f>IF(A854="","",MAX(E$4:E854))</f>
        <v/>
      </c>
      <c r="G854" s="17"/>
    </row>
    <row r="855" spans="1:7">
      <c r="A855" s="7" t="str">
        <f>IF(子基金及业绩基准周净值!A880="","",子基金及业绩基准周净值!A880)</f>
        <v/>
      </c>
      <c r="B855" s="1" t="str">
        <f>IF(A855="","",VLOOKUP($A855,子基金及业绩基准周净值!$A:$AV,11))</f>
        <v/>
      </c>
      <c r="C855" s="8" t="str">
        <f t="shared" si="43"/>
        <v/>
      </c>
      <c r="D855" s="9" t="str">
        <f>IF(A855="","",C855-子基金及业绩基准周净值!AI880)</f>
        <v/>
      </c>
      <c r="E855" s="12" t="str">
        <f>IF(A855="","",(MAX(B$3:B855)-B855)/MAX(B$3:B855))</f>
        <v/>
      </c>
      <c r="F855" s="12" t="str">
        <f>IF(A855="","",MAX(E$4:E855))</f>
        <v/>
      </c>
      <c r="G855" s="17"/>
    </row>
    <row r="856" spans="1:7">
      <c r="A856" s="7" t="str">
        <f>IF(子基金及业绩基准周净值!A881="","",子基金及业绩基准周净值!A881)</f>
        <v/>
      </c>
      <c r="B856" s="1" t="str">
        <f>IF(A856="","",VLOOKUP($A856,子基金及业绩基准周净值!$A:$AV,11))</f>
        <v/>
      </c>
      <c r="C856" s="8" t="str">
        <f t="shared" si="43"/>
        <v/>
      </c>
      <c r="D856" s="9" t="str">
        <f>IF(A856="","",C856-子基金及业绩基准周净值!AI881)</f>
        <v/>
      </c>
      <c r="E856" s="12" t="str">
        <f>IF(A856="","",(MAX(B$3:B856)-B856)/MAX(B$3:B856))</f>
        <v/>
      </c>
      <c r="F856" s="12" t="str">
        <f>IF(A856="","",MAX(E$4:E856))</f>
        <v/>
      </c>
      <c r="G856" s="17"/>
    </row>
    <row r="857" spans="1:7">
      <c r="A857" s="7" t="str">
        <f>IF(子基金及业绩基准周净值!A882="","",子基金及业绩基准周净值!A882)</f>
        <v/>
      </c>
      <c r="B857" s="1" t="str">
        <f>IF(A857="","",VLOOKUP($A857,子基金及业绩基准周净值!$A:$AV,11))</f>
        <v/>
      </c>
      <c r="C857" s="8" t="str">
        <f t="shared" si="43"/>
        <v/>
      </c>
      <c r="D857" s="9" t="str">
        <f>IF(A857="","",C857-子基金及业绩基准周净值!AI882)</f>
        <v/>
      </c>
      <c r="E857" s="12" t="str">
        <f>IF(A857="","",(MAX(B$3:B857)-B857)/MAX(B$3:B857))</f>
        <v/>
      </c>
      <c r="F857" s="12" t="str">
        <f>IF(A857="","",MAX(E$4:E857))</f>
        <v/>
      </c>
      <c r="G857" s="17"/>
    </row>
    <row r="858" spans="1:7">
      <c r="A858" s="7" t="str">
        <f>IF(子基金及业绩基准周净值!A883="","",子基金及业绩基准周净值!A883)</f>
        <v/>
      </c>
      <c r="B858" s="1" t="str">
        <f>IF(A858="","",VLOOKUP($A858,子基金及业绩基准周净值!$A:$AV,11))</f>
        <v/>
      </c>
      <c r="C858" s="8" t="str">
        <f t="shared" si="43"/>
        <v/>
      </c>
      <c r="D858" s="9" t="str">
        <f>IF(A858="","",C858-子基金及业绩基准周净值!AI883)</f>
        <v/>
      </c>
      <c r="E858" s="12" t="str">
        <f>IF(A858="","",(MAX(B$3:B858)-B858)/MAX(B$3:B858))</f>
        <v/>
      </c>
      <c r="F858" s="12" t="str">
        <f>IF(A858="","",MAX(E$4:E858))</f>
        <v/>
      </c>
      <c r="G858" s="17"/>
    </row>
    <row r="859" spans="1:7">
      <c r="A859" s="7" t="str">
        <f>IF(子基金及业绩基准周净值!A884="","",子基金及业绩基准周净值!A884)</f>
        <v/>
      </c>
      <c r="B859" s="1" t="str">
        <f>IF(A859="","",VLOOKUP($A859,子基金及业绩基准周净值!$A:$AV,11))</f>
        <v/>
      </c>
      <c r="C859" s="8" t="str">
        <f t="shared" si="43"/>
        <v/>
      </c>
      <c r="D859" s="9" t="str">
        <f>IF(A859="","",C859-子基金及业绩基准周净值!AI884)</f>
        <v/>
      </c>
      <c r="E859" s="12" t="str">
        <f>IF(A859="","",(MAX(B$3:B859)-B859)/MAX(B$3:B859))</f>
        <v/>
      </c>
      <c r="F859" s="12" t="str">
        <f>IF(A859="","",MAX(E$4:E859))</f>
        <v/>
      </c>
      <c r="G859" s="17"/>
    </row>
    <row r="860" spans="1:7">
      <c r="A860" s="7" t="str">
        <f>IF(子基金及业绩基准周净值!A885="","",子基金及业绩基准周净值!A885)</f>
        <v/>
      </c>
      <c r="B860" s="1" t="str">
        <f>IF(A860="","",VLOOKUP($A860,子基金及业绩基准周净值!$A:$AV,11))</f>
        <v/>
      </c>
      <c r="C860" s="8" t="str">
        <f t="shared" si="43"/>
        <v/>
      </c>
      <c r="D860" s="9" t="str">
        <f>IF(A860="","",C860-子基金及业绩基准周净值!AI885)</f>
        <v/>
      </c>
      <c r="E860" s="12" t="str">
        <f>IF(A860="","",(MAX(B$3:B860)-B860)/MAX(B$3:B860))</f>
        <v/>
      </c>
      <c r="F860" s="12" t="str">
        <f>IF(A860="","",MAX(E$4:E860))</f>
        <v/>
      </c>
      <c r="G860" s="17"/>
    </row>
    <row r="861" spans="1:7">
      <c r="A861" s="7" t="str">
        <f>IF(子基金及业绩基准周净值!A886="","",子基金及业绩基准周净值!A886)</f>
        <v/>
      </c>
      <c r="B861" s="1" t="str">
        <f>IF(A861="","",VLOOKUP($A861,子基金及业绩基准周净值!$A:$AV,11))</f>
        <v/>
      </c>
      <c r="C861" s="8" t="str">
        <f t="shared" si="43"/>
        <v/>
      </c>
      <c r="D861" s="9" t="str">
        <f>IF(A861="","",C861-子基金及业绩基准周净值!AI886)</f>
        <v/>
      </c>
      <c r="E861" s="12" t="str">
        <f>IF(A861="","",(MAX(B$3:B861)-B861)/MAX(B$3:B861))</f>
        <v/>
      </c>
      <c r="F861" s="12" t="str">
        <f>IF(A861="","",MAX(E$4:E861))</f>
        <v/>
      </c>
      <c r="G861" s="17"/>
    </row>
    <row r="862" spans="1:7">
      <c r="A862" s="7" t="str">
        <f>IF(子基金及业绩基准周净值!A887="","",子基金及业绩基准周净值!A887)</f>
        <v/>
      </c>
      <c r="B862" s="1" t="str">
        <f>IF(A862="","",VLOOKUP($A862,子基金及业绩基准周净值!$A:$AV,11))</f>
        <v/>
      </c>
      <c r="C862" s="8" t="str">
        <f t="shared" si="43"/>
        <v/>
      </c>
      <c r="D862" s="9" t="str">
        <f>IF(A862="","",C862-子基金及业绩基准周净值!AI887)</f>
        <v/>
      </c>
      <c r="E862" s="12" t="str">
        <f>IF(A862="","",(MAX(B$3:B862)-B862)/MAX(B$3:B862))</f>
        <v/>
      </c>
      <c r="F862" s="12" t="str">
        <f>IF(A862="","",MAX(E$4:E862))</f>
        <v/>
      </c>
      <c r="G862" s="17"/>
    </row>
    <row r="863" spans="1:7">
      <c r="A863" s="7" t="str">
        <f>IF(子基金及业绩基准周净值!A888="","",子基金及业绩基准周净值!A888)</f>
        <v/>
      </c>
      <c r="B863" s="1" t="str">
        <f>IF(A863="","",VLOOKUP($A863,子基金及业绩基准周净值!$A:$AV,11))</f>
        <v/>
      </c>
      <c r="C863" s="8" t="str">
        <f t="shared" si="43"/>
        <v/>
      </c>
      <c r="D863" s="9" t="str">
        <f>IF(A863="","",C863-子基金及业绩基准周净值!AI888)</f>
        <v/>
      </c>
      <c r="E863" s="12" t="str">
        <f>IF(A863="","",(MAX(B$3:B863)-B863)/MAX(B$3:B863))</f>
        <v/>
      </c>
      <c r="F863" s="12" t="str">
        <f>IF(A863="","",MAX(E$4:E863))</f>
        <v/>
      </c>
      <c r="G863" s="17"/>
    </row>
    <row r="864" spans="1:7">
      <c r="A864" s="7" t="str">
        <f>IF(子基金及业绩基准周净值!A889="","",子基金及业绩基准周净值!A889)</f>
        <v/>
      </c>
      <c r="B864" s="1" t="str">
        <f>IF(A864="","",VLOOKUP($A864,子基金及业绩基准周净值!$A:$AV,11))</f>
        <v/>
      </c>
      <c r="C864" s="8" t="str">
        <f t="shared" si="43"/>
        <v/>
      </c>
      <c r="D864" s="9" t="str">
        <f>IF(A864="","",C864-子基金及业绩基准周净值!AI889)</f>
        <v/>
      </c>
      <c r="E864" s="12" t="str">
        <f>IF(A864="","",(MAX(B$3:B864)-B864)/MAX(B$3:B864))</f>
        <v/>
      </c>
      <c r="F864" s="12" t="str">
        <f>IF(A864="","",MAX(E$4:E864))</f>
        <v/>
      </c>
      <c r="G864" s="17"/>
    </row>
    <row r="865" spans="1:7">
      <c r="A865" s="7" t="str">
        <f>IF(子基金及业绩基准周净值!A890="","",子基金及业绩基准周净值!A890)</f>
        <v/>
      </c>
      <c r="B865" s="1" t="str">
        <f>IF(A865="","",VLOOKUP($A865,子基金及业绩基准周净值!$A:$AV,11))</f>
        <v/>
      </c>
      <c r="C865" s="8" t="str">
        <f t="shared" si="43"/>
        <v/>
      </c>
      <c r="D865" s="9" t="str">
        <f>IF(A865="","",C865-子基金及业绩基准周净值!AI890)</f>
        <v/>
      </c>
      <c r="E865" s="12" t="str">
        <f>IF(A865="","",(MAX(B$3:B865)-B865)/MAX(B$3:B865))</f>
        <v/>
      </c>
      <c r="F865" s="12" t="str">
        <f>IF(A865="","",MAX(E$4:E865))</f>
        <v/>
      </c>
      <c r="G865" s="17"/>
    </row>
    <row r="866" spans="1:7">
      <c r="A866" s="7" t="str">
        <f>IF(子基金及业绩基准周净值!A891="","",子基金及业绩基准周净值!A891)</f>
        <v/>
      </c>
      <c r="B866" s="1" t="str">
        <f>IF(A866="","",VLOOKUP($A866,子基金及业绩基准周净值!$A:$AV,11))</f>
        <v/>
      </c>
      <c r="C866" s="8" t="str">
        <f t="shared" si="43"/>
        <v/>
      </c>
      <c r="D866" s="9" t="str">
        <f>IF(A866="","",C866-子基金及业绩基准周净值!AI891)</f>
        <v/>
      </c>
      <c r="E866" s="12" t="str">
        <f>IF(A866="","",(MAX(B$3:B866)-B866)/MAX(B$3:B866))</f>
        <v/>
      </c>
      <c r="F866" s="12" t="str">
        <f>IF(A866="","",MAX(E$4:E866))</f>
        <v/>
      </c>
      <c r="G866" s="17"/>
    </row>
    <row r="867" spans="1:7">
      <c r="A867" s="7" t="str">
        <f>IF(子基金及业绩基准周净值!A892="","",子基金及业绩基准周净值!A892)</f>
        <v/>
      </c>
      <c r="B867" s="1" t="str">
        <f>IF(A867="","",VLOOKUP($A867,子基金及业绩基准周净值!$A:$AV,11))</f>
        <v/>
      </c>
      <c r="C867" s="8" t="str">
        <f t="shared" si="43"/>
        <v/>
      </c>
      <c r="D867" s="9" t="str">
        <f>IF(A867="","",C867-子基金及业绩基准周净值!AI892)</f>
        <v/>
      </c>
      <c r="E867" s="12" t="str">
        <f>IF(A867="","",(MAX(B$3:B867)-B867)/MAX(B$3:B867))</f>
        <v/>
      </c>
      <c r="F867" s="12" t="str">
        <f>IF(A867="","",MAX(E$4:E867))</f>
        <v/>
      </c>
      <c r="G867" s="17"/>
    </row>
    <row r="868" spans="1:7">
      <c r="A868" s="7" t="str">
        <f>IF(子基金及业绩基准周净值!A893="","",子基金及业绩基准周净值!A893)</f>
        <v/>
      </c>
      <c r="B868" s="1" t="str">
        <f>IF(A868="","",VLOOKUP($A868,子基金及业绩基准周净值!$A:$AV,11))</f>
        <v/>
      </c>
      <c r="C868" s="8" t="str">
        <f t="shared" si="43"/>
        <v/>
      </c>
      <c r="D868" s="9" t="str">
        <f>IF(A868="","",C868-子基金及业绩基准周净值!AI893)</f>
        <v/>
      </c>
      <c r="E868" s="12" t="str">
        <f>IF(A868="","",(MAX(B$3:B868)-B868)/MAX(B$3:B868))</f>
        <v/>
      </c>
      <c r="F868" s="12" t="str">
        <f>IF(A868="","",MAX(E$4:E868))</f>
        <v/>
      </c>
      <c r="G868" s="17"/>
    </row>
    <row r="869" spans="1:7">
      <c r="A869" s="7" t="str">
        <f>IF(子基金及业绩基准周净值!A894="","",子基金及业绩基准周净值!A894)</f>
        <v/>
      </c>
      <c r="B869" s="1" t="str">
        <f>IF(A869="","",VLOOKUP($A869,子基金及业绩基准周净值!$A:$AV,11))</f>
        <v/>
      </c>
      <c r="C869" s="8" t="str">
        <f t="shared" si="43"/>
        <v/>
      </c>
      <c r="D869" s="9" t="str">
        <f>IF(A869="","",C869-子基金及业绩基准周净值!AI894)</f>
        <v/>
      </c>
      <c r="E869" s="12" t="str">
        <f>IF(A869="","",(MAX(B$3:B869)-B869)/MAX(B$3:B869))</f>
        <v/>
      </c>
      <c r="F869" s="12" t="str">
        <f>IF(A869="","",MAX(E$4:E869))</f>
        <v/>
      </c>
      <c r="G869" s="17"/>
    </row>
    <row r="870" spans="1:7">
      <c r="A870" s="7" t="str">
        <f>IF(子基金及业绩基准周净值!A895="","",子基金及业绩基准周净值!A895)</f>
        <v/>
      </c>
      <c r="B870" s="1" t="str">
        <f>IF(A870="","",VLOOKUP($A870,子基金及业绩基准周净值!$A:$AV,11))</f>
        <v/>
      </c>
      <c r="C870" s="8" t="str">
        <f t="shared" si="43"/>
        <v/>
      </c>
      <c r="D870" s="9" t="str">
        <f>IF(A870="","",C870-子基金及业绩基准周净值!AI895)</f>
        <v/>
      </c>
      <c r="E870" s="12" t="str">
        <f>IF(A870="","",(MAX(B$3:B870)-B870)/MAX(B$3:B870))</f>
        <v/>
      </c>
      <c r="F870" s="12" t="str">
        <f>IF(A870="","",MAX(E$4:E870))</f>
        <v/>
      </c>
      <c r="G870" s="17"/>
    </row>
    <row r="871" spans="1:7">
      <c r="A871" s="7" t="str">
        <f>IF(子基金及业绩基准周净值!A896="","",子基金及业绩基准周净值!A896)</f>
        <v/>
      </c>
      <c r="B871" s="1" t="str">
        <f>IF(A871="","",VLOOKUP($A871,子基金及业绩基准周净值!$A:$AV,11))</f>
        <v/>
      </c>
      <c r="C871" s="8" t="str">
        <f t="shared" si="43"/>
        <v/>
      </c>
      <c r="D871" s="9" t="str">
        <f>IF(A871="","",C871-子基金及业绩基准周净值!AI896)</f>
        <v/>
      </c>
      <c r="E871" s="12" t="str">
        <f>IF(A871="","",(MAX(B$3:B871)-B871)/MAX(B$3:B871))</f>
        <v/>
      </c>
      <c r="F871" s="12" t="str">
        <f>IF(A871="","",MAX(E$4:E871))</f>
        <v/>
      </c>
      <c r="G871" s="17"/>
    </row>
    <row r="872" spans="1:7">
      <c r="A872" s="7" t="str">
        <f>IF(子基金及业绩基准周净值!A897="","",子基金及业绩基准周净值!A897)</f>
        <v/>
      </c>
      <c r="B872" s="1" t="str">
        <f>IF(A872="","",VLOOKUP($A872,子基金及业绩基准周净值!$A:$AV,11))</f>
        <v/>
      </c>
      <c r="C872" s="8" t="str">
        <f t="shared" si="43"/>
        <v/>
      </c>
      <c r="D872" s="9" t="str">
        <f>IF(A872="","",C872-子基金及业绩基准周净值!AI897)</f>
        <v/>
      </c>
      <c r="E872" s="12" t="str">
        <f>IF(A872="","",(MAX(B$3:B872)-B872)/MAX(B$3:B872))</f>
        <v/>
      </c>
      <c r="F872" s="12" t="str">
        <f>IF(A872="","",MAX(E$4:E872))</f>
        <v/>
      </c>
      <c r="G872" s="17"/>
    </row>
    <row r="873" spans="1:7">
      <c r="A873" s="7" t="str">
        <f>IF(子基金及业绩基准周净值!A898="","",子基金及业绩基准周净值!A898)</f>
        <v/>
      </c>
      <c r="B873" s="1" t="str">
        <f>IF(A873="","",VLOOKUP($A873,子基金及业绩基准周净值!$A:$AV,11))</f>
        <v/>
      </c>
      <c r="C873" s="8" t="str">
        <f t="shared" si="43"/>
        <v/>
      </c>
      <c r="D873" s="9" t="str">
        <f>IF(A873="","",C873-子基金及业绩基准周净值!AI898)</f>
        <v/>
      </c>
      <c r="E873" s="12" t="str">
        <f>IF(A873="","",(MAX(B$3:B873)-B873)/MAX(B$3:B873))</f>
        <v/>
      </c>
      <c r="F873" s="12" t="str">
        <f>IF(A873="","",MAX(E$4:E873))</f>
        <v/>
      </c>
      <c r="G873" s="17"/>
    </row>
    <row r="874" spans="1:7">
      <c r="A874" s="7" t="str">
        <f>IF(子基金及业绩基准周净值!A899="","",子基金及业绩基准周净值!A899)</f>
        <v/>
      </c>
      <c r="B874" s="1" t="str">
        <f>IF(A874="","",VLOOKUP($A874,子基金及业绩基准周净值!$A:$AV,11))</f>
        <v/>
      </c>
      <c r="C874" s="8" t="str">
        <f t="shared" si="43"/>
        <v/>
      </c>
      <c r="D874" s="9" t="str">
        <f>IF(A874="","",C874-子基金及业绩基准周净值!AI899)</f>
        <v/>
      </c>
      <c r="E874" s="12" t="str">
        <f>IF(A874="","",(MAX(B$3:B874)-B874)/MAX(B$3:B874))</f>
        <v/>
      </c>
      <c r="F874" s="12" t="str">
        <f>IF(A874="","",MAX(E$4:E874))</f>
        <v/>
      </c>
      <c r="G874" s="17"/>
    </row>
    <row r="875" spans="1:7">
      <c r="A875" s="7" t="str">
        <f>IF(子基金及业绩基准周净值!A900="","",子基金及业绩基准周净值!A900)</f>
        <v/>
      </c>
      <c r="B875" s="1" t="str">
        <f>IF(A875="","",VLOOKUP($A875,子基金及业绩基准周净值!$A:$AV,11))</f>
        <v/>
      </c>
      <c r="C875" s="8" t="str">
        <f t="shared" si="43"/>
        <v/>
      </c>
      <c r="D875" s="9" t="str">
        <f>IF(A875="","",C875-子基金及业绩基准周净值!AI900)</f>
        <v/>
      </c>
      <c r="E875" s="12" t="str">
        <f>IF(A875="","",(MAX(B$3:B875)-B875)/MAX(B$3:B875))</f>
        <v/>
      </c>
      <c r="F875" s="12" t="str">
        <f>IF(A875="","",MAX(E$4:E875))</f>
        <v/>
      </c>
      <c r="G875" s="17"/>
    </row>
    <row r="876" spans="1:7">
      <c r="A876" s="7" t="str">
        <f>IF(子基金及业绩基准周净值!A901="","",子基金及业绩基准周净值!A901)</f>
        <v/>
      </c>
      <c r="B876" s="1" t="str">
        <f>IF(A876="","",VLOOKUP($A876,子基金及业绩基准周净值!$A:$AV,11))</f>
        <v/>
      </c>
      <c r="C876" s="8" t="str">
        <f t="shared" si="43"/>
        <v/>
      </c>
      <c r="D876" s="9" t="str">
        <f>IF(A876="","",C876-子基金及业绩基准周净值!AI901)</f>
        <v/>
      </c>
      <c r="E876" s="12" t="str">
        <f>IF(A876="","",(MAX(B$3:B876)-B876)/MAX(B$3:B876))</f>
        <v/>
      </c>
      <c r="F876" s="12" t="str">
        <f>IF(A876="","",MAX(E$4:E876))</f>
        <v/>
      </c>
      <c r="G876" s="17"/>
    </row>
    <row r="877" spans="1:7">
      <c r="A877" s="7" t="str">
        <f>IF(子基金及业绩基准周净值!A902="","",子基金及业绩基准周净值!A902)</f>
        <v/>
      </c>
      <c r="B877" s="1" t="str">
        <f>IF(A877="","",VLOOKUP($A877,子基金及业绩基准周净值!$A:$AV,11))</f>
        <v/>
      </c>
      <c r="C877" s="8" t="str">
        <f t="shared" si="43"/>
        <v/>
      </c>
      <c r="D877" s="9" t="str">
        <f>IF(A877="","",C877-子基金及业绩基准周净值!AI902)</f>
        <v/>
      </c>
      <c r="E877" s="12" t="str">
        <f>IF(A877="","",(MAX(B$3:B877)-B877)/MAX(B$3:B877))</f>
        <v/>
      </c>
      <c r="F877" s="12" t="str">
        <f>IF(A877="","",MAX(E$4:E877))</f>
        <v/>
      </c>
      <c r="G877" s="17"/>
    </row>
    <row r="878" spans="1:7">
      <c r="A878" s="7" t="str">
        <f>IF(子基金及业绩基准周净值!A903="","",子基金及业绩基准周净值!A903)</f>
        <v/>
      </c>
      <c r="B878" s="1" t="str">
        <f>IF(A878="","",VLOOKUP($A878,子基金及业绩基准周净值!$A:$AV,11))</f>
        <v/>
      </c>
      <c r="C878" s="8" t="str">
        <f t="shared" si="43"/>
        <v/>
      </c>
      <c r="D878" s="9" t="str">
        <f>IF(A878="","",C878-子基金及业绩基准周净值!AI903)</f>
        <v/>
      </c>
      <c r="E878" s="12" t="str">
        <f>IF(A878="","",(MAX(B$3:B878)-B878)/MAX(B$3:B878))</f>
        <v/>
      </c>
      <c r="F878" s="12" t="str">
        <f>IF(A878="","",MAX(E$4:E878))</f>
        <v/>
      </c>
      <c r="G878" s="17"/>
    </row>
    <row r="879" spans="1:7">
      <c r="A879" s="7" t="str">
        <f>IF(子基金及业绩基准周净值!A904="","",子基金及业绩基准周净值!A904)</f>
        <v/>
      </c>
      <c r="B879" s="1" t="str">
        <f>IF(A879="","",VLOOKUP($A879,子基金及业绩基准周净值!$A:$AV,11))</f>
        <v/>
      </c>
      <c r="C879" s="8" t="str">
        <f t="shared" si="43"/>
        <v/>
      </c>
      <c r="D879" s="9" t="str">
        <f>IF(A879="","",C879-子基金及业绩基准周净值!AI904)</f>
        <v/>
      </c>
      <c r="E879" s="12" t="str">
        <f>IF(A879="","",(MAX(B$3:B879)-B879)/MAX(B$3:B879))</f>
        <v/>
      </c>
      <c r="F879" s="12" t="str">
        <f>IF(A879="","",MAX(E$4:E879))</f>
        <v/>
      </c>
      <c r="G879" s="17"/>
    </row>
    <row r="880" spans="1:7">
      <c r="A880" s="7" t="str">
        <f>IF(子基金及业绩基准周净值!A905="","",子基金及业绩基准周净值!A905)</f>
        <v/>
      </c>
      <c r="B880" s="1" t="str">
        <f>IF(A880="","",VLOOKUP($A880,子基金及业绩基准周净值!$A:$AV,11))</f>
        <v/>
      </c>
      <c r="C880" s="8" t="str">
        <f t="shared" si="43"/>
        <v/>
      </c>
      <c r="D880" s="9" t="str">
        <f>IF(A880="","",C880-子基金及业绩基准周净值!AI905)</f>
        <v/>
      </c>
      <c r="E880" s="12" t="str">
        <f>IF(A880="","",(MAX(B$3:B880)-B880)/MAX(B$3:B880))</f>
        <v/>
      </c>
      <c r="F880" s="12" t="str">
        <f>IF(A880="","",MAX(E$4:E880))</f>
        <v/>
      </c>
      <c r="G880" s="17"/>
    </row>
    <row r="881" spans="1:7">
      <c r="A881" s="7" t="str">
        <f>IF(子基金及业绩基准周净值!A906="","",子基金及业绩基准周净值!A906)</f>
        <v/>
      </c>
      <c r="B881" s="1" t="str">
        <f>IF(A881="","",VLOOKUP($A881,子基金及业绩基准周净值!$A:$AV,11))</f>
        <v/>
      </c>
      <c r="C881" s="8" t="str">
        <f t="shared" si="43"/>
        <v/>
      </c>
      <c r="D881" s="9" t="str">
        <f>IF(A881="","",C881-子基金及业绩基准周净值!AI906)</f>
        <v/>
      </c>
      <c r="E881" s="12" t="str">
        <f>IF(A881="","",(MAX(B$3:B881)-B881)/MAX(B$3:B881))</f>
        <v/>
      </c>
      <c r="F881" s="12" t="str">
        <f>IF(A881="","",MAX(E$4:E881))</f>
        <v/>
      </c>
      <c r="G881" s="17"/>
    </row>
    <row r="882" spans="1:7">
      <c r="A882" s="7" t="str">
        <f>IF(子基金及业绩基准周净值!A907="","",子基金及业绩基准周净值!A907)</f>
        <v/>
      </c>
      <c r="B882" s="1" t="str">
        <f>IF(A882="","",VLOOKUP($A882,子基金及业绩基准周净值!$A:$AV,11))</f>
        <v/>
      </c>
      <c r="C882" s="8" t="str">
        <f t="shared" si="43"/>
        <v/>
      </c>
      <c r="D882" s="9" t="str">
        <f>IF(A882="","",C882-子基金及业绩基准周净值!AI907)</f>
        <v/>
      </c>
      <c r="E882" s="12" t="str">
        <f>IF(A882="","",(MAX(B$3:B882)-B882)/MAX(B$3:B882))</f>
        <v/>
      </c>
      <c r="F882" s="12" t="str">
        <f>IF(A882="","",MAX(E$4:E882))</f>
        <v/>
      </c>
      <c r="G882" s="17"/>
    </row>
    <row r="883" spans="1:7">
      <c r="A883" s="7" t="str">
        <f>IF(子基金及业绩基准周净值!A908="","",子基金及业绩基准周净值!A908)</f>
        <v/>
      </c>
      <c r="B883" s="1" t="str">
        <f>IF(A883="","",VLOOKUP($A883,子基金及业绩基准周净值!$A:$AV,11))</f>
        <v/>
      </c>
      <c r="C883" s="8" t="str">
        <f t="shared" si="43"/>
        <v/>
      </c>
      <c r="D883" s="9" t="str">
        <f>IF(A883="","",C883-子基金及业绩基准周净值!AI908)</f>
        <v/>
      </c>
      <c r="E883" s="12" t="str">
        <f>IF(A883="","",(MAX(B$3:B883)-B883)/MAX(B$3:B883))</f>
        <v/>
      </c>
      <c r="F883" s="12" t="str">
        <f>IF(A883="","",MAX(E$4:E883))</f>
        <v/>
      </c>
      <c r="G883" s="17"/>
    </row>
    <row r="884" spans="1:7">
      <c r="A884" s="7" t="str">
        <f>IF(子基金及业绩基准周净值!A909="","",子基金及业绩基准周净值!A909)</f>
        <v/>
      </c>
      <c r="B884" s="1" t="str">
        <f>IF(A884="","",VLOOKUP($A884,子基金及业绩基准周净值!$A:$AV,11))</f>
        <v/>
      </c>
      <c r="C884" s="8" t="str">
        <f t="shared" si="43"/>
        <v/>
      </c>
      <c r="D884" s="9" t="str">
        <f>IF(A884="","",C884-子基金及业绩基准周净值!AI909)</f>
        <v/>
      </c>
      <c r="E884" s="12" t="str">
        <f>IF(A884="","",(MAX(B$3:B884)-B884)/MAX(B$3:B884))</f>
        <v/>
      </c>
      <c r="F884" s="12" t="str">
        <f>IF(A884="","",MAX(E$4:E884))</f>
        <v/>
      </c>
      <c r="G884" s="17"/>
    </row>
    <row r="885" spans="1:7">
      <c r="A885" s="7" t="str">
        <f>IF(子基金及业绩基准周净值!A910="","",子基金及业绩基准周净值!A910)</f>
        <v/>
      </c>
      <c r="B885" s="1" t="str">
        <f>IF(A885="","",VLOOKUP($A885,子基金及业绩基准周净值!$A:$AV,11))</f>
        <v/>
      </c>
      <c r="C885" s="8" t="str">
        <f t="shared" si="43"/>
        <v/>
      </c>
      <c r="D885" s="9" t="str">
        <f>IF(A885="","",C885-子基金及业绩基准周净值!AI910)</f>
        <v/>
      </c>
      <c r="E885" s="12" t="str">
        <f>IF(A885="","",(MAX(B$3:B885)-B885)/MAX(B$3:B885))</f>
        <v/>
      </c>
      <c r="F885" s="12" t="str">
        <f>IF(A885="","",MAX(E$4:E885))</f>
        <v/>
      </c>
      <c r="G885" s="17"/>
    </row>
    <row r="886" spans="1:7">
      <c r="A886" s="7" t="str">
        <f>IF(子基金及业绩基准周净值!A911="","",子基金及业绩基准周净值!A911)</f>
        <v/>
      </c>
      <c r="B886" s="1" t="str">
        <f>IF(A886="","",VLOOKUP($A886,子基金及业绩基准周净值!$A:$AV,11))</f>
        <v/>
      </c>
      <c r="C886" s="8" t="str">
        <f t="shared" si="43"/>
        <v/>
      </c>
      <c r="D886" s="9" t="str">
        <f>IF(A886="","",C886-子基金及业绩基准周净值!AI911)</f>
        <v/>
      </c>
      <c r="E886" s="12" t="str">
        <f>IF(A886="","",(MAX(B$3:B886)-B886)/MAX(B$3:B886))</f>
        <v/>
      </c>
      <c r="F886" s="12" t="str">
        <f>IF(A886="","",MAX(E$4:E886))</f>
        <v/>
      </c>
      <c r="G886" s="17"/>
    </row>
    <row r="887" spans="1:7">
      <c r="A887" s="7" t="str">
        <f>IF(子基金及业绩基准周净值!A912="","",子基金及业绩基准周净值!A912)</f>
        <v/>
      </c>
      <c r="B887" s="1" t="str">
        <f>IF(A887="","",VLOOKUP($A887,子基金及业绩基准周净值!$A:$AV,11))</f>
        <v/>
      </c>
      <c r="C887" s="8" t="str">
        <f t="shared" si="43"/>
        <v/>
      </c>
      <c r="D887" s="9" t="str">
        <f>IF(A887="","",C887-子基金及业绩基准周净值!AI912)</f>
        <v/>
      </c>
      <c r="E887" s="12" t="str">
        <f>IF(A887="","",(MAX(B$3:B887)-B887)/MAX(B$3:B887))</f>
        <v/>
      </c>
      <c r="F887" s="12" t="str">
        <f>IF(A887="","",MAX(E$4:E887))</f>
        <v/>
      </c>
      <c r="G887" s="17"/>
    </row>
    <row r="888" spans="1:7">
      <c r="A888" s="7" t="str">
        <f>IF(子基金及业绩基准周净值!A913="","",子基金及业绩基准周净值!A913)</f>
        <v/>
      </c>
      <c r="B888" s="1" t="str">
        <f>IF(A888="","",VLOOKUP($A888,子基金及业绩基准周净值!$A:$AV,11))</f>
        <v/>
      </c>
      <c r="C888" s="8" t="str">
        <f t="shared" si="43"/>
        <v/>
      </c>
      <c r="D888" s="9" t="str">
        <f>IF(A888="","",C888-子基金及业绩基准周净值!AI913)</f>
        <v/>
      </c>
      <c r="E888" s="12" t="str">
        <f>IF(A888="","",(MAX(B$3:B888)-B888)/MAX(B$3:B888))</f>
        <v/>
      </c>
      <c r="F888" s="12" t="str">
        <f>IF(A888="","",MAX(E$4:E888))</f>
        <v/>
      </c>
      <c r="G888" s="17"/>
    </row>
    <row r="889" spans="1:7">
      <c r="A889" s="7" t="str">
        <f>IF(子基金及业绩基准周净值!A914="","",子基金及业绩基准周净值!A914)</f>
        <v/>
      </c>
      <c r="B889" s="1" t="str">
        <f>IF(A889="","",VLOOKUP($A889,子基金及业绩基准周净值!$A:$AV,11))</f>
        <v/>
      </c>
      <c r="C889" s="8" t="str">
        <f t="shared" si="43"/>
        <v/>
      </c>
      <c r="D889" s="9" t="str">
        <f>IF(A889="","",C889-子基金及业绩基准周净值!AI914)</f>
        <v/>
      </c>
      <c r="E889" s="12" t="str">
        <f>IF(A889="","",(MAX(B$3:B889)-B889)/MAX(B$3:B889))</f>
        <v/>
      </c>
      <c r="F889" s="12" t="str">
        <f>IF(A889="","",MAX(E$4:E889))</f>
        <v/>
      </c>
      <c r="G889" s="17"/>
    </row>
    <row r="890" spans="1:7">
      <c r="A890" s="7" t="str">
        <f>IF(子基金及业绩基准周净值!A915="","",子基金及业绩基准周净值!A915)</f>
        <v/>
      </c>
      <c r="B890" s="1" t="str">
        <f>IF(A890="","",VLOOKUP($A890,子基金及业绩基准周净值!$A:$AV,11))</f>
        <v/>
      </c>
      <c r="C890" s="8" t="str">
        <f t="shared" si="43"/>
        <v/>
      </c>
      <c r="D890" s="9" t="str">
        <f>IF(A890="","",C890-子基金及业绩基准周净值!AI915)</f>
        <v/>
      </c>
      <c r="E890" s="12" t="str">
        <f>IF(A890="","",(MAX(B$3:B890)-B890)/MAX(B$3:B890))</f>
        <v/>
      </c>
      <c r="F890" s="12" t="str">
        <f>IF(A890="","",MAX(E$4:E890))</f>
        <v/>
      </c>
      <c r="G890" s="17"/>
    </row>
    <row r="891" spans="1:7">
      <c r="A891" s="7" t="str">
        <f>IF(子基金及业绩基准周净值!A916="","",子基金及业绩基准周净值!A916)</f>
        <v/>
      </c>
      <c r="B891" s="1" t="str">
        <f>IF(A891="","",VLOOKUP($A891,子基金及业绩基准周净值!$A:$AV,11))</f>
        <v/>
      </c>
      <c r="C891" s="8" t="str">
        <f t="shared" si="43"/>
        <v/>
      </c>
      <c r="D891" s="9" t="str">
        <f>IF(A891="","",C891-子基金及业绩基准周净值!AI916)</f>
        <v/>
      </c>
      <c r="E891" s="12" t="str">
        <f>IF(A891="","",(MAX(B$3:B891)-B891)/MAX(B$3:B891))</f>
        <v/>
      </c>
      <c r="F891" s="12" t="str">
        <f>IF(A891="","",MAX(E$4:E891))</f>
        <v/>
      </c>
      <c r="G891" s="17"/>
    </row>
    <row r="892" spans="1:7">
      <c r="A892" s="7" t="str">
        <f>IF(子基金及业绩基准周净值!A917="","",子基金及业绩基准周净值!A917)</f>
        <v/>
      </c>
      <c r="B892" s="1" t="str">
        <f>IF(A892="","",VLOOKUP($A892,子基金及业绩基准周净值!$A:$AV,11))</f>
        <v/>
      </c>
      <c r="C892" s="8" t="str">
        <f t="shared" si="43"/>
        <v/>
      </c>
      <c r="D892" s="9" t="str">
        <f>IF(A892="","",C892-子基金及业绩基准周净值!AI917)</f>
        <v/>
      </c>
      <c r="E892" s="12" t="str">
        <f>IF(A892="","",(MAX(B$3:B892)-B892)/MAX(B$3:B892))</f>
        <v/>
      </c>
      <c r="F892" s="12" t="str">
        <f>IF(A892="","",MAX(E$4:E892))</f>
        <v/>
      </c>
      <c r="G892" s="17"/>
    </row>
    <row r="893" spans="1:7">
      <c r="A893" s="7" t="str">
        <f>IF(子基金及业绩基准周净值!A918="","",子基金及业绩基准周净值!A918)</f>
        <v/>
      </c>
      <c r="B893" s="1" t="str">
        <f>IF(A893="","",VLOOKUP($A893,子基金及业绩基准周净值!$A:$AV,11))</f>
        <v/>
      </c>
      <c r="C893" s="8" t="str">
        <f t="shared" si="43"/>
        <v/>
      </c>
      <c r="D893" s="9" t="str">
        <f>IF(A893="","",C893-子基金及业绩基准周净值!AI918)</f>
        <v/>
      </c>
      <c r="E893" s="12" t="str">
        <f>IF(A893="","",(MAX(B$3:B893)-B893)/MAX(B$3:B893))</f>
        <v/>
      </c>
      <c r="F893" s="12" t="str">
        <f>IF(A893="","",MAX(E$4:E893))</f>
        <v/>
      </c>
      <c r="G893" s="17"/>
    </row>
    <row r="894" spans="1:7">
      <c r="A894" s="7" t="str">
        <f>IF(子基金及业绩基准周净值!A919="","",子基金及业绩基准周净值!A919)</f>
        <v/>
      </c>
      <c r="B894" s="1" t="str">
        <f>IF(A894="","",VLOOKUP($A894,子基金及业绩基准周净值!$A:$AV,11))</f>
        <v/>
      </c>
      <c r="C894" s="8" t="str">
        <f t="shared" si="43"/>
        <v/>
      </c>
      <c r="D894" s="9" t="str">
        <f>IF(A894="","",C894-子基金及业绩基准周净值!AI919)</f>
        <v/>
      </c>
      <c r="E894" s="12" t="str">
        <f>IF(A894="","",(MAX(B$3:B894)-B894)/MAX(B$3:B894))</f>
        <v/>
      </c>
      <c r="F894" s="12" t="str">
        <f>IF(A894="","",MAX(E$4:E894))</f>
        <v/>
      </c>
      <c r="G894" s="17"/>
    </row>
    <row r="895" spans="1:7">
      <c r="A895" s="7" t="str">
        <f>IF(子基金及业绩基准周净值!A920="","",子基金及业绩基准周净值!A920)</f>
        <v/>
      </c>
      <c r="B895" s="1" t="str">
        <f>IF(A895="","",VLOOKUP($A895,子基金及业绩基准周净值!$A:$AV,11))</f>
        <v/>
      </c>
      <c r="C895" s="8" t="str">
        <f t="shared" si="43"/>
        <v/>
      </c>
      <c r="D895" s="9" t="str">
        <f>IF(A895="","",C895-子基金及业绩基准周净值!AI920)</f>
        <v/>
      </c>
      <c r="E895" s="12" t="str">
        <f>IF(A895="","",(MAX(B$3:B895)-B895)/MAX(B$3:B895))</f>
        <v/>
      </c>
      <c r="F895" s="12" t="str">
        <f>IF(A895="","",MAX(E$4:E895))</f>
        <v/>
      </c>
      <c r="G895" s="17"/>
    </row>
    <row r="896" spans="1:7">
      <c r="A896" s="7" t="str">
        <f>IF(子基金及业绩基准周净值!A921="","",子基金及业绩基准周净值!A921)</f>
        <v/>
      </c>
      <c r="B896" s="1" t="str">
        <f>IF(A896="","",VLOOKUP($A896,子基金及业绩基准周净值!$A:$AV,11))</f>
        <v/>
      </c>
      <c r="C896" s="8" t="str">
        <f t="shared" si="43"/>
        <v/>
      </c>
      <c r="D896" s="9" t="str">
        <f>IF(A896="","",C896-子基金及业绩基准周净值!AI921)</f>
        <v/>
      </c>
      <c r="E896" s="12" t="str">
        <f>IF(A896="","",(MAX(B$3:B896)-B896)/MAX(B$3:B896))</f>
        <v/>
      </c>
      <c r="F896" s="12" t="str">
        <f>IF(A896="","",MAX(E$4:E896))</f>
        <v/>
      </c>
      <c r="G896" s="17"/>
    </row>
    <row r="897" spans="1:7">
      <c r="A897" s="7" t="str">
        <f>IF(子基金及业绩基准周净值!A922="","",子基金及业绩基准周净值!A922)</f>
        <v/>
      </c>
      <c r="B897" s="1" t="str">
        <f>IF(A897="","",VLOOKUP($A897,子基金及业绩基准周净值!$A:$AV,11))</f>
        <v/>
      </c>
      <c r="C897" s="8" t="str">
        <f t="shared" si="43"/>
        <v/>
      </c>
      <c r="D897" s="9" t="str">
        <f>IF(A897="","",C897-子基金及业绩基准周净值!AI922)</f>
        <v/>
      </c>
      <c r="E897" s="12" t="str">
        <f>IF(A897="","",(MAX(B$3:B897)-B897)/MAX(B$3:B897))</f>
        <v/>
      </c>
      <c r="F897" s="12" t="str">
        <f>IF(A897="","",MAX(E$4:E897))</f>
        <v/>
      </c>
      <c r="G897" s="17"/>
    </row>
    <row r="898" spans="1:7">
      <c r="A898" s="7" t="str">
        <f>IF(子基金及业绩基准周净值!A923="","",子基金及业绩基准周净值!A923)</f>
        <v/>
      </c>
      <c r="B898" s="1" t="str">
        <f>IF(A898="","",VLOOKUP($A898,子基金及业绩基准周净值!$A:$AV,11))</f>
        <v/>
      </c>
      <c r="C898" s="8" t="str">
        <f t="shared" si="43"/>
        <v/>
      </c>
      <c r="D898" s="9" t="str">
        <f>IF(A898="","",C898-子基金及业绩基准周净值!AI923)</f>
        <v/>
      </c>
      <c r="E898" s="12" t="str">
        <f>IF(A898="","",(MAX(B$3:B898)-B898)/MAX(B$3:B898))</f>
        <v/>
      </c>
      <c r="F898" s="12" t="str">
        <f>IF(A898="","",MAX(E$4:E898))</f>
        <v/>
      </c>
      <c r="G898" s="17"/>
    </row>
    <row r="899" spans="1:7">
      <c r="A899" s="7" t="str">
        <f>IF(子基金及业绩基准周净值!A924="","",子基金及业绩基准周净值!A924)</f>
        <v/>
      </c>
      <c r="B899" s="1" t="str">
        <f>IF(A899="","",VLOOKUP($A899,子基金及业绩基准周净值!$A:$AV,11))</f>
        <v/>
      </c>
      <c r="C899" s="8" t="str">
        <f t="shared" si="43"/>
        <v/>
      </c>
      <c r="D899" s="9" t="str">
        <f>IF(A899="","",C899-子基金及业绩基准周净值!AI924)</f>
        <v/>
      </c>
      <c r="E899" s="12" t="str">
        <f>IF(A899="","",(MAX(B$3:B899)-B899)/MAX(B$3:B899))</f>
        <v/>
      </c>
      <c r="F899" s="12" t="str">
        <f>IF(A899="","",MAX(E$4:E899))</f>
        <v/>
      </c>
      <c r="G899" s="17"/>
    </row>
    <row r="900" spans="1:7">
      <c r="A900" s="7" t="str">
        <f>IF(子基金及业绩基准周净值!A925="","",子基金及业绩基准周净值!A925)</f>
        <v/>
      </c>
      <c r="B900" s="1" t="str">
        <f>IF(A900="","",VLOOKUP($A900,子基金及业绩基准周净值!$A:$AV,11))</f>
        <v/>
      </c>
      <c r="C900" s="8" t="str">
        <f t="shared" si="43"/>
        <v/>
      </c>
      <c r="D900" s="9" t="str">
        <f>IF(A900="","",C900-子基金及业绩基准周净值!AI925)</f>
        <v/>
      </c>
      <c r="E900" s="12" t="str">
        <f>IF(A900="","",(MAX(B$3:B900)-B900)/MAX(B$3:B900))</f>
        <v/>
      </c>
      <c r="F900" s="12" t="str">
        <f>IF(A900="","",MAX(E$4:E900))</f>
        <v/>
      </c>
      <c r="G900" s="17"/>
    </row>
    <row r="901" spans="1:7">
      <c r="A901" s="7" t="str">
        <f>IF(子基金及业绩基准周净值!A926="","",子基金及业绩基准周净值!A926)</f>
        <v/>
      </c>
      <c r="B901" s="1" t="str">
        <f>IF(A901="","",VLOOKUP($A901,子基金及业绩基准周净值!$A:$AV,11))</f>
        <v/>
      </c>
      <c r="C901" s="8" t="str">
        <f t="shared" ref="C901:C918" si="44">IF(A901="","",(B901-B900)/B900)</f>
        <v/>
      </c>
      <c r="D901" s="9" t="str">
        <f>IF(A901="","",C901-子基金及业绩基准周净值!AI926)</f>
        <v/>
      </c>
      <c r="E901" s="12" t="str">
        <f>IF(A901="","",(MAX(B$3:B901)-B901)/MAX(B$3:B901))</f>
        <v/>
      </c>
      <c r="F901" s="12" t="str">
        <f>IF(A901="","",MAX(E$4:E901))</f>
        <v/>
      </c>
      <c r="G901" s="17"/>
    </row>
    <row r="902" spans="1:7">
      <c r="A902" s="7" t="str">
        <f>IF(子基金及业绩基准周净值!A927="","",子基金及业绩基准周净值!A927)</f>
        <v/>
      </c>
      <c r="B902" s="1" t="str">
        <f>IF(A902="","",VLOOKUP($A902,子基金及业绩基准周净值!$A:$AV,11))</f>
        <v/>
      </c>
      <c r="C902" s="8" t="str">
        <f t="shared" si="44"/>
        <v/>
      </c>
      <c r="D902" s="9" t="str">
        <f>IF(A902="","",C902-子基金及业绩基准周净值!AI927)</f>
        <v/>
      </c>
      <c r="E902" s="12" t="str">
        <f>IF(A902="","",(MAX(B$3:B902)-B902)/MAX(B$3:B902))</f>
        <v/>
      </c>
      <c r="F902" s="12" t="str">
        <f>IF(A902="","",MAX(E$4:E902))</f>
        <v/>
      </c>
      <c r="G902" s="17"/>
    </row>
    <row r="903" spans="1:7">
      <c r="A903" s="7" t="str">
        <f>IF(子基金及业绩基准周净值!A928="","",子基金及业绩基准周净值!A928)</f>
        <v/>
      </c>
      <c r="B903" s="1" t="str">
        <f>IF(A903="","",VLOOKUP($A903,子基金及业绩基准周净值!$A:$AV,11))</f>
        <v/>
      </c>
      <c r="C903" s="8" t="str">
        <f t="shared" si="44"/>
        <v/>
      </c>
      <c r="D903" s="9" t="str">
        <f>IF(A903="","",C903-子基金及业绩基准周净值!AI928)</f>
        <v/>
      </c>
      <c r="E903" s="12" t="str">
        <f>IF(A903="","",(MAX(B$3:B903)-B903)/MAX(B$3:B903))</f>
        <v/>
      </c>
      <c r="F903" s="12" t="str">
        <f>IF(A903="","",MAX(E$4:E903))</f>
        <v/>
      </c>
      <c r="G903" s="17"/>
    </row>
    <row r="904" spans="1:7">
      <c r="A904" s="7" t="str">
        <f>IF(子基金及业绩基准周净值!A929="","",子基金及业绩基准周净值!A929)</f>
        <v/>
      </c>
      <c r="B904" s="1" t="str">
        <f>IF(A904="","",VLOOKUP($A904,子基金及业绩基准周净值!$A:$AV,11))</f>
        <v/>
      </c>
      <c r="C904" s="8" t="str">
        <f t="shared" si="44"/>
        <v/>
      </c>
      <c r="D904" s="9" t="str">
        <f>IF(A904="","",C904-子基金及业绩基准周净值!AI929)</f>
        <v/>
      </c>
      <c r="E904" s="12" t="str">
        <f>IF(A904="","",(MAX(B$3:B904)-B904)/MAX(B$3:B904))</f>
        <v/>
      </c>
      <c r="F904" s="12" t="str">
        <f>IF(A904="","",MAX(E$4:E904))</f>
        <v/>
      </c>
      <c r="G904" s="17"/>
    </row>
    <row r="905" spans="1:7">
      <c r="A905" s="7" t="str">
        <f>IF(子基金及业绩基准周净值!A930="","",子基金及业绩基准周净值!A930)</f>
        <v/>
      </c>
      <c r="B905" s="1" t="str">
        <f>IF(A905="","",VLOOKUP($A905,子基金及业绩基准周净值!$A:$AV,11))</f>
        <v/>
      </c>
      <c r="C905" s="8" t="str">
        <f t="shared" si="44"/>
        <v/>
      </c>
      <c r="D905" s="9" t="str">
        <f>IF(A905="","",C905-子基金及业绩基准周净值!AI930)</f>
        <v/>
      </c>
      <c r="E905" s="12" t="str">
        <f>IF(A905="","",(MAX(B$3:B905)-B905)/MAX(B$3:B905))</f>
        <v/>
      </c>
      <c r="F905" s="12" t="str">
        <f>IF(A905="","",MAX(E$4:E905))</f>
        <v/>
      </c>
      <c r="G905" s="17"/>
    </row>
    <row r="906" spans="1:7">
      <c r="A906" s="7" t="str">
        <f>IF(子基金及业绩基准周净值!A931="","",子基金及业绩基准周净值!A931)</f>
        <v/>
      </c>
      <c r="B906" s="1" t="str">
        <f>IF(A906="","",VLOOKUP($A906,子基金及业绩基准周净值!$A:$AV,11))</f>
        <v/>
      </c>
      <c r="C906" s="8" t="str">
        <f t="shared" si="44"/>
        <v/>
      </c>
      <c r="D906" s="9" t="str">
        <f>IF(A906="","",C906-子基金及业绩基准周净值!AI931)</f>
        <v/>
      </c>
      <c r="E906" s="12" t="str">
        <f>IF(A906="","",(MAX(B$3:B906)-B906)/MAX(B$3:B906))</f>
        <v/>
      </c>
      <c r="F906" s="12" t="str">
        <f>IF(A906="","",MAX(E$4:E906))</f>
        <v/>
      </c>
      <c r="G906" s="17"/>
    </row>
    <row r="907" spans="1:7">
      <c r="A907" s="7" t="str">
        <f>IF(子基金及业绩基准周净值!A932="","",子基金及业绩基准周净值!A932)</f>
        <v/>
      </c>
      <c r="B907" s="1" t="str">
        <f>IF(A907="","",VLOOKUP($A907,子基金及业绩基准周净值!$A:$AV,11))</f>
        <v/>
      </c>
      <c r="C907" s="8" t="str">
        <f t="shared" si="44"/>
        <v/>
      </c>
      <c r="D907" s="9" t="str">
        <f>IF(A907="","",C907-子基金及业绩基准周净值!AI932)</f>
        <v/>
      </c>
      <c r="E907" s="12" t="str">
        <f>IF(A907="","",(MAX(B$3:B907)-B907)/MAX(B$3:B907))</f>
        <v/>
      </c>
      <c r="F907" s="12" t="str">
        <f>IF(A907="","",MAX(E$4:E907))</f>
        <v/>
      </c>
      <c r="G907" s="17"/>
    </row>
    <row r="908" spans="1:7">
      <c r="A908" s="7" t="str">
        <f>IF(子基金及业绩基准周净值!A933="","",子基金及业绩基准周净值!A933)</f>
        <v/>
      </c>
      <c r="B908" s="1" t="str">
        <f>IF(A908="","",VLOOKUP($A908,子基金及业绩基准周净值!$A:$AV,11))</f>
        <v/>
      </c>
      <c r="C908" s="8" t="str">
        <f t="shared" si="44"/>
        <v/>
      </c>
      <c r="D908" s="9" t="str">
        <f>IF(A908="","",C908-子基金及业绩基准周净值!AI933)</f>
        <v/>
      </c>
      <c r="E908" s="12" t="str">
        <f>IF(A908="","",(MAX(B$3:B908)-B908)/MAX(B$3:B908))</f>
        <v/>
      </c>
      <c r="F908" s="12" t="str">
        <f>IF(A908="","",MAX(E$4:E908))</f>
        <v/>
      </c>
      <c r="G908" s="17"/>
    </row>
    <row r="909" spans="1:7">
      <c r="A909" s="7" t="str">
        <f>IF(子基金及业绩基准周净值!A934="","",子基金及业绩基准周净值!A934)</f>
        <v/>
      </c>
      <c r="B909" s="1" t="str">
        <f>IF(A909="","",VLOOKUP($A909,子基金及业绩基准周净值!$A:$AV,11))</f>
        <v/>
      </c>
      <c r="C909" s="8" t="str">
        <f t="shared" si="44"/>
        <v/>
      </c>
      <c r="D909" s="9" t="str">
        <f>IF(A909="","",C909-子基金及业绩基准周净值!AI934)</f>
        <v/>
      </c>
      <c r="E909" s="12" t="str">
        <f>IF(A909="","",(MAX(B$3:B909)-B909)/MAX(B$3:B909))</f>
        <v/>
      </c>
      <c r="F909" s="12" t="str">
        <f>IF(A909="","",MAX(E$4:E909))</f>
        <v/>
      </c>
      <c r="G909" s="17"/>
    </row>
    <row r="910" spans="1:7">
      <c r="A910" s="7" t="str">
        <f>IF(子基金及业绩基准周净值!A935="","",子基金及业绩基准周净值!A935)</f>
        <v/>
      </c>
      <c r="B910" s="1" t="str">
        <f>IF(A910="","",VLOOKUP($A910,子基金及业绩基准周净值!$A:$AV,11))</f>
        <v/>
      </c>
      <c r="C910" s="8" t="str">
        <f t="shared" si="44"/>
        <v/>
      </c>
      <c r="D910" s="9" t="str">
        <f>IF(A910="","",C910-子基金及业绩基准周净值!AI935)</f>
        <v/>
      </c>
      <c r="E910" s="12" t="str">
        <f>IF(A910="","",(MAX(B$3:B910)-B910)/MAX(B$3:B910))</f>
        <v/>
      </c>
      <c r="F910" s="12" t="str">
        <f>IF(A910="","",MAX(E$4:E910))</f>
        <v/>
      </c>
      <c r="G910" s="17"/>
    </row>
    <row r="911" spans="1:7">
      <c r="A911" s="7" t="str">
        <f>IF(子基金及业绩基准周净值!A936="","",子基金及业绩基准周净值!A936)</f>
        <v/>
      </c>
      <c r="B911" s="1" t="str">
        <f>IF(A911="","",VLOOKUP($A911,子基金及业绩基准周净值!$A:$AV,11))</f>
        <v/>
      </c>
      <c r="C911" s="8" t="str">
        <f t="shared" si="44"/>
        <v/>
      </c>
      <c r="D911" s="9" t="str">
        <f>IF(A911="","",C911-子基金及业绩基准周净值!AI936)</f>
        <v/>
      </c>
      <c r="E911" s="12" t="str">
        <f>IF(A911="","",(MAX(B$3:B911)-B911)/MAX(B$3:B911))</f>
        <v/>
      </c>
      <c r="F911" s="12" t="str">
        <f>IF(A911="","",MAX(E$4:E911))</f>
        <v/>
      </c>
      <c r="G911" s="17"/>
    </row>
    <row r="912" spans="1:7">
      <c r="A912" s="7" t="str">
        <f>IF(子基金及业绩基准周净值!A937="","",子基金及业绩基准周净值!A937)</f>
        <v/>
      </c>
      <c r="B912" s="1" t="str">
        <f>IF(A912="","",VLOOKUP($A912,子基金及业绩基准周净值!$A:$AV,11))</f>
        <v/>
      </c>
      <c r="C912" s="8" t="str">
        <f t="shared" si="44"/>
        <v/>
      </c>
      <c r="D912" s="9" t="str">
        <f>IF(A912="","",C912-子基金及业绩基准周净值!AI937)</f>
        <v/>
      </c>
      <c r="E912" s="12" t="str">
        <f>IF(A912="","",(MAX(B$3:B912)-B912)/MAX(B$3:B912))</f>
        <v/>
      </c>
      <c r="F912" s="12" t="str">
        <f>IF(A912="","",MAX(E$4:E912))</f>
        <v/>
      </c>
      <c r="G912" s="17"/>
    </row>
    <row r="913" spans="1:7">
      <c r="A913" s="7" t="str">
        <f>IF(子基金及业绩基准周净值!A938="","",子基金及业绩基准周净值!A938)</f>
        <v/>
      </c>
      <c r="B913" s="1" t="str">
        <f>IF(A913="","",VLOOKUP($A913,子基金及业绩基准周净值!$A:$AV,11))</f>
        <v/>
      </c>
      <c r="C913" s="8" t="str">
        <f t="shared" si="44"/>
        <v/>
      </c>
      <c r="D913" s="9" t="str">
        <f>IF(A913="","",C913-子基金及业绩基准周净值!AI938)</f>
        <v/>
      </c>
      <c r="E913" s="12" t="str">
        <f>IF(A913="","",(MAX(B$3:B913)-B913)/MAX(B$3:B913))</f>
        <v/>
      </c>
      <c r="F913" s="12" t="str">
        <f>IF(A913="","",MAX(E$4:E913))</f>
        <v/>
      </c>
      <c r="G913" s="17"/>
    </row>
    <row r="914" spans="1:7">
      <c r="A914" s="7" t="str">
        <f>IF(子基金及业绩基准周净值!A939="","",子基金及业绩基准周净值!A939)</f>
        <v/>
      </c>
      <c r="B914" s="1" t="str">
        <f>IF(A914="","",VLOOKUP($A914,子基金及业绩基准周净值!$A:$AV,11))</f>
        <v/>
      </c>
      <c r="C914" s="8" t="str">
        <f t="shared" si="44"/>
        <v/>
      </c>
      <c r="D914" s="9" t="str">
        <f>IF(A914="","",C914-子基金及业绩基准周净值!AI939)</f>
        <v/>
      </c>
      <c r="E914" s="12" t="str">
        <f>IF(A914="","",(MAX(B$3:B914)-B914)/MAX(B$3:B914))</f>
        <v/>
      </c>
      <c r="F914" s="12" t="str">
        <f>IF(A914="","",MAX(E$4:E914))</f>
        <v/>
      </c>
      <c r="G914" s="17"/>
    </row>
    <row r="915" spans="1:7">
      <c r="A915" s="7" t="str">
        <f>IF(子基金及业绩基准周净值!A940="","",子基金及业绩基准周净值!A940)</f>
        <v/>
      </c>
      <c r="B915" s="1" t="str">
        <f>IF(A915="","",VLOOKUP($A915,子基金及业绩基准周净值!$A:$AV,11))</f>
        <v/>
      </c>
      <c r="C915" s="8" t="str">
        <f t="shared" si="44"/>
        <v/>
      </c>
      <c r="D915" s="9" t="str">
        <f>IF(A915="","",C915-子基金及业绩基准周净值!AI940)</f>
        <v/>
      </c>
      <c r="E915" s="12" t="str">
        <f>IF(A915="","",(MAX(B$3:B915)-B915)/MAX(B$3:B915))</f>
        <v/>
      </c>
      <c r="F915" s="12" t="str">
        <f>IF(A915="","",MAX(E$4:E915))</f>
        <v/>
      </c>
      <c r="G915" s="17"/>
    </row>
    <row r="916" spans="1:7">
      <c r="A916" s="7" t="str">
        <f>IF(子基金及业绩基准周净值!A941="","",子基金及业绩基准周净值!A941)</f>
        <v/>
      </c>
      <c r="B916" s="1" t="str">
        <f>IF(A916="","",VLOOKUP($A916,子基金及业绩基准周净值!$A:$AV,11))</f>
        <v/>
      </c>
      <c r="C916" s="8" t="str">
        <f t="shared" si="44"/>
        <v/>
      </c>
      <c r="D916" s="9" t="str">
        <f>IF(A916="","",C916-子基金及业绩基准周净值!AI941)</f>
        <v/>
      </c>
      <c r="E916" s="12" t="str">
        <f>IF(A916="","",(MAX(B$3:B916)-B916)/MAX(B$3:B916))</f>
        <v/>
      </c>
      <c r="F916" s="12" t="str">
        <f>IF(A916="","",MAX(E$4:E916))</f>
        <v/>
      </c>
      <c r="G916" s="17"/>
    </row>
    <row r="917" spans="1:7">
      <c r="A917" s="7" t="str">
        <f>IF(子基金及业绩基准周净值!A942="","",子基金及业绩基准周净值!A942)</f>
        <v/>
      </c>
      <c r="B917" s="1" t="str">
        <f>IF(A917="","",VLOOKUP($A917,子基金及业绩基准周净值!$A:$AV,11))</f>
        <v/>
      </c>
      <c r="C917" s="8" t="str">
        <f t="shared" si="44"/>
        <v/>
      </c>
      <c r="D917" s="9" t="str">
        <f>IF(A917="","",C917-子基金及业绩基准周净值!AI942)</f>
        <v/>
      </c>
      <c r="E917" s="12" t="str">
        <f>IF(A917="","",(MAX(B$3:B917)-B917)/MAX(B$3:B917))</f>
        <v/>
      </c>
      <c r="F917" s="12" t="str">
        <f>IF(A917="","",MAX(E$4:E917))</f>
        <v/>
      </c>
      <c r="G917" s="17"/>
    </row>
    <row r="918" spans="1:7">
      <c r="A918" s="7" t="str">
        <f>IF(子基金及业绩基准周净值!A943="","",子基金及业绩基准周净值!A943)</f>
        <v/>
      </c>
      <c r="B918" s="1" t="str">
        <f>IF(A918="","",VLOOKUP($A918,子基金及业绩基准周净值!$A:$AV,11))</f>
        <v/>
      </c>
      <c r="C918" s="8" t="str">
        <f t="shared" si="44"/>
        <v/>
      </c>
      <c r="D918" s="9" t="str">
        <f>IF(A918="","",C918-子基金及业绩基准周净值!AI943)</f>
        <v/>
      </c>
      <c r="E918" s="12" t="str">
        <f>IF(A918="","",(MAX(B$3:B918)-B918)/MAX(B$3:B918))</f>
        <v/>
      </c>
      <c r="F918" s="12" t="str">
        <f>IF(A918="","",MAX(E$4:E918))</f>
        <v/>
      </c>
      <c r="G918" s="17"/>
    </row>
  </sheetData>
  <conditionalFormatting sqref="H4:H612">
    <cfRule type="containsText" dxfId="0" priority="1" operator="between" text="是">
      <formula>NOT(ISERROR(SEARCH("是",H4)))</formula>
    </cfRule>
  </conditionalFormatting>
  <conditionalFormatting sqref="J3:J612">
    <cfRule type="containsText" dxfId="0" priority="3" operator="between" text="是">
      <formula>NOT(ISERROR(SEARCH("是",J3)))</formula>
    </cfRule>
  </conditionalFormatting>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K308"/>
  <sheetViews>
    <sheetView topLeftCell="A13" workbookViewId="0">
      <selection activeCell="G43" sqref="G43"/>
    </sheetView>
  </sheetViews>
  <sheetFormatPr defaultColWidth="9" defaultRowHeight="16.8"/>
  <cols>
    <col min="1" max="1" width="11.125" customWidth="1"/>
    <col min="2" max="2" width="12.62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50</v>
      </c>
      <c r="C2" s="5" t="s">
        <v>310</v>
      </c>
      <c r="D2" s="6" t="s">
        <v>311</v>
      </c>
      <c r="F2" s="5" t="s">
        <v>22</v>
      </c>
      <c r="G2" s="10" t="s">
        <v>312</v>
      </c>
      <c r="H2" s="11" t="s">
        <v>313</v>
      </c>
      <c r="I2" s="11" t="s">
        <v>314</v>
      </c>
      <c r="J2" s="11" t="s">
        <v>315</v>
      </c>
      <c r="K2" s="5" t="s">
        <v>316</v>
      </c>
    </row>
    <row r="3" spans="1:2">
      <c r="A3" s="7">
        <f>IF(子基金及业绩基准周净值!A33="","",子基金及业绩基准周净值!A33)</f>
        <v>45674</v>
      </c>
      <c r="B3" s="1">
        <f>IF(A3="","",VLOOKUP($A3,子基金及业绩基准周净值!$A:$AV,13))</f>
        <v>0.9164</v>
      </c>
    </row>
    <row r="4" spans="1:10">
      <c r="A4" s="7">
        <f>IF(子基金及业绩基准周净值!A34="","",子基金及业绩基准周净值!A34)</f>
        <v>45681</v>
      </c>
      <c r="B4" s="1">
        <f>IF(A4="","",VLOOKUP($A4,子基金及业绩基准周净值!$A:$AV,13))</f>
        <v>0.924</v>
      </c>
      <c r="C4" s="8">
        <f>IF(A4="","",(B4-B3)/B3)</f>
        <v>0.00829332169358364</v>
      </c>
      <c r="D4" s="9">
        <f>IF(A4="","",C4-子基金及业绩基准周净值!AJ34)</f>
        <v>-0.00500667830641635</v>
      </c>
      <c r="E4" s="12">
        <f>IF(A4="","",(MAX(B$3:B4)-B4)/MAX(B$3:B4))</f>
        <v>0</v>
      </c>
      <c r="F4" s="12">
        <f>IF(A4="","",MAX(E$4:E4))</f>
        <v>0</v>
      </c>
      <c r="G4" s="13">
        <v>1</v>
      </c>
      <c r="H4" s="14" t="str">
        <f>IF(B4="","",IF(C4&lt;-3%,"是","否"))</f>
        <v>否</v>
      </c>
      <c r="I4" s="14" t="str">
        <f>IF(A4="","",IF(F4&gt;5%,"是","否"))</f>
        <v>否</v>
      </c>
      <c r="J4" s="15" t="str">
        <f>IF(A4="","",IF(G4&gt;=4,"是","否"))</f>
        <v>否</v>
      </c>
    </row>
    <row r="5" spans="1:10">
      <c r="A5" s="7">
        <f>IF(子基金及业绩基准周净值!A35="","",子基金及业绩基准周净值!A35)</f>
        <v>45684</v>
      </c>
      <c r="B5" s="1">
        <f>IF(A5="","",VLOOKUP($A5,子基金及业绩基准周净值!$A:$AV,13))</f>
        <v>0.9202</v>
      </c>
      <c r="C5" s="8">
        <f t="shared" ref="C5:C68" si="0">IF(A5="","",(B5-B4)/B4)</f>
        <v>-0.00411255411255414</v>
      </c>
      <c r="D5" s="9">
        <f>IF(A5="","",C5-子基金及业绩基准周净值!AJ35)</f>
        <v>-0.00251255411255414</v>
      </c>
      <c r="E5" s="12">
        <f>IF(A5="","",(MAX(B$3:B5)-B5)/MAX(B$3:B5))</f>
        <v>0.00411255411255414</v>
      </c>
      <c r="F5" s="12">
        <f>IF(A5="","",MAX(E$4:E5))</f>
        <v>0.00411255411255414</v>
      </c>
      <c r="G5" s="13">
        <v>2</v>
      </c>
      <c r="H5" s="14" t="str">
        <f t="shared" ref="H5:H68" si="1">IF(B5="","",IF(C5&lt;-3%,"是","否"))</f>
        <v>否</v>
      </c>
      <c r="I5" s="14" t="str">
        <f t="shared" ref="I5:I68" si="2">IF(A5="","",IF(F5&gt;5%,"是","否"))</f>
        <v>否</v>
      </c>
      <c r="J5" s="15" t="str">
        <f t="shared" ref="J5:J68" si="3">IF(A5="","",IF(G5&gt;=4,"是","否"))</f>
        <v>否</v>
      </c>
    </row>
    <row r="6" spans="1:10">
      <c r="A6" s="7">
        <f>IF(子基金及业绩基准周净值!A36="","",子基金及业绩基准周净值!A36)</f>
        <v>45695</v>
      </c>
      <c r="B6" s="1">
        <f>IF(A6="","",VLOOKUP($A6,子基金及业绩基准周净值!$A:$AV,13))</f>
        <v>0.9337</v>
      </c>
      <c r="C6" s="8">
        <f t="shared" si="0"/>
        <v>0.0146707237557052</v>
      </c>
      <c r="D6" s="9">
        <f>IF(A6="","",C6-子基金及业绩基准周净值!AJ36)</f>
        <v>-0.00842927624429476</v>
      </c>
      <c r="E6" s="12">
        <f>IF(A6="","",(MAX(B$3:B6)-B6)/MAX(B$3:B6))</f>
        <v>0</v>
      </c>
      <c r="F6" s="12">
        <f>IF(A6="","",MAX(E$4:E6))</f>
        <v>0.00411255411255414</v>
      </c>
      <c r="G6" s="13">
        <v>3</v>
      </c>
      <c r="H6" s="14" t="str">
        <f t="shared" si="1"/>
        <v>否</v>
      </c>
      <c r="I6" s="14" t="str">
        <f t="shared" si="2"/>
        <v>否</v>
      </c>
      <c r="J6" s="15" t="str">
        <f t="shared" si="3"/>
        <v>否</v>
      </c>
    </row>
    <row r="7" spans="1:10">
      <c r="A7" s="7">
        <f>IF(子基金及业绩基准周净值!A37="","",子基金及业绩基准周净值!A37)</f>
        <v>45702</v>
      </c>
      <c r="B7" s="1">
        <f>IF(A7="","",VLOOKUP($A7,子基金及业绩基准周净值!$A:$AV,13))</f>
        <v>0.9384</v>
      </c>
      <c r="C7" s="8">
        <f t="shared" si="0"/>
        <v>0.00503373674627829</v>
      </c>
      <c r="D7" s="9">
        <f>IF(A7="","",C7-子基金及业绩基准周净值!AJ37)</f>
        <v>0.000833736746278288</v>
      </c>
      <c r="E7" s="12">
        <f>IF(A7="","",(MAX(B$3:B7)-B7)/MAX(B$3:B7))</f>
        <v>0</v>
      </c>
      <c r="F7" s="12">
        <f>IF(A7="","",MAX(E$4:E7))</f>
        <v>0.00411255411255414</v>
      </c>
      <c r="G7" s="13">
        <v>0</v>
      </c>
      <c r="H7" s="14" t="str">
        <f t="shared" si="1"/>
        <v>否</v>
      </c>
      <c r="I7" s="14" t="str">
        <f t="shared" si="2"/>
        <v>否</v>
      </c>
      <c r="J7" s="15" t="str">
        <f t="shared" si="3"/>
        <v>否</v>
      </c>
    </row>
    <row r="8" spans="1:10">
      <c r="A8" s="7">
        <f>IF(子基金及业绩基准周净值!A38="","",子基金及业绩基准周净值!A38)</f>
        <v>45709</v>
      </c>
      <c r="B8" s="1">
        <f>IF(A8="","",VLOOKUP($A8,子基金及业绩基准周净值!$A:$AV,13))</f>
        <v>0.9519</v>
      </c>
      <c r="C8" s="8">
        <f t="shared" si="0"/>
        <v>0.014386189258312</v>
      </c>
      <c r="D8" s="9">
        <f>IF(A8="","",C8-子基金及业绩基准周净值!AJ38)</f>
        <v>-0.00911381074168803</v>
      </c>
      <c r="E8" s="12">
        <f>IF(A8="","",(MAX(B$3:B8)-B8)/MAX(B$3:B8))</f>
        <v>0</v>
      </c>
      <c r="F8" s="12">
        <f>IF(A8="","",MAX(E$4:E8))</f>
        <v>0.00411255411255414</v>
      </c>
      <c r="G8" s="13">
        <v>1</v>
      </c>
      <c r="H8" s="14" t="str">
        <f t="shared" si="1"/>
        <v>否</v>
      </c>
      <c r="I8" s="14" t="str">
        <f t="shared" si="2"/>
        <v>否</v>
      </c>
      <c r="J8" s="15" t="str">
        <f t="shared" si="3"/>
        <v>否</v>
      </c>
    </row>
    <row r="9" spans="1:10">
      <c r="A9" s="7">
        <f>IF(子基金及业绩基准周净值!A39="","",子基金及业绩基准周净值!A39)</f>
        <v>45716</v>
      </c>
      <c r="B9" s="1">
        <f>IF(A9="","",VLOOKUP($A9,子基金及业绩基准周净值!$A:$AV,13))</f>
        <v>0.9444</v>
      </c>
      <c r="C9" s="8">
        <f t="shared" si="0"/>
        <v>-0.00787897888433654</v>
      </c>
      <c r="D9" s="9">
        <f>IF(A9="","",C9-子基金及业绩基准周净值!AJ39)</f>
        <v>0.00852102111566346</v>
      </c>
      <c r="E9" s="12">
        <f>IF(A9="","",(MAX(B$3:B9)-B9)/MAX(B$3:B9))</f>
        <v>0.00787897888433654</v>
      </c>
      <c r="F9" s="12">
        <f>IF(A9="","",MAX(E$4:E9))</f>
        <v>0.00787897888433654</v>
      </c>
      <c r="G9" s="13">
        <v>0</v>
      </c>
      <c r="H9" s="14" t="str">
        <f t="shared" si="1"/>
        <v>否</v>
      </c>
      <c r="I9" s="14" t="str">
        <f t="shared" si="2"/>
        <v>否</v>
      </c>
      <c r="J9" s="15" t="str">
        <f t="shared" si="3"/>
        <v>否</v>
      </c>
    </row>
    <row r="10" spans="1:10">
      <c r="A10" s="7">
        <f>IF(子基金及业绩基准周净值!A40="","",子基金及业绩基准周净值!A40)</f>
        <v>45723</v>
      </c>
      <c r="B10" s="1">
        <f>IF(A10="","",VLOOKUP($A10,子基金及业绩基准周净值!$A:$AV,13))</f>
        <v>0.9593</v>
      </c>
      <c r="C10" s="8">
        <f t="shared" si="0"/>
        <v>0.0157772130453198</v>
      </c>
      <c r="D10" s="9">
        <f>IF(A10="","",C10-子基金及业绩基准周净值!AJ40)</f>
        <v>-0.00572278695468019</v>
      </c>
      <c r="E10" s="12">
        <f>IF(A10="","",(MAX(B$3:B10)-B10)/MAX(B$3:B10))</f>
        <v>0</v>
      </c>
      <c r="F10" s="12">
        <f>IF(A10="","",MAX(E$4:E10))</f>
        <v>0.00787897888433654</v>
      </c>
      <c r="G10" s="13">
        <v>1</v>
      </c>
      <c r="H10" s="14" t="str">
        <f t="shared" si="1"/>
        <v>否</v>
      </c>
      <c r="I10" s="14" t="str">
        <f t="shared" si="2"/>
        <v>否</v>
      </c>
      <c r="J10" s="15" t="str">
        <f t="shared" si="3"/>
        <v>否</v>
      </c>
    </row>
    <row r="11" spans="1:10">
      <c r="A11" s="7">
        <f>IF(子基金及业绩基准周净值!A41="","",子基金及业绩基准周净值!A41)</f>
        <v>45730</v>
      </c>
      <c r="B11" s="1">
        <f>IF(A11="","",VLOOKUP($A11,子基金及业绩基准周净值!$A:$AV,13))</f>
        <v>0.9617</v>
      </c>
      <c r="C11" s="8">
        <f t="shared" si="0"/>
        <v>0.00250182424684661</v>
      </c>
      <c r="D11" s="9">
        <f>IF(A11="","",C11-子基金及业绩基准周净值!AJ41)</f>
        <v>0.00190182424684662</v>
      </c>
      <c r="E11" s="12">
        <f>IF(A11="","",(MAX(B$3:B11)-B11)/MAX(B$3:B11))</f>
        <v>0</v>
      </c>
      <c r="F11" s="12">
        <f>IF(A11="","",MAX(E$4:E11))</f>
        <v>0.00787897888433654</v>
      </c>
      <c r="G11" s="13">
        <v>0</v>
      </c>
      <c r="H11" s="14" t="str">
        <f t="shared" si="1"/>
        <v>否</v>
      </c>
      <c r="I11" s="14" t="str">
        <f t="shared" si="2"/>
        <v>否</v>
      </c>
      <c r="J11" s="15" t="str">
        <f t="shared" si="3"/>
        <v>否</v>
      </c>
    </row>
    <row r="12" spans="1:10">
      <c r="A12" s="7">
        <f>IF(子基金及业绩基准周净值!A42="","",子基金及业绩基准周净值!A42)</f>
        <v>45737</v>
      </c>
      <c r="B12" s="1">
        <f>IF(A12="","",VLOOKUP($A12,子基金及业绩基准周净值!$A:$AV,13))</f>
        <v>0.9515</v>
      </c>
      <c r="C12" s="8">
        <f t="shared" si="0"/>
        <v>-0.0106062181553499</v>
      </c>
      <c r="D12" s="9">
        <f>IF(A12="","",C12-子基金及业绩基准周净值!AJ42)</f>
        <v>0.00679378184465011</v>
      </c>
      <c r="E12" s="12">
        <f>IF(A12="","",(MAX(B$3:B12)-B12)/MAX(B$3:B12))</f>
        <v>0.0106062181553499</v>
      </c>
      <c r="F12" s="12">
        <f>IF(A12="","",MAX(E$4:E12))</f>
        <v>0.0106062181553499</v>
      </c>
      <c r="G12" s="13">
        <v>0</v>
      </c>
      <c r="H12" s="14" t="str">
        <f t="shared" si="1"/>
        <v>否</v>
      </c>
      <c r="I12" s="14" t="str">
        <f t="shared" si="2"/>
        <v>否</v>
      </c>
      <c r="J12" s="15" t="str">
        <f t="shared" si="3"/>
        <v>否</v>
      </c>
    </row>
    <row r="13" spans="1:10">
      <c r="A13" s="7">
        <f>IF(子基金及业绩基准周净值!A43="","",子基金及业绩基准周净值!A43)</f>
        <v>45744</v>
      </c>
      <c r="B13" s="1">
        <f>IF(A13="","",VLOOKUP($A13,子基金及业绩基准周净值!$A:$AV,13))</f>
        <v>0.9548</v>
      </c>
      <c r="C13" s="8">
        <f t="shared" si="0"/>
        <v>0.00346820809248552</v>
      </c>
      <c r="D13" s="9">
        <f>IF(A13="","",C13-子基金及业绩基准周净值!AJ43)</f>
        <v>0.0105682080924855</v>
      </c>
      <c r="E13" s="12">
        <f>IF(A13="","",(MAX(B$3:B13)-B13)/MAX(B$3:B13))</f>
        <v>0.00717479463450142</v>
      </c>
      <c r="F13" s="12">
        <f>IF(A13="","",MAX(E$4:E13))</f>
        <v>0.0106062181553499</v>
      </c>
      <c r="G13" s="13">
        <v>0</v>
      </c>
      <c r="H13" s="14" t="str">
        <f t="shared" si="1"/>
        <v>否</v>
      </c>
      <c r="I13" s="14" t="str">
        <f t="shared" si="2"/>
        <v>否</v>
      </c>
      <c r="J13" s="15" t="str">
        <f t="shared" si="3"/>
        <v>否</v>
      </c>
    </row>
    <row r="14" spans="1:10">
      <c r="A14" s="7">
        <f>IF(子基金及业绩基准周净值!A44="","",子基金及业绩基准周净值!A44)</f>
        <v>45750</v>
      </c>
      <c r="B14" s="1">
        <f>IF(A14="","",VLOOKUP($A14,子基金及业绩基准周净值!$A:$AV,13))</f>
        <v>0.9541</v>
      </c>
      <c r="C14" s="8">
        <f t="shared" si="0"/>
        <v>-0.000733137829912059</v>
      </c>
      <c r="D14" s="9">
        <f>IF(A14="","",C14-子基金及业绩基准周净值!AJ44)</f>
        <v>0.00166686217008794</v>
      </c>
      <c r="E14" s="12">
        <f>IF(A14="","",(MAX(B$3:B14)-B14)/MAX(B$3:B14))</f>
        <v>0.00790267235104508</v>
      </c>
      <c r="F14" s="12">
        <f>IF(A14="","",MAX(E$4:E14))</f>
        <v>0.0106062181553499</v>
      </c>
      <c r="G14" s="13">
        <v>0</v>
      </c>
      <c r="H14" s="14" t="str">
        <f t="shared" si="1"/>
        <v>否</v>
      </c>
      <c r="I14" s="14" t="str">
        <f t="shared" si="2"/>
        <v>否</v>
      </c>
      <c r="J14" s="15" t="str">
        <f t="shared" si="3"/>
        <v>否</v>
      </c>
    </row>
    <row r="15" spans="1:10">
      <c r="A15" s="7">
        <f>IF(子基金及业绩基准周净值!A45="","",子基金及业绩基准周净值!A45)</f>
        <v>45758</v>
      </c>
      <c r="B15" s="1">
        <f>IF(A15="","",VLOOKUP($A15,子基金及业绩基准周净值!$A:$AV,13))</f>
        <v>0.9448</v>
      </c>
      <c r="C15" s="8">
        <f t="shared" si="0"/>
        <v>-0.00974740593229219</v>
      </c>
      <c r="D15" s="9">
        <f>IF(A15="","",C15-子基金及业绩基准周净值!AJ45)</f>
        <v>0.00895259406770781</v>
      </c>
      <c r="E15" s="12">
        <f>IF(A15="","",(MAX(B$3:B15)-B15)/MAX(B$3:B15))</f>
        <v>0.0175730477279817</v>
      </c>
      <c r="F15" s="12">
        <f>IF(A15="","",MAX(E$4:E15))</f>
        <v>0.0175730477279817</v>
      </c>
      <c r="G15" s="13">
        <v>0</v>
      </c>
      <c r="H15" s="14" t="str">
        <f t="shared" si="1"/>
        <v>否</v>
      </c>
      <c r="I15" s="14" t="str">
        <f t="shared" si="2"/>
        <v>否</v>
      </c>
      <c r="J15" s="15" t="str">
        <f t="shared" si="3"/>
        <v>否</v>
      </c>
    </row>
    <row r="16" spans="1:10">
      <c r="A16" s="7">
        <f>IF(子基金及业绩基准周净值!A46="","",子基金及业绩基准周净值!A46)</f>
        <v>45765</v>
      </c>
      <c r="B16" s="1">
        <f>IF(A16="","",VLOOKUP($A16,子基金及业绩基准周净值!$A:$AV,13))</f>
        <v>0.9384</v>
      </c>
      <c r="C16" s="8">
        <f t="shared" si="0"/>
        <v>-0.00677392040643518</v>
      </c>
      <c r="D16" s="9">
        <f>IF(A16="","",C16-子基金及业绩基准周净值!AJ46)</f>
        <v>0.000926079593564817</v>
      </c>
      <c r="E16" s="12">
        <f>IF(A16="","",(MAX(B$3:B16)-B16)/MAX(B$3:B16))</f>
        <v>0.0242279297078091</v>
      </c>
      <c r="F16" s="12">
        <f>IF(A16="","",MAX(E$4:E16))</f>
        <v>0.0242279297078091</v>
      </c>
      <c r="G16" s="13">
        <v>0</v>
      </c>
      <c r="H16" s="14" t="str">
        <f t="shared" si="1"/>
        <v>否</v>
      </c>
      <c r="I16" s="14" t="str">
        <f t="shared" si="2"/>
        <v>否</v>
      </c>
      <c r="J16" s="15" t="str">
        <f t="shared" si="3"/>
        <v>否</v>
      </c>
    </row>
    <row r="17" spans="1:10">
      <c r="A17" s="7">
        <f>IF(子基金及业绩基准周净值!A47="","",子基金及业绩基准周净值!A47)</f>
        <v>45772</v>
      </c>
      <c r="B17" s="1">
        <f>IF(A17="","",VLOOKUP($A17,子基金及业绩基准周净值!$A:$AV,13))</f>
        <v>0.9515</v>
      </c>
      <c r="C17" s="8">
        <f t="shared" si="0"/>
        <v>0.0139599317988065</v>
      </c>
      <c r="D17" s="9">
        <f>IF(A17="","",C17-子基金及业绩基准周净值!AJ47)</f>
        <v>-0.00164006820119352</v>
      </c>
      <c r="E17" s="12">
        <f>IF(A17="","",(MAX(B$3:B17)-B17)/MAX(B$3:B17))</f>
        <v>0.0106062181553499</v>
      </c>
      <c r="F17" s="12">
        <f>IF(A17="","",MAX(E$4:E17))</f>
        <v>0.0242279297078091</v>
      </c>
      <c r="G17" s="13">
        <v>1</v>
      </c>
      <c r="H17" s="14" t="str">
        <f t="shared" si="1"/>
        <v>否</v>
      </c>
      <c r="I17" s="14" t="str">
        <f t="shared" si="2"/>
        <v>否</v>
      </c>
      <c r="J17" s="15" t="str">
        <f t="shared" si="3"/>
        <v>否</v>
      </c>
    </row>
    <row r="18" spans="1:10">
      <c r="A18" s="7">
        <f>IF(子基金及业绩基准周净值!A48="","",子基金及业绩基准周净值!A48)</f>
        <v>45786</v>
      </c>
      <c r="B18" s="1">
        <f>IF(A18="","",VLOOKUP($A18,子基金及业绩基准周净值!$A:$AV,13))</f>
        <v>0.9636</v>
      </c>
      <c r="C18" s="8">
        <f t="shared" si="0"/>
        <v>0.0127167630057803</v>
      </c>
      <c r="D18" s="9">
        <f>IF(A18="","",C18-子基金及业绩基准周净值!AJ48)</f>
        <v>-0.00198323699421965</v>
      </c>
      <c r="E18" s="12">
        <f>IF(A18="","",(MAX(B$3:B18)-B18)/MAX(B$3:B18))</f>
        <v>0</v>
      </c>
      <c r="F18" s="12">
        <f>IF(A18="","",MAX(E$4:E18))</f>
        <v>0.0242279297078091</v>
      </c>
      <c r="G18" s="13">
        <v>2</v>
      </c>
      <c r="H18" s="14" t="str">
        <f t="shared" si="1"/>
        <v>否</v>
      </c>
      <c r="I18" s="14" t="str">
        <f t="shared" si="2"/>
        <v>否</v>
      </c>
      <c r="J18" s="15" t="str">
        <f t="shared" si="3"/>
        <v>否</v>
      </c>
    </row>
    <row r="19" spans="1:10">
      <c r="A19" s="7">
        <f>IF(子基金及业绩基准周净值!A49="","",子基金及业绩基准周净值!A49)</f>
        <v>45793</v>
      </c>
      <c r="B19" s="1">
        <f>IF(A19="","",VLOOKUP($A19,子基金及业绩基准周净值!$A:$AV,13))</f>
        <v>0.9657</v>
      </c>
      <c r="C19" s="8">
        <f t="shared" si="0"/>
        <v>0.00217932752179327</v>
      </c>
      <c r="D19" s="9">
        <f>IF(A19="","",C19-子基金及业绩基准周净值!AJ49)</f>
        <v>-0.00202067247820673</v>
      </c>
      <c r="E19" s="12">
        <f>IF(A19="","",(MAX(B$3:B19)-B19)/MAX(B$3:B19))</f>
        <v>0</v>
      </c>
      <c r="F19" s="12">
        <f>IF(A19="","",MAX(E$4:E19))</f>
        <v>0.0242279297078091</v>
      </c>
      <c r="G19" s="13">
        <v>3</v>
      </c>
      <c r="H19" s="14" t="str">
        <f t="shared" si="1"/>
        <v>否</v>
      </c>
      <c r="I19" s="14" t="str">
        <f t="shared" si="2"/>
        <v>否</v>
      </c>
      <c r="J19" s="15" t="str">
        <f t="shared" si="3"/>
        <v>否</v>
      </c>
    </row>
    <row r="20" spans="1:10">
      <c r="A20" s="7">
        <f>IF(子基金及业绩基准周净值!A50="","",子基金及业绩基准周净值!A50)</f>
        <v>45800</v>
      </c>
      <c r="B20" s="1">
        <f>IF(A20="","",VLOOKUP($A20,子基金及业绩基准周净值!$A:$AV,13))</f>
        <v>0.9628</v>
      </c>
      <c r="C20" s="8">
        <f t="shared" si="0"/>
        <v>-0.00300300300300302</v>
      </c>
      <c r="D20" s="9">
        <f>IF(A20="","",C20-子基金及业绩基准周净值!AJ50)</f>
        <v>0.00129699699699698</v>
      </c>
      <c r="E20" s="12">
        <f>IF(A20="","",(MAX(B$3:B20)-B20)/MAX(B$3:B20))</f>
        <v>0.00300300300300302</v>
      </c>
      <c r="F20" s="12">
        <f>IF(A20="","",MAX(E$4:E20))</f>
        <v>0.0242279297078091</v>
      </c>
      <c r="G20" s="13">
        <v>0</v>
      </c>
      <c r="H20" s="14" t="str">
        <f t="shared" si="1"/>
        <v>否</v>
      </c>
      <c r="I20" s="14" t="str">
        <f t="shared" si="2"/>
        <v>否</v>
      </c>
      <c r="J20" s="15" t="str">
        <f t="shared" si="3"/>
        <v>否</v>
      </c>
    </row>
    <row r="21" spans="1:10">
      <c r="A21" s="7">
        <f>IF(子基金及业绩基准周净值!A51="","",子基金及业绩基准周净值!A51)</f>
        <v>45807</v>
      </c>
      <c r="B21" s="1">
        <f>IF(A21="","",VLOOKUP($A21,子基金及业绩基准周净值!$A:$AV,13))</f>
        <v>0.9622</v>
      </c>
      <c r="C21" s="8">
        <f t="shared" si="0"/>
        <v>-0.00062318238471119</v>
      </c>
      <c r="D21" s="9">
        <f>IF(A21="","",C21-子基金及业绩基准周净值!AJ51)</f>
        <v>-0.00092318238471119</v>
      </c>
      <c r="E21" s="12">
        <f>IF(A21="","",(MAX(B$3:B21)-B21)/MAX(B$3:B21))</f>
        <v>0.0036243139691415</v>
      </c>
      <c r="F21" s="12">
        <f>IF(A21="","",MAX(E$4:E21))</f>
        <v>0.0242279297078091</v>
      </c>
      <c r="G21" s="13">
        <v>1</v>
      </c>
      <c r="H21" s="14" t="str">
        <f t="shared" si="1"/>
        <v>否</v>
      </c>
      <c r="I21" s="14" t="str">
        <f t="shared" si="2"/>
        <v>否</v>
      </c>
      <c r="J21" s="15" t="str">
        <f t="shared" si="3"/>
        <v>否</v>
      </c>
    </row>
    <row r="22" spans="1:10">
      <c r="A22" s="7">
        <f>IF(子基金及业绩基准周净值!A52="","",子基金及业绩基准周净值!A52)</f>
        <v>45814</v>
      </c>
      <c r="B22" s="1">
        <f>IF(A22="","",VLOOKUP($A22,子基金及业绩基准周净值!$A:$AV,13))</f>
        <v>0.9716</v>
      </c>
      <c r="C22" s="8">
        <f t="shared" si="0"/>
        <v>0.00976927873622944</v>
      </c>
      <c r="D22" s="9">
        <f>IF(A22="","",C22-子基金及业绩基准周净值!AJ52)</f>
        <v>-0.00583072126377056</v>
      </c>
      <c r="E22" s="12">
        <f>IF(A22="","",(MAX(B$3:B22)-B22)/MAX(B$3:B22))</f>
        <v>0</v>
      </c>
      <c r="F22" s="12">
        <f>IF(A22="","",MAX(E$4:E22))</f>
        <v>0.0242279297078091</v>
      </c>
      <c r="G22" s="13">
        <v>2</v>
      </c>
      <c r="H22" s="14" t="str">
        <f t="shared" si="1"/>
        <v>否</v>
      </c>
      <c r="I22" s="14" t="str">
        <f t="shared" si="2"/>
        <v>否</v>
      </c>
      <c r="J22" s="15" t="str">
        <f t="shared" si="3"/>
        <v>否</v>
      </c>
    </row>
    <row r="23" spans="1:10">
      <c r="A23" s="7">
        <f>IF(子基金及业绩基准周净值!A53="","",子基金及业绩基准周净值!A53)</f>
        <v>45821</v>
      </c>
      <c r="B23" s="1">
        <f>IF(A23="","",VLOOKUP($A23,子基金及业绩基准周净值!$A:$AV,13))</f>
        <v>0.9696</v>
      </c>
      <c r="C23" s="8">
        <f t="shared" si="0"/>
        <v>-0.00205846027171676</v>
      </c>
      <c r="D23" s="9">
        <f>IF(A23="","",C23-子基金及业绩基准周净值!AJ53)</f>
        <v>0.00114153972828324</v>
      </c>
      <c r="E23" s="12">
        <f>IF(A23="","",(MAX(B$3:B23)-B23)/MAX(B$3:B23))</f>
        <v>0.00205846027171676</v>
      </c>
      <c r="F23" s="12">
        <f>IF(A23="","",MAX(E$4:E23))</f>
        <v>0.0242279297078091</v>
      </c>
      <c r="G23" s="13">
        <v>0</v>
      </c>
      <c r="H23" s="14" t="str">
        <f t="shared" si="1"/>
        <v>否</v>
      </c>
      <c r="I23" s="14" t="str">
        <f t="shared" si="2"/>
        <v>否</v>
      </c>
      <c r="J23" s="15" t="str">
        <f t="shared" si="3"/>
        <v>否</v>
      </c>
    </row>
    <row r="24" spans="1:10">
      <c r="A24" s="7">
        <f>IF(子基金及业绩基准周净值!A54="","",子基金及业绩基准周净值!A54)</f>
        <v>45828</v>
      </c>
      <c r="B24" s="1">
        <f>IF(A24="","",VLOOKUP($A24,子基金及业绩基准周净值!$A:$AV,13))</f>
        <v>0.9665</v>
      </c>
      <c r="C24" s="8">
        <f t="shared" si="0"/>
        <v>-0.00319719471947194</v>
      </c>
      <c r="D24" s="9">
        <f>IF(A24="","",C24-子基金及业绩基准周净值!AJ54)</f>
        <v>0.00250280528052806</v>
      </c>
      <c r="E24" s="12">
        <f>IF(A24="","",(MAX(B$3:B24)-B24)/MAX(B$3:B24))</f>
        <v>0.00524907369287772</v>
      </c>
      <c r="F24" s="12">
        <f>IF(A24="","",MAX(E$4:E24))</f>
        <v>0.0242279297078091</v>
      </c>
      <c r="G24" s="13">
        <v>0</v>
      </c>
      <c r="H24" s="14" t="str">
        <f t="shared" si="1"/>
        <v>否</v>
      </c>
      <c r="I24" s="14" t="str">
        <f t="shared" si="2"/>
        <v>否</v>
      </c>
      <c r="J24" s="15" t="str">
        <f t="shared" si="3"/>
        <v>否</v>
      </c>
    </row>
    <row r="25" spans="1:10">
      <c r="A25" s="7">
        <f>IF(子基金及业绩基准周净值!A55="","",子基金及业绩基准周净值!A55)</f>
        <v>45835</v>
      </c>
      <c r="B25" s="1">
        <f>IF(A25="","",VLOOKUP($A25,子基金及业绩基准周净值!$A:$AV,13))</f>
        <v>0.9862</v>
      </c>
      <c r="C25" s="8">
        <f t="shared" si="0"/>
        <v>0.0203828246249353</v>
      </c>
      <c r="D25" s="9">
        <f>IF(A25="","",C25-子基金及业绩基准周净值!AJ55)</f>
        <v>-0.00531717537506473</v>
      </c>
      <c r="E25" s="12">
        <f>IF(A25="","",(MAX(B$3:B25)-B25)/MAX(B$3:B25))</f>
        <v>0</v>
      </c>
      <c r="F25" s="12">
        <f>IF(A25="","",MAX(E$4:E25))</f>
        <v>0.0242279297078091</v>
      </c>
      <c r="G25" s="13">
        <v>1</v>
      </c>
      <c r="H25" s="14" t="str">
        <f t="shared" si="1"/>
        <v>否</v>
      </c>
      <c r="I25" s="14" t="str">
        <f t="shared" si="2"/>
        <v>否</v>
      </c>
      <c r="J25" s="15" t="str">
        <f t="shared" si="3"/>
        <v>否</v>
      </c>
    </row>
    <row r="26" spans="1:10">
      <c r="A26" s="7">
        <f>IF(子基金及业绩基准周净值!A56="","",子基金及业绩基准周净值!A56)</f>
        <v>45842</v>
      </c>
      <c r="B26" s="1">
        <f>IF(A26="","",VLOOKUP($A26,子基金及业绩基准周净值!$A:$AV,13))</f>
        <v>0.9929</v>
      </c>
      <c r="C26" s="8">
        <f t="shared" si="0"/>
        <v>0.00679375380247418</v>
      </c>
      <c r="D26" s="9">
        <f>IF(A26="","",C26-子基金及业绩基准周净值!AJ56)</f>
        <v>-0.00220624619752582</v>
      </c>
      <c r="E26" s="12">
        <f>IF(A26="","",(MAX(B$3:B26)-B26)/MAX(B$3:B26))</f>
        <v>0</v>
      </c>
      <c r="F26" s="12">
        <f>IF(A26="","",MAX(E$4:E26))</f>
        <v>0.0242279297078091</v>
      </c>
      <c r="G26" s="13">
        <v>2</v>
      </c>
      <c r="H26" s="14" t="str">
        <f t="shared" si="1"/>
        <v>否</v>
      </c>
      <c r="I26" s="14" t="str">
        <f t="shared" si="2"/>
        <v>否</v>
      </c>
      <c r="J26" s="15" t="str">
        <f t="shared" si="3"/>
        <v>否</v>
      </c>
    </row>
    <row r="27" spans="1:10">
      <c r="A27" s="7">
        <f>IF(子基金及业绩基准周净值!A57="","",子基金及业绩基准周净值!A57)</f>
        <v>45849</v>
      </c>
      <c r="B27" s="1">
        <f>IF(A27="","",VLOOKUP($A27,子基金及业绩基准周净值!$A:$AV,13))</f>
        <v>0.9998</v>
      </c>
      <c r="C27" s="8">
        <f t="shared" si="0"/>
        <v>0.00694934031624536</v>
      </c>
      <c r="D27" s="9">
        <f>IF(A27="","",C27-子基金及业绩基准周净值!AJ57)</f>
        <v>-0.00135065968375464</v>
      </c>
      <c r="E27" s="12">
        <f>IF(A27="","",(MAX(B$3:B27)-B27)/MAX(B$3:B27))</f>
        <v>0</v>
      </c>
      <c r="F27" s="12">
        <f>IF(A27="","",MAX(E$4:E27))</f>
        <v>0.0242279297078091</v>
      </c>
      <c r="G27" s="13">
        <v>3</v>
      </c>
      <c r="H27" s="14" t="str">
        <f t="shared" si="1"/>
        <v>否</v>
      </c>
      <c r="I27" s="14" t="str">
        <f t="shared" si="2"/>
        <v>否</v>
      </c>
      <c r="J27" s="15" t="str">
        <f t="shared" si="3"/>
        <v>否</v>
      </c>
    </row>
    <row r="28" spans="1:10">
      <c r="A28" s="7">
        <f>IF(子基金及业绩基准周净值!A58="","",子基金及业绩基准周净值!A58)</f>
        <v>45856</v>
      </c>
      <c r="B28" s="1">
        <f>IF(A28="","",VLOOKUP($A28,子基金及业绩基准周净值!$A:$AV,13))</f>
        <v>1.0082</v>
      </c>
      <c r="C28" s="8">
        <f t="shared" si="0"/>
        <v>0.00840168033606718</v>
      </c>
      <c r="D28" s="9">
        <f>IF(A28="","",C28-子基金及业绩基准周净值!AJ58)</f>
        <v>-0.00529831966393282</v>
      </c>
      <c r="E28" s="12">
        <f>IF(A28="","",(MAX(B$3:B28)-B28)/MAX(B$3:B28))</f>
        <v>0</v>
      </c>
      <c r="F28" s="12">
        <f>IF(A28="","",MAX(E$4:E28))</f>
        <v>0.0242279297078091</v>
      </c>
      <c r="G28" s="13">
        <v>4</v>
      </c>
      <c r="H28" s="14" t="str">
        <f t="shared" si="1"/>
        <v>否</v>
      </c>
      <c r="I28" s="14" t="str">
        <f t="shared" si="2"/>
        <v>否</v>
      </c>
      <c r="J28" s="15" t="str">
        <f t="shared" si="3"/>
        <v>是</v>
      </c>
    </row>
    <row r="29" spans="1:10">
      <c r="A29" s="7">
        <f>IF(子基金及业绩基准周净值!A59="","",子基金及业绩基准周净值!A59)</f>
        <v>45863</v>
      </c>
      <c r="B29" s="1">
        <f>IF(A29="","",VLOOKUP($A29,子基金及业绩基准周净值!$A:$AV,13))</f>
        <v>1.0263</v>
      </c>
      <c r="C29" s="8">
        <f t="shared" si="0"/>
        <v>0.0179527871454077</v>
      </c>
      <c r="D29" s="9">
        <f>IF(A29="","",C29-子基金及业绩基准周净值!AJ59)</f>
        <v>-0.00584721285459234</v>
      </c>
      <c r="E29" s="12">
        <f>IF(A29="","",(MAX(B$3:B29)-B29)/MAX(B$3:B29))</f>
        <v>0</v>
      </c>
      <c r="F29" s="12">
        <f>IF(A29="","",MAX(E$4:E29))</f>
        <v>0.0242279297078091</v>
      </c>
      <c r="G29" s="13">
        <v>5</v>
      </c>
      <c r="H29" s="14" t="str">
        <f t="shared" si="1"/>
        <v>否</v>
      </c>
      <c r="I29" s="14" t="str">
        <f t="shared" si="2"/>
        <v>否</v>
      </c>
      <c r="J29" s="15" t="str">
        <f t="shared" si="3"/>
        <v>是</v>
      </c>
    </row>
    <row r="30" spans="1:10">
      <c r="A30" s="7">
        <f>IF(子基金及业绩基准周净值!A60="","",子基金及业绩基准周净值!A60)</f>
        <v>45870</v>
      </c>
      <c r="B30" s="1">
        <f>IF(A30="","",VLOOKUP($A30,子基金及业绩基准周净值!$A:$AV,13))</f>
        <v>1.0192</v>
      </c>
      <c r="C30" s="8">
        <f t="shared" si="0"/>
        <v>-0.00691805514956629</v>
      </c>
      <c r="D30" s="9">
        <f>IF(A30="","",C30-子基金及业绩基准周净值!AJ60)</f>
        <v>0.00228194485043371</v>
      </c>
      <c r="E30" s="12">
        <f>IF(A30="","",(MAX(B$3:B30)-B30)/MAX(B$3:B30))</f>
        <v>0.00691805514956629</v>
      </c>
      <c r="F30" s="12">
        <f>IF(A30="","",MAX(E$4:E30))</f>
        <v>0.0242279297078091</v>
      </c>
      <c r="G30" s="13">
        <v>0</v>
      </c>
      <c r="H30" s="14" t="str">
        <f t="shared" si="1"/>
        <v>否</v>
      </c>
      <c r="I30" s="14" t="str">
        <f t="shared" si="2"/>
        <v>否</v>
      </c>
      <c r="J30" s="15" t="str">
        <f t="shared" si="3"/>
        <v>否</v>
      </c>
    </row>
    <row r="31" spans="1:10">
      <c r="A31" s="7">
        <f>IF(子基金及业绩基准周净值!A61="","",子基金及业绩基准周净值!A61)</f>
        <v>45877</v>
      </c>
      <c r="B31" s="1">
        <f>IF(A31="","",VLOOKUP($A31,子基金及业绩基准周净值!$A:$AV,13))</f>
        <v>1.0387</v>
      </c>
      <c r="C31" s="8">
        <f t="shared" si="0"/>
        <v>0.0191326530612243</v>
      </c>
      <c r="D31" s="9">
        <f>IF(A31="","",C31-子基金及业绩基准周净值!AJ61)</f>
        <v>-0.00816734693877566</v>
      </c>
      <c r="E31" s="12">
        <f>IF(A31="","",(MAX(B$3:B31)-B31)/MAX(B$3:B31))</f>
        <v>0</v>
      </c>
      <c r="F31" s="12">
        <f>IF(A31="","",MAX(E$4:E31))</f>
        <v>0.0242279297078091</v>
      </c>
      <c r="G31" s="13">
        <v>1</v>
      </c>
      <c r="H31" s="14" t="str">
        <f t="shared" si="1"/>
        <v>否</v>
      </c>
      <c r="I31" s="14" t="str">
        <f t="shared" si="2"/>
        <v>否</v>
      </c>
      <c r="J31" s="15" t="str">
        <f t="shared" si="3"/>
        <v>否</v>
      </c>
    </row>
    <row r="32" spans="1:10">
      <c r="A32" s="7">
        <f>IF(子基金及业绩基准周净值!A62="","",子基金及业绩基准周净值!A62)</f>
        <v>45884</v>
      </c>
      <c r="B32" s="1">
        <f>IF(A32="","",VLOOKUP($A32,子基金及业绩基准周净值!$A:$AV,13))</f>
        <v>1.0528</v>
      </c>
      <c r="C32" s="8">
        <f t="shared" si="0"/>
        <v>0.0135746606334842</v>
      </c>
      <c r="D32" s="9">
        <f>IF(A32="","",C32-子基金及业绩基准周净值!AJ62)</f>
        <v>-0.00972533936651584</v>
      </c>
      <c r="E32" s="12">
        <f>IF(A32="","",(MAX(B$3:B32)-B32)/MAX(B$3:B32))</f>
        <v>0</v>
      </c>
      <c r="F32" s="12">
        <f>IF(A32="","",MAX(E$4:E32))</f>
        <v>0.0242279297078091</v>
      </c>
      <c r="G32" s="13">
        <v>2</v>
      </c>
      <c r="H32" s="14" t="str">
        <f t="shared" si="1"/>
        <v>否</v>
      </c>
      <c r="I32" s="14" t="str">
        <f t="shared" si="2"/>
        <v>否</v>
      </c>
      <c r="J32" s="15" t="str">
        <f t="shared" si="3"/>
        <v>否</v>
      </c>
    </row>
    <row r="33" spans="1:10">
      <c r="A33" s="7">
        <f>IF(子基金及业绩基准周净值!A63="","",子基金及业绩基准周净值!A63)</f>
        <v>45891</v>
      </c>
      <c r="B33" s="1">
        <f>IF(A33="","",VLOOKUP($A33,子基金及业绩基准周净值!$A:$AV,13))</f>
        <v>1.0765</v>
      </c>
      <c r="C33" s="8">
        <f t="shared" si="0"/>
        <v>0.0225113981762918</v>
      </c>
      <c r="D33" s="9">
        <f>IF(A33="","",C33-子基金及业绩基准周净值!AJ63)</f>
        <v>-0.00948860182370816</v>
      </c>
      <c r="E33" s="12">
        <f>IF(A33="","",(MAX(B$3:B33)-B33)/MAX(B$3:B33))</f>
        <v>0</v>
      </c>
      <c r="F33" s="12">
        <f>IF(A33="","",MAX(E$4:E33))</f>
        <v>0.0242279297078091</v>
      </c>
      <c r="G33" s="13">
        <v>3</v>
      </c>
      <c r="H33" s="14" t="str">
        <f t="shared" si="1"/>
        <v>否</v>
      </c>
      <c r="I33" s="14" t="str">
        <f t="shared" si="2"/>
        <v>否</v>
      </c>
      <c r="J33" s="15" t="str">
        <f t="shared" si="3"/>
        <v>否</v>
      </c>
    </row>
    <row r="34" spans="1:10">
      <c r="A34" s="7">
        <f>IF(子基金及业绩基准周净值!A64="","",子基金及业绩基准周净值!A64)</f>
        <v>45898</v>
      </c>
      <c r="B34" s="1">
        <f>IF(A34="","",VLOOKUP($A34,子基金及业绩基准周净值!$A:$AV,13))</f>
        <v>1.05</v>
      </c>
      <c r="C34" s="8">
        <f t="shared" si="0"/>
        <v>-0.0246168137482582</v>
      </c>
      <c r="D34" s="9">
        <f>IF(A34="","",C34-子基金及业绩基准周净值!AJ64)</f>
        <v>0.00978318625174179</v>
      </c>
      <c r="E34" s="12">
        <f>IF(A34="","",(MAX(B$3:B34)-B34)/MAX(B$3:B34))</f>
        <v>0.0246168137482582</v>
      </c>
      <c r="F34" s="12">
        <f>IF(A34="","",MAX(E$4:E34))</f>
        <v>0.0246168137482582</v>
      </c>
      <c r="G34" s="13">
        <v>0</v>
      </c>
      <c r="H34" s="14" t="str">
        <f t="shared" si="1"/>
        <v>否</v>
      </c>
      <c r="I34" s="14" t="str">
        <f t="shared" si="2"/>
        <v>否</v>
      </c>
      <c r="J34" s="15" t="str">
        <f t="shared" si="3"/>
        <v>否</v>
      </c>
    </row>
    <row r="35" spans="1:10">
      <c r="A35" s="7">
        <f>IF(子基金及业绩基准周净值!A65="","",子基金及业绩基准周净值!A65)</f>
        <v>45905</v>
      </c>
      <c r="B35" s="1">
        <f>IF(A35="","",VLOOKUP($A35,子基金及业绩基准周净值!$A:$AV,13))</f>
        <v>1.0571</v>
      </c>
      <c r="C35" s="8">
        <f t="shared" si="0"/>
        <v>0.00676190476190465</v>
      </c>
      <c r="D35" s="9">
        <f>IF(A35="","",C35-子基金及业绩基准周净值!AJ65)</f>
        <v>0.00166190476190465</v>
      </c>
      <c r="E35" s="12">
        <f>IF(A35="","",(MAX(B$3:B35)-B35)/MAX(B$3:B35))</f>
        <v>0.0180213655364608</v>
      </c>
      <c r="F35" s="12">
        <f>IF(A35="","",MAX(E$4:E35))</f>
        <v>0.0246168137482582</v>
      </c>
      <c r="G35" s="13">
        <v>0</v>
      </c>
      <c r="H35" s="14" t="str">
        <f t="shared" si="1"/>
        <v>否</v>
      </c>
      <c r="I35" s="14" t="str">
        <f t="shared" si="2"/>
        <v>否</v>
      </c>
      <c r="J35" s="15" t="str">
        <f t="shared" si="3"/>
        <v>否</v>
      </c>
    </row>
    <row r="36" spans="1:10">
      <c r="A36" s="7">
        <f>IF(子基金及业绩基准周净值!A66="","",子基金及业绩基准周净值!A66)</f>
        <v>45912</v>
      </c>
      <c r="B36" s="1">
        <f>IF(A36="","",VLOOKUP($A36,子基金及业绩基准周净值!$A:$AV,13))</f>
        <v>1.0608</v>
      </c>
      <c r="C36" s="8">
        <f t="shared" si="0"/>
        <v>0.00350014189764453</v>
      </c>
      <c r="D36" s="9">
        <f>IF(A36="","",C36-子基金及业绩基准周净值!AJ66)</f>
        <v>-0.00359985810235547</v>
      </c>
      <c r="E36" s="12">
        <f>IF(A36="","",(MAX(B$3:B36)-B36)/MAX(B$3:B36))</f>
        <v>0.0145843009753832</v>
      </c>
      <c r="F36" s="12">
        <f>IF(A36="","",MAX(E$4:E36))</f>
        <v>0.0246168137482582</v>
      </c>
      <c r="G36" s="13">
        <v>1</v>
      </c>
      <c r="H36" s="14" t="str">
        <f t="shared" si="1"/>
        <v>否</v>
      </c>
      <c r="I36" s="14" t="str">
        <f t="shared" si="2"/>
        <v>否</v>
      </c>
      <c r="J36" s="15" t="str">
        <f t="shared" si="3"/>
        <v>否</v>
      </c>
    </row>
    <row r="37" spans="1:10">
      <c r="A37" s="7">
        <f>IF(子基金及业绩基准周净值!A67="","",子基金及业绩基准周净值!A67)</f>
        <v>45919</v>
      </c>
      <c r="B37" s="1">
        <f>IF(A37="","",VLOOKUP($A37,子基金及业绩基准周净值!$A:$AV,13))</f>
        <v>1.0501</v>
      </c>
      <c r="C37" s="8">
        <f t="shared" si="0"/>
        <v>-0.0100867269984916</v>
      </c>
      <c r="D37" s="9">
        <f>IF(A37="","",C37-子基金及业绩基准周净值!AJ67)</f>
        <v>0.00281327300150836</v>
      </c>
      <c r="E37" s="12">
        <f>IF(A37="","",(MAX(B$3:B37)-B37)/MAX(B$3:B37))</f>
        <v>0.0245239201114723</v>
      </c>
      <c r="F37" s="12">
        <f>IF(A37="","",MAX(E$4:E37))</f>
        <v>0.0246168137482582</v>
      </c>
      <c r="G37" s="13">
        <v>0</v>
      </c>
      <c r="H37" s="14" t="str">
        <f t="shared" si="1"/>
        <v>否</v>
      </c>
      <c r="I37" s="14" t="str">
        <f t="shared" si="2"/>
        <v>否</v>
      </c>
      <c r="J37" s="15" t="str">
        <f t="shared" si="3"/>
        <v>否</v>
      </c>
    </row>
    <row r="38" spans="1:10">
      <c r="A38" s="7">
        <f>IF(子基金及业绩基准周净值!A68="","",子基金及业绩基准周净值!A68)</f>
        <v>45926</v>
      </c>
      <c r="B38" s="1">
        <f>IF(A38="","",VLOOKUP($A38,子基金及业绩基准周净值!$A:$AV,13))</f>
        <v>1.0538</v>
      </c>
      <c r="C38" s="8">
        <f t="shared" si="0"/>
        <v>0.00352347395486148</v>
      </c>
      <c r="D38" s="9">
        <f>IF(A38="","",C38-子基金及业绩基准周净值!AJ68)</f>
        <v>-0.00277652604513852</v>
      </c>
      <c r="E38" s="12">
        <f>IF(A38="","",(MAX(B$3:B38)-B38)/MAX(B$3:B38))</f>
        <v>0.0210868555503947</v>
      </c>
      <c r="F38" s="12">
        <f>IF(A38="","",MAX(E$4:E38))</f>
        <v>0.0246168137482582</v>
      </c>
      <c r="G38" s="13">
        <v>1</v>
      </c>
      <c r="H38" s="14" t="str">
        <f t="shared" si="1"/>
        <v>否</v>
      </c>
      <c r="I38" s="14" t="str">
        <f t="shared" si="2"/>
        <v>否</v>
      </c>
      <c r="J38" s="15" t="str">
        <f t="shared" si="3"/>
        <v>否</v>
      </c>
    </row>
    <row r="39" spans="1:10">
      <c r="A39" s="7">
        <f>IF(子基金及业绩基准周净值!A69="","",子基金及业绩基准周净值!A69)</f>
        <v>45940</v>
      </c>
      <c r="B39" s="1">
        <f>IF(A39="","",VLOOKUP($A39,子基金及业绩基准周净值!$A:$AV,13))</f>
        <v>1.0702</v>
      </c>
      <c r="C39" s="8">
        <f t="shared" si="0"/>
        <v>0.0155627253748339</v>
      </c>
      <c r="D39" s="9">
        <f>IF(A39="","",C39-子基金及业绩基准周净值!AJ69)</f>
        <v>0.0152627253748339</v>
      </c>
      <c r="E39" s="12">
        <f>IF(A39="","",(MAX(B$3:B39)-B39)/MAX(B$3:B39))</f>
        <v>0.00585229911751043</v>
      </c>
      <c r="F39" s="12">
        <f>IF(A39="","",MAX(E$4:E39))</f>
        <v>0.0246168137482582</v>
      </c>
      <c r="G39" s="13">
        <v>0</v>
      </c>
      <c r="H39" s="14" t="str">
        <f t="shared" si="1"/>
        <v>否</v>
      </c>
      <c r="I39" s="14" t="str">
        <f t="shared" si="2"/>
        <v>否</v>
      </c>
      <c r="J39" s="15" t="str">
        <f t="shared" si="3"/>
        <v>否</v>
      </c>
    </row>
    <row r="40" spans="1:10">
      <c r="A40" s="7">
        <f>IF(子基金及业绩基准周净值!A70="","",子基金及业绩基准周净值!A70)</f>
        <v>45947</v>
      </c>
      <c r="B40" s="1">
        <f>IF(A40="","",VLOOKUP($A40,子基金及业绩基准周净值!$A:$AV,13))</f>
        <v>1.0361</v>
      </c>
      <c r="C40" s="8">
        <f t="shared" si="0"/>
        <v>-0.0318632031396001</v>
      </c>
      <c r="D40" s="9">
        <f>IF(A40="","",C40-子基金及业绩基准周净值!AJ70)</f>
        <v>0.000136796860399913</v>
      </c>
      <c r="E40" s="12">
        <f>IF(A40="","",(MAX(B$3:B40)-B40)/MAX(B$3:B40))</f>
        <v>0.0375290292614956</v>
      </c>
      <c r="F40" s="12">
        <f>IF(A40="","",MAX(E$4:E40))</f>
        <v>0.0375290292614956</v>
      </c>
      <c r="G40" s="13">
        <v>0</v>
      </c>
      <c r="H40" s="14" t="str">
        <f t="shared" si="1"/>
        <v>是</v>
      </c>
      <c r="I40" s="14" t="str">
        <f t="shared" si="2"/>
        <v>否</v>
      </c>
      <c r="J40" s="15" t="str">
        <f t="shared" si="3"/>
        <v>否</v>
      </c>
    </row>
    <row r="41" spans="1:10">
      <c r="A41" s="7">
        <f>IF(子基金及业绩基准周净值!A71="","",子基金及业绩基准周净值!A71)</f>
        <v>45954</v>
      </c>
      <c r="B41" s="1">
        <f>IF(A41="","",VLOOKUP($A41,子基金及业绩基准周净值!$A:$AV,13))</f>
        <v>1.0512</v>
      </c>
      <c r="C41" s="8">
        <f t="shared" si="0"/>
        <v>0.0145738828298426</v>
      </c>
      <c r="D41" s="9">
        <f>IF(A41="","",C41-子基金及业绩基准周净值!AJ71)</f>
        <v>-0.00792611717015742</v>
      </c>
      <c r="E41" s="12">
        <f>IF(A41="","",(MAX(B$3:B41)-B41)/MAX(B$3:B41))</f>
        <v>0.0235020901068278</v>
      </c>
      <c r="F41" s="12">
        <f>IF(A41="","",MAX(E$4:E41))</f>
        <v>0.0375290292614956</v>
      </c>
      <c r="G41" s="13">
        <v>1</v>
      </c>
      <c r="H41" s="14" t="str">
        <f t="shared" si="1"/>
        <v>否</v>
      </c>
      <c r="I41" s="14" t="str">
        <f t="shared" si="2"/>
        <v>否</v>
      </c>
      <c r="J41" s="15" t="str">
        <f t="shared" si="3"/>
        <v>否</v>
      </c>
    </row>
    <row r="42" spans="1:10">
      <c r="A42" s="7">
        <f>IF(子基金及业绩基准周净值!A72="","",子基金及业绩基准周净值!A72)</f>
        <v>45961</v>
      </c>
      <c r="B42" s="1">
        <f>IF(A42="","",VLOOKUP($A42,子基金及业绩基准周净值!$A:$AV,13))</f>
        <v>1.0547</v>
      </c>
      <c r="C42" s="8">
        <f t="shared" si="0"/>
        <v>0.00332952815829534</v>
      </c>
      <c r="D42" s="9">
        <f>IF(A42="","",C42-子基金及业绩基准周净值!AJ72)</f>
        <v>-0.00957047184170466</v>
      </c>
      <c r="E42" s="12">
        <f>IF(A42="","",(MAX(B$3:B42)-B42)/MAX(B$3:B42))</f>
        <v>0.0202508128193219</v>
      </c>
      <c r="F42" s="12">
        <f>IF(A42="","",MAX(E$4:E42))</f>
        <v>0.0375290292614956</v>
      </c>
      <c r="G42" s="13">
        <v>2</v>
      </c>
      <c r="H42" s="14" t="str">
        <f t="shared" si="1"/>
        <v>否</v>
      </c>
      <c r="I42" s="14" t="str">
        <f t="shared" si="2"/>
        <v>否</v>
      </c>
      <c r="J42" s="15" t="str">
        <f t="shared" si="3"/>
        <v>否</v>
      </c>
    </row>
    <row r="43" spans="1:10">
      <c r="A43" s="7" t="str">
        <f>IF(子基金及业绩基准周净值!A73="","",子基金及业绩基准周净值!A73)</f>
        <v/>
      </c>
      <c r="B43" s="1" t="str">
        <f>IF(A43="","",VLOOKUP($A43,子基金及业绩基准周净值!$A:$AV,13))</f>
        <v/>
      </c>
      <c r="C43" s="8" t="str">
        <f t="shared" si="0"/>
        <v/>
      </c>
      <c r="D43" s="9" t="str">
        <f>IF(A43="","",C43-子基金及业绩基准周净值!AJ73)</f>
        <v/>
      </c>
      <c r="E43" s="12" t="str">
        <f>IF(A43="","",(MAX(B$3:B43)-B43)/MAX(B$3:B43))</f>
        <v/>
      </c>
      <c r="F43" s="12" t="str">
        <f>IF(A43="","",MAX(E$4:E43))</f>
        <v/>
      </c>
      <c r="G43" s="13"/>
      <c r="H43" s="14" t="str">
        <f t="shared" si="1"/>
        <v/>
      </c>
      <c r="I43" s="14" t="str">
        <f t="shared" si="2"/>
        <v/>
      </c>
      <c r="J43" s="15" t="str">
        <f t="shared" si="3"/>
        <v/>
      </c>
    </row>
    <row r="44" spans="1:10">
      <c r="A44" s="7" t="str">
        <f>IF(子基金及业绩基准周净值!A74="","",子基金及业绩基准周净值!A74)</f>
        <v/>
      </c>
      <c r="B44" s="1" t="str">
        <f>IF(A44="","",VLOOKUP($A44,子基金及业绩基准周净值!$A:$AV,13))</f>
        <v/>
      </c>
      <c r="C44" s="8" t="str">
        <f t="shared" si="0"/>
        <v/>
      </c>
      <c r="D44" s="9" t="str">
        <f>IF(A44="","",C44-子基金及业绩基准周净值!AJ74)</f>
        <v/>
      </c>
      <c r="E44" s="12" t="str">
        <f>IF(A44="","",(MAX(B$3:B44)-B44)/MAX(B$3:B44))</f>
        <v/>
      </c>
      <c r="F44" s="12" t="str">
        <f>IF(A44="","",MAX(E$4:E44))</f>
        <v/>
      </c>
      <c r="G44" s="13"/>
      <c r="H44" s="14" t="str">
        <f t="shared" si="1"/>
        <v/>
      </c>
      <c r="I44" s="14" t="str">
        <f t="shared" si="2"/>
        <v/>
      </c>
      <c r="J44" s="15" t="str">
        <f t="shared" si="3"/>
        <v/>
      </c>
    </row>
    <row r="45" spans="1:10">
      <c r="A45" s="7" t="str">
        <f>IF(子基金及业绩基准周净值!A75="","",子基金及业绩基准周净值!A75)</f>
        <v/>
      </c>
      <c r="B45" s="1" t="str">
        <f>IF(A45="","",VLOOKUP($A45,子基金及业绩基准周净值!$A:$AV,13))</f>
        <v/>
      </c>
      <c r="C45" s="8" t="str">
        <f t="shared" si="0"/>
        <v/>
      </c>
      <c r="D45" s="9" t="str">
        <f>IF(A45="","",C45-子基金及业绩基准周净值!AJ75)</f>
        <v/>
      </c>
      <c r="E45" s="12" t="str">
        <f>IF(A45="","",(MAX(B$3:B45)-B45)/MAX(B$3:B45))</f>
        <v/>
      </c>
      <c r="F45" s="12" t="str">
        <f>IF(A45="","",MAX(E$4:E45))</f>
        <v/>
      </c>
      <c r="G45" s="13"/>
      <c r="H45" s="14" t="str">
        <f t="shared" si="1"/>
        <v/>
      </c>
      <c r="I45" s="14" t="str">
        <f t="shared" si="2"/>
        <v/>
      </c>
      <c r="J45" s="15" t="str">
        <f t="shared" si="3"/>
        <v/>
      </c>
    </row>
    <row r="46" spans="1:10">
      <c r="A46" s="7" t="str">
        <f>IF(子基金及业绩基准周净值!A76="","",子基金及业绩基准周净值!A76)</f>
        <v/>
      </c>
      <c r="B46" s="1" t="str">
        <f>IF(A46="","",VLOOKUP($A46,子基金及业绩基准周净值!$A:$AV,13))</f>
        <v/>
      </c>
      <c r="C46" s="8" t="str">
        <f t="shared" si="0"/>
        <v/>
      </c>
      <c r="D46" s="9" t="str">
        <f>IF(A46="","",C46-子基金及业绩基准周净值!AJ76)</f>
        <v/>
      </c>
      <c r="E46" s="12" t="str">
        <f>IF(A46="","",(MAX(B$3:B46)-B46)/MAX(B$3:B46))</f>
        <v/>
      </c>
      <c r="F46" s="12" t="str">
        <f>IF(A46="","",MAX(E$4:E46))</f>
        <v/>
      </c>
      <c r="G46" s="13"/>
      <c r="H46" s="14" t="str">
        <f t="shared" si="1"/>
        <v/>
      </c>
      <c r="I46" s="14" t="str">
        <f t="shared" si="2"/>
        <v/>
      </c>
      <c r="J46" s="15" t="str">
        <f t="shared" si="3"/>
        <v/>
      </c>
    </row>
    <row r="47" spans="1:10">
      <c r="A47" s="7" t="str">
        <f>IF(子基金及业绩基准周净值!A77="","",子基金及业绩基准周净值!A77)</f>
        <v/>
      </c>
      <c r="B47" s="1" t="str">
        <f>IF(A47="","",VLOOKUP($A47,子基金及业绩基准周净值!$A:$AV,13))</f>
        <v/>
      </c>
      <c r="C47" s="8" t="str">
        <f t="shared" si="0"/>
        <v/>
      </c>
      <c r="D47" s="9" t="str">
        <f>IF(A47="","",C47-子基金及业绩基准周净值!AJ77)</f>
        <v/>
      </c>
      <c r="E47" s="12" t="str">
        <f>IF(A47="","",(MAX(B$3:B47)-B47)/MAX(B$3:B47))</f>
        <v/>
      </c>
      <c r="F47" s="12" t="str">
        <f>IF(A47="","",MAX(E$4:E47))</f>
        <v/>
      </c>
      <c r="G47" s="13"/>
      <c r="H47" s="14" t="str">
        <f t="shared" si="1"/>
        <v/>
      </c>
      <c r="I47" s="14" t="str">
        <f t="shared" si="2"/>
        <v/>
      </c>
      <c r="J47" s="15" t="str">
        <f t="shared" si="3"/>
        <v/>
      </c>
    </row>
    <row r="48" spans="1:10">
      <c r="A48" s="7" t="str">
        <f>IF(子基金及业绩基准周净值!A78="","",子基金及业绩基准周净值!A78)</f>
        <v/>
      </c>
      <c r="B48" s="1" t="str">
        <f>IF(A48="","",VLOOKUP($A48,子基金及业绩基准周净值!$A:$AV,13))</f>
        <v/>
      </c>
      <c r="C48" s="8" t="str">
        <f t="shared" si="0"/>
        <v/>
      </c>
      <c r="D48" s="9" t="str">
        <f>IF(A48="","",C48-子基金及业绩基准周净值!AJ78)</f>
        <v/>
      </c>
      <c r="E48" s="12" t="str">
        <f>IF(A48="","",(MAX(B$3:B48)-B48)/MAX(B$3:B48))</f>
        <v/>
      </c>
      <c r="F48" s="12" t="str">
        <f>IF(A48="","",MAX(E$4:E48))</f>
        <v/>
      </c>
      <c r="G48" s="13"/>
      <c r="H48" s="14" t="str">
        <f t="shared" si="1"/>
        <v/>
      </c>
      <c r="I48" s="14" t="str">
        <f t="shared" si="2"/>
        <v/>
      </c>
      <c r="J48" s="15" t="str">
        <f t="shared" si="3"/>
        <v/>
      </c>
    </row>
    <row r="49" spans="1:10">
      <c r="A49" s="7" t="str">
        <f>IF(子基金及业绩基准周净值!A79="","",子基金及业绩基准周净值!A79)</f>
        <v/>
      </c>
      <c r="B49" s="1" t="str">
        <f>IF(A49="","",VLOOKUP($A49,子基金及业绩基准周净值!$A:$AV,13))</f>
        <v/>
      </c>
      <c r="C49" s="8" t="str">
        <f t="shared" si="0"/>
        <v/>
      </c>
      <c r="D49" s="9" t="str">
        <f>IF(A49="","",C49-子基金及业绩基准周净值!AJ79)</f>
        <v/>
      </c>
      <c r="E49" s="12" t="str">
        <f>IF(A49="","",(MAX(B$3:B49)-B49)/MAX(B$3:B49))</f>
        <v/>
      </c>
      <c r="F49" s="12" t="str">
        <f>IF(A49="","",MAX(E$4:E49))</f>
        <v/>
      </c>
      <c r="G49" s="13"/>
      <c r="H49" s="14" t="str">
        <f t="shared" si="1"/>
        <v/>
      </c>
      <c r="I49" s="14" t="str">
        <f t="shared" si="2"/>
        <v/>
      </c>
      <c r="J49" s="15" t="str">
        <f t="shared" si="3"/>
        <v/>
      </c>
    </row>
    <row r="50" spans="1:10">
      <c r="A50" s="7" t="str">
        <f>IF(子基金及业绩基准周净值!A80="","",子基金及业绩基准周净值!A80)</f>
        <v/>
      </c>
      <c r="B50" s="1" t="str">
        <f>IF(A50="","",VLOOKUP($A50,子基金及业绩基准周净值!$A:$AV,13))</f>
        <v/>
      </c>
      <c r="C50" s="8" t="str">
        <f t="shared" si="0"/>
        <v/>
      </c>
      <c r="D50" s="9" t="str">
        <f>IF(A50="","",C50-子基金及业绩基准周净值!AJ80)</f>
        <v/>
      </c>
      <c r="E50" s="12" t="str">
        <f>IF(A50="","",(MAX(B$3:B50)-B50)/MAX(B$3:B50))</f>
        <v/>
      </c>
      <c r="F50" s="12" t="str">
        <f>IF(A50="","",MAX(E$4:E50))</f>
        <v/>
      </c>
      <c r="G50" s="13"/>
      <c r="H50" s="14" t="str">
        <f t="shared" si="1"/>
        <v/>
      </c>
      <c r="I50" s="14" t="str">
        <f t="shared" si="2"/>
        <v/>
      </c>
      <c r="J50" s="15" t="str">
        <f t="shared" si="3"/>
        <v/>
      </c>
    </row>
    <row r="51" spans="1:10">
      <c r="A51" s="7" t="str">
        <f>IF(子基金及业绩基准周净值!A81="","",子基金及业绩基准周净值!A81)</f>
        <v/>
      </c>
      <c r="B51" s="1" t="str">
        <f>IF(A51="","",VLOOKUP($A51,子基金及业绩基准周净值!$A:$AV,13))</f>
        <v/>
      </c>
      <c r="C51" s="8" t="str">
        <f t="shared" si="0"/>
        <v/>
      </c>
      <c r="D51" s="9" t="str">
        <f>IF(A51="","",C51-子基金及业绩基准周净值!AJ81)</f>
        <v/>
      </c>
      <c r="E51" s="12" t="str">
        <f>IF(A51="","",(MAX(B$3:B51)-B51)/MAX(B$3:B51))</f>
        <v/>
      </c>
      <c r="F51" s="12" t="str">
        <f>IF(A51="","",MAX(E$4:E51))</f>
        <v/>
      </c>
      <c r="G51" s="13"/>
      <c r="H51" s="14" t="str">
        <f t="shared" si="1"/>
        <v/>
      </c>
      <c r="I51" s="14" t="str">
        <f t="shared" si="2"/>
        <v/>
      </c>
      <c r="J51" s="15" t="str">
        <f t="shared" si="3"/>
        <v/>
      </c>
    </row>
    <row r="52" spans="1:10">
      <c r="A52" s="7" t="str">
        <f>IF(子基金及业绩基准周净值!A82="","",子基金及业绩基准周净值!A82)</f>
        <v/>
      </c>
      <c r="B52" s="1" t="str">
        <f>IF(A52="","",VLOOKUP($A52,子基金及业绩基准周净值!$A:$AV,13))</f>
        <v/>
      </c>
      <c r="C52" s="8" t="str">
        <f t="shared" si="0"/>
        <v/>
      </c>
      <c r="D52" s="9" t="str">
        <f>IF(A52="","",C52-子基金及业绩基准周净值!AJ82)</f>
        <v/>
      </c>
      <c r="E52" s="12" t="str">
        <f>IF(A52="","",(MAX(B$3:B52)-B52)/MAX(B$3:B52))</f>
        <v/>
      </c>
      <c r="F52" s="12" t="str">
        <f>IF(A52="","",MAX(E$4:E52))</f>
        <v/>
      </c>
      <c r="G52" s="13"/>
      <c r="H52" s="14" t="str">
        <f t="shared" si="1"/>
        <v/>
      </c>
      <c r="I52" s="14" t="str">
        <f t="shared" si="2"/>
        <v/>
      </c>
      <c r="J52" s="15" t="str">
        <f t="shared" si="3"/>
        <v/>
      </c>
    </row>
    <row r="53" spans="1:10">
      <c r="A53" s="7" t="str">
        <f>IF(子基金及业绩基准周净值!A83="","",子基金及业绩基准周净值!A83)</f>
        <v/>
      </c>
      <c r="B53" s="1" t="str">
        <f>IF(A53="","",VLOOKUP($A53,子基金及业绩基准周净值!$A:$AV,13))</f>
        <v/>
      </c>
      <c r="C53" s="8" t="str">
        <f t="shared" si="0"/>
        <v/>
      </c>
      <c r="D53" s="9" t="str">
        <f>IF(A53="","",C53-子基金及业绩基准周净值!AJ83)</f>
        <v/>
      </c>
      <c r="E53" s="12" t="str">
        <f>IF(A53="","",(MAX(B$3:B53)-B53)/MAX(B$3:B53))</f>
        <v/>
      </c>
      <c r="F53" s="12" t="str">
        <f>IF(A53="","",MAX(E$4:E53))</f>
        <v/>
      </c>
      <c r="G53" s="13"/>
      <c r="H53" s="14" t="str">
        <f t="shared" si="1"/>
        <v/>
      </c>
      <c r="I53" s="14" t="str">
        <f t="shared" si="2"/>
        <v/>
      </c>
      <c r="J53" s="15" t="str">
        <f t="shared" si="3"/>
        <v/>
      </c>
    </row>
    <row r="54" spans="1:10">
      <c r="A54" s="7" t="str">
        <f>IF(子基金及业绩基准周净值!A84="","",子基金及业绩基准周净值!A84)</f>
        <v/>
      </c>
      <c r="B54" s="1" t="str">
        <f>IF(A54="","",VLOOKUP($A54,子基金及业绩基准周净值!$A:$AV,13))</f>
        <v/>
      </c>
      <c r="C54" s="8" t="str">
        <f t="shared" si="0"/>
        <v/>
      </c>
      <c r="D54" s="9" t="str">
        <f>IF(A54="","",C54-子基金及业绩基准周净值!AJ84)</f>
        <v/>
      </c>
      <c r="E54" s="12" t="str">
        <f>IF(A54="","",(MAX(B$3:B54)-B54)/MAX(B$3:B54))</f>
        <v/>
      </c>
      <c r="F54" s="12" t="str">
        <f>IF(A54="","",MAX(E$4:E54))</f>
        <v/>
      </c>
      <c r="G54" s="13"/>
      <c r="H54" s="14" t="str">
        <f t="shared" si="1"/>
        <v/>
      </c>
      <c r="I54" s="14" t="str">
        <f t="shared" si="2"/>
        <v/>
      </c>
      <c r="J54" s="15" t="str">
        <f t="shared" si="3"/>
        <v/>
      </c>
    </row>
    <row r="55" spans="1:10">
      <c r="A55" s="7" t="str">
        <f>IF(子基金及业绩基准周净值!A85="","",子基金及业绩基准周净值!A85)</f>
        <v/>
      </c>
      <c r="B55" s="1" t="str">
        <f>IF(A55="","",VLOOKUP($A55,子基金及业绩基准周净值!$A:$AV,13))</f>
        <v/>
      </c>
      <c r="C55" s="8" t="str">
        <f t="shared" si="0"/>
        <v/>
      </c>
      <c r="D55" s="9" t="str">
        <f>IF(A55="","",C55-子基金及业绩基准周净值!AJ85)</f>
        <v/>
      </c>
      <c r="E55" s="12" t="str">
        <f>IF(A55="","",(MAX(B$3:B55)-B55)/MAX(B$3:B55))</f>
        <v/>
      </c>
      <c r="F55" s="12" t="str">
        <f>IF(A55="","",MAX(E$4:E55))</f>
        <v/>
      </c>
      <c r="G55" s="13"/>
      <c r="H55" s="14" t="str">
        <f t="shared" si="1"/>
        <v/>
      </c>
      <c r="I55" s="14" t="str">
        <f t="shared" si="2"/>
        <v/>
      </c>
      <c r="J55" s="15" t="str">
        <f t="shared" si="3"/>
        <v/>
      </c>
    </row>
    <row r="56" spans="1:10">
      <c r="A56" s="7" t="str">
        <f>IF(子基金及业绩基准周净值!A86="","",子基金及业绩基准周净值!A86)</f>
        <v/>
      </c>
      <c r="B56" s="1" t="str">
        <f>IF(A56="","",VLOOKUP($A56,子基金及业绩基准周净值!$A:$AV,13))</f>
        <v/>
      </c>
      <c r="C56" s="8" t="str">
        <f t="shared" si="0"/>
        <v/>
      </c>
      <c r="D56" s="9" t="str">
        <f>IF(A56="","",C56-子基金及业绩基准周净值!AJ86)</f>
        <v/>
      </c>
      <c r="E56" s="12" t="str">
        <f>IF(A56="","",(MAX(B$3:B56)-B56)/MAX(B$3:B56))</f>
        <v/>
      </c>
      <c r="F56" s="12" t="str">
        <f>IF(A56="","",MAX(E$4:E56))</f>
        <v/>
      </c>
      <c r="G56" s="13"/>
      <c r="H56" s="14" t="str">
        <f t="shared" si="1"/>
        <v/>
      </c>
      <c r="I56" s="14" t="str">
        <f t="shared" si="2"/>
        <v/>
      </c>
      <c r="J56" s="15" t="str">
        <f t="shared" si="3"/>
        <v/>
      </c>
    </row>
    <row r="57" spans="1:10">
      <c r="A57" s="7" t="str">
        <f>IF(子基金及业绩基准周净值!A87="","",子基金及业绩基准周净值!A87)</f>
        <v/>
      </c>
      <c r="B57" s="1" t="str">
        <f>IF(A57="","",VLOOKUP($A57,子基金及业绩基准周净值!$A:$AV,13))</f>
        <v/>
      </c>
      <c r="C57" s="8" t="str">
        <f t="shared" si="0"/>
        <v/>
      </c>
      <c r="D57" s="9" t="str">
        <f>IF(A57="","",C57-子基金及业绩基准周净值!AJ87)</f>
        <v/>
      </c>
      <c r="E57" s="12" t="str">
        <f>IF(A57="","",(MAX(B$3:B57)-B57)/MAX(B$3:B57))</f>
        <v/>
      </c>
      <c r="F57" s="12" t="str">
        <f>IF(A57="","",MAX(E$4:E57))</f>
        <v/>
      </c>
      <c r="G57" s="13"/>
      <c r="H57" s="14" t="str">
        <f t="shared" si="1"/>
        <v/>
      </c>
      <c r="I57" s="14" t="str">
        <f t="shared" si="2"/>
        <v/>
      </c>
      <c r="J57" s="15" t="str">
        <f t="shared" si="3"/>
        <v/>
      </c>
    </row>
    <row r="58" spans="1:10">
      <c r="A58" s="7" t="str">
        <f>IF(子基金及业绩基准周净值!A88="","",子基金及业绩基准周净值!A88)</f>
        <v/>
      </c>
      <c r="B58" s="1" t="str">
        <f>IF(A58="","",VLOOKUP($A58,子基金及业绩基准周净值!$A:$AV,13))</f>
        <v/>
      </c>
      <c r="C58" s="8" t="str">
        <f t="shared" si="0"/>
        <v/>
      </c>
      <c r="D58" s="9" t="str">
        <f>IF(A58="","",C58-子基金及业绩基准周净值!AJ88)</f>
        <v/>
      </c>
      <c r="E58" s="12" t="str">
        <f>IF(A58="","",(MAX(B$3:B58)-B58)/MAX(B$3:B58))</f>
        <v/>
      </c>
      <c r="F58" s="12" t="str">
        <f>IF(A58="","",MAX(E$4:E58))</f>
        <v/>
      </c>
      <c r="G58" s="13"/>
      <c r="H58" s="14" t="str">
        <f t="shared" si="1"/>
        <v/>
      </c>
      <c r="I58" s="14" t="str">
        <f t="shared" si="2"/>
        <v/>
      </c>
      <c r="J58" s="15" t="str">
        <f t="shared" si="3"/>
        <v/>
      </c>
    </row>
    <row r="59" spans="1:10">
      <c r="A59" s="7" t="str">
        <f>IF(子基金及业绩基准周净值!A89="","",子基金及业绩基准周净值!A89)</f>
        <v/>
      </c>
      <c r="B59" s="1" t="str">
        <f>IF(A59="","",VLOOKUP($A59,子基金及业绩基准周净值!$A:$AV,13))</f>
        <v/>
      </c>
      <c r="C59" s="8" t="str">
        <f t="shared" si="0"/>
        <v/>
      </c>
      <c r="D59" s="9" t="str">
        <f>IF(A59="","",C59-子基金及业绩基准周净值!AJ89)</f>
        <v/>
      </c>
      <c r="E59" s="12" t="str">
        <f>IF(A59="","",(MAX(B$3:B59)-B59)/MAX(B$3:B59))</f>
        <v/>
      </c>
      <c r="F59" s="12" t="str">
        <f>IF(A59="","",MAX(E$4:E59))</f>
        <v/>
      </c>
      <c r="G59" s="13"/>
      <c r="H59" s="14" t="str">
        <f t="shared" si="1"/>
        <v/>
      </c>
      <c r="I59" s="14" t="str">
        <f t="shared" si="2"/>
        <v/>
      </c>
      <c r="J59" s="15" t="str">
        <f t="shared" si="3"/>
        <v/>
      </c>
    </row>
    <row r="60" spans="1:10">
      <c r="A60" s="7" t="str">
        <f>IF(子基金及业绩基准周净值!A90="","",子基金及业绩基准周净值!A90)</f>
        <v/>
      </c>
      <c r="B60" s="1" t="str">
        <f>IF(A60="","",VLOOKUP($A60,子基金及业绩基准周净值!$A:$AV,13))</f>
        <v/>
      </c>
      <c r="C60" s="8" t="str">
        <f t="shared" si="0"/>
        <v/>
      </c>
      <c r="D60" s="9" t="str">
        <f>IF(A60="","",C60-子基金及业绩基准周净值!AJ90)</f>
        <v/>
      </c>
      <c r="E60" s="12" t="str">
        <f>IF(A60="","",(MAX(B$3:B60)-B60)/MAX(B$3:B60))</f>
        <v/>
      </c>
      <c r="F60" s="12" t="str">
        <f>IF(A60="","",MAX(E$4:E60))</f>
        <v/>
      </c>
      <c r="G60" s="13"/>
      <c r="H60" s="14" t="str">
        <f t="shared" si="1"/>
        <v/>
      </c>
      <c r="I60" s="14" t="str">
        <f t="shared" si="2"/>
        <v/>
      </c>
      <c r="J60" s="15" t="str">
        <f t="shared" si="3"/>
        <v/>
      </c>
    </row>
    <row r="61" spans="1:10">
      <c r="A61" s="7" t="str">
        <f>IF(子基金及业绩基准周净值!A91="","",子基金及业绩基准周净值!A91)</f>
        <v/>
      </c>
      <c r="B61" s="1" t="str">
        <f>IF(A61="","",VLOOKUP($A61,子基金及业绩基准周净值!$A:$AV,13))</f>
        <v/>
      </c>
      <c r="C61" s="8" t="str">
        <f t="shared" si="0"/>
        <v/>
      </c>
      <c r="D61" s="9" t="str">
        <f>IF(A61="","",C61-子基金及业绩基准周净值!AJ91)</f>
        <v/>
      </c>
      <c r="E61" s="12" t="str">
        <f>IF(A61="","",(MAX(B$3:B61)-B61)/MAX(B$3:B61))</f>
        <v/>
      </c>
      <c r="F61" s="12" t="str">
        <f>IF(A61="","",MAX(E$4:E61))</f>
        <v/>
      </c>
      <c r="G61" s="13"/>
      <c r="H61" s="14" t="str">
        <f t="shared" si="1"/>
        <v/>
      </c>
      <c r="I61" s="14" t="str">
        <f t="shared" si="2"/>
        <v/>
      </c>
      <c r="J61" s="15" t="str">
        <f t="shared" si="3"/>
        <v/>
      </c>
    </row>
    <row r="62" spans="1:10">
      <c r="A62" s="7" t="str">
        <f>IF(子基金及业绩基准周净值!A92="","",子基金及业绩基准周净值!A92)</f>
        <v/>
      </c>
      <c r="B62" s="1" t="str">
        <f>IF(A62="","",VLOOKUP($A62,子基金及业绩基准周净值!$A:$AV,13))</f>
        <v/>
      </c>
      <c r="C62" s="8" t="str">
        <f t="shared" si="0"/>
        <v/>
      </c>
      <c r="D62" s="9" t="str">
        <f>IF(A62="","",C62-子基金及业绩基准周净值!AJ92)</f>
        <v/>
      </c>
      <c r="E62" s="12" t="str">
        <f>IF(A62="","",(MAX(B$3:B62)-B62)/MAX(B$3:B62))</f>
        <v/>
      </c>
      <c r="F62" s="12" t="str">
        <f>IF(A62="","",MAX(E$4:E62))</f>
        <v/>
      </c>
      <c r="G62" s="13"/>
      <c r="H62" s="14" t="str">
        <f t="shared" si="1"/>
        <v/>
      </c>
      <c r="I62" s="14" t="str">
        <f t="shared" si="2"/>
        <v/>
      </c>
      <c r="J62" s="15" t="str">
        <f t="shared" si="3"/>
        <v/>
      </c>
    </row>
    <row r="63" spans="1:10">
      <c r="A63" s="7" t="str">
        <f>IF(子基金及业绩基准周净值!A93="","",子基金及业绩基准周净值!A93)</f>
        <v/>
      </c>
      <c r="B63" s="1" t="str">
        <f>IF(A63="","",VLOOKUP($A63,子基金及业绩基准周净值!$A:$AV,13))</f>
        <v/>
      </c>
      <c r="C63" s="8" t="str">
        <f t="shared" si="0"/>
        <v/>
      </c>
      <c r="D63" s="9" t="str">
        <f>IF(A63="","",C63-子基金及业绩基准周净值!AJ93)</f>
        <v/>
      </c>
      <c r="E63" s="12" t="str">
        <f>IF(A63="","",(MAX(B$3:B63)-B63)/MAX(B$3:B63))</f>
        <v/>
      </c>
      <c r="F63" s="12" t="str">
        <f>IF(A63="","",MAX(E$4:E63))</f>
        <v/>
      </c>
      <c r="G63" s="13"/>
      <c r="H63" s="14" t="str">
        <f t="shared" si="1"/>
        <v/>
      </c>
      <c r="I63" s="14" t="str">
        <f t="shared" si="2"/>
        <v/>
      </c>
      <c r="J63" s="15" t="str">
        <f t="shared" si="3"/>
        <v/>
      </c>
    </row>
    <row r="64" spans="1:10">
      <c r="A64" s="7" t="str">
        <f>IF(子基金及业绩基准周净值!A94="","",子基金及业绩基准周净值!A94)</f>
        <v/>
      </c>
      <c r="B64" s="1" t="str">
        <f>IF(A64="","",VLOOKUP($A64,子基金及业绩基准周净值!$A:$AV,13))</f>
        <v/>
      </c>
      <c r="C64" s="8" t="str">
        <f t="shared" si="0"/>
        <v/>
      </c>
      <c r="D64" s="9" t="str">
        <f>IF(A64="","",C64-子基金及业绩基准周净值!AJ94)</f>
        <v/>
      </c>
      <c r="E64" s="12" t="str">
        <f>IF(A64="","",(MAX(B$3:B64)-B64)/MAX(B$3:B64))</f>
        <v/>
      </c>
      <c r="F64" s="12" t="str">
        <f>IF(A64="","",MAX(E$4:E64))</f>
        <v/>
      </c>
      <c r="G64" s="13"/>
      <c r="H64" s="14" t="str">
        <f t="shared" si="1"/>
        <v/>
      </c>
      <c r="I64" s="14" t="str">
        <f t="shared" si="2"/>
        <v/>
      </c>
      <c r="J64" s="15" t="str">
        <f t="shared" si="3"/>
        <v/>
      </c>
    </row>
    <row r="65" spans="1:10">
      <c r="A65" s="7" t="str">
        <f>IF(子基金及业绩基准周净值!A95="","",子基金及业绩基准周净值!A95)</f>
        <v/>
      </c>
      <c r="B65" s="1" t="str">
        <f>IF(A65="","",VLOOKUP($A65,子基金及业绩基准周净值!$A:$AV,13))</f>
        <v/>
      </c>
      <c r="C65" s="8" t="str">
        <f t="shared" si="0"/>
        <v/>
      </c>
      <c r="D65" s="9" t="str">
        <f>IF(A65="","",C65-子基金及业绩基准周净值!AJ95)</f>
        <v/>
      </c>
      <c r="E65" s="12" t="str">
        <f>IF(A65="","",(MAX(B$3:B65)-B65)/MAX(B$3:B65))</f>
        <v/>
      </c>
      <c r="F65" s="12" t="str">
        <f>IF(A65="","",MAX(E$4:E65))</f>
        <v/>
      </c>
      <c r="G65" s="13"/>
      <c r="H65" s="14" t="str">
        <f t="shared" si="1"/>
        <v/>
      </c>
      <c r="I65" s="14" t="str">
        <f t="shared" si="2"/>
        <v/>
      </c>
      <c r="J65" s="15" t="str">
        <f t="shared" si="3"/>
        <v/>
      </c>
    </row>
    <row r="66" spans="1:10">
      <c r="A66" s="7" t="str">
        <f>IF(子基金及业绩基准周净值!A96="","",子基金及业绩基准周净值!A96)</f>
        <v/>
      </c>
      <c r="B66" s="1" t="str">
        <f>IF(A66="","",VLOOKUP($A66,子基金及业绩基准周净值!$A:$AV,13))</f>
        <v/>
      </c>
      <c r="C66" s="8" t="str">
        <f t="shared" si="0"/>
        <v/>
      </c>
      <c r="D66" s="9" t="str">
        <f>IF(A66="","",C66-子基金及业绩基准周净值!AJ96)</f>
        <v/>
      </c>
      <c r="E66" s="12" t="str">
        <f>IF(A66="","",(MAX(B$3:B66)-B66)/MAX(B$3:B66))</f>
        <v/>
      </c>
      <c r="F66" s="12" t="str">
        <f>IF(A66="","",MAX(E$4:E66))</f>
        <v/>
      </c>
      <c r="G66" s="13"/>
      <c r="H66" s="14" t="str">
        <f t="shared" si="1"/>
        <v/>
      </c>
      <c r="I66" s="14" t="str">
        <f t="shared" si="2"/>
        <v/>
      </c>
      <c r="J66" s="15" t="str">
        <f t="shared" si="3"/>
        <v/>
      </c>
    </row>
    <row r="67" spans="1:10">
      <c r="A67" s="7" t="str">
        <f>IF(子基金及业绩基准周净值!A97="","",子基金及业绩基准周净值!A97)</f>
        <v/>
      </c>
      <c r="B67" s="1" t="str">
        <f>IF(A67="","",VLOOKUP($A67,子基金及业绩基准周净值!$A:$AV,13))</f>
        <v/>
      </c>
      <c r="C67" s="8" t="str">
        <f t="shared" si="0"/>
        <v/>
      </c>
      <c r="D67" s="9" t="str">
        <f>IF(A67="","",C67-子基金及业绩基准周净值!AJ97)</f>
        <v/>
      </c>
      <c r="E67" s="12" t="str">
        <f>IF(A67="","",(MAX(B$3:B67)-B67)/MAX(B$3:B67))</f>
        <v/>
      </c>
      <c r="F67" s="12" t="str">
        <f>IF(A67="","",MAX(E$4:E67))</f>
        <v/>
      </c>
      <c r="G67" s="13"/>
      <c r="H67" s="14" t="str">
        <f t="shared" si="1"/>
        <v/>
      </c>
      <c r="I67" s="14" t="str">
        <f t="shared" si="2"/>
        <v/>
      </c>
      <c r="J67" s="15" t="str">
        <f t="shared" si="3"/>
        <v/>
      </c>
    </row>
    <row r="68" spans="1:10">
      <c r="A68" s="7" t="str">
        <f>IF(子基金及业绩基准周净值!A98="","",子基金及业绩基准周净值!A98)</f>
        <v/>
      </c>
      <c r="B68" s="1" t="str">
        <f>IF(A68="","",VLOOKUP($A68,子基金及业绩基准周净值!$A:$AV,13))</f>
        <v/>
      </c>
      <c r="C68" s="8" t="str">
        <f t="shared" si="0"/>
        <v/>
      </c>
      <c r="D68" s="9" t="str">
        <f>IF(A68="","",C68-子基金及业绩基准周净值!AJ98)</f>
        <v/>
      </c>
      <c r="E68" s="12" t="str">
        <f>IF(A68="","",(MAX(B$3:B68)-B68)/MAX(B$3:B68))</f>
        <v/>
      </c>
      <c r="F68" s="12" t="str">
        <f>IF(A68="","",MAX(E$4:E68))</f>
        <v/>
      </c>
      <c r="G68" s="13"/>
      <c r="H68" s="14" t="str">
        <f t="shared" si="1"/>
        <v/>
      </c>
      <c r="I68" s="14" t="str">
        <f t="shared" si="2"/>
        <v/>
      </c>
      <c r="J68" s="15" t="str">
        <f t="shared" si="3"/>
        <v/>
      </c>
    </row>
    <row r="69" spans="1:10">
      <c r="A69" s="7" t="str">
        <f>IF(子基金及业绩基准周净值!A99="","",子基金及业绩基准周净值!A99)</f>
        <v/>
      </c>
      <c r="B69" s="1" t="str">
        <f>IF(A69="","",VLOOKUP($A69,子基金及业绩基准周净值!$A:$AV,13))</f>
        <v/>
      </c>
      <c r="C69" s="8" t="str">
        <f t="shared" ref="C69:C132" si="4">IF(A69="","",(B69-B68)/B68)</f>
        <v/>
      </c>
      <c r="D69" s="9" t="str">
        <f>IF(A69="","",C69-子基金及业绩基准周净值!AJ99)</f>
        <v/>
      </c>
      <c r="E69" s="12" t="str">
        <f>IF(A69="","",(MAX(B$3:B69)-B69)/MAX(B$3:B69))</f>
        <v/>
      </c>
      <c r="F69" s="12" t="str">
        <f>IF(A69="","",MAX(E$4:E69))</f>
        <v/>
      </c>
      <c r="G69" s="13"/>
      <c r="H69" s="14" t="str">
        <f t="shared" ref="H69:H132" si="5">IF(B69="","",IF(C69&lt;-3%,"是","否"))</f>
        <v/>
      </c>
      <c r="I69" s="14" t="str">
        <f t="shared" ref="I69:I132" si="6">IF(A69="","",IF(F69&gt;5%,"是","否"))</f>
        <v/>
      </c>
      <c r="J69" s="15" t="str">
        <f t="shared" ref="J69:J132" si="7">IF(A69="","",IF(G69&gt;=4,"是","否"))</f>
        <v/>
      </c>
    </row>
    <row r="70" spans="1:10">
      <c r="A70" s="7" t="str">
        <f>IF(子基金及业绩基准周净值!A100="","",子基金及业绩基准周净值!A100)</f>
        <v/>
      </c>
      <c r="B70" s="1" t="str">
        <f>IF(A70="","",VLOOKUP($A70,子基金及业绩基准周净值!$A:$AV,13))</f>
        <v/>
      </c>
      <c r="C70" s="8" t="str">
        <f t="shared" si="4"/>
        <v/>
      </c>
      <c r="D70" s="9" t="str">
        <f>IF(A70="","",C70-子基金及业绩基准周净值!AJ100)</f>
        <v/>
      </c>
      <c r="E70" s="12" t="str">
        <f>IF(A70="","",(MAX(B$3:B70)-B70)/MAX(B$3:B70))</f>
        <v/>
      </c>
      <c r="F70" s="12" t="str">
        <f>IF(A70="","",MAX(E$4:E70))</f>
        <v/>
      </c>
      <c r="G70" s="13"/>
      <c r="H70" s="14" t="str">
        <f t="shared" si="5"/>
        <v/>
      </c>
      <c r="I70" s="14" t="str">
        <f t="shared" si="6"/>
        <v/>
      </c>
      <c r="J70" s="15" t="str">
        <f t="shared" si="7"/>
        <v/>
      </c>
    </row>
    <row r="71" spans="1:10">
      <c r="A71" s="7" t="str">
        <f>IF(子基金及业绩基准周净值!A101="","",子基金及业绩基准周净值!A101)</f>
        <v/>
      </c>
      <c r="B71" s="1" t="str">
        <f>IF(A71="","",VLOOKUP($A71,子基金及业绩基准周净值!$A:$AV,13))</f>
        <v/>
      </c>
      <c r="C71" s="8" t="str">
        <f t="shared" si="4"/>
        <v/>
      </c>
      <c r="D71" s="9" t="str">
        <f>IF(A71="","",C71-子基金及业绩基准周净值!AJ101)</f>
        <v/>
      </c>
      <c r="E71" s="12" t="str">
        <f>IF(A71="","",(MAX(B$3:B71)-B71)/MAX(B$3:B71))</f>
        <v/>
      </c>
      <c r="F71" s="12" t="str">
        <f>IF(A71="","",MAX(E$4:E71))</f>
        <v/>
      </c>
      <c r="G71" s="13"/>
      <c r="H71" s="14" t="str">
        <f t="shared" si="5"/>
        <v/>
      </c>
      <c r="I71" s="14" t="str">
        <f t="shared" si="6"/>
        <v/>
      </c>
      <c r="J71" s="15" t="str">
        <f t="shared" si="7"/>
        <v/>
      </c>
    </row>
    <row r="72" spans="1:10">
      <c r="A72" s="7" t="str">
        <f>IF(子基金及业绩基准周净值!A102="","",子基金及业绩基准周净值!A102)</f>
        <v/>
      </c>
      <c r="B72" s="1" t="str">
        <f>IF(A72="","",VLOOKUP($A72,子基金及业绩基准周净值!$A:$AV,13))</f>
        <v/>
      </c>
      <c r="C72" s="8" t="str">
        <f t="shared" si="4"/>
        <v/>
      </c>
      <c r="D72" s="9" t="str">
        <f>IF(A72="","",C72-子基金及业绩基准周净值!AJ102)</f>
        <v/>
      </c>
      <c r="E72" s="12" t="str">
        <f>IF(A72="","",(MAX(B$3:B72)-B72)/MAX(B$3:B72))</f>
        <v/>
      </c>
      <c r="F72" s="12" t="str">
        <f>IF(A72="","",MAX(E$4:E72))</f>
        <v/>
      </c>
      <c r="G72" s="13"/>
      <c r="H72" s="14" t="str">
        <f t="shared" si="5"/>
        <v/>
      </c>
      <c r="I72" s="14" t="str">
        <f t="shared" si="6"/>
        <v/>
      </c>
      <c r="J72" s="15" t="str">
        <f t="shared" si="7"/>
        <v/>
      </c>
    </row>
    <row r="73" spans="1:10">
      <c r="A73" s="7" t="str">
        <f>IF(子基金及业绩基准周净值!A103="","",子基金及业绩基准周净值!A103)</f>
        <v/>
      </c>
      <c r="B73" s="1" t="str">
        <f>IF(A73="","",VLOOKUP($A73,子基金及业绩基准周净值!$A:$AV,13))</f>
        <v/>
      </c>
      <c r="C73" s="8" t="str">
        <f t="shared" si="4"/>
        <v/>
      </c>
      <c r="D73" s="9" t="str">
        <f>IF(A73="","",C73-子基金及业绩基准周净值!AJ103)</f>
        <v/>
      </c>
      <c r="E73" s="12" t="str">
        <f>IF(A73="","",(MAX(B$3:B73)-B73)/MAX(B$3:B73))</f>
        <v/>
      </c>
      <c r="F73" s="12" t="str">
        <f>IF(A73="","",MAX(E$4:E73))</f>
        <v/>
      </c>
      <c r="G73" s="13"/>
      <c r="H73" s="14" t="str">
        <f t="shared" si="5"/>
        <v/>
      </c>
      <c r="I73" s="14" t="str">
        <f t="shared" si="6"/>
        <v/>
      </c>
      <c r="J73" s="15" t="str">
        <f t="shared" si="7"/>
        <v/>
      </c>
    </row>
    <row r="74" spans="1:10">
      <c r="A74" s="7" t="str">
        <f>IF(子基金及业绩基准周净值!A104="","",子基金及业绩基准周净值!A104)</f>
        <v/>
      </c>
      <c r="B74" s="1" t="str">
        <f>IF(A74="","",VLOOKUP($A74,子基金及业绩基准周净值!$A:$AV,13))</f>
        <v/>
      </c>
      <c r="C74" s="8" t="str">
        <f t="shared" si="4"/>
        <v/>
      </c>
      <c r="D74" s="9" t="str">
        <f>IF(A74="","",C74-子基金及业绩基准周净值!AJ104)</f>
        <v/>
      </c>
      <c r="E74" s="12" t="str">
        <f>IF(A74="","",(MAX(B$3:B74)-B74)/MAX(B$3:B74))</f>
        <v/>
      </c>
      <c r="F74" s="12" t="str">
        <f>IF(A74="","",MAX(E$4:E74))</f>
        <v/>
      </c>
      <c r="G74" s="13"/>
      <c r="H74" s="14" t="str">
        <f t="shared" si="5"/>
        <v/>
      </c>
      <c r="I74" s="14" t="str">
        <f t="shared" si="6"/>
        <v/>
      </c>
      <c r="J74" s="15" t="str">
        <f t="shared" si="7"/>
        <v/>
      </c>
    </row>
    <row r="75" spans="1:10">
      <c r="A75" s="7" t="str">
        <f>IF(子基金及业绩基准周净值!A105="","",子基金及业绩基准周净值!A105)</f>
        <v/>
      </c>
      <c r="B75" s="1" t="str">
        <f>IF(A75="","",VLOOKUP($A75,子基金及业绩基准周净值!$A:$AV,13))</f>
        <v/>
      </c>
      <c r="C75" s="8" t="str">
        <f t="shared" si="4"/>
        <v/>
      </c>
      <c r="D75" s="9" t="str">
        <f>IF(A75="","",C75-子基金及业绩基准周净值!AJ105)</f>
        <v/>
      </c>
      <c r="E75" s="12" t="str">
        <f>IF(A75="","",(MAX(B$3:B75)-B75)/MAX(B$3:B75))</f>
        <v/>
      </c>
      <c r="F75" s="12" t="str">
        <f>IF(A75="","",MAX(E$4:E75))</f>
        <v/>
      </c>
      <c r="G75" s="13"/>
      <c r="H75" s="14" t="str">
        <f t="shared" si="5"/>
        <v/>
      </c>
      <c r="I75" s="14" t="str">
        <f t="shared" si="6"/>
        <v/>
      </c>
      <c r="J75" s="15" t="str">
        <f t="shared" si="7"/>
        <v/>
      </c>
    </row>
    <row r="76" spans="1:10">
      <c r="A76" s="7" t="str">
        <f>IF(子基金及业绩基准周净值!A106="","",子基金及业绩基准周净值!A106)</f>
        <v/>
      </c>
      <c r="B76" s="1" t="str">
        <f>IF(A76="","",VLOOKUP($A76,子基金及业绩基准周净值!$A:$AV,13))</f>
        <v/>
      </c>
      <c r="C76" s="8" t="str">
        <f t="shared" si="4"/>
        <v/>
      </c>
      <c r="D76" s="9" t="str">
        <f>IF(A76="","",C76-子基金及业绩基准周净值!AJ106)</f>
        <v/>
      </c>
      <c r="E76" s="12" t="str">
        <f>IF(A76="","",(MAX(B$3:B76)-B76)/MAX(B$3:B76))</f>
        <v/>
      </c>
      <c r="F76" s="12" t="str">
        <f>IF(A76="","",MAX(E$4:E76))</f>
        <v/>
      </c>
      <c r="G76" s="13"/>
      <c r="H76" s="14" t="str">
        <f t="shared" si="5"/>
        <v/>
      </c>
      <c r="I76" s="14" t="str">
        <f t="shared" si="6"/>
        <v/>
      </c>
      <c r="J76" s="15" t="str">
        <f t="shared" si="7"/>
        <v/>
      </c>
    </row>
    <row r="77" spans="1:10">
      <c r="A77" s="7" t="str">
        <f>IF(子基金及业绩基准周净值!A107="","",子基金及业绩基准周净值!A107)</f>
        <v/>
      </c>
      <c r="B77" s="1" t="str">
        <f>IF(A77="","",VLOOKUP($A77,子基金及业绩基准周净值!$A:$AV,13))</f>
        <v/>
      </c>
      <c r="C77" s="8" t="str">
        <f t="shared" si="4"/>
        <v/>
      </c>
      <c r="D77" s="9" t="str">
        <f>IF(A77="","",C77-子基金及业绩基准周净值!AJ107)</f>
        <v/>
      </c>
      <c r="E77" s="12" t="str">
        <f>IF(A77="","",(MAX(B$3:B77)-B77)/MAX(B$3:B77))</f>
        <v/>
      </c>
      <c r="F77" s="12" t="str">
        <f>IF(A77="","",MAX(E$4:E77))</f>
        <v/>
      </c>
      <c r="G77" s="13"/>
      <c r="H77" s="14" t="str">
        <f t="shared" si="5"/>
        <v/>
      </c>
      <c r="I77" s="14" t="str">
        <f t="shared" si="6"/>
        <v/>
      </c>
      <c r="J77" s="15" t="str">
        <f t="shared" si="7"/>
        <v/>
      </c>
    </row>
    <row r="78" spans="1:10">
      <c r="A78" s="7" t="str">
        <f>IF(子基金及业绩基准周净值!A108="","",子基金及业绩基准周净值!A108)</f>
        <v/>
      </c>
      <c r="B78" s="1" t="str">
        <f>IF(A78="","",VLOOKUP($A78,子基金及业绩基准周净值!$A:$AV,13))</f>
        <v/>
      </c>
      <c r="C78" s="8" t="str">
        <f t="shared" si="4"/>
        <v/>
      </c>
      <c r="D78" s="9" t="str">
        <f>IF(A78="","",C78-子基金及业绩基准周净值!AJ108)</f>
        <v/>
      </c>
      <c r="E78" s="12" t="str">
        <f>IF(A78="","",(MAX(B$3:B78)-B78)/MAX(B$3:B78))</f>
        <v/>
      </c>
      <c r="F78" s="12" t="str">
        <f>IF(A78="","",MAX(E$4:E78))</f>
        <v/>
      </c>
      <c r="G78" s="13"/>
      <c r="H78" s="14" t="str">
        <f t="shared" si="5"/>
        <v/>
      </c>
      <c r="I78" s="14" t="str">
        <f t="shared" si="6"/>
        <v/>
      </c>
      <c r="J78" s="15" t="str">
        <f t="shared" si="7"/>
        <v/>
      </c>
    </row>
    <row r="79" spans="1:10">
      <c r="A79" s="7" t="str">
        <f>IF(子基金及业绩基准周净值!A109="","",子基金及业绩基准周净值!A109)</f>
        <v/>
      </c>
      <c r="B79" s="1" t="str">
        <f>IF(A79="","",VLOOKUP($A79,子基金及业绩基准周净值!$A:$AV,13))</f>
        <v/>
      </c>
      <c r="C79" s="8" t="str">
        <f t="shared" si="4"/>
        <v/>
      </c>
      <c r="D79" s="9" t="str">
        <f>IF(A79="","",C79-子基金及业绩基准周净值!AJ109)</f>
        <v/>
      </c>
      <c r="E79" s="12" t="str">
        <f>IF(A79="","",(MAX(B$3:B79)-B79)/MAX(B$3:B79))</f>
        <v/>
      </c>
      <c r="F79" s="12" t="str">
        <f>IF(A79="","",MAX(E$4:E79))</f>
        <v/>
      </c>
      <c r="G79" s="13"/>
      <c r="H79" s="14" t="str">
        <f t="shared" si="5"/>
        <v/>
      </c>
      <c r="I79" s="14" t="str">
        <f t="shared" si="6"/>
        <v/>
      </c>
      <c r="J79" s="15" t="str">
        <f t="shared" si="7"/>
        <v/>
      </c>
    </row>
    <row r="80" spans="1:10">
      <c r="A80" s="7" t="str">
        <f>IF(子基金及业绩基准周净值!A110="","",子基金及业绩基准周净值!A110)</f>
        <v/>
      </c>
      <c r="B80" s="1" t="str">
        <f>IF(A80="","",VLOOKUP($A80,子基金及业绩基准周净值!$A:$AV,13))</f>
        <v/>
      </c>
      <c r="C80" s="8" t="str">
        <f t="shared" si="4"/>
        <v/>
      </c>
      <c r="D80" s="9" t="str">
        <f>IF(A80="","",C80-子基金及业绩基准周净值!AJ110)</f>
        <v/>
      </c>
      <c r="E80" s="12" t="str">
        <f>IF(A80="","",(MAX(B$3:B80)-B80)/MAX(B$3:B80))</f>
        <v/>
      </c>
      <c r="F80" s="12" t="str">
        <f>IF(A80="","",MAX(E$4:E80))</f>
        <v/>
      </c>
      <c r="G80" s="13"/>
      <c r="H80" s="14" t="str">
        <f t="shared" si="5"/>
        <v/>
      </c>
      <c r="I80" s="14" t="str">
        <f t="shared" si="6"/>
        <v/>
      </c>
      <c r="J80" s="15" t="str">
        <f t="shared" si="7"/>
        <v/>
      </c>
    </row>
    <row r="81" spans="1:10">
      <c r="A81" s="7" t="str">
        <f>IF(子基金及业绩基准周净值!A111="","",子基金及业绩基准周净值!A111)</f>
        <v/>
      </c>
      <c r="B81" s="1" t="str">
        <f>IF(A81="","",VLOOKUP($A81,子基金及业绩基准周净值!$A:$AV,13))</f>
        <v/>
      </c>
      <c r="C81" s="8" t="str">
        <f t="shared" si="4"/>
        <v/>
      </c>
      <c r="D81" s="9" t="str">
        <f>IF(A81="","",C81-子基金及业绩基准周净值!AJ111)</f>
        <v/>
      </c>
      <c r="E81" s="12" t="str">
        <f>IF(A81="","",(MAX(B$3:B81)-B81)/MAX(B$3:B81))</f>
        <v/>
      </c>
      <c r="F81" s="12" t="str">
        <f>IF(A81="","",MAX(E$4:E81))</f>
        <v/>
      </c>
      <c r="G81" s="13"/>
      <c r="H81" s="14" t="str">
        <f t="shared" si="5"/>
        <v/>
      </c>
      <c r="I81" s="14" t="str">
        <f t="shared" si="6"/>
        <v/>
      </c>
      <c r="J81" s="15" t="str">
        <f t="shared" si="7"/>
        <v/>
      </c>
    </row>
    <row r="82" spans="1:10">
      <c r="A82" s="7" t="str">
        <f>IF(子基金及业绩基准周净值!A112="","",子基金及业绩基准周净值!A112)</f>
        <v/>
      </c>
      <c r="B82" s="1" t="str">
        <f>IF(A82="","",VLOOKUP($A82,子基金及业绩基准周净值!$A:$AV,13))</f>
        <v/>
      </c>
      <c r="C82" s="8" t="str">
        <f t="shared" si="4"/>
        <v/>
      </c>
      <c r="D82" s="9" t="str">
        <f>IF(A82="","",C82-子基金及业绩基准周净值!AJ112)</f>
        <v/>
      </c>
      <c r="E82" s="12" t="str">
        <f>IF(A82="","",(MAX(B$3:B82)-B82)/MAX(B$3:B82))</f>
        <v/>
      </c>
      <c r="F82" s="12" t="str">
        <f>IF(A82="","",MAX(E$4:E82))</f>
        <v/>
      </c>
      <c r="G82" s="13"/>
      <c r="H82" s="14" t="str">
        <f t="shared" si="5"/>
        <v/>
      </c>
      <c r="I82" s="14" t="str">
        <f t="shared" si="6"/>
        <v/>
      </c>
      <c r="J82" s="15" t="str">
        <f t="shared" si="7"/>
        <v/>
      </c>
    </row>
    <row r="83" spans="1:10">
      <c r="A83" s="7" t="str">
        <f>IF(子基金及业绩基准周净值!A113="","",子基金及业绩基准周净值!A113)</f>
        <v/>
      </c>
      <c r="B83" s="1" t="str">
        <f>IF(A83="","",VLOOKUP($A83,子基金及业绩基准周净值!$A:$AV,13))</f>
        <v/>
      </c>
      <c r="C83" s="8" t="str">
        <f t="shared" si="4"/>
        <v/>
      </c>
      <c r="D83" s="9" t="str">
        <f>IF(A83="","",C83-子基金及业绩基准周净值!AJ113)</f>
        <v/>
      </c>
      <c r="E83" s="12" t="str">
        <f>IF(A83="","",(MAX(B$3:B83)-B83)/MAX(B$3:B83))</f>
        <v/>
      </c>
      <c r="F83" s="12" t="str">
        <f>IF(A83="","",MAX(E$4:E83))</f>
        <v/>
      </c>
      <c r="G83" s="13"/>
      <c r="H83" s="14" t="str">
        <f t="shared" si="5"/>
        <v/>
      </c>
      <c r="I83" s="14" t="str">
        <f t="shared" si="6"/>
        <v/>
      </c>
      <c r="J83" s="15" t="str">
        <f t="shared" si="7"/>
        <v/>
      </c>
    </row>
    <row r="84" spans="1:10">
      <c r="A84" s="7" t="str">
        <f>IF(子基金及业绩基准周净值!A114="","",子基金及业绩基准周净值!A114)</f>
        <v/>
      </c>
      <c r="B84" s="1" t="str">
        <f>IF(A84="","",VLOOKUP($A84,子基金及业绩基准周净值!$A:$AV,13))</f>
        <v/>
      </c>
      <c r="C84" s="8" t="str">
        <f t="shared" si="4"/>
        <v/>
      </c>
      <c r="D84" s="9" t="str">
        <f>IF(A84="","",C84-子基金及业绩基准周净值!AJ114)</f>
        <v/>
      </c>
      <c r="E84" s="12" t="str">
        <f>IF(A84="","",(MAX(B$3:B84)-B84)/MAX(B$3:B84))</f>
        <v/>
      </c>
      <c r="F84" s="12" t="str">
        <f>IF(A84="","",MAX(E$4:E84))</f>
        <v/>
      </c>
      <c r="G84" s="13"/>
      <c r="H84" s="14" t="str">
        <f t="shared" si="5"/>
        <v/>
      </c>
      <c r="I84" s="14" t="str">
        <f t="shared" si="6"/>
        <v/>
      </c>
      <c r="J84" s="15" t="str">
        <f t="shared" si="7"/>
        <v/>
      </c>
    </row>
    <row r="85" spans="1:10">
      <c r="A85" s="7" t="str">
        <f>IF(子基金及业绩基准周净值!A115="","",子基金及业绩基准周净值!A115)</f>
        <v/>
      </c>
      <c r="B85" s="1" t="str">
        <f>IF(A85="","",VLOOKUP($A85,子基金及业绩基准周净值!$A:$AV,13))</f>
        <v/>
      </c>
      <c r="C85" s="8" t="str">
        <f t="shared" si="4"/>
        <v/>
      </c>
      <c r="D85" s="9" t="str">
        <f>IF(A85="","",C85-子基金及业绩基准周净值!AJ115)</f>
        <v/>
      </c>
      <c r="E85" s="12" t="str">
        <f>IF(A85="","",(MAX(B$3:B85)-B85)/MAX(B$3:B85))</f>
        <v/>
      </c>
      <c r="F85" s="12" t="str">
        <f>IF(A85="","",MAX(E$4:E85))</f>
        <v/>
      </c>
      <c r="G85" s="13"/>
      <c r="H85" s="14" t="str">
        <f t="shared" si="5"/>
        <v/>
      </c>
      <c r="I85" s="14" t="str">
        <f t="shared" si="6"/>
        <v/>
      </c>
      <c r="J85" s="15" t="str">
        <f t="shared" si="7"/>
        <v/>
      </c>
    </row>
    <row r="86" spans="1:10">
      <c r="A86" s="7" t="str">
        <f>IF(子基金及业绩基准周净值!A116="","",子基金及业绩基准周净值!A116)</f>
        <v/>
      </c>
      <c r="B86" s="1" t="str">
        <f>IF(A86="","",VLOOKUP($A86,子基金及业绩基准周净值!$A:$AV,13))</f>
        <v/>
      </c>
      <c r="C86" s="8" t="str">
        <f t="shared" si="4"/>
        <v/>
      </c>
      <c r="D86" s="9" t="str">
        <f>IF(A86="","",C86-子基金及业绩基准周净值!AJ116)</f>
        <v/>
      </c>
      <c r="E86" s="12" t="str">
        <f>IF(A86="","",(MAX(B$3:B86)-B86)/MAX(B$3:B86))</f>
        <v/>
      </c>
      <c r="F86" s="12" t="str">
        <f>IF(A86="","",MAX(E$4:E86))</f>
        <v/>
      </c>
      <c r="G86" s="13"/>
      <c r="H86" s="14" t="str">
        <f t="shared" si="5"/>
        <v/>
      </c>
      <c r="I86" s="14" t="str">
        <f t="shared" si="6"/>
        <v/>
      </c>
      <c r="J86" s="15" t="str">
        <f t="shared" si="7"/>
        <v/>
      </c>
    </row>
    <row r="87" spans="1:10">
      <c r="A87" s="7" t="str">
        <f>IF(子基金及业绩基准周净值!A117="","",子基金及业绩基准周净值!A117)</f>
        <v/>
      </c>
      <c r="B87" s="1" t="str">
        <f>IF(A87="","",VLOOKUP($A87,子基金及业绩基准周净值!$A:$AV,13))</f>
        <v/>
      </c>
      <c r="C87" s="8" t="str">
        <f t="shared" si="4"/>
        <v/>
      </c>
      <c r="D87" s="9" t="str">
        <f>IF(A87="","",C87-子基金及业绩基准周净值!AJ117)</f>
        <v/>
      </c>
      <c r="E87" s="12" t="str">
        <f>IF(A87="","",(MAX(B$3:B87)-B87)/MAX(B$3:B87))</f>
        <v/>
      </c>
      <c r="F87" s="12" t="str">
        <f>IF(A87="","",MAX(E$4:E87))</f>
        <v/>
      </c>
      <c r="G87" s="13"/>
      <c r="H87" s="14" t="str">
        <f t="shared" si="5"/>
        <v/>
      </c>
      <c r="I87" s="14" t="str">
        <f t="shared" si="6"/>
        <v/>
      </c>
      <c r="J87" s="15" t="str">
        <f t="shared" si="7"/>
        <v/>
      </c>
    </row>
    <row r="88" spans="1:10">
      <c r="A88" s="7" t="str">
        <f>IF(子基金及业绩基准周净值!A118="","",子基金及业绩基准周净值!A118)</f>
        <v/>
      </c>
      <c r="B88" s="1" t="str">
        <f>IF(A88="","",VLOOKUP($A88,子基金及业绩基准周净值!$A:$AV,13))</f>
        <v/>
      </c>
      <c r="C88" s="8" t="str">
        <f t="shared" si="4"/>
        <v/>
      </c>
      <c r="D88" s="9" t="str">
        <f>IF(A88="","",C88-子基金及业绩基准周净值!AJ118)</f>
        <v/>
      </c>
      <c r="E88" s="12" t="str">
        <f>IF(A88="","",(MAX(B$3:B88)-B88)/MAX(B$3:B88))</f>
        <v/>
      </c>
      <c r="F88" s="12" t="str">
        <f>IF(A88="","",MAX(E$4:E88))</f>
        <v/>
      </c>
      <c r="G88" s="13"/>
      <c r="H88" s="14" t="str">
        <f t="shared" si="5"/>
        <v/>
      </c>
      <c r="I88" s="14" t="str">
        <f t="shared" si="6"/>
        <v/>
      </c>
      <c r="J88" s="15" t="str">
        <f t="shared" si="7"/>
        <v/>
      </c>
    </row>
    <row r="89" spans="1:10">
      <c r="A89" s="7" t="str">
        <f>IF(子基金及业绩基准周净值!A119="","",子基金及业绩基准周净值!A119)</f>
        <v/>
      </c>
      <c r="B89" s="1" t="str">
        <f>IF(A89="","",VLOOKUP($A89,子基金及业绩基准周净值!$A:$AV,13))</f>
        <v/>
      </c>
      <c r="C89" s="8" t="str">
        <f t="shared" si="4"/>
        <v/>
      </c>
      <c r="D89" s="9" t="str">
        <f>IF(A89="","",C89-子基金及业绩基准周净值!AJ119)</f>
        <v/>
      </c>
      <c r="E89" s="12" t="str">
        <f>IF(A89="","",(MAX(B$3:B89)-B89)/MAX(B$3:B89))</f>
        <v/>
      </c>
      <c r="F89" s="12" t="str">
        <f>IF(A89="","",MAX(E$4:E89))</f>
        <v/>
      </c>
      <c r="G89" s="13"/>
      <c r="H89" s="14" t="str">
        <f t="shared" si="5"/>
        <v/>
      </c>
      <c r="I89" s="14" t="str">
        <f t="shared" si="6"/>
        <v/>
      </c>
      <c r="J89" s="15" t="str">
        <f t="shared" si="7"/>
        <v/>
      </c>
    </row>
    <row r="90" spans="1:10">
      <c r="A90" s="7" t="str">
        <f>IF(子基金及业绩基准周净值!A120="","",子基金及业绩基准周净值!A120)</f>
        <v/>
      </c>
      <c r="B90" s="1" t="str">
        <f>IF(A90="","",VLOOKUP($A90,子基金及业绩基准周净值!$A:$AV,13))</f>
        <v/>
      </c>
      <c r="C90" s="8" t="str">
        <f t="shared" si="4"/>
        <v/>
      </c>
      <c r="D90" s="9" t="str">
        <f>IF(A90="","",C90-子基金及业绩基准周净值!AJ120)</f>
        <v/>
      </c>
      <c r="E90" s="12" t="str">
        <f>IF(A90="","",(MAX(B$3:B90)-B90)/MAX(B$3:B90))</f>
        <v/>
      </c>
      <c r="F90" s="12" t="str">
        <f>IF(A90="","",MAX(E$4:E90))</f>
        <v/>
      </c>
      <c r="G90" s="13"/>
      <c r="H90" s="14" t="str">
        <f t="shared" si="5"/>
        <v/>
      </c>
      <c r="I90" s="14" t="str">
        <f t="shared" si="6"/>
        <v/>
      </c>
      <c r="J90" s="15" t="str">
        <f t="shared" si="7"/>
        <v/>
      </c>
    </row>
    <row r="91" spans="1:10">
      <c r="A91" s="7" t="str">
        <f>IF(子基金及业绩基准周净值!A121="","",子基金及业绩基准周净值!A121)</f>
        <v/>
      </c>
      <c r="B91" s="1" t="str">
        <f>IF(A91="","",VLOOKUP($A91,子基金及业绩基准周净值!$A:$AV,13))</f>
        <v/>
      </c>
      <c r="C91" s="8" t="str">
        <f t="shared" si="4"/>
        <v/>
      </c>
      <c r="D91" s="9" t="str">
        <f>IF(A91="","",C91-子基金及业绩基准周净值!AJ121)</f>
        <v/>
      </c>
      <c r="E91" s="12" t="str">
        <f>IF(A91="","",(MAX(B$3:B91)-B91)/MAX(B$3:B91))</f>
        <v/>
      </c>
      <c r="F91" s="12" t="str">
        <f>IF(A91="","",MAX(E$4:E91))</f>
        <v/>
      </c>
      <c r="G91" s="13"/>
      <c r="H91" s="14" t="str">
        <f t="shared" si="5"/>
        <v/>
      </c>
      <c r="I91" s="14" t="str">
        <f t="shared" si="6"/>
        <v/>
      </c>
      <c r="J91" s="15" t="str">
        <f t="shared" si="7"/>
        <v/>
      </c>
    </row>
    <row r="92" spans="1:10">
      <c r="A92" s="7" t="str">
        <f>IF(子基金及业绩基准周净值!A122="","",子基金及业绩基准周净值!A122)</f>
        <v/>
      </c>
      <c r="B92" s="1" t="str">
        <f>IF(A92="","",VLOOKUP($A92,子基金及业绩基准周净值!$A:$AV,13))</f>
        <v/>
      </c>
      <c r="C92" s="8" t="str">
        <f t="shared" si="4"/>
        <v/>
      </c>
      <c r="D92" s="9" t="str">
        <f>IF(A92="","",C92-子基金及业绩基准周净值!AJ122)</f>
        <v/>
      </c>
      <c r="E92" s="12" t="str">
        <f>IF(A92="","",(MAX(B$3:B92)-B92)/MAX(B$3:B92))</f>
        <v/>
      </c>
      <c r="F92" s="12" t="str">
        <f>IF(A92="","",MAX(E$4:E92))</f>
        <v/>
      </c>
      <c r="G92" s="13"/>
      <c r="H92" s="14" t="str">
        <f t="shared" si="5"/>
        <v/>
      </c>
      <c r="I92" s="14" t="str">
        <f t="shared" si="6"/>
        <v/>
      </c>
      <c r="J92" s="15" t="str">
        <f t="shared" si="7"/>
        <v/>
      </c>
    </row>
    <row r="93" spans="1:10">
      <c r="A93" s="7" t="str">
        <f>IF(子基金及业绩基准周净值!A123="","",子基金及业绩基准周净值!A123)</f>
        <v/>
      </c>
      <c r="B93" s="1" t="str">
        <f>IF(A93="","",VLOOKUP($A93,子基金及业绩基准周净值!$A:$AV,13))</f>
        <v/>
      </c>
      <c r="C93" s="8" t="str">
        <f t="shared" si="4"/>
        <v/>
      </c>
      <c r="D93" s="9" t="str">
        <f>IF(A93="","",C93-子基金及业绩基准周净值!AJ123)</f>
        <v/>
      </c>
      <c r="E93" s="12" t="str">
        <f>IF(A93="","",(MAX(B$3:B93)-B93)/MAX(B$3:B93))</f>
        <v/>
      </c>
      <c r="F93" s="12" t="str">
        <f>IF(A93="","",MAX(E$4:E93))</f>
        <v/>
      </c>
      <c r="G93" s="13"/>
      <c r="H93" s="14" t="str">
        <f t="shared" si="5"/>
        <v/>
      </c>
      <c r="I93" s="14" t="str">
        <f t="shared" si="6"/>
        <v/>
      </c>
      <c r="J93" s="15" t="str">
        <f t="shared" si="7"/>
        <v/>
      </c>
    </row>
    <row r="94" spans="1:10">
      <c r="A94" s="7" t="str">
        <f>IF(子基金及业绩基准周净值!A124="","",子基金及业绩基准周净值!A124)</f>
        <v/>
      </c>
      <c r="B94" s="1" t="str">
        <f>IF(A94="","",VLOOKUP($A94,子基金及业绩基准周净值!$A:$AV,13))</f>
        <v/>
      </c>
      <c r="C94" s="8" t="str">
        <f t="shared" si="4"/>
        <v/>
      </c>
      <c r="D94" s="9" t="str">
        <f>IF(A94="","",C94-子基金及业绩基准周净值!AJ124)</f>
        <v/>
      </c>
      <c r="E94" s="12" t="str">
        <f>IF(A94="","",(MAX(B$3:B94)-B94)/MAX(B$3:B94))</f>
        <v/>
      </c>
      <c r="F94" s="12" t="str">
        <f>IF(A94="","",MAX(E$4:E94))</f>
        <v/>
      </c>
      <c r="G94" s="13"/>
      <c r="H94" s="14" t="str">
        <f t="shared" si="5"/>
        <v/>
      </c>
      <c r="I94" s="14" t="str">
        <f t="shared" si="6"/>
        <v/>
      </c>
      <c r="J94" s="15" t="str">
        <f t="shared" si="7"/>
        <v/>
      </c>
    </row>
    <row r="95" spans="1:10">
      <c r="A95" s="7" t="str">
        <f>IF(子基金及业绩基准周净值!A125="","",子基金及业绩基准周净值!A125)</f>
        <v/>
      </c>
      <c r="B95" s="1" t="str">
        <f>IF(A95="","",VLOOKUP($A95,子基金及业绩基准周净值!$A:$AV,13))</f>
        <v/>
      </c>
      <c r="C95" s="8" t="str">
        <f t="shared" si="4"/>
        <v/>
      </c>
      <c r="D95" s="9" t="str">
        <f>IF(A95="","",C95-子基金及业绩基准周净值!AJ125)</f>
        <v/>
      </c>
      <c r="E95" s="12" t="str">
        <f>IF(A95="","",(MAX(B$3:B95)-B95)/MAX(B$3:B95))</f>
        <v/>
      </c>
      <c r="F95" s="12" t="str">
        <f>IF(A95="","",MAX(E$4:E95))</f>
        <v/>
      </c>
      <c r="G95" s="13"/>
      <c r="H95" s="14" t="str">
        <f t="shared" si="5"/>
        <v/>
      </c>
      <c r="I95" s="14" t="str">
        <f t="shared" si="6"/>
        <v/>
      </c>
      <c r="J95" s="15" t="str">
        <f t="shared" si="7"/>
        <v/>
      </c>
    </row>
    <row r="96" spans="1:10">
      <c r="A96" s="7" t="str">
        <f>IF(子基金及业绩基准周净值!A126="","",子基金及业绩基准周净值!A126)</f>
        <v/>
      </c>
      <c r="B96" s="1" t="str">
        <f>IF(A96="","",VLOOKUP($A96,子基金及业绩基准周净值!$A:$AV,13))</f>
        <v/>
      </c>
      <c r="C96" s="8" t="str">
        <f t="shared" si="4"/>
        <v/>
      </c>
      <c r="D96" s="9" t="str">
        <f>IF(A96="","",C96-子基金及业绩基准周净值!AJ126)</f>
        <v/>
      </c>
      <c r="E96" s="12" t="str">
        <f>IF(A96="","",(MAX(B$3:B96)-B96)/MAX(B$3:B96))</f>
        <v/>
      </c>
      <c r="F96" s="12" t="str">
        <f>IF(A96="","",MAX(E$4:E96))</f>
        <v/>
      </c>
      <c r="G96" s="13"/>
      <c r="H96" s="14" t="str">
        <f t="shared" si="5"/>
        <v/>
      </c>
      <c r="I96" s="14" t="str">
        <f t="shared" si="6"/>
        <v/>
      </c>
      <c r="J96" s="15" t="str">
        <f t="shared" si="7"/>
        <v/>
      </c>
    </row>
    <row r="97" spans="1:10">
      <c r="A97" s="7" t="str">
        <f>IF(子基金及业绩基准周净值!A127="","",子基金及业绩基准周净值!A127)</f>
        <v/>
      </c>
      <c r="B97" s="1" t="str">
        <f>IF(A97="","",VLOOKUP($A97,子基金及业绩基准周净值!$A:$AV,13))</f>
        <v/>
      </c>
      <c r="C97" s="8" t="str">
        <f t="shared" si="4"/>
        <v/>
      </c>
      <c r="D97" s="9" t="str">
        <f>IF(A97="","",C97-子基金及业绩基准周净值!AJ127)</f>
        <v/>
      </c>
      <c r="E97" s="12" t="str">
        <f>IF(A97="","",(MAX(B$3:B97)-B97)/MAX(B$3:B97))</f>
        <v/>
      </c>
      <c r="F97" s="12" t="str">
        <f>IF(A97="","",MAX(E$4:E97))</f>
        <v/>
      </c>
      <c r="G97" s="13"/>
      <c r="H97" s="14" t="str">
        <f t="shared" si="5"/>
        <v/>
      </c>
      <c r="I97" s="14" t="str">
        <f t="shared" si="6"/>
        <v/>
      </c>
      <c r="J97" s="15" t="str">
        <f t="shared" si="7"/>
        <v/>
      </c>
    </row>
    <row r="98" spans="1:10">
      <c r="A98" s="7" t="str">
        <f>IF(子基金及业绩基准周净值!A128="","",子基金及业绩基准周净值!A128)</f>
        <v/>
      </c>
      <c r="B98" s="1" t="str">
        <f>IF(A98="","",VLOOKUP($A98,子基金及业绩基准周净值!$A:$AV,13))</f>
        <v/>
      </c>
      <c r="C98" s="8" t="str">
        <f t="shared" si="4"/>
        <v/>
      </c>
      <c r="D98" s="9" t="str">
        <f>IF(A98="","",C98-子基金及业绩基准周净值!AJ128)</f>
        <v/>
      </c>
      <c r="E98" s="12" t="str">
        <f>IF(A98="","",(MAX(B$3:B98)-B98)/MAX(B$3:B98))</f>
        <v/>
      </c>
      <c r="F98" s="12" t="str">
        <f>IF(A98="","",MAX(E$4:E98))</f>
        <v/>
      </c>
      <c r="G98" s="13"/>
      <c r="H98" s="14" t="str">
        <f t="shared" si="5"/>
        <v/>
      </c>
      <c r="I98" s="14" t="str">
        <f t="shared" si="6"/>
        <v/>
      </c>
      <c r="J98" s="15" t="str">
        <f t="shared" si="7"/>
        <v/>
      </c>
    </row>
    <row r="99" spans="1:10">
      <c r="A99" s="7" t="str">
        <f>IF(子基金及业绩基准周净值!A129="","",子基金及业绩基准周净值!A129)</f>
        <v/>
      </c>
      <c r="B99" s="1" t="str">
        <f>IF(A99="","",VLOOKUP($A99,子基金及业绩基准周净值!$A:$AV,13))</f>
        <v/>
      </c>
      <c r="C99" s="8" t="str">
        <f t="shared" si="4"/>
        <v/>
      </c>
      <c r="D99" s="9" t="str">
        <f>IF(A99="","",C99-子基金及业绩基准周净值!AJ129)</f>
        <v/>
      </c>
      <c r="E99" s="12" t="str">
        <f>IF(A99="","",(MAX(B$3:B99)-B99)/MAX(B$3:B99))</f>
        <v/>
      </c>
      <c r="F99" s="12" t="str">
        <f>IF(A99="","",MAX(E$4:E99))</f>
        <v/>
      </c>
      <c r="G99" s="13"/>
      <c r="H99" s="14" t="str">
        <f t="shared" si="5"/>
        <v/>
      </c>
      <c r="I99" s="14" t="str">
        <f t="shared" si="6"/>
        <v/>
      </c>
      <c r="J99" s="15" t="str">
        <f t="shared" si="7"/>
        <v/>
      </c>
    </row>
    <row r="100" spans="1:10">
      <c r="A100" s="7" t="str">
        <f>IF(子基金及业绩基准周净值!A130="","",子基金及业绩基准周净值!A130)</f>
        <v/>
      </c>
      <c r="B100" s="1" t="str">
        <f>IF(A100="","",VLOOKUP($A100,子基金及业绩基准周净值!$A:$AV,13))</f>
        <v/>
      </c>
      <c r="C100" s="8" t="str">
        <f t="shared" si="4"/>
        <v/>
      </c>
      <c r="D100" s="9" t="str">
        <f>IF(A100="","",C100-子基金及业绩基准周净值!AJ130)</f>
        <v/>
      </c>
      <c r="E100" s="12" t="str">
        <f>IF(A100="","",(MAX(B$3:B100)-B100)/MAX(B$3:B100))</f>
        <v/>
      </c>
      <c r="F100" s="12" t="str">
        <f>IF(A100="","",MAX(E$4:E100))</f>
        <v/>
      </c>
      <c r="G100" s="13"/>
      <c r="H100" s="14" t="str">
        <f t="shared" si="5"/>
        <v/>
      </c>
      <c r="I100" s="14" t="str">
        <f t="shared" si="6"/>
        <v/>
      </c>
      <c r="J100" s="15" t="str">
        <f t="shared" si="7"/>
        <v/>
      </c>
    </row>
    <row r="101" spans="1:10">
      <c r="A101" s="7" t="str">
        <f>IF(子基金及业绩基准周净值!A131="","",子基金及业绩基准周净值!A131)</f>
        <v/>
      </c>
      <c r="B101" s="1" t="str">
        <f>IF(A101="","",VLOOKUP($A101,子基金及业绩基准周净值!$A:$AV,13))</f>
        <v/>
      </c>
      <c r="C101" s="8" t="str">
        <f t="shared" si="4"/>
        <v/>
      </c>
      <c r="D101" s="9" t="str">
        <f>IF(A101="","",C101-子基金及业绩基准周净值!AJ131)</f>
        <v/>
      </c>
      <c r="E101" s="12" t="str">
        <f>IF(A101="","",(MAX(B$3:B101)-B101)/MAX(B$3:B101))</f>
        <v/>
      </c>
      <c r="F101" s="12" t="str">
        <f>IF(A101="","",MAX(E$4:E101))</f>
        <v/>
      </c>
      <c r="G101" s="13"/>
      <c r="H101" s="14" t="str">
        <f t="shared" si="5"/>
        <v/>
      </c>
      <c r="I101" s="14" t="str">
        <f t="shared" si="6"/>
        <v/>
      </c>
      <c r="J101" s="15" t="str">
        <f t="shared" si="7"/>
        <v/>
      </c>
    </row>
    <row r="102" spans="1:10">
      <c r="A102" s="7" t="str">
        <f>IF(子基金及业绩基准周净值!A132="","",子基金及业绩基准周净值!A132)</f>
        <v/>
      </c>
      <c r="B102" s="1" t="str">
        <f>IF(A102="","",VLOOKUP($A102,子基金及业绩基准周净值!$A:$AV,13))</f>
        <v/>
      </c>
      <c r="C102" s="8" t="str">
        <f t="shared" si="4"/>
        <v/>
      </c>
      <c r="D102" s="9" t="str">
        <f>IF(A102="","",C102-子基金及业绩基准周净值!AJ132)</f>
        <v/>
      </c>
      <c r="E102" s="12" t="str">
        <f>IF(A102="","",(MAX(B$3:B102)-B102)/MAX(B$3:B102))</f>
        <v/>
      </c>
      <c r="F102" s="12" t="str">
        <f>IF(A102="","",MAX(E$4:E102))</f>
        <v/>
      </c>
      <c r="G102" s="13"/>
      <c r="H102" s="14" t="str">
        <f t="shared" si="5"/>
        <v/>
      </c>
      <c r="I102" s="14" t="str">
        <f t="shared" si="6"/>
        <v/>
      </c>
      <c r="J102" s="15" t="str">
        <f t="shared" si="7"/>
        <v/>
      </c>
    </row>
    <row r="103" spans="1:10">
      <c r="A103" s="7" t="str">
        <f>IF(子基金及业绩基准周净值!A133="","",子基金及业绩基准周净值!A133)</f>
        <v/>
      </c>
      <c r="B103" s="1" t="str">
        <f>IF(A103="","",VLOOKUP($A103,子基金及业绩基准周净值!$A:$AV,13))</f>
        <v/>
      </c>
      <c r="C103" s="8" t="str">
        <f t="shared" si="4"/>
        <v/>
      </c>
      <c r="D103" s="9" t="str">
        <f>IF(A103="","",C103-子基金及业绩基准周净值!AJ133)</f>
        <v/>
      </c>
      <c r="E103" s="12" t="str">
        <f>IF(A103="","",(MAX(B$3:B103)-B103)/MAX(B$3:B103))</f>
        <v/>
      </c>
      <c r="F103" s="12" t="str">
        <f>IF(A103="","",MAX(E$4:E103))</f>
        <v/>
      </c>
      <c r="G103" s="13"/>
      <c r="H103" s="14" t="str">
        <f t="shared" si="5"/>
        <v/>
      </c>
      <c r="I103" s="14" t="str">
        <f t="shared" si="6"/>
        <v/>
      </c>
      <c r="J103" s="15" t="str">
        <f t="shared" si="7"/>
        <v/>
      </c>
    </row>
    <row r="104" spans="1:10">
      <c r="A104" s="7" t="str">
        <f>IF(子基金及业绩基准周净值!A134="","",子基金及业绩基准周净值!A134)</f>
        <v/>
      </c>
      <c r="B104" s="1" t="str">
        <f>IF(A104="","",VLOOKUP($A104,子基金及业绩基准周净值!$A:$AV,13))</f>
        <v/>
      </c>
      <c r="C104" s="8" t="str">
        <f t="shared" si="4"/>
        <v/>
      </c>
      <c r="D104" s="9" t="str">
        <f>IF(A104="","",C104-子基金及业绩基准周净值!AJ134)</f>
        <v/>
      </c>
      <c r="E104" s="12" t="str">
        <f>IF(A104="","",(MAX(B$3:B104)-B104)/MAX(B$3:B104))</f>
        <v/>
      </c>
      <c r="F104" s="12" t="str">
        <f>IF(A104="","",MAX(E$4:E104))</f>
        <v/>
      </c>
      <c r="G104" s="13"/>
      <c r="H104" s="14" t="str">
        <f t="shared" si="5"/>
        <v/>
      </c>
      <c r="I104" s="14" t="str">
        <f t="shared" si="6"/>
        <v/>
      </c>
      <c r="J104" s="15" t="str">
        <f t="shared" si="7"/>
        <v/>
      </c>
    </row>
    <row r="105" spans="1:10">
      <c r="A105" s="7" t="str">
        <f>IF(子基金及业绩基准周净值!A135="","",子基金及业绩基准周净值!A135)</f>
        <v/>
      </c>
      <c r="B105" s="1" t="str">
        <f>IF(A105="","",VLOOKUP($A105,子基金及业绩基准周净值!$A:$AV,13))</f>
        <v/>
      </c>
      <c r="C105" s="8" t="str">
        <f t="shared" si="4"/>
        <v/>
      </c>
      <c r="D105" s="9" t="str">
        <f>IF(A105="","",C105-子基金及业绩基准周净值!AJ135)</f>
        <v/>
      </c>
      <c r="E105" s="12" t="str">
        <f>IF(A105="","",(MAX(B$3:B105)-B105)/MAX(B$3:B105))</f>
        <v/>
      </c>
      <c r="F105" s="12" t="str">
        <f>IF(A105="","",MAX(E$4:E105))</f>
        <v/>
      </c>
      <c r="G105" s="13"/>
      <c r="H105" s="14" t="str">
        <f t="shared" si="5"/>
        <v/>
      </c>
      <c r="I105" s="14" t="str">
        <f t="shared" si="6"/>
        <v/>
      </c>
      <c r="J105" s="15" t="str">
        <f t="shared" si="7"/>
        <v/>
      </c>
    </row>
    <row r="106" spans="1:10">
      <c r="A106" s="7" t="str">
        <f>IF(子基金及业绩基准周净值!A136="","",子基金及业绩基准周净值!A136)</f>
        <v/>
      </c>
      <c r="B106" s="1" t="str">
        <f>IF(A106="","",VLOOKUP($A106,子基金及业绩基准周净值!$A:$AV,13))</f>
        <v/>
      </c>
      <c r="C106" s="8" t="str">
        <f t="shared" si="4"/>
        <v/>
      </c>
      <c r="D106" s="9" t="str">
        <f>IF(A106="","",C106-子基金及业绩基准周净值!AJ136)</f>
        <v/>
      </c>
      <c r="E106" s="12" t="str">
        <f>IF(A106="","",(MAX(B$3:B106)-B106)/MAX(B$3:B106))</f>
        <v/>
      </c>
      <c r="F106" s="12" t="str">
        <f>IF(A106="","",MAX(E$4:E106))</f>
        <v/>
      </c>
      <c r="G106" s="13"/>
      <c r="H106" s="14" t="str">
        <f t="shared" si="5"/>
        <v/>
      </c>
      <c r="I106" s="14" t="str">
        <f t="shared" si="6"/>
        <v/>
      </c>
      <c r="J106" s="15" t="str">
        <f t="shared" si="7"/>
        <v/>
      </c>
    </row>
    <row r="107" spans="1:10">
      <c r="A107" s="7" t="str">
        <f>IF(子基金及业绩基准周净值!A137="","",子基金及业绩基准周净值!A137)</f>
        <v/>
      </c>
      <c r="B107" s="1" t="str">
        <f>IF(A107="","",VLOOKUP($A107,子基金及业绩基准周净值!$A:$AV,13))</f>
        <v/>
      </c>
      <c r="C107" s="8" t="str">
        <f t="shared" si="4"/>
        <v/>
      </c>
      <c r="D107" s="9" t="str">
        <f>IF(A107="","",C107-子基金及业绩基准周净值!AJ137)</f>
        <v/>
      </c>
      <c r="E107" s="12" t="str">
        <f>IF(A107="","",(MAX(B$3:B107)-B107)/MAX(B$3:B107))</f>
        <v/>
      </c>
      <c r="F107" s="12" t="str">
        <f>IF(A107="","",MAX(E$4:E107))</f>
        <v/>
      </c>
      <c r="G107" s="13"/>
      <c r="H107" s="14" t="str">
        <f t="shared" si="5"/>
        <v/>
      </c>
      <c r="I107" s="14" t="str">
        <f t="shared" si="6"/>
        <v/>
      </c>
      <c r="J107" s="15" t="str">
        <f t="shared" si="7"/>
        <v/>
      </c>
    </row>
    <row r="108" spans="1:10">
      <c r="A108" s="7" t="str">
        <f>IF(子基金及业绩基准周净值!A138="","",子基金及业绩基准周净值!A138)</f>
        <v/>
      </c>
      <c r="B108" s="1" t="str">
        <f>IF(A108="","",VLOOKUP($A108,子基金及业绩基准周净值!$A:$AV,13))</f>
        <v/>
      </c>
      <c r="C108" s="8" t="str">
        <f t="shared" si="4"/>
        <v/>
      </c>
      <c r="D108" s="9" t="str">
        <f>IF(A108="","",C108-子基金及业绩基准周净值!AJ138)</f>
        <v/>
      </c>
      <c r="E108" s="12" t="str">
        <f>IF(A108="","",(MAX(B$3:B108)-B108)/MAX(B$3:B108))</f>
        <v/>
      </c>
      <c r="F108" s="12" t="str">
        <f>IF(A108="","",MAX(E$4:E108))</f>
        <v/>
      </c>
      <c r="G108" s="13"/>
      <c r="H108" s="14" t="str">
        <f t="shared" si="5"/>
        <v/>
      </c>
      <c r="I108" s="14" t="str">
        <f t="shared" si="6"/>
        <v/>
      </c>
      <c r="J108" s="15" t="str">
        <f t="shared" si="7"/>
        <v/>
      </c>
    </row>
    <row r="109" spans="1:10">
      <c r="A109" s="7" t="str">
        <f>IF(子基金及业绩基准周净值!A139="","",子基金及业绩基准周净值!A139)</f>
        <v/>
      </c>
      <c r="B109" s="1" t="str">
        <f>IF(A109="","",VLOOKUP($A109,子基金及业绩基准周净值!$A:$AV,13))</f>
        <v/>
      </c>
      <c r="C109" s="8" t="str">
        <f t="shared" si="4"/>
        <v/>
      </c>
      <c r="D109" s="9" t="str">
        <f>IF(A109="","",C109-子基金及业绩基准周净值!AJ139)</f>
        <v/>
      </c>
      <c r="E109" s="12" t="str">
        <f>IF(A109="","",(MAX(B$3:B109)-B109)/MAX(B$3:B109))</f>
        <v/>
      </c>
      <c r="F109" s="12" t="str">
        <f>IF(A109="","",MAX(E$4:E109))</f>
        <v/>
      </c>
      <c r="G109" s="13"/>
      <c r="H109" s="14" t="str">
        <f t="shared" si="5"/>
        <v/>
      </c>
      <c r="I109" s="14" t="str">
        <f t="shared" si="6"/>
        <v/>
      </c>
      <c r="J109" s="15" t="str">
        <f t="shared" si="7"/>
        <v/>
      </c>
    </row>
    <row r="110" spans="1:10">
      <c r="A110" s="7" t="str">
        <f>IF(子基金及业绩基准周净值!A140="","",子基金及业绩基准周净值!A140)</f>
        <v/>
      </c>
      <c r="B110" s="1" t="str">
        <f>IF(A110="","",VLOOKUP($A110,子基金及业绩基准周净值!$A:$AV,13))</f>
        <v/>
      </c>
      <c r="C110" s="8" t="str">
        <f t="shared" si="4"/>
        <v/>
      </c>
      <c r="D110" s="9" t="str">
        <f>IF(A110="","",C110-子基金及业绩基准周净值!AJ140)</f>
        <v/>
      </c>
      <c r="E110" s="12" t="str">
        <f>IF(A110="","",(MAX(B$3:B110)-B110)/MAX(B$3:B110))</f>
        <v/>
      </c>
      <c r="F110" s="12" t="str">
        <f>IF(A110="","",MAX(E$4:E110))</f>
        <v/>
      </c>
      <c r="G110" s="13"/>
      <c r="H110" s="14" t="str">
        <f t="shared" si="5"/>
        <v/>
      </c>
      <c r="I110" s="14" t="str">
        <f t="shared" si="6"/>
        <v/>
      </c>
      <c r="J110" s="15" t="str">
        <f t="shared" si="7"/>
        <v/>
      </c>
    </row>
    <row r="111" spans="1:10">
      <c r="A111" s="7" t="str">
        <f>IF(子基金及业绩基准周净值!A141="","",子基金及业绩基准周净值!A141)</f>
        <v/>
      </c>
      <c r="B111" s="1" t="str">
        <f>IF(A111="","",VLOOKUP($A111,子基金及业绩基准周净值!$A:$AV,13))</f>
        <v/>
      </c>
      <c r="C111" s="8" t="str">
        <f t="shared" si="4"/>
        <v/>
      </c>
      <c r="D111" s="9" t="str">
        <f>IF(A111="","",C111-子基金及业绩基准周净值!AJ141)</f>
        <v/>
      </c>
      <c r="E111" s="12" t="str">
        <f>IF(A111="","",(MAX(B$3:B111)-B111)/MAX(B$3:B111))</f>
        <v/>
      </c>
      <c r="F111" s="12" t="str">
        <f>IF(A111="","",MAX(E$4:E111))</f>
        <v/>
      </c>
      <c r="G111" s="13"/>
      <c r="H111" s="14" t="str">
        <f t="shared" si="5"/>
        <v/>
      </c>
      <c r="I111" s="14" t="str">
        <f t="shared" si="6"/>
        <v/>
      </c>
      <c r="J111" s="15" t="str">
        <f t="shared" si="7"/>
        <v/>
      </c>
    </row>
    <row r="112" spans="1:10">
      <c r="A112" s="7" t="str">
        <f>IF(子基金及业绩基准周净值!A142="","",子基金及业绩基准周净值!A142)</f>
        <v/>
      </c>
      <c r="B112" s="1" t="str">
        <f>IF(A112="","",VLOOKUP($A112,子基金及业绩基准周净值!$A:$AV,13))</f>
        <v/>
      </c>
      <c r="C112" s="8" t="str">
        <f t="shared" si="4"/>
        <v/>
      </c>
      <c r="D112" s="9" t="str">
        <f>IF(A112="","",C112-子基金及业绩基准周净值!AJ142)</f>
        <v/>
      </c>
      <c r="E112" s="12" t="str">
        <f>IF(A112="","",(MAX(B$3:B112)-B112)/MAX(B$3:B112))</f>
        <v/>
      </c>
      <c r="F112" s="12" t="str">
        <f>IF(A112="","",MAX(E$4:E112))</f>
        <v/>
      </c>
      <c r="G112" s="13"/>
      <c r="H112" s="14" t="str">
        <f t="shared" si="5"/>
        <v/>
      </c>
      <c r="I112" s="14" t="str">
        <f t="shared" si="6"/>
        <v/>
      </c>
      <c r="J112" s="15" t="str">
        <f t="shared" si="7"/>
        <v/>
      </c>
    </row>
    <row r="113" spans="1:10">
      <c r="A113" s="7" t="str">
        <f>IF(子基金及业绩基准周净值!A143="","",子基金及业绩基准周净值!A143)</f>
        <v/>
      </c>
      <c r="B113" s="1" t="str">
        <f>IF(A113="","",VLOOKUP($A113,子基金及业绩基准周净值!$A:$AV,13))</f>
        <v/>
      </c>
      <c r="C113" s="8" t="str">
        <f t="shared" si="4"/>
        <v/>
      </c>
      <c r="D113" s="9" t="str">
        <f>IF(A113="","",C113-子基金及业绩基准周净值!AJ143)</f>
        <v/>
      </c>
      <c r="E113" s="12" t="str">
        <f>IF(A113="","",(MAX(B$3:B113)-B113)/MAX(B$3:B113))</f>
        <v/>
      </c>
      <c r="F113" s="12" t="str">
        <f>IF(A113="","",MAX(E$4:E113))</f>
        <v/>
      </c>
      <c r="G113" s="13"/>
      <c r="H113" s="14" t="str">
        <f t="shared" si="5"/>
        <v/>
      </c>
      <c r="I113" s="14" t="str">
        <f t="shared" si="6"/>
        <v/>
      </c>
      <c r="J113" s="15" t="str">
        <f t="shared" si="7"/>
        <v/>
      </c>
    </row>
    <row r="114" spans="1:10">
      <c r="A114" s="7" t="str">
        <f>IF(子基金及业绩基准周净值!A144="","",子基金及业绩基准周净值!A144)</f>
        <v/>
      </c>
      <c r="B114" s="1" t="str">
        <f>IF(A114="","",VLOOKUP($A114,子基金及业绩基准周净值!$A:$AV,13))</f>
        <v/>
      </c>
      <c r="C114" s="8" t="str">
        <f t="shared" si="4"/>
        <v/>
      </c>
      <c r="D114" s="9" t="str">
        <f>IF(A114="","",C114-子基金及业绩基准周净值!AJ144)</f>
        <v/>
      </c>
      <c r="E114" s="12" t="str">
        <f>IF(A114="","",(MAX(B$3:B114)-B114)/MAX(B$3:B114))</f>
        <v/>
      </c>
      <c r="F114" s="12" t="str">
        <f>IF(A114="","",MAX(E$4:E114))</f>
        <v/>
      </c>
      <c r="G114" s="13"/>
      <c r="H114" s="14" t="str">
        <f t="shared" si="5"/>
        <v/>
      </c>
      <c r="I114" s="14" t="str">
        <f t="shared" si="6"/>
        <v/>
      </c>
      <c r="J114" s="15" t="str">
        <f t="shared" si="7"/>
        <v/>
      </c>
    </row>
    <row r="115" spans="1:10">
      <c r="A115" s="7" t="str">
        <f>IF(子基金及业绩基准周净值!A145="","",子基金及业绩基准周净值!A145)</f>
        <v/>
      </c>
      <c r="B115" s="1" t="str">
        <f>IF(A115="","",VLOOKUP($A115,子基金及业绩基准周净值!$A:$AV,13))</f>
        <v/>
      </c>
      <c r="C115" s="8" t="str">
        <f t="shared" si="4"/>
        <v/>
      </c>
      <c r="D115" s="9" t="str">
        <f>IF(A115="","",C115-子基金及业绩基准周净值!AJ145)</f>
        <v/>
      </c>
      <c r="E115" s="12" t="str">
        <f>IF(A115="","",(MAX(B$3:B115)-B115)/MAX(B$3:B115))</f>
        <v/>
      </c>
      <c r="F115" s="12" t="str">
        <f>IF(A115="","",MAX(E$4:E115))</f>
        <v/>
      </c>
      <c r="G115" s="13"/>
      <c r="H115" s="14" t="str">
        <f t="shared" si="5"/>
        <v/>
      </c>
      <c r="I115" s="14" t="str">
        <f t="shared" si="6"/>
        <v/>
      </c>
      <c r="J115" s="15" t="str">
        <f t="shared" si="7"/>
        <v/>
      </c>
    </row>
    <row r="116" spans="1:10">
      <c r="A116" s="7" t="str">
        <f>IF(子基金及业绩基准周净值!A146="","",子基金及业绩基准周净值!A146)</f>
        <v/>
      </c>
      <c r="B116" s="1" t="str">
        <f>IF(A116="","",VLOOKUP($A116,子基金及业绩基准周净值!$A:$AV,13))</f>
        <v/>
      </c>
      <c r="C116" s="8" t="str">
        <f t="shared" si="4"/>
        <v/>
      </c>
      <c r="D116" s="9" t="str">
        <f>IF(A116="","",C116-子基金及业绩基准周净值!AJ146)</f>
        <v/>
      </c>
      <c r="E116" s="12" t="str">
        <f>IF(A116="","",(MAX(B$3:B116)-B116)/MAX(B$3:B116))</f>
        <v/>
      </c>
      <c r="F116" s="12" t="str">
        <f>IF(A116="","",MAX(E$4:E116))</f>
        <v/>
      </c>
      <c r="G116" s="13"/>
      <c r="H116" s="14" t="str">
        <f t="shared" si="5"/>
        <v/>
      </c>
      <c r="I116" s="14" t="str">
        <f t="shared" si="6"/>
        <v/>
      </c>
      <c r="J116" s="15" t="str">
        <f t="shared" si="7"/>
        <v/>
      </c>
    </row>
    <row r="117" spans="1:10">
      <c r="A117" s="7" t="str">
        <f>IF(子基金及业绩基准周净值!A147="","",子基金及业绩基准周净值!A147)</f>
        <v/>
      </c>
      <c r="B117" s="1" t="str">
        <f>IF(A117="","",VLOOKUP($A117,子基金及业绩基准周净值!$A:$AV,13))</f>
        <v/>
      </c>
      <c r="C117" s="8" t="str">
        <f t="shared" si="4"/>
        <v/>
      </c>
      <c r="D117" s="9" t="str">
        <f>IF(A117="","",C117-子基金及业绩基准周净值!AJ147)</f>
        <v/>
      </c>
      <c r="E117" s="12" t="str">
        <f>IF(A117="","",(MAX(B$3:B117)-B117)/MAX(B$3:B117))</f>
        <v/>
      </c>
      <c r="F117" s="12" t="str">
        <f>IF(A117="","",MAX(E$4:E117))</f>
        <v/>
      </c>
      <c r="G117" s="13"/>
      <c r="H117" s="14" t="str">
        <f t="shared" si="5"/>
        <v/>
      </c>
      <c r="I117" s="14" t="str">
        <f t="shared" si="6"/>
        <v/>
      </c>
      <c r="J117" s="15" t="str">
        <f t="shared" si="7"/>
        <v/>
      </c>
    </row>
    <row r="118" spans="1:10">
      <c r="A118" s="7" t="str">
        <f>IF(子基金及业绩基准周净值!A148="","",子基金及业绩基准周净值!A148)</f>
        <v/>
      </c>
      <c r="B118" s="1" t="str">
        <f>IF(A118="","",VLOOKUP($A118,子基金及业绩基准周净值!$A:$AV,13))</f>
        <v/>
      </c>
      <c r="C118" s="8" t="str">
        <f t="shared" si="4"/>
        <v/>
      </c>
      <c r="D118" s="9" t="str">
        <f>IF(A118="","",C118-子基金及业绩基准周净值!AJ148)</f>
        <v/>
      </c>
      <c r="E118" s="12" t="str">
        <f>IF(A118="","",(MAX(B$3:B118)-B118)/MAX(B$3:B118))</f>
        <v/>
      </c>
      <c r="F118" s="12" t="str">
        <f>IF(A118="","",MAX(E$4:E118))</f>
        <v/>
      </c>
      <c r="G118" s="13"/>
      <c r="H118" s="14" t="str">
        <f t="shared" si="5"/>
        <v/>
      </c>
      <c r="I118" s="14" t="str">
        <f t="shared" si="6"/>
        <v/>
      </c>
      <c r="J118" s="15" t="str">
        <f t="shared" si="7"/>
        <v/>
      </c>
    </row>
    <row r="119" spans="1:10">
      <c r="A119" s="7" t="str">
        <f>IF(子基金及业绩基准周净值!A149="","",子基金及业绩基准周净值!A149)</f>
        <v/>
      </c>
      <c r="B119" s="1" t="str">
        <f>IF(A119="","",VLOOKUP($A119,子基金及业绩基准周净值!$A:$AV,13))</f>
        <v/>
      </c>
      <c r="C119" s="8" t="str">
        <f t="shared" si="4"/>
        <v/>
      </c>
      <c r="D119" s="9" t="str">
        <f>IF(A119="","",C119-子基金及业绩基准周净值!AJ149)</f>
        <v/>
      </c>
      <c r="E119" s="12" t="str">
        <f>IF(A119="","",(MAX(B$3:B119)-B119)/MAX(B$3:B119))</f>
        <v/>
      </c>
      <c r="F119" s="12" t="str">
        <f>IF(A119="","",MAX(E$4:E119))</f>
        <v/>
      </c>
      <c r="G119" s="13"/>
      <c r="H119" s="14" t="str">
        <f t="shared" si="5"/>
        <v/>
      </c>
      <c r="I119" s="14" t="str">
        <f t="shared" si="6"/>
        <v/>
      </c>
      <c r="J119" s="15" t="str">
        <f t="shared" si="7"/>
        <v/>
      </c>
    </row>
    <row r="120" spans="1:10">
      <c r="A120" s="7" t="str">
        <f>IF(子基金及业绩基准周净值!A150="","",子基金及业绩基准周净值!A150)</f>
        <v/>
      </c>
      <c r="B120" s="1" t="str">
        <f>IF(A120="","",VLOOKUP($A120,子基金及业绩基准周净值!$A:$AV,13))</f>
        <v/>
      </c>
      <c r="C120" s="8" t="str">
        <f t="shared" si="4"/>
        <v/>
      </c>
      <c r="D120" s="9" t="str">
        <f>IF(A120="","",C120-子基金及业绩基准周净值!AJ150)</f>
        <v/>
      </c>
      <c r="E120" s="12" t="str">
        <f>IF(A120="","",(MAX(B$3:B120)-B120)/MAX(B$3:B120))</f>
        <v/>
      </c>
      <c r="F120" s="12" t="str">
        <f>IF(A120="","",MAX(E$4:E120))</f>
        <v/>
      </c>
      <c r="G120" s="13"/>
      <c r="H120" s="14" t="str">
        <f t="shared" si="5"/>
        <v/>
      </c>
      <c r="I120" s="14" t="str">
        <f t="shared" si="6"/>
        <v/>
      </c>
      <c r="J120" s="15" t="str">
        <f t="shared" si="7"/>
        <v/>
      </c>
    </row>
    <row r="121" spans="1:10">
      <c r="A121" s="7" t="str">
        <f>IF(子基金及业绩基准周净值!A151="","",子基金及业绩基准周净值!A151)</f>
        <v/>
      </c>
      <c r="B121" s="1" t="str">
        <f>IF(A121="","",VLOOKUP($A121,子基金及业绩基准周净值!$A:$AV,13))</f>
        <v/>
      </c>
      <c r="C121" s="8" t="str">
        <f t="shared" si="4"/>
        <v/>
      </c>
      <c r="D121" s="9" t="str">
        <f>IF(A121="","",C121-子基金及业绩基准周净值!AJ151)</f>
        <v/>
      </c>
      <c r="E121" s="12" t="str">
        <f>IF(A121="","",(MAX(B$3:B121)-B121)/MAX(B$3:B121))</f>
        <v/>
      </c>
      <c r="F121" s="12" t="str">
        <f>IF(A121="","",MAX(E$4:E121))</f>
        <v/>
      </c>
      <c r="G121" s="13"/>
      <c r="H121" s="14" t="str">
        <f t="shared" si="5"/>
        <v/>
      </c>
      <c r="I121" s="14" t="str">
        <f t="shared" si="6"/>
        <v/>
      </c>
      <c r="J121" s="15" t="str">
        <f t="shared" si="7"/>
        <v/>
      </c>
    </row>
    <row r="122" spans="1:10">
      <c r="A122" s="7" t="str">
        <f>IF(子基金及业绩基准周净值!A152="","",子基金及业绩基准周净值!A152)</f>
        <v/>
      </c>
      <c r="B122" s="1" t="str">
        <f>IF(A122="","",VLOOKUP($A122,子基金及业绩基准周净值!$A:$AV,13))</f>
        <v/>
      </c>
      <c r="C122" s="8" t="str">
        <f t="shared" si="4"/>
        <v/>
      </c>
      <c r="D122" s="9" t="str">
        <f>IF(A122="","",C122-子基金及业绩基准周净值!AJ152)</f>
        <v/>
      </c>
      <c r="E122" s="12" t="str">
        <f>IF(A122="","",(MAX(B$3:B122)-B122)/MAX(B$3:B122))</f>
        <v/>
      </c>
      <c r="F122" s="12" t="str">
        <f>IF(A122="","",MAX(E$4:E122))</f>
        <v/>
      </c>
      <c r="G122" s="13"/>
      <c r="H122" s="14" t="str">
        <f t="shared" si="5"/>
        <v/>
      </c>
      <c r="I122" s="14" t="str">
        <f t="shared" si="6"/>
        <v/>
      </c>
      <c r="J122" s="15" t="str">
        <f t="shared" si="7"/>
        <v/>
      </c>
    </row>
    <row r="123" spans="1:10">
      <c r="A123" s="7" t="str">
        <f>IF(子基金及业绩基准周净值!A153="","",子基金及业绩基准周净值!A153)</f>
        <v/>
      </c>
      <c r="B123" s="1" t="str">
        <f>IF(A123="","",VLOOKUP($A123,子基金及业绩基准周净值!$A:$AV,13))</f>
        <v/>
      </c>
      <c r="C123" s="8" t="str">
        <f t="shared" si="4"/>
        <v/>
      </c>
      <c r="D123" s="9" t="str">
        <f>IF(A123="","",C123-子基金及业绩基准周净值!AJ153)</f>
        <v/>
      </c>
      <c r="E123" s="12" t="str">
        <f>IF(A123="","",(MAX(B$3:B123)-B123)/MAX(B$3:B123))</f>
        <v/>
      </c>
      <c r="F123" s="12" t="str">
        <f>IF(A123="","",MAX(E$4:E123))</f>
        <v/>
      </c>
      <c r="G123" s="13"/>
      <c r="H123" s="14" t="str">
        <f t="shared" si="5"/>
        <v/>
      </c>
      <c r="I123" s="14" t="str">
        <f t="shared" si="6"/>
        <v/>
      </c>
      <c r="J123" s="15" t="str">
        <f t="shared" si="7"/>
        <v/>
      </c>
    </row>
    <row r="124" spans="1:10">
      <c r="A124" s="7" t="str">
        <f>IF(子基金及业绩基准周净值!A154="","",子基金及业绩基准周净值!A154)</f>
        <v/>
      </c>
      <c r="B124" s="1" t="str">
        <f>IF(A124="","",VLOOKUP($A124,子基金及业绩基准周净值!$A:$AV,13))</f>
        <v/>
      </c>
      <c r="C124" s="8" t="str">
        <f t="shared" si="4"/>
        <v/>
      </c>
      <c r="D124" s="9" t="str">
        <f>IF(A124="","",C124-子基金及业绩基准周净值!AJ154)</f>
        <v/>
      </c>
      <c r="E124" s="12" t="str">
        <f>IF(A124="","",(MAX(B$3:B124)-B124)/MAX(B$3:B124))</f>
        <v/>
      </c>
      <c r="F124" s="12" t="str">
        <f>IF(A124="","",MAX(E$4:E124))</f>
        <v/>
      </c>
      <c r="G124" s="13"/>
      <c r="H124" s="14" t="str">
        <f t="shared" si="5"/>
        <v/>
      </c>
      <c r="I124" s="14" t="str">
        <f t="shared" si="6"/>
        <v/>
      </c>
      <c r="J124" s="15" t="str">
        <f t="shared" si="7"/>
        <v/>
      </c>
    </row>
    <row r="125" spans="1:10">
      <c r="A125" s="7" t="str">
        <f>IF(子基金及业绩基准周净值!A155="","",子基金及业绩基准周净值!A155)</f>
        <v/>
      </c>
      <c r="B125" s="1" t="str">
        <f>IF(A125="","",VLOOKUP($A125,子基金及业绩基准周净值!$A:$AV,13))</f>
        <v/>
      </c>
      <c r="C125" s="8" t="str">
        <f t="shared" si="4"/>
        <v/>
      </c>
      <c r="D125" s="9" t="str">
        <f>IF(A125="","",C125-子基金及业绩基准周净值!AJ155)</f>
        <v/>
      </c>
      <c r="E125" s="12" t="str">
        <f>IF(A125="","",(MAX(B$3:B125)-B125)/MAX(B$3:B125))</f>
        <v/>
      </c>
      <c r="F125" s="12" t="str">
        <f>IF(A125="","",MAX(E$4:E125))</f>
        <v/>
      </c>
      <c r="G125" s="13"/>
      <c r="H125" s="14" t="str">
        <f t="shared" si="5"/>
        <v/>
      </c>
      <c r="I125" s="14" t="str">
        <f t="shared" si="6"/>
        <v/>
      </c>
      <c r="J125" s="15" t="str">
        <f t="shared" si="7"/>
        <v/>
      </c>
    </row>
    <row r="126" spans="1:10">
      <c r="A126" s="7" t="str">
        <f>IF(子基金及业绩基准周净值!A156="","",子基金及业绩基准周净值!A156)</f>
        <v/>
      </c>
      <c r="B126" s="1" t="str">
        <f>IF(A126="","",VLOOKUP($A126,子基金及业绩基准周净值!$A:$AV,13))</f>
        <v/>
      </c>
      <c r="C126" s="8" t="str">
        <f t="shared" si="4"/>
        <v/>
      </c>
      <c r="D126" s="9" t="str">
        <f>IF(A126="","",C126-子基金及业绩基准周净值!AJ156)</f>
        <v/>
      </c>
      <c r="E126" s="12" t="str">
        <f>IF(A126="","",(MAX(B$3:B126)-B126)/MAX(B$3:B126))</f>
        <v/>
      </c>
      <c r="F126" s="12" t="str">
        <f>IF(A126="","",MAX(E$4:E126))</f>
        <v/>
      </c>
      <c r="G126" s="13"/>
      <c r="H126" s="14" t="str">
        <f t="shared" si="5"/>
        <v/>
      </c>
      <c r="I126" s="14" t="str">
        <f t="shared" si="6"/>
        <v/>
      </c>
      <c r="J126" s="15" t="str">
        <f t="shared" si="7"/>
        <v/>
      </c>
    </row>
    <row r="127" spans="1:10">
      <c r="A127" s="7" t="str">
        <f>IF(子基金及业绩基准周净值!A157="","",子基金及业绩基准周净值!A157)</f>
        <v/>
      </c>
      <c r="B127" s="1" t="str">
        <f>IF(A127="","",VLOOKUP($A127,子基金及业绩基准周净值!$A:$AV,13))</f>
        <v/>
      </c>
      <c r="C127" s="8" t="str">
        <f t="shared" si="4"/>
        <v/>
      </c>
      <c r="D127" s="9" t="str">
        <f>IF(A127="","",C127-子基金及业绩基准周净值!AJ157)</f>
        <v/>
      </c>
      <c r="E127" s="12" t="str">
        <f>IF(A127="","",(MAX(B$3:B127)-B127)/MAX(B$3:B127))</f>
        <v/>
      </c>
      <c r="F127" s="12" t="str">
        <f>IF(A127="","",MAX(E$4:E127))</f>
        <v/>
      </c>
      <c r="G127" s="13"/>
      <c r="H127" s="14" t="str">
        <f t="shared" si="5"/>
        <v/>
      </c>
      <c r="I127" s="14" t="str">
        <f t="shared" si="6"/>
        <v/>
      </c>
      <c r="J127" s="15" t="str">
        <f t="shared" si="7"/>
        <v/>
      </c>
    </row>
    <row r="128" spans="1:10">
      <c r="A128" s="7" t="str">
        <f>IF(子基金及业绩基准周净值!A158="","",子基金及业绩基准周净值!A158)</f>
        <v/>
      </c>
      <c r="B128" s="1" t="str">
        <f>IF(A128="","",VLOOKUP($A128,子基金及业绩基准周净值!$A:$AV,13))</f>
        <v/>
      </c>
      <c r="C128" s="8" t="str">
        <f t="shared" si="4"/>
        <v/>
      </c>
      <c r="D128" s="9" t="str">
        <f>IF(A128="","",C128-子基金及业绩基准周净值!AJ158)</f>
        <v/>
      </c>
      <c r="E128" s="12" t="str">
        <f>IF(A128="","",(MAX(B$3:B128)-B128)/MAX(B$3:B128))</f>
        <v/>
      </c>
      <c r="F128" s="12" t="str">
        <f>IF(A128="","",MAX(E$4:E128))</f>
        <v/>
      </c>
      <c r="G128" s="13"/>
      <c r="H128" s="14" t="str">
        <f t="shared" si="5"/>
        <v/>
      </c>
      <c r="I128" s="14" t="str">
        <f t="shared" si="6"/>
        <v/>
      </c>
      <c r="J128" s="15" t="str">
        <f t="shared" si="7"/>
        <v/>
      </c>
    </row>
    <row r="129" spans="1:10">
      <c r="A129" s="7" t="str">
        <f>IF(子基金及业绩基准周净值!A159="","",子基金及业绩基准周净值!A159)</f>
        <v/>
      </c>
      <c r="B129" s="1" t="str">
        <f>IF(A129="","",VLOOKUP($A129,子基金及业绩基准周净值!$A:$AV,13))</f>
        <v/>
      </c>
      <c r="C129" s="8" t="str">
        <f t="shared" si="4"/>
        <v/>
      </c>
      <c r="D129" s="9" t="str">
        <f>IF(A129="","",C129-子基金及业绩基准周净值!AJ159)</f>
        <v/>
      </c>
      <c r="E129" s="12" t="str">
        <f>IF(A129="","",(MAX(B$3:B129)-B129)/MAX(B$3:B129))</f>
        <v/>
      </c>
      <c r="F129" s="12" t="str">
        <f>IF(A129="","",MAX(E$4:E129))</f>
        <v/>
      </c>
      <c r="G129" s="13"/>
      <c r="H129" s="14" t="str">
        <f t="shared" si="5"/>
        <v/>
      </c>
      <c r="I129" s="14" t="str">
        <f t="shared" si="6"/>
        <v/>
      </c>
      <c r="J129" s="15" t="str">
        <f t="shared" si="7"/>
        <v/>
      </c>
    </row>
    <row r="130" spans="1:10">
      <c r="A130" s="7" t="str">
        <f>IF(子基金及业绩基准周净值!A160="","",子基金及业绩基准周净值!A160)</f>
        <v/>
      </c>
      <c r="B130" s="1" t="str">
        <f>IF(A130="","",VLOOKUP($A130,子基金及业绩基准周净值!$A:$AV,13))</f>
        <v/>
      </c>
      <c r="C130" s="8" t="str">
        <f t="shared" si="4"/>
        <v/>
      </c>
      <c r="D130" s="9" t="str">
        <f>IF(A130="","",C130-子基金及业绩基准周净值!AJ160)</f>
        <v/>
      </c>
      <c r="E130" s="12" t="str">
        <f>IF(A130="","",(MAX(B$3:B130)-B130)/MAX(B$3:B130))</f>
        <v/>
      </c>
      <c r="F130" s="12" t="str">
        <f>IF(A130="","",MAX(E$4:E130))</f>
        <v/>
      </c>
      <c r="G130" s="13"/>
      <c r="H130" s="14" t="str">
        <f t="shared" si="5"/>
        <v/>
      </c>
      <c r="I130" s="14" t="str">
        <f t="shared" si="6"/>
        <v/>
      </c>
      <c r="J130" s="15" t="str">
        <f t="shared" si="7"/>
        <v/>
      </c>
    </row>
    <row r="131" spans="1:10">
      <c r="A131" s="7" t="str">
        <f>IF(子基金及业绩基准周净值!A161="","",子基金及业绩基准周净值!A161)</f>
        <v/>
      </c>
      <c r="B131" s="1" t="str">
        <f>IF(A131="","",VLOOKUP($A131,子基金及业绩基准周净值!$A:$AV,13))</f>
        <v/>
      </c>
      <c r="C131" s="8" t="str">
        <f t="shared" si="4"/>
        <v/>
      </c>
      <c r="D131" s="9" t="str">
        <f>IF(A131="","",C131-子基金及业绩基准周净值!AJ161)</f>
        <v/>
      </c>
      <c r="E131" s="12" t="str">
        <f>IF(A131="","",(MAX(B$3:B131)-B131)/MAX(B$3:B131))</f>
        <v/>
      </c>
      <c r="F131" s="12" t="str">
        <f>IF(A131="","",MAX(E$4:E131))</f>
        <v/>
      </c>
      <c r="G131" s="13"/>
      <c r="H131" s="14" t="str">
        <f t="shared" si="5"/>
        <v/>
      </c>
      <c r="I131" s="14" t="str">
        <f t="shared" si="6"/>
        <v/>
      </c>
      <c r="J131" s="15" t="str">
        <f t="shared" si="7"/>
        <v/>
      </c>
    </row>
    <row r="132" spans="1:10">
      <c r="A132" s="7" t="str">
        <f>IF(子基金及业绩基准周净值!A162="","",子基金及业绩基准周净值!A162)</f>
        <v/>
      </c>
      <c r="B132" s="1" t="str">
        <f>IF(A132="","",VLOOKUP($A132,子基金及业绩基准周净值!$A:$AV,13))</f>
        <v/>
      </c>
      <c r="C132" s="8" t="str">
        <f t="shared" si="4"/>
        <v/>
      </c>
      <c r="D132" s="9" t="str">
        <f>IF(A132="","",C132-子基金及业绩基准周净值!AJ162)</f>
        <v/>
      </c>
      <c r="E132" s="12" t="str">
        <f>IF(A132="","",(MAX(B$3:B132)-B132)/MAX(B$3:B132))</f>
        <v/>
      </c>
      <c r="F132" s="12" t="str">
        <f>IF(A132="","",MAX(E$4:E132))</f>
        <v/>
      </c>
      <c r="G132" s="13"/>
      <c r="H132" s="14" t="str">
        <f t="shared" si="5"/>
        <v/>
      </c>
      <c r="I132" s="14" t="str">
        <f t="shared" si="6"/>
        <v/>
      </c>
      <c r="J132" s="15" t="str">
        <f t="shared" si="7"/>
        <v/>
      </c>
    </row>
    <row r="133" spans="1:10">
      <c r="A133" s="7" t="str">
        <f>IF(子基金及业绩基准周净值!A163="","",子基金及业绩基准周净值!A163)</f>
        <v/>
      </c>
      <c r="B133" s="1" t="str">
        <f>IF(A133="","",VLOOKUP($A133,子基金及业绩基准周净值!$A:$AV,13))</f>
        <v/>
      </c>
      <c r="C133" s="8" t="str">
        <f t="shared" ref="C133:C196" si="8">IF(A133="","",(B133-B132)/B132)</f>
        <v/>
      </c>
      <c r="D133" s="9" t="str">
        <f>IF(A133="","",C133-子基金及业绩基准周净值!AJ163)</f>
        <v/>
      </c>
      <c r="E133" s="12" t="str">
        <f>IF(A133="","",(MAX(B$3:B133)-B133)/MAX(B$3:B133))</f>
        <v/>
      </c>
      <c r="F133" s="12" t="str">
        <f>IF(A133="","",MAX(E$4:E133))</f>
        <v/>
      </c>
      <c r="G133" s="13"/>
      <c r="H133" s="14" t="str">
        <f t="shared" ref="H133:H196" si="9">IF(B133="","",IF(C133&lt;-3%,"是","否"))</f>
        <v/>
      </c>
      <c r="I133" s="14" t="str">
        <f t="shared" ref="I133:I196" si="10">IF(A133="","",IF(F133&gt;5%,"是","否"))</f>
        <v/>
      </c>
      <c r="J133" s="15" t="str">
        <f t="shared" ref="J133:J196" si="11">IF(A133="","",IF(G133&gt;=4,"是","否"))</f>
        <v/>
      </c>
    </row>
    <row r="134" spans="1:10">
      <c r="A134" s="7" t="str">
        <f>IF(子基金及业绩基准周净值!A164="","",子基金及业绩基准周净值!A164)</f>
        <v/>
      </c>
      <c r="B134" s="1" t="str">
        <f>IF(A134="","",VLOOKUP($A134,子基金及业绩基准周净值!$A:$AV,13))</f>
        <v/>
      </c>
      <c r="C134" s="8" t="str">
        <f t="shared" si="8"/>
        <v/>
      </c>
      <c r="D134" s="9" t="str">
        <f>IF(A134="","",C134-子基金及业绩基准周净值!AJ164)</f>
        <v/>
      </c>
      <c r="E134" s="12" t="str">
        <f>IF(A134="","",(MAX(B$3:B134)-B134)/MAX(B$3:B134))</f>
        <v/>
      </c>
      <c r="F134" s="12" t="str">
        <f>IF(A134="","",MAX(E$4:E134))</f>
        <v/>
      </c>
      <c r="G134" s="13"/>
      <c r="H134" s="14" t="str">
        <f t="shared" si="9"/>
        <v/>
      </c>
      <c r="I134" s="14" t="str">
        <f t="shared" si="10"/>
        <v/>
      </c>
      <c r="J134" s="15" t="str">
        <f t="shared" si="11"/>
        <v/>
      </c>
    </row>
    <row r="135" spans="1:10">
      <c r="A135" s="7" t="str">
        <f>IF(子基金及业绩基准周净值!A165="","",子基金及业绩基准周净值!A165)</f>
        <v/>
      </c>
      <c r="B135" s="1" t="str">
        <f>IF(A135="","",VLOOKUP($A135,子基金及业绩基准周净值!$A:$AV,13))</f>
        <v/>
      </c>
      <c r="C135" s="8" t="str">
        <f t="shared" si="8"/>
        <v/>
      </c>
      <c r="D135" s="9" t="str">
        <f>IF(A135="","",C135-子基金及业绩基准周净值!AJ165)</f>
        <v/>
      </c>
      <c r="E135" s="12" t="str">
        <f>IF(A135="","",(MAX(B$3:B135)-B135)/MAX(B$3:B135))</f>
        <v/>
      </c>
      <c r="F135" s="12" t="str">
        <f>IF(A135="","",MAX(E$4:E135))</f>
        <v/>
      </c>
      <c r="G135" s="13"/>
      <c r="H135" s="14" t="str">
        <f t="shared" si="9"/>
        <v/>
      </c>
      <c r="I135" s="14" t="str">
        <f t="shared" si="10"/>
        <v/>
      </c>
      <c r="J135" s="15" t="str">
        <f t="shared" si="11"/>
        <v/>
      </c>
    </row>
    <row r="136" spans="1:10">
      <c r="A136" s="7" t="str">
        <f>IF(子基金及业绩基准周净值!A166="","",子基金及业绩基准周净值!A166)</f>
        <v/>
      </c>
      <c r="B136" s="1" t="str">
        <f>IF(A136="","",VLOOKUP($A136,子基金及业绩基准周净值!$A:$AV,13))</f>
        <v/>
      </c>
      <c r="C136" s="8" t="str">
        <f t="shared" si="8"/>
        <v/>
      </c>
      <c r="D136" s="9" t="str">
        <f>IF(A136="","",C136-子基金及业绩基准周净值!AJ166)</f>
        <v/>
      </c>
      <c r="E136" s="12" t="str">
        <f>IF(A136="","",(MAX(B$3:B136)-B136)/MAX(B$3:B136))</f>
        <v/>
      </c>
      <c r="F136" s="12" t="str">
        <f>IF(A136="","",MAX(E$4:E136))</f>
        <v/>
      </c>
      <c r="G136" s="13"/>
      <c r="H136" s="14" t="str">
        <f t="shared" si="9"/>
        <v/>
      </c>
      <c r="I136" s="14" t="str">
        <f t="shared" si="10"/>
        <v/>
      </c>
      <c r="J136" s="15" t="str">
        <f t="shared" si="11"/>
        <v/>
      </c>
    </row>
    <row r="137" spans="1:10">
      <c r="A137" s="7" t="str">
        <f>IF(子基金及业绩基准周净值!A167="","",子基金及业绩基准周净值!A167)</f>
        <v/>
      </c>
      <c r="B137" s="1" t="str">
        <f>IF(A137="","",VLOOKUP($A137,子基金及业绩基准周净值!$A:$AV,13))</f>
        <v/>
      </c>
      <c r="C137" s="8" t="str">
        <f t="shared" si="8"/>
        <v/>
      </c>
      <c r="D137" s="9" t="str">
        <f>IF(A137="","",C137-子基金及业绩基准周净值!AJ167)</f>
        <v/>
      </c>
      <c r="E137" s="12" t="str">
        <f>IF(A137="","",(MAX(B$3:B137)-B137)/MAX(B$3:B137))</f>
        <v/>
      </c>
      <c r="F137" s="12" t="str">
        <f>IF(A137="","",MAX(E$4:E137))</f>
        <v/>
      </c>
      <c r="G137" s="13"/>
      <c r="H137" s="14" t="str">
        <f t="shared" si="9"/>
        <v/>
      </c>
      <c r="I137" s="14" t="str">
        <f t="shared" si="10"/>
        <v/>
      </c>
      <c r="J137" s="15" t="str">
        <f t="shared" si="11"/>
        <v/>
      </c>
    </row>
    <row r="138" spans="1:10">
      <c r="A138" s="7" t="str">
        <f>IF(子基金及业绩基准周净值!A168="","",子基金及业绩基准周净值!A168)</f>
        <v/>
      </c>
      <c r="B138" s="1" t="str">
        <f>IF(A138="","",VLOOKUP($A138,子基金及业绩基准周净值!$A:$AV,13))</f>
        <v/>
      </c>
      <c r="C138" s="8" t="str">
        <f t="shared" si="8"/>
        <v/>
      </c>
      <c r="D138" s="9" t="str">
        <f>IF(A138="","",C138-子基金及业绩基准周净值!AJ168)</f>
        <v/>
      </c>
      <c r="E138" s="12" t="str">
        <f>IF(A138="","",(MAX(B$3:B138)-B138)/MAX(B$3:B138))</f>
        <v/>
      </c>
      <c r="F138" s="12" t="str">
        <f>IF(A138="","",MAX(E$4:E138))</f>
        <v/>
      </c>
      <c r="G138" s="13"/>
      <c r="H138" s="14" t="str">
        <f t="shared" si="9"/>
        <v/>
      </c>
      <c r="I138" s="14" t="str">
        <f t="shared" si="10"/>
        <v/>
      </c>
      <c r="J138" s="15" t="str">
        <f t="shared" si="11"/>
        <v/>
      </c>
    </row>
    <row r="139" spans="1:10">
      <c r="A139" s="7" t="str">
        <f>IF(子基金及业绩基准周净值!A169="","",子基金及业绩基准周净值!A169)</f>
        <v/>
      </c>
      <c r="B139" s="1" t="str">
        <f>IF(A139="","",VLOOKUP($A139,子基金及业绩基准周净值!$A:$AV,13))</f>
        <v/>
      </c>
      <c r="C139" s="8" t="str">
        <f t="shared" si="8"/>
        <v/>
      </c>
      <c r="D139" s="9" t="str">
        <f>IF(A139="","",C139-子基金及业绩基准周净值!AJ169)</f>
        <v/>
      </c>
      <c r="E139" s="12" t="str">
        <f>IF(A139="","",(MAX(B$3:B139)-B139)/MAX(B$3:B139))</f>
        <v/>
      </c>
      <c r="F139" s="12" t="str">
        <f>IF(A139="","",MAX(E$4:E139))</f>
        <v/>
      </c>
      <c r="G139" s="13"/>
      <c r="H139" s="14" t="str">
        <f t="shared" si="9"/>
        <v/>
      </c>
      <c r="I139" s="14" t="str">
        <f t="shared" si="10"/>
        <v/>
      </c>
      <c r="J139" s="15" t="str">
        <f t="shared" si="11"/>
        <v/>
      </c>
    </row>
    <row r="140" spans="1:10">
      <c r="A140" s="7" t="str">
        <f>IF(子基金及业绩基准周净值!A170="","",子基金及业绩基准周净值!A170)</f>
        <v/>
      </c>
      <c r="B140" s="1" t="str">
        <f>IF(A140="","",VLOOKUP($A140,子基金及业绩基准周净值!$A:$AV,13))</f>
        <v/>
      </c>
      <c r="C140" s="8" t="str">
        <f t="shared" si="8"/>
        <v/>
      </c>
      <c r="D140" s="9" t="str">
        <f>IF(A140="","",C140-子基金及业绩基准周净值!AJ170)</f>
        <v/>
      </c>
      <c r="E140" s="12" t="str">
        <f>IF(A140="","",(MAX(B$3:B140)-B140)/MAX(B$3:B140))</f>
        <v/>
      </c>
      <c r="F140" s="12" t="str">
        <f>IF(A140="","",MAX(E$4:E140))</f>
        <v/>
      </c>
      <c r="G140" s="13"/>
      <c r="H140" s="14" t="str">
        <f t="shared" si="9"/>
        <v/>
      </c>
      <c r="I140" s="14" t="str">
        <f t="shared" si="10"/>
        <v/>
      </c>
      <c r="J140" s="15" t="str">
        <f t="shared" si="11"/>
        <v/>
      </c>
    </row>
    <row r="141" spans="1:10">
      <c r="A141" s="7" t="str">
        <f>IF(子基金及业绩基准周净值!A171="","",子基金及业绩基准周净值!A171)</f>
        <v/>
      </c>
      <c r="B141" s="1" t="str">
        <f>IF(A141="","",VLOOKUP($A141,子基金及业绩基准周净值!$A:$AV,13))</f>
        <v/>
      </c>
      <c r="C141" s="8" t="str">
        <f t="shared" si="8"/>
        <v/>
      </c>
      <c r="D141" s="9" t="str">
        <f>IF(A141="","",C141-子基金及业绩基准周净值!AJ171)</f>
        <v/>
      </c>
      <c r="E141" s="12" t="str">
        <f>IF(A141="","",(MAX(B$3:B141)-B141)/MAX(B$3:B141))</f>
        <v/>
      </c>
      <c r="F141" s="12" t="str">
        <f>IF(A141="","",MAX(E$4:E141))</f>
        <v/>
      </c>
      <c r="G141" s="13"/>
      <c r="H141" s="14" t="str">
        <f t="shared" si="9"/>
        <v/>
      </c>
      <c r="I141" s="14" t="str">
        <f t="shared" si="10"/>
        <v/>
      </c>
      <c r="J141" s="15" t="str">
        <f t="shared" si="11"/>
        <v/>
      </c>
    </row>
    <row r="142" spans="1:10">
      <c r="A142" s="7" t="str">
        <f>IF(子基金及业绩基准周净值!A172="","",子基金及业绩基准周净值!A172)</f>
        <v/>
      </c>
      <c r="B142" s="1" t="str">
        <f>IF(A142="","",VLOOKUP($A142,子基金及业绩基准周净值!$A:$AV,13))</f>
        <v/>
      </c>
      <c r="C142" s="8" t="str">
        <f t="shared" si="8"/>
        <v/>
      </c>
      <c r="D142" s="9" t="str">
        <f>IF(A142="","",C142-子基金及业绩基准周净值!AJ172)</f>
        <v/>
      </c>
      <c r="E142" s="12" t="str">
        <f>IF(A142="","",(MAX(B$3:B142)-B142)/MAX(B$3:B142))</f>
        <v/>
      </c>
      <c r="F142" s="12" t="str">
        <f>IF(A142="","",MAX(E$4:E142))</f>
        <v/>
      </c>
      <c r="G142" s="13"/>
      <c r="H142" s="14" t="str">
        <f t="shared" si="9"/>
        <v/>
      </c>
      <c r="I142" s="14" t="str">
        <f t="shared" si="10"/>
        <v/>
      </c>
      <c r="J142" s="15" t="str">
        <f t="shared" si="11"/>
        <v/>
      </c>
    </row>
    <row r="143" spans="1:10">
      <c r="A143" s="7" t="str">
        <f>IF(子基金及业绩基准周净值!A173="","",子基金及业绩基准周净值!A173)</f>
        <v/>
      </c>
      <c r="B143" s="1" t="str">
        <f>IF(A143="","",VLOOKUP($A143,子基金及业绩基准周净值!$A:$AV,13))</f>
        <v/>
      </c>
      <c r="C143" s="8" t="str">
        <f t="shared" si="8"/>
        <v/>
      </c>
      <c r="D143" s="9" t="str">
        <f>IF(A143="","",C143-子基金及业绩基准周净值!AJ173)</f>
        <v/>
      </c>
      <c r="E143" s="12" t="str">
        <f>IF(A143="","",(MAX(B$3:B143)-B143)/MAX(B$3:B143))</f>
        <v/>
      </c>
      <c r="F143" s="12" t="str">
        <f>IF(A143="","",MAX(E$4:E143))</f>
        <v/>
      </c>
      <c r="G143" s="13"/>
      <c r="H143" s="14" t="str">
        <f t="shared" si="9"/>
        <v/>
      </c>
      <c r="I143" s="14" t="str">
        <f t="shared" si="10"/>
        <v/>
      </c>
      <c r="J143" s="15" t="str">
        <f t="shared" si="11"/>
        <v/>
      </c>
    </row>
    <row r="144" spans="1:10">
      <c r="A144" s="7" t="str">
        <f>IF(子基金及业绩基准周净值!A174="","",子基金及业绩基准周净值!A174)</f>
        <v/>
      </c>
      <c r="B144" s="1" t="str">
        <f>IF(A144="","",VLOOKUP($A144,子基金及业绩基准周净值!$A:$AV,13))</f>
        <v/>
      </c>
      <c r="C144" s="8" t="str">
        <f t="shared" si="8"/>
        <v/>
      </c>
      <c r="D144" s="9" t="str">
        <f>IF(A144="","",C144-子基金及业绩基准周净值!AJ174)</f>
        <v/>
      </c>
      <c r="E144" s="12" t="str">
        <f>IF(A144="","",(MAX(B$3:B144)-B144)/MAX(B$3:B144))</f>
        <v/>
      </c>
      <c r="F144" s="12" t="str">
        <f>IF(A144="","",MAX(E$4:E144))</f>
        <v/>
      </c>
      <c r="G144" s="13"/>
      <c r="H144" s="14" t="str">
        <f t="shared" si="9"/>
        <v/>
      </c>
      <c r="I144" s="14" t="str">
        <f t="shared" si="10"/>
        <v/>
      </c>
      <c r="J144" s="15" t="str">
        <f t="shared" si="11"/>
        <v/>
      </c>
    </row>
    <row r="145" spans="1:10">
      <c r="A145" s="7" t="str">
        <f>IF(子基金及业绩基准周净值!A175="","",子基金及业绩基准周净值!A175)</f>
        <v/>
      </c>
      <c r="B145" s="1" t="str">
        <f>IF(A145="","",VLOOKUP($A145,子基金及业绩基准周净值!$A:$AV,13))</f>
        <v/>
      </c>
      <c r="C145" s="8" t="str">
        <f t="shared" si="8"/>
        <v/>
      </c>
      <c r="D145" s="9" t="str">
        <f>IF(A145="","",C145-子基金及业绩基准周净值!AJ175)</f>
        <v/>
      </c>
      <c r="E145" s="12" t="str">
        <f>IF(A145="","",(MAX(B$3:B145)-B145)/MAX(B$3:B145))</f>
        <v/>
      </c>
      <c r="F145" s="12" t="str">
        <f>IF(A145="","",MAX(E$4:E145))</f>
        <v/>
      </c>
      <c r="G145" s="13"/>
      <c r="H145" s="14" t="str">
        <f t="shared" si="9"/>
        <v/>
      </c>
      <c r="I145" s="14" t="str">
        <f t="shared" si="10"/>
        <v/>
      </c>
      <c r="J145" s="15" t="str">
        <f t="shared" si="11"/>
        <v/>
      </c>
    </row>
    <row r="146" spans="1:10">
      <c r="A146" s="7" t="str">
        <f>IF(子基金及业绩基准周净值!A176="","",子基金及业绩基准周净值!A176)</f>
        <v/>
      </c>
      <c r="B146" s="1" t="str">
        <f>IF(A146="","",VLOOKUP($A146,子基金及业绩基准周净值!$A:$AV,13))</f>
        <v/>
      </c>
      <c r="C146" s="8" t="str">
        <f t="shared" si="8"/>
        <v/>
      </c>
      <c r="D146" s="9" t="str">
        <f>IF(A146="","",C146-子基金及业绩基准周净值!AJ176)</f>
        <v/>
      </c>
      <c r="E146" s="12" t="str">
        <f>IF(A146="","",(MAX(B$3:B146)-B146)/MAX(B$3:B146))</f>
        <v/>
      </c>
      <c r="F146" s="12" t="str">
        <f>IF(A146="","",MAX(E$4:E146))</f>
        <v/>
      </c>
      <c r="G146" s="13"/>
      <c r="H146" s="14" t="str">
        <f t="shared" si="9"/>
        <v/>
      </c>
      <c r="I146" s="14" t="str">
        <f t="shared" si="10"/>
        <v/>
      </c>
      <c r="J146" s="15" t="str">
        <f t="shared" si="11"/>
        <v/>
      </c>
    </row>
    <row r="147" spans="1:10">
      <c r="A147" s="7" t="str">
        <f>IF(子基金及业绩基准周净值!A177="","",子基金及业绩基准周净值!A177)</f>
        <v/>
      </c>
      <c r="B147" s="1" t="str">
        <f>IF(A147="","",VLOOKUP($A147,子基金及业绩基准周净值!$A:$AV,13))</f>
        <v/>
      </c>
      <c r="C147" s="8" t="str">
        <f t="shared" si="8"/>
        <v/>
      </c>
      <c r="D147" s="9" t="str">
        <f>IF(A147="","",C147-子基金及业绩基准周净值!AJ177)</f>
        <v/>
      </c>
      <c r="E147" s="12" t="str">
        <f>IF(A147="","",(MAX(B$3:B147)-B147)/MAX(B$3:B147))</f>
        <v/>
      </c>
      <c r="F147" s="12" t="str">
        <f>IF(A147="","",MAX(E$4:E147))</f>
        <v/>
      </c>
      <c r="G147" s="13"/>
      <c r="H147" s="14" t="str">
        <f t="shared" si="9"/>
        <v/>
      </c>
      <c r="I147" s="14" t="str">
        <f t="shared" si="10"/>
        <v/>
      </c>
      <c r="J147" s="15" t="str">
        <f t="shared" si="11"/>
        <v/>
      </c>
    </row>
    <row r="148" spans="1:10">
      <c r="A148" s="7" t="str">
        <f>IF(子基金及业绩基准周净值!A178="","",子基金及业绩基准周净值!A178)</f>
        <v/>
      </c>
      <c r="B148" s="1" t="str">
        <f>IF(A148="","",VLOOKUP($A148,子基金及业绩基准周净值!$A:$AV,13))</f>
        <v/>
      </c>
      <c r="C148" s="8" t="str">
        <f t="shared" si="8"/>
        <v/>
      </c>
      <c r="D148" s="9" t="str">
        <f>IF(A148="","",C148-子基金及业绩基准周净值!AJ178)</f>
        <v/>
      </c>
      <c r="E148" s="12" t="str">
        <f>IF(A148="","",(MAX(B$3:B148)-B148)/MAX(B$3:B148))</f>
        <v/>
      </c>
      <c r="F148" s="12" t="str">
        <f>IF(A148="","",MAX(E$4:E148))</f>
        <v/>
      </c>
      <c r="H148" s="14" t="str">
        <f t="shared" si="9"/>
        <v/>
      </c>
      <c r="I148" s="14" t="str">
        <f t="shared" si="10"/>
        <v/>
      </c>
      <c r="J148" s="15" t="str">
        <f t="shared" si="11"/>
        <v/>
      </c>
    </row>
    <row r="149" spans="1:10">
      <c r="A149" s="7" t="str">
        <f>IF(子基金及业绩基准周净值!A179="","",子基金及业绩基准周净值!A179)</f>
        <v/>
      </c>
      <c r="B149" s="1" t="str">
        <f>IF(A149="","",VLOOKUP($A149,子基金及业绩基准周净值!$A:$AV,13))</f>
        <v/>
      </c>
      <c r="C149" s="8" t="str">
        <f t="shared" si="8"/>
        <v/>
      </c>
      <c r="D149" s="9" t="str">
        <f>IF(A149="","",C149-子基金及业绩基准周净值!AJ179)</f>
        <v/>
      </c>
      <c r="E149" s="12" t="str">
        <f>IF(A149="","",(MAX(B$3:B149)-B149)/MAX(B$3:B149))</f>
        <v/>
      </c>
      <c r="F149" s="12" t="str">
        <f>IF(A149="","",MAX(E$4:E149))</f>
        <v/>
      </c>
      <c r="H149" s="14" t="str">
        <f t="shared" si="9"/>
        <v/>
      </c>
      <c r="I149" s="14" t="str">
        <f t="shared" si="10"/>
        <v/>
      </c>
      <c r="J149" s="15" t="str">
        <f t="shared" si="11"/>
        <v/>
      </c>
    </row>
    <row r="150" spans="1:10">
      <c r="A150" s="7" t="str">
        <f>IF(子基金及业绩基准周净值!A180="","",子基金及业绩基准周净值!A180)</f>
        <v/>
      </c>
      <c r="B150" s="1" t="str">
        <f>IF(A150="","",VLOOKUP($A150,子基金及业绩基准周净值!$A:$AV,13))</f>
        <v/>
      </c>
      <c r="C150" s="8" t="str">
        <f t="shared" si="8"/>
        <v/>
      </c>
      <c r="D150" s="9" t="str">
        <f>IF(A150="","",C150-子基金及业绩基准周净值!AJ180)</f>
        <v/>
      </c>
      <c r="E150" s="12" t="str">
        <f>IF(A150="","",(MAX(B$3:B150)-B150)/MAX(B$3:B150))</f>
        <v/>
      </c>
      <c r="F150" s="12" t="str">
        <f>IF(A150="","",MAX(E$4:E150))</f>
        <v/>
      </c>
      <c r="H150" s="14" t="str">
        <f t="shared" si="9"/>
        <v/>
      </c>
      <c r="I150" s="14" t="str">
        <f t="shared" si="10"/>
        <v/>
      </c>
      <c r="J150" s="15" t="str">
        <f t="shared" si="11"/>
        <v/>
      </c>
    </row>
    <row r="151" spans="1:10">
      <c r="A151" s="7" t="str">
        <f>IF(子基金及业绩基准周净值!A181="","",子基金及业绩基准周净值!A181)</f>
        <v/>
      </c>
      <c r="B151" s="1" t="str">
        <f>IF(A151="","",VLOOKUP($A151,子基金及业绩基准周净值!$A:$AV,13))</f>
        <v/>
      </c>
      <c r="C151" s="8" t="str">
        <f t="shared" si="8"/>
        <v/>
      </c>
      <c r="D151" s="9" t="str">
        <f>IF(A151="","",C151-子基金及业绩基准周净值!AJ181)</f>
        <v/>
      </c>
      <c r="E151" s="12" t="str">
        <f>IF(A151="","",(MAX(B$3:B151)-B151)/MAX(B$3:B151))</f>
        <v/>
      </c>
      <c r="F151" s="12" t="str">
        <f>IF(A151="","",MAX(E$4:E151))</f>
        <v/>
      </c>
      <c r="H151" s="14" t="str">
        <f t="shared" si="9"/>
        <v/>
      </c>
      <c r="I151" s="14" t="str">
        <f t="shared" si="10"/>
        <v/>
      </c>
      <c r="J151" s="15" t="str">
        <f t="shared" si="11"/>
        <v/>
      </c>
    </row>
    <row r="152" spans="1:10">
      <c r="A152" s="7" t="str">
        <f>IF(子基金及业绩基准周净值!A182="","",子基金及业绩基准周净值!A182)</f>
        <v/>
      </c>
      <c r="B152" s="1" t="str">
        <f>IF(A152="","",VLOOKUP($A152,子基金及业绩基准周净值!$A:$AV,13))</f>
        <v/>
      </c>
      <c r="C152" s="8" t="str">
        <f t="shared" si="8"/>
        <v/>
      </c>
      <c r="D152" s="9" t="str">
        <f>IF(A152="","",C152-子基金及业绩基准周净值!AJ182)</f>
        <v/>
      </c>
      <c r="E152" s="12" t="str">
        <f>IF(A152="","",(MAX(B$3:B152)-B152)/MAX(B$3:B152))</f>
        <v/>
      </c>
      <c r="F152" s="12" t="str">
        <f>IF(A152="","",MAX(E$4:E152))</f>
        <v/>
      </c>
      <c r="H152" s="14" t="str">
        <f t="shared" si="9"/>
        <v/>
      </c>
      <c r="I152" s="14" t="str">
        <f t="shared" si="10"/>
        <v/>
      </c>
      <c r="J152" s="15" t="str">
        <f t="shared" si="11"/>
        <v/>
      </c>
    </row>
    <row r="153" spans="1:10">
      <c r="A153" s="7" t="str">
        <f>IF(子基金及业绩基准周净值!A183="","",子基金及业绩基准周净值!A183)</f>
        <v/>
      </c>
      <c r="B153" s="1" t="str">
        <f>IF(A153="","",VLOOKUP($A153,子基金及业绩基准周净值!$A:$AV,13))</f>
        <v/>
      </c>
      <c r="C153" s="8" t="str">
        <f t="shared" si="8"/>
        <v/>
      </c>
      <c r="D153" s="9" t="str">
        <f>IF(A153="","",C153-子基金及业绩基准周净值!AJ183)</f>
        <v/>
      </c>
      <c r="E153" s="12" t="str">
        <f>IF(A153="","",(MAX(B$3:B153)-B153)/MAX(B$3:B153))</f>
        <v/>
      </c>
      <c r="F153" s="12" t="str">
        <f>IF(A153="","",MAX(E$4:E153))</f>
        <v/>
      </c>
      <c r="H153" s="14" t="str">
        <f t="shared" si="9"/>
        <v/>
      </c>
      <c r="I153" s="14" t="str">
        <f t="shared" si="10"/>
        <v/>
      </c>
      <c r="J153" s="15" t="str">
        <f t="shared" si="11"/>
        <v/>
      </c>
    </row>
    <row r="154" spans="1:10">
      <c r="A154" s="7" t="str">
        <f>IF(子基金及业绩基准周净值!A184="","",子基金及业绩基准周净值!A184)</f>
        <v/>
      </c>
      <c r="B154" s="1" t="str">
        <f>IF(A154="","",VLOOKUP($A154,子基金及业绩基准周净值!$A:$AV,13))</f>
        <v/>
      </c>
      <c r="C154" s="8" t="str">
        <f t="shared" si="8"/>
        <v/>
      </c>
      <c r="D154" s="9" t="str">
        <f>IF(A154="","",C154-子基金及业绩基准周净值!AJ184)</f>
        <v/>
      </c>
      <c r="E154" s="12" t="str">
        <f>IF(A154="","",(MAX(B$3:B154)-B154)/MAX(B$3:B154))</f>
        <v/>
      </c>
      <c r="F154" s="12" t="str">
        <f>IF(A154="","",MAX(E$4:E154))</f>
        <v/>
      </c>
      <c r="H154" s="14" t="str">
        <f t="shared" si="9"/>
        <v/>
      </c>
      <c r="I154" s="14" t="str">
        <f t="shared" si="10"/>
        <v/>
      </c>
      <c r="J154" s="15" t="str">
        <f t="shared" si="11"/>
        <v/>
      </c>
    </row>
    <row r="155" spans="1:10">
      <c r="A155" s="7" t="str">
        <f>IF(子基金及业绩基准周净值!A185="","",子基金及业绩基准周净值!A185)</f>
        <v/>
      </c>
      <c r="B155" s="1" t="str">
        <f>IF(A155="","",VLOOKUP($A155,子基金及业绩基准周净值!$A:$AV,13))</f>
        <v/>
      </c>
      <c r="C155" s="8" t="str">
        <f t="shared" si="8"/>
        <v/>
      </c>
      <c r="D155" s="9" t="str">
        <f>IF(A155="","",C155-子基金及业绩基准周净值!AJ185)</f>
        <v/>
      </c>
      <c r="E155" s="12" t="str">
        <f>IF(A155="","",(MAX(B$3:B155)-B155)/MAX(B$3:B155))</f>
        <v/>
      </c>
      <c r="F155" s="12" t="str">
        <f>IF(A155="","",MAX(E$4:E155))</f>
        <v/>
      </c>
      <c r="H155" s="14" t="str">
        <f t="shared" si="9"/>
        <v/>
      </c>
      <c r="I155" s="14" t="str">
        <f t="shared" si="10"/>
        <v/>
      </c>
      <c r="J155" s="15" t="str">
        <f t="shared" si="11"/>
        <v/>
      </c>
    </row>
    <row r="156" spans="1:10">
      <c r="A156" s="7" t="str">
        <f>IF(子基金及业绩基准周净值!A186="","",子基金及业绩基准周净值!A186)</f>
        <v/>
      </c>
      <c r="B156" s="1" t="str">
        <f>IF(A156="","",VLOOKUP($A156,子基金及业绩基准周净值!$A:$AV,13))</f>
        <v/>
      </c>
      <c r="C156" s="8" t="str">
        <f t="shared" si="8"/>
        <v/>
      </c>
      <c r="D156" s="9" t="str">
        <f>IF(A156="","",C156-子基金及业绩基准周净值!AJ186)</f>
        <v/>
      </c>
      <c r="E156" s="12" t="str">
        <f>IF(A156="","",(MAX(B$3:B156)-B156)/MAX(B$3:B156))</f>
        <v/>
      </c>
      <c r="F156" s="12" t="str">
        <f>IF(A156="","",MAX(E$4:E156))</f>
        <v/>
      </c>
      <c r="H156" s="14" t="str">
        <f t="shared" si="9"/>
        <v/>
      </c>
      <c r="I156" s="14" t="str">
        <f t="shared" si="10"/>
        <v/>
      </c>
      <c r="J156" s="15" t="str">
        <f t="shared" si="11"/>
        <v/>
      </c>
    </row>
    <row r="157" spans="1:10">
      <c r="A157" s="7" t="str">
        <f>IF(子基金及业绩基准周净值!A187="","",子基金及业绩基准周净值!A187)</f>
        <v/>
      </c>
      <c r="B157" s="1" t="str">
        <f>IF(A157="","",VLOOKUP($A157,子基金及业绩基准周净值!$A:$AV,13))</f>
        <v/>
      </c>
      <c r="C157" s="8" t="str">
        <f t="shared" si="8"/>
        <v/>
      </c>
      <c r="D157" s="9" t="str">
        <f>IF(A157="","",C157-子基金及业绩基准周净值!AJ187)</f>
        <v/>
      </c>
      <c r="E157" s="12" t="str">
        <f>IF(A157="","",(MAX(B$3:B157)-B157)/MAX(B$3:B157))</f>
        <v/>
      </c>
      <c r="F157" s="12" t="str">
        <f>IF(A157="","",MAX(E$4:E157))</f>
        <v/>
      </c>
      <c r="H157" s="14" t="str">
        <f t="shared" si="9"/>
        <v/>
      </c>
      <c r="I157" s="14" t="str">
        <f t="shared" si="10"/>
        <v/>
      </c>
      <c r="J157" s="15" t="str">
        <f t="shared" si="11"/>
        <v/>
      </c>
    </row>
    <row r="158" spans="1:10">
      <c r="A158" s="7" t="str">
        <f>IF(子基金及业绩基准周净值!A188="","",子基金及业绩基准周净值!A188)</f>
        <v/>
      </c>
      <c r="B158" s="1" t="str">
        <f>IF(A158="","",VLOOKUP($A158,子基金及业绩基准周净值!$A:$AV,13))</f>
        <v/>
      </c>
      <c r="C158" s="8" t="str">
        <f t="shared" si="8"/>
        <v/>
      </c>
      <c r="D158" s="9" t="str">
        <f>IF(A158="","",C158-子基金及业绩基准周净值!AJ188)</f>
        <v/>
      </c>
      <c r="E158" s="12" t="str">
        <f>IF(A158="","",(MAX(B$3:B158)-B158)/MAX(B$3:B158))</f>
        <v/>
      </c>
      <c r="F158" s="12" t="str">
        <f>IF(A158="","",MAX(E$4:E158))</f>
        <v/>
      </c>
      <c r="H158" s="14" t="str">
        <f t="shared" si="9"/>
        <v/>
      </c>
      <c r="I158" s="14" t="str">
        <f t="shared" si="10"/>
        <v/>
      </c>
      <c r="J158" s="15" t="str">
        <f t="shared" si="11"/>
        <v/>
      </c>
    </row>
    <row r="159" spans="1:10">
      <c r="A159" s="7" t="str">
        <f>IF(子基金及业绩基准周净值!A189="","",子基金及业绩基准周净值!A189)</f>
        <v/>
      </c>
      <c r="B159" s="1" t="str">
        <f>IF(A159="","",VLOOKUP($A159,子基金及业绩基准周净值!$A:$AV,13))</f>
        <v/>
      </c>
      <c r="C159" s="8" t="str">
        <f t="shared" si="8"/>
        <v/>
      </c>
      <c r="D159" s="9" t="str">
        <f>IF(A159="","",C159-子基金及业绩基准周净值!AJ189)</f>
        <v/>
      </c>
      <c r="E159" s="12" t="str">
        <f>IF(A159="","",(MAX(B$3:B159)-B159)/MAX(B$3:B159))</f>
        <v/>
      </c>
      <c r="F159" s="12" t="str">
        <f>IF(A159="","",MAX(E$4:E159))</f>
        <v/>
      </c>
      <c r="H159" s="14" t="str">
        <f t="shared" si="9"/>
        <v/>
      </c>
      <c r="I159" s="14" t="str">
        <f t="shared" si="10"/>
        <v/>
      </c>
      <c r="J159" s="15" t="str">
        <f t="shared" si="11"/>
        <v/>
      </c>
    </row>
    <row r="160" spans="1:10">
      <c r="A160" s="7" t="str">
        <f>IF(子基金及业绩基准周净值!A190="","",子基金及业绩基准周净值!A190)</f>
        <v/>
      </c>
      <c r="B160" s="1" t="str">
        <f>IF(A160="","",VLOOKUP($A160,子基金及业绩基准周净值!$A:$AV,13))</f>
        <v/>
      </c>
      <c r="C160" s="8" t="str">
        <f t="shared" si="8"/>
        <v/>
      </c>
      <c r="D160" s="9" t="str">
        <f>IF(A160="","",C160-子基金及业绩基准周净值!AJ190)</f>
        <v/>
      </c>
      <c r="E160" s="12" t="str">
        <f>IF(A160="","",(MAX(B$3:B160)-B160)/MAX(B$3:B160))</f>
        <v/>
      </c>
      <c r="F160" s="12" t="str">
        <f>IF(A160="","",MAX(E$4:E160))</f>
        <v/>
      </c>
      <c r="H160" s="14" t="str">
        <f t="shared" si="9"/>
        <v/>
      </c>
      <c r="I160" s="14" t="str">
        <f t="shared" si="10"/>
        <v/>
      </c>
      <c r="J160" s="15" t="str">
        <f t="shared" si="11"/>
        <v/>
      </c>
    </row>
    <row r="161" spans="1:10">
      <c r="A161" s="7" t="str">
        <f>IF(子基金及业绩基准周净值!A191="","",子基金及业绩基准周净值!A191)</f>
        <v/>
      </c>
      <c r="B161" s="1" t="str">
        <f>IF(A161="","",VLOOKUP($A161,子基金及业绩基准周净值!$A:$AV,13))</f>
        <v/>
      </c>
      <c r="C161" s="8" t="str">
        <f t="shared" si="8"/>
        <v/>
      </c>
      <c r="D161" s="9" t="str">
        <f>IF(A161="","",C161-子基金及业绩基准周净值!AJ191)</f>
        <v/>
      </c>
      <c r="E161" s="12" t="str">
        <f>IF(A161="","",(MAX(B$3:B161)-B161)/MAX(B$3:B161))</f>
        <v/>
      </c>
      <c r="F161" s="12" t="str">
        <f>IF(A161="","",MAX(E$4:E161))</f>
        <v/>
      </c>
      <c r="H161" s="14" t="str">
        <f t="shared" si="9"/>
        <v/>
      </c>
      <c r="I161" s="14" t="str">
        <f t="shared" si="10"/>
        <v/>
      </c>
      <c r="J161" s="15" t="str">
        <f t="shared" si="11"/>
        <v/>
      </c>
    </row>
    <row r="162" spans="1:10">
      <c r="A162" s="7" t="str">
        <f>IF(子基金及业绩基准周净值!A192="","",子基金及业绩基准周净值!A192)</f>
        <v/>
      </c>
      <c r="B162" s="1" t="str">
        <f>IF(A162="","",VLOOKUP($A162,子基金及业绩基准周净值!$A:$AV,13))</f>
        <v/>
      </c>
      <c r="C162" s="8" t="str">
        <f t="shared" si="8"/>
        <v/>
      </c>
      <c r="D162" s="9" t="str">
        <f>IF(A162="","",C162-子基金及业绩基准周净值!AJ192)</f>
        <v/>
      </c>
      <c r="E162" s="12" t="str">
        <f>IF(A162="","",(MAX(B$3:B162)-B162)/MAX(B$3:B162))</f>
        <v/>
      </c>
      <c r="F162" s="12" t="str">
        <f>IF(A162="","",MAX(E$4:E162))</f>
        <v/>
      </c>
      <c r="H162" s="14" t="str">
        <f t="shared" si="9"/>
        <v/>
      </c>
      <c r="I162" s="14" t="str">
        <f t="shared" si="10"/>
        <v/>
      </c>
      <c r="J162" s="15" t="str">
        <f t="shared" si="11"/>
        <v/>
      </c>
    </row>
    <row r="163" spans="1:10">
      <c r="A163" s="7" t="str">
        <f>IF(子基金及业绩基准周净值!A193="","",子基金及业绩基准周净值!A193)</f>
        <v/>
      </c>
      <c r="B163" s="1" t="str">
        <f>IF(A163="","",VLOOKUP($A163,子基金及业绩基准周净值!$A:$AV,13))</f>
        <v/>
      </c>
      <c r="C163" s="8" t="str">
        <f t="shared" si="8"/>
        <v/>
      </c>
      <c r="D163" s="9" t="str">
        <f>IF(A163="","",C163-子基金及业绩基准周净值!AJ193)</f>
        <v/>
      </c>
      <c r="E163" s="12" t="str">
        <f>IF(A163="","",(MAX(B$3:B163)-B163)/MAX(B$3:B163))</f>
        <v/>
      </c>
      <c r="F163" s="12" t="str">
        <f>IF(A163="","",MAX(E$4:E163))</f>
        <v/>
      </c>
      <c r="H163" s="14" t="str">
        <f t="shared" si="9"/>
        <v/>
      </c>
      <c r="I163" s="14" t="str">
        <f t="shared" si="10"/>
        <v/>
      </c>
      <c r="J163" s="15" t="str">
        <f t="shared" si="11"/>
        <v/>
      </c>
    </row>
    <row r="164" spans="1:10">
      <c r="A164" s="7" t="str">
        <f>IF(子基金及业绩基准周净值!A194="","",子基金及业绩基准周净值!A194)</f>
        <v/>
      </c>
      <c r="B164" s="1" t="str">
        <f>IF(A164="","",VLOOKUP($A164,子基金及业绩基准周净值!$A:$AV,13))</f>
        <v/>
      </c>
      <c r="C164" s="8" t="str">
        <f t="shared" si="8"/>
        <v/>
      </c>
      <c r="D164" s="9" t="str">
        <f>IF(A164="","",C164-子基金及业绩基准周净值!AJ194)</f>
        <v/>
      </c>
      <c r="E164" s="12" t="str">
        <f>IF(A164="","",(MAX(B$3:B164)-B164)/MAX(B$3:B164))</f>
        <v/>
      </c>
      <c r="F164" s="12" t="str">
        <f>IF(A164="","",MAX(E$4:E164))</f>
        <v/>
      </c>
      <c r="H164" s="14" t="str">
        <f t="shared" si="9"/>
        <v/>
      </c>
      <c r="I164" s="14" t="str">
        <f t="shared" si="10"/>
        <v/>
      </c>
      <c r="J164" s="15" t="str">
        <f t="shared" si="11"/>
        <v/>
      </c>
    </row>
    <row r="165" spans="1:10">
      <c r="A165" s="7" t="str">
        <f>IF(子基金及业绩基准周净值!A195="","",子基金及业绩基准周净值!A195)</f>
        <v/>
      </c>
      <c r="B165" s="1" t="str">
        <f>IF(A165="","",VLOOKUP($A165,子基金及业绩基准周净值!$A:$AV,13))</f>
        <v/>
      </c>
      <c r="C165" s="8" t="str">
        <f t="shared" si="8"/>
        <v/>
      </c>
      <c r="D165" s="9" t="str">
        <f>IF(A165="","",C165-子基金及业绩基准周净值!AJ195)</f>
        <v/>
      </c>
      <c r="E165" s="12" t="str">
        <f>IF(A165="","",(MAX(B$3:B165)-B165)/MAX(B$3:B165))</f>
        <v/>
      </c>
      <c r="F165" s="12" t="str">
        <f>IF(A165="","",MAX(E$4:E165))</f>
        <v/>
      </c>
      <c r="H165" s="14" t="str">
        <f t="shared" si="9"/>
        <v/>
      </c>
      <c r="I165" s="14" t="str">
        <f t="shared" si="10"/>
        <v/>
      </c>
      <c r="J165" s="15" t="str">
        <f t="shared" si="11"/>
        <v/>
      </c>
    </row>
    <row r="166" spans="1:10">
      <c r="A166" s="7" t="str">
        <f>IF(子基金及业绩基准周净值!A196="","",子基金及业绩基准周净值!A196)</f>
        <v/>
      </c>
      <c r="B166" s="1" t="str">
        <f>IF(A166="","",VLOOKUP($A166,子基金及业绩基准周净值!$A:$AV,13))</f>
        <v/>
      </c>
      <c r="C166" s="8" t="str">
        <f t="shared" si="8"/>
        <v/>
      </c>
      <c r="D166" s="9" t="str">
        <f>IF(A166="","",C166-子基金及业绩基准周净值!AJ196)</f>
        <v/>
      </c>
      <c r="E166" s="12" t="str">
        <f>IF(A166="","",(MAX(B$3:B166)-B166)/MAX(B$3:B166))</f>
        <v/>
      </c>
      <c r="F166" s="12" t="str">
        <f>IF(A166="","",MAX(E$4:E166))</f>
        <v/>
      </c>
      <c r="H166" s="14" t="str">
        <f t="shared" si="9"/>
        <v/>
      </c>
      <c r="I166" s="14" t="str">
        <f t="shared" si="10"/>
        <v/>
      </c>
      <c r="J166" s="15" t="str">
        <f t="shared" si="11"/>
        <v/>
      </c>
    </row>
    <row r="167" spans="1:10">
      <c r="A167" s="7" t="str">
        <f>IF(子基金及业绩基准周净值!A197="","",子基金及业绩基准周净值!A197)</f>
        <v/>
      </c>
      <c r="B167" s="1" t="str">
        <f>IF(A167="","",VLOOKUP($A167,子基金及业绩基准周净值!$A:$AV,13))</f>
        <v/>
      </c>
      <c r="C167" s="8" t="str">
        <f t="shared" si="8"/>
        <v/>
      </c>
      <c r="D167" s="9" t="str">
        <f>IF(A167="","",C167-子基金及业绩基准周净值!AJ197)</f>
        <v/>
      </c>
      <c r="E167" s="12" t="str">
        <f>IF(A167="","",(MAX(B$3:B167)-B167)/MAX(B$3:B167))</f>
        <v/>
      </c>
      <c r="F167" s="12" t="str">
        <f>IF(A167="","",MAX(E$4:E167))</f>
        <v/>
      </c>
      <c r="H167" s="14" t="str">
        <f t="shared" si="9"/>
        <v/>
      </c>
      <c r="I167" s="14" t="str">
        <f t="shared" si="10"/>
        <v/>
      </c>
      <c r="J167" s="15" t="str">
        <f t="shared" si="11"/>
        <v/>
      </c>
    </row>
    <row r="168" spans="1:10">
      <c r="A168" s="7" t="str">
        <f>IF(子基金及业绩基准周净值!A198="","",子基金及业绩基准周净值!A198)</f>
        <v/>
      </c>
      <c r="B168" s="1" t="str">
        <f>IF(A168="","",VLOOKUP($A168,子基金及业绩基准周净值!$A:$AV,13))</f>
        <v/>
      </c>
      <c r="C168" s="8" t="str">
        <f t="shared" si="8"/>
        <v/>
      </c>
      <c r="D168" s="9" t="str">
        <f>IF(A168="","",C168-子基金及业绩基准周净值!AJ198)</f>
        <v/>
      </c>
      <c r="E168" s="12" t="str">
        <f>IF(A168="","",(MAX(B$3:B168)-B168)/MAX(B$3:B168))</f>
        <v/>
      </c>
      <c r="F168" s="12" t="str">
        <f>IF(A168="","",MAX(E$4:E168))</f>
        <v/>
      </c>
      <c r="H168" s="14" t="str">
        <f t="shared" si="9"/>
        <v/>
      </c>
      <c r="I168" s="14" t="str">
        <f t="shared" si="10"/>
        <v/>
      </c>
      <c r="J168" s="15" t="str">
        <f t="shared" si="11"/>
        <v/>
      </c>
    </row>
    <row r="169" spans="1:10">
      <c r="A169" s="7" t="str">
        <f>IF(子基金及业绩基准周净值!A199="","",子基金及业绩基准周净值!A199)</f>
        <v/>
      </c>
      <c r="B169" s="1" t="str">
        <f>IF(A169="","",VLOOKUP($A169,子基金及业绩基准周净值!$A:$AV,13))</f>
        <v/>
      </c>
      <c r="C169" s="8" t="str">
        <f t="shared" si="8"/>
        <v/>
      </c>
      <c r="D169" s="9" t="str">
        <f>IF(A169="","",C169-子基金及业绩基准周净值!AJ199)</f>
        <v/>
      </c>
      <c r="E169" s="12" t="str">
        <f>IF(A169="","",(MAX(B$3:B169)-B169)/MAX(B$3:B169))</f>
        <v/>
      </c>
      <c r="F169" s="12" t="str">
        <f>IF(A169="","",MAX(E$4:E169))</f>
        <v/>
      </c>
      <c r="H169" s="14" t="str">
        <f t="shared" si="9"/>
        <v/>
      </c>
      <c r="I169" s="14" t="str">
        <f t="shared" si="10"/>
        <v/>
      </c>
      <c r="J169" s="15" t="str">
        <f t="shared" si="11"/>
        <v/>
      </c>
    </row>
    <row r="170" spans="1:10">
      <c r="A170" s="7" t="str">
        <f>IF(子基金及业绩基准周净值!A200="","",子基金及业绩基准周净值!A200)</f>
        <v/>
      </c>
      <c r="B170" s="1" t="str">
        <f>IF(A170="","",VLOOKUP($A170,子基金及业绩基准周净值!$A:$AV,13))</f>
        <v/>
      </c>
      <c r="C170" s="8" t="str">
        <f t="shared" si="8"/>
        <v/>
      </c>
      <c r="D170" s="9" t="str">
        <f>IF(A170="","",C170-子基金及业绩基准周净值!AJ200)</f>
        <v/>
      </c>
      <c r="E170" s="12" t="str">
        <f>IF(A170="","",(MAX(B$3:B170)-B170)/MAX(B$3:B170))</f>
        <v/>
      </c>
      <c r="F170" s="12" t="str">
        <f>IF(A170="","",MAX(E$4:E170))</f>
        <v/>
      </c>
      <c r="H170" s="14" t="str">
        <f t="shared" si="9"/>
        <v/>
      </c>
      <c r="I170" s="14" t="str">
        <f t="shared" si="10"/>
        <v/>
      </c>
      <c r="J170" s="15" t="str">
        <f t="shared" si="11"/>
        <v/>
      </c>
    </row>
    <row r="171" spans="1:10">
      <c r="A171" s="7" t="str">
        <f>IF(子基金及业绩基准周净值!A201="","",子基金及业绩基准周净值!A201)</f>
        <v/>
      </c>
      <c r="B171" s="1" t="str">
        <f>IF(A171="","",VLOOKUP($A171,子基金及业绩基准周净值!$A:$AV,13))</f>
        <v/>
      </c>
      <c r="C171" s="8" t="str">
        <f t="shared" si="8"/>
        <v/>
      </c>
      <c r="D171" s="9" t="str">
        <f>IF(A171="","",C171-子基金及业绩基准周净值!AJ201)</f>
        <v/>
      </c>
      <c r="E171" s="12" t="str">
        <f>IF(A171="","",(MAX(B$3:B171)-B171)/MAX(B$3:B171))</f>
        <v/>
      </c>
      <c r="F171" s="12" t="str">
        <f>IF(A171="","",MAX(E$4:E171))</f>
        <v/>
      </c>
      <c r="H171" s="14" t="str">
        <f t="shared" si="9"/>
        <v/>
      </c>
      <c r="I171" s="14" t="str">
        <f t="shared" si="10"/>
        <v/>
      </c>
      <c r="J171" s="15" t="str">
        <f t="shared" si="11"/>
        <v/>
      </c>
    </row>
    <row r="172" spans="1:10">
      <c r="A172" s="7" t="str">
        <f>IF(子基金及业绩基准周净值!A202="","",子基金及业绩基准周净值!A202)</f>
        <v/>
      </c>
      <c r="B172" s="1" t="str">
        <f>IF(A172="","",VLOOKUP($A172,子基金及业绩基准周净值!$A:$AV,13))</f>
        <v/>
      </c>
      <c r="C172" s="8" t="str">
        <f t="shared" si="8"/>
        <v/>
      </c>
      <c r="D172" s="9" t="str">
        <f>IF(A172="","",C172-子基金及业绩基准周净值!AJ202)</f>
        <v/>
      </c>
      <c r="E172" s="12" t="str">
        <f>IF(A172="","",(MAX(B$3:B172)-B172)/MAX(B$3:B172))</f>
        <v/>
      </c>
      <c r="F172" s="12" t="str">
        <f>IF(A172="","",MAX(E$4:E172))</f>
        <v/>
      </c>
      <c r="H172" s="14" t="str">
        <f t="shared" si="9"/>
        <v/>
      </c>
      <c r="I172" s="14" t="str">
        <f t="shared" si="10"/>
        <v/>
      </c>
      <c r="J172" s="15" t="str">
        <f t="shared" si="11"/>
        <v/>
      </c>
    </row>
    <row r="173" spans="1:10">
      <c r="A173" s="7" t="str">
        <f>IF(子基金及业绩基准周净值!A203="","",子基金及业绩基准周净值!A203)</f>
        <v/>
      </c>
      <c r="B173" s="1" t="str">
        <f>IF(A173="","",VLOOKUP($A173,子基金及业绩基准周净值!$A:$AV,13))</f>
        <v/>
      </c>
      <c r="C173" s="8" t="str">
        <f t="shared" si="8"/>
        <v/>
      </c>
      <c r="D173" s="9" t="str">
        <f>IF(A173="","",C173-子基金及业绩基准周净值!AJ203)</f>
        <v/>
      </c>
      <c r="E173" s="12" t="str">
        <f>IF(A173="","",(MAX(B$3:B173)-B173)/MAX(B$3:B173))</f>
        <v/>
      </c>
      <c r="F173" s="12" t="str">
        <f>IF(A173="","",MAX(E$4:E173))</f>
        <v/>
      </c>
      <c r="H173" s="14" t="str">
        <f t="shared" si="9"/>
        <v/>
      </c>
      <c r="I173" s="14" t="str">
        <f t="shared" si="10"/>
        <v/>
      </c>
      <c r="J173" s="15" t="str">
        <f t="shared" si="11"/>
        <v/>
      </c>
    </row>
    <row r="174" spans="1:10">
      <c r="A174" s="7" t="str">
        <f>IF(子基金及业绩基准周净值!A204="","",子基金及业绩基准周净值!A204)</f>
        <v/>
      </c>
      <c r="B174" s="1" t="str">
        <f>IF(A174="","",VLOOKUP($A174,子基金及业绩基准周净值!$A:$AV,13))</f>
        <v/>
      </c>
      <c r="C174" s="8" t="str">
        <f t="shared" si="8"/>
        <v/>
      </c>
      <c r="D174" s="9" t="str">
        <f>IF(A174="","",C174-子基金及业绩基准周净值!AJ204)</f>
        <v/>
      </c>
      <c r="E174" s="12" t="str">
        <f>IF(A174="","",(MAX(B$3:B174)-B174)/MAX(B$3:B174))</f>
        <v/>
      </c>
      <c r="F174" s="12" t="str">
        <f>IF(A174="","",MAX(E$4:E174))</f>
        <v/>
      </c>
      <c r="H174" s="14" t="str">
        <f t="shared" si="9"/>
        <v/>
      </c>
      <c r="I174" s="14" t="str">
        <f t="shared" si="10"/>
        <v/>
      </c>
      <c r="J174" s="15" t="str">
        <f t="shared" si="11"/>
        <v/>
      </c>
    </row>
    <row r="175" spans="1:10">
      <c r="A175" s="7" t="str">
        <f>IF(子基金及业绩基准周净值!A205="","",子基金及业绩基准周净值!A205)</f>
        <v/>
      </c>
      <c r="B175" s="1" t="str">
        <f>IF(A175="","",VLOOKUP($A175,子基金及业绩基准周净值!$A:$AV,13))</f>
        <v/>
      </c>
      <c r="C175" s="8" t="str">
        <f t="shared" si="8"/>
        <v/>
      </c>
      <c r="D175" s="9" t="str">
        <f>IF(A175="","",C175-子基金及业绩基准周净值!AJ205)</f>
        <v/>
      </c>
      <c r="E175" s="12" t="str">
        <f>IF(A175="","",(MAX(B$3:B175)-B175)/MAX(B$3:B175))</f>
        <v/>
      </c>
      <c r="F175" s="12" t="str">
        <f>IF(A175="","",MAX(E$4:E175))</f>
        <v/>
      </c>
      <c r="H175" s="14" t="str">
        <f t="shared" si="9"/>
        <v/>
      </c>
      <c r="I175" s="14" t="str">
        <f t="shared" si="10"/>
        <v/>
      </c>
      <c r="J175" s="15" t="str">
        <f t="shared" si="11"/>
        <v/>
      </c>
    </row>
    <row r="176" spans="1:10">
      <c r="A176" s="7" t="str">
        <f>IF(子基金及业绩基准周净值!A206="","",子基金及业绩基准周净值!A206)</f>
        <v/>
      </c>
      <c r="B176" s="1" t="str">
        <f>IF(A176="","",VLOOKUP($A176,子基金及业绩基准周净值!$A:$AV,13))</f>
        <v/>
      </c>
      <c r="C176" s="8" t="str">
        <f t="shared" si="8"/>
        <v/>
      </c>
      <c r="D176" s="9" t="str">
        <f>IF(A176="","",C176-子基金及业绩基准周净值!AJ206)</f>
        <v/>
      </c>
      <c r="E176" s="12" t="str">
        <f>IF(A176="","",(MAX(B$3:B176)-B176)/MAX(B$3:B176))</f>
        <v/>
      </c>
      <c r="F176" s="12" t="str">
        <f>IF(A176="","",MAX(E$4:E176))</f>
        <v/>
      </c>
      <c r="H176" s="14" t="str">
        <f t="shared" si="9"/>
        <v/>
      </c>
      <c r="I176" s="14" t="str">
        <f t="shared" si="10"/>
        <v/>
      </c>
      <c r="J176" s="15" t="str">
        <f t="shared" si="11"/>
        <v/>
      </c>
    </row>
    <row r="177" spans="1:10">
      <c r="A177" s="7" t="str">
        <f>IF(子基金及业绩基准周净值!A207="","",子基金及业绩基准周净值!A207)</f>
        <v/>
      </c>
      <c r="B177" s="1" t="str">
        <f>IF(A177="","",VLOOKUP($A177,子基金及业绩基准周净值!$A:$AV,13))</f>
        <v/>
      </c>
      <c r="C177" s="8" t="str">
        <f t="shared" si="8"/>
        <v/>
      </c>
      <c r="D177" s="9" t="str">
        <f>IF(A177="","",C177-子基金及业绩基准周净值!AJ207)</f>
        <v/>
      </c>
      <c r="E177" s="12" t="str">
        <f>IF(A177="","",(MAX(B$3:B177)-B177)/MAX(B$3:B177))</f>
        <v/>
      </c>
      <c r="F177" s="12" t="str">
        <f>IF(A177="","",MAX(E$4:E177))</f>
        <v/>
      </c>
      <c r="H177" s="14" t="str">
        <f t="shared" si="9"/>
        <v/>
      </c>
      <c r="I177" s="14" t="str">
        <f t="shared" si="10"/>
        <v/>
      </c>
      <c r="J177" s="15" t="str">
        <f t="shared" si="11"/>
        <v/>
      </c>
    </row>
    <row r="178" spans="1:10">
      <c r="A178" s="7" t="str">
        <f>IF(子基金及业绩基准周净值!A208="","",子基金及业绩基准周净值!A208)</f>
        <v/>
      </c>
      <c r="B178" s="1" t="str">
        <f>IF(A178="","",VLOOKUP($A178,子基金及业绩基准周净值!$A:$AV,13))</f>
        <v/>
      </c>
      <c r="C178" s="8" t="str">
        <f t="shared" si="8"/>
        <v/>
      </c>
      <c r="D178" s="9" t="str">
        <f>IF(A178="","",C178-子基金及业绩基准周净值!AJ208)</f>
        <v/>
      </c>
      <c r="E178" s="12" t="str">
        <f>IF(A178="","",(MAX(B$3:B178)-B178)/MAX(B$3:B178))</f>
        <v/>
      </c>
      <c r="F178" s="12" t="str">
        <f>IF(A178="","",MAX(E$4:E178))</f>
        <v/>
      </c>
      <c r="H178" s="14" t="str">
        <f t="shared" si="9"/>
        <v/>
      </c>
      <c r="I178" s="14" t="str">
        <f t="shared" si="10"/>
        <v/>
      </c>
      <c r="J178" s="15" t="str">
        <f t="shared" si="11"/>
        <v/>
      </c>
    </row>
    <row r="179" spans="1:10">
      <c r="A179" s="7" t="str">
        <f>IF(子基金及业绩基准周净值!A209="","",子基金及业绩基准周净值!A209)</f>
        <v/>
      </c>
      <c r="B179" s="1" t="str">
        <f>IF(A179="","",VLOOKUP($A179,子基金及业绩基准周净值!$A:$AV,13))</f>
        <v/>
      </c>
      <c r="C179" s="8" t="str">
        <f t="shared" si="8"/>
        <v/>
      </c>
      <c r="D179" s="9" t="str">
        <f>IF(A179="","",C179-子基金及业绩基准周净值!AJ209)</f>
        <v/>
      </c>
      <c r="E179" s="12" t="str">
        <f>IF(A179="","",(MAX(B$3:B179)-B179)/MAX(B$3:B179))</f>
        <v/>
      </c>
      <c r="F179" s="12" t="str">
        <f>IF(A179="","",MAX(E$4:E179))</f>
        <v/>
      </c>
      <c r="H179" s="14" t="str">
        <f t="shared" si="9"/>
        <v/>
      </c>
      <c r="I179" s="14" t="str">
        <f t="shared" si="10"/>
        <v/>
      </c>
      <c r="J179" s="15" t="str">
        <f t="shared" si="11"/>
        <v/>
      </c>
    </row>
    <row r="180" spans="1:10">
      <c r="A180" s="7" t="str">
        <f>IF(子基金及业绩基准周净值!A210="","",子基金及业绩基准周净值!A210)</f>
        <v/>
      </c>
      <c r="B180" s="1" t="str">
        <f>IF(A180="","",VLOOKUP($A180,子基金及业绩基准周净值!$A:$AV,13))</f>
        <v/>
      </c>
      <c r="C180" s="8" t="str">
        <f t="shared" si="8"/>
        <v/>
      </c>
      <c r="D180" s="9" t="str">
        <f>IF(A180="","",C180-子基金及业绩基准周净值!AJ210)</f>
        <v/>
      </c>
      <c r="E180" s="12" t="str">
        <f>IF(A180="","",(MAX(B$3:B180)-B180)/MAX(B$3:B180))</f>
        <v/>
      </c>
      <c r="F180" s="12" t="str">
        <f>IF(A180="","",MAX(E$4:E180))</f>
        <v/>
      </c>
      <c r="H180" s="14" t="str">
        <f t="shared" si="9"/>
        <v/>
      </c>
      <c r="I180" s="14" t="str">
        <f t="shared" si="10"/>
        <v/>
      </c>
      <c r="J180" s="15" t="str">
        <f t="shared" si="11"/>
        <v/>
      </c>
    </row>
    <row r="181" spans="1:10">
      <c r="A181" s="7" t="str">
        <f>IF(子基金及业绩基准周净值!A211="","",子基金及业绩基准周净值!A211)</f>
        <v/>
      </c>
      <c r="B181" s="1" t="str">
        <f>IF(A181="","",VLOOKUP($A181,子基金及业绩基准周净值!$A:$AV,13))</f>
        <v/>
      </c>
      <c r="C181" s="8" t="str">
        <f t="shared" si="8"/>
        <v/>
      </c>
      <c r="D181" s="9" t="str">
        <f>IF(A181="","",C181-子基金及业绩基准周净值!AJ211)</f>
        <v/>
      </c>
      <c r="E181" s="12" t="str">
        <f>IF(A181="","",(MAX(B$3:B181)-B181)/MAX(B$3:B181))</f>
        <v/>
      </c>
      <c r="F181" s="12" t="str">
        <f>IF(A181="","",MAX(E$4:E181))</f>
        <v/>
      </c>
      <c r="H181" s="14" t="str">
        <f t="shared" si="9"/>
        <v/>
      </c>
      <c r="I181" s="14" t="str">
        <f t="shared" si="10"/>
        <v/>
      </c>
      <c r="J181" s="15" t="str">
        <f t="shared" si="11"/>
        <v/>
      </c>
    </row>
    <row r="182" spans="1:10">
      <c r="A182" s="7" t="str">
        <f>IF(子基金及业绩基准周净值!A212="","",子基金及业绩基准周净值!A212)</f>
        <v/>
      </c>
      <c r="B182" s="1" t="str">
        <f>IF(A182="","",VLOOKUP($A182,子基金及业绩基准周净值!$A:$AV,13))</f>
        <v/>
      </c>
      <c r="C182" s="8" t="str">
        <f t="shared" si="8"/>
        <v/>
      </c>
      <c r="D182" s="9" t="str">
        <f>IF(A182="","",C182-子基金及业绩基准周净值!AJ212)</f>
        <v/>
      </c>
      <c r="E182" s="12" t="str">
        <f>IF(A182="","",(MAX(B$3:B182)-B182)/MAX(B$3:B182))</f>
        <v/>
      </c>
      <c r="F182" s="12" t="str">
        <f>IF(A182="","",MAX(E$4:E182))</f>
        <v/>
      </c>
      <c r="H182" s="14" t="str">
        <f t="shared" si="9"/>
        <v/>
      </c>
      <c r="I182" s="14" t="str">
        <f t="shared" si="10"/>
        <v/>
      </c>
      <c r="J182" s="15" t="str">
        <f t="shared" si="11"/>
        <v/>
      </c>
    </row>
    <row r="183" spans="1:10">
      <c r="A183" s="7" t="str">
        <f>IF(子基金及业绩基准周净值!A213="","",子基金及业绩基准周净值!A213)</f>
        <v/>
      </c>
      <c r="B183" s="1" t="str">
        <f>IF(A183="","",VLOOKUP($A183,子基金及业绩基准周净值!$A:$AV,13))</f>
        <v/>
      </c>
      <c r="C183" s="8" t="str">
        <f t="shared" si="8"/>
        <v/>
      </c>
      <c r="D183" s="9" t="str">
        <f>IF(A183="","",C183-子基金及业绩基准周净值!AJ213)</f>
        <v/>
      </c>
      <c r="E183" s="12" t="str">
        <f>IF(A183="","",(MAX(B$3:B183)-B183)/MAX(B$3:B183))</f>
        <v/>
      </c>
      <c r="F183" s="12" t="str">
        <f>IF(A183="","",MAX(E$4:E183))</f>
        <v/>
      </c>
      <c r="H183" s="14" t="str">
        <f t="shared" si="9"/>
        <v/>
      </c>
      <c r="I183" s="14" t="str">
        <f t="shared" si="10"/>
        <v/>
      </c>
      <c r="J183" s="15" t="str">
        <f t="shared" si="11"/>
        <v/>
      </c>
    </row>
    <row r="184" spans="1:10">
      <c r="A184" s="7" t="str">
        <f>IF(子基金及业绩基准周净值!A214="","",子基金及业绩基准周净值!A214)</f>
        <v/>
      </c>
      <c r="B184" s="1" t="str">
        <f>IF(A184="","",VLOOKUP($A184,子基金及业绩基准周净值!$A:$AV,13))</f>
        <v/>
      </c>
      <c r="C184" s="8" t="str">
        <f t="shared" si="8"/>
        <v/>
      </c>
      <c r="D184" s="9" t="str">
        <f>IF(A184="","",C184-子基金及业绩基准周净值!AJ214)</f>
        <v/>
      </c>
      <c r="E184" s="12" t="str">
        <f>IF(A184="","",(MAX(B$3:B184)-B184)/MAX(B$3:B184))</f>
        <v/>
      </c>
      <c r="F184" s="12" t="str">
        <f>IF(A184="","",MAX(E$4:E184))</f>
        <v/>
      </c>
      <c r="H184" s="14" t="str">
        <f t="shared" si="9"/>
        <v/>
      </c>
      <c r="I184" s="14" t="str">
        <f t="shared" si="10"/>
        <v/>
      </c>
      <c r="J184" s="15" t="str">
        <f t="shared" si="11"/>
        <v/>
      </c>
    </row>
    <row r="185" spans="1:10">
      <c r="A185" s="7" t="str">
        <f>IF(子基金及业绩基准周净值!A215="","",子基金及业绩基准周净值!A215)</f>
        <v/>
      </c>
      <c r="B185" s="1" t="str">
        <f>IF(A185="","",VLOOKUP($A185,子基金及业绩基准周净值!$A:$AV,13))</f>
        <v/>
      </c>
      <c r="C185" s="8" t="str">
        <f t="shared" si="8"/>
        <v/>
      </c>
      <c r="D185" s="9" t="str">
        <f>IF(A185="","",C185-子基金及业绩基准周净值!AJ215)</f>
        <v/>
      </c>
      <c r="E185" s="12" t="str">
        <f>IF(A185="","",(MAX(B$3:B185)-B185)/MAX(B$3:B185))</f>
        <v/>
      </c>
      <c r="F185" s="12" t="str">
        <f>IF(A185="","",MAX(E$4:E185))</f>
        <v/>
      </c>
      <c r="H185" s="14" t="str">
        <f t="shared" si="9"/>
        <v/>
      </c>
      <c r="I185" s="14" t="str">
        <f t="shared" si="10"/>
        <v/>
      </c>
      <c r="J185" s="15" t="str">
        <f t="shared" si="11"/>
        <v/>
      </c>
    </row>
    <row r="186" spans="1:10">
      <c r="A186" s="7" t="str">
        <f>IF(子基金及业绩基准周净值!A216="","",子基金及业绩基准周净值!A216)</f>
        <v/>
      </c>
      <c r="B186" s="1" t="str">
        <f>IF(A186="","",VLOOKUP($A186,子基金及业绩基准周净值!$A:$AV,13))</f>
        <v/>
      </c>
      <c r="C186" s="8" t="str">
        <f t="shared" si="8"/>
        <v/>
      </c>
      <c r="D186" s="9" t="str">
        <f>IF(A186="","",C186-子基金及业绩基准周净值!AJ216)</f>
        <v/>
      </c>
      <c r="E186" s="12" t="str">
        <f>IF(A186="","",(MAX(B$3:B186)-B186)/MAX(B$3:B186))</f>
        <v/>
      </c>
      <c r="F186" s="12" t="str">
        <f>IF(A186="","",MAX(E$4:E186))</f>
        <v/>
      </c>
      <c r="H186" s="14" t="str">
        <f t="shared" si="9"/>
        <v/>
      </c>
      <c r="I186" s="14" t="str">
        <f t="shared" si="10"/>
        <v/>
      </c>
      <c r="J186" s="15" t="str">
        <f t="shared" si="11"/>
        <v/>
      </c>
    </row>
    <row r="187" spans="1:10">
      <c r="A187" s="7" t="str">
        <f>IF(子基金及业绩基准周净值!A217="","",子基金及业绩基准周净值!A217)</f>
        <v/>
      </c>
      <c r="B187" s="1" t="str">
        <f>IF(A187="","",VLOOKUP($A187,子基金及业绩基准周净值!$A:$AV,13))</f>
        <v/>
      </c>
      <c r="C187" s="8" t="str">
        <f t="shared" si="8"/>
        <v/>
      </c>
      <c r="D187" s="9" t="str">
        <f>IF(A187="","",C187-子基金及业绩基准周净值!AJ217)</f>
        <v/>
      </c>
      <c r="E187" s="12" t="str">
        <f>IF(A187="","",(MAX(B$3:B187)-B187)/MAX(B$3:B187))</f>
        <v/>
      </c>
      <c r="F187" s="12" t="str">
        <f>IF(A187="","",MAX(E$4:E187))</f>
        <v/>
      </c>
      <c r="H187" s="14" t="str">
        <f t="shared" si="9"/>
        <v/>
      </c>
      <c r="I187" s="14" t="str">
        <f t="shared" si="10"/>
        <v/>
      </c>
      <c r="J187" s="15" t="str">
        <f t="shared" si="11"/>
        <v/>
      </c>
    </row>
    <row r="188" spans="1:10">
      <c r="A188" s="7" t="str">
        <f>IF(子基金及业绩基准周净值!A218="","",子基金及业绩基准周净值!A218)</f>
        <v/>
      </c>
      <c r="B188" s="1" t="str">
        <f>IF(A188="","",VLOOKUP($A188,子基金及业绩基准周净值!$A:$AV,13))</f>
        <v/>
      </c>
      <c r="C188" s="8" t="str">
        <f t="shared" si="8"/>
        <v/>
      </c>
      <c r="D188" s="9" t="str">
        <f>IF(A188="","",C188-子基金及业绩基准周净值!AJ218)</f>
        <v/>
      </c>
      <c r="E188" s="12" t="str">
        <f>IF(A188="","",(MAX(B$3:B188)-B188)/MAX(B$3:B188))</f>
        <v/>
      </c>
      <c r="F188" s="12" t="str">
        <f>IF(A188="","",MAX(E$4:E188))</f>
        <v/>
      </c>
      <c r="H188" s="14" t="str">
        <f t="shared" si="9"/>
        <v/>
      </c>
      <c r="I188" s="14" t="str">
        <f t="shared" si="10"/>
        <v/>
      </c>
      <c r="J188" s="15" t="str">
        <f t="shared" si="11"/>
        <v/>
      </c>
    </row>
    <row r="189" spans="1:10">
      <c r="A189" s="7" t="str">
        <f>IF(子基金及业绩基准周净值!A219="","",子基金及业绩基准周净值!A219)</f>
        <v/>
      </c>
      <c r="B189" s="1" t="str">
        <f>IF(A189="","",VLOOKUP($A189,子基金及业绩基准周净值!$A:$AV,13))</f>
        <v/>
      </c>
      <c r="C189" s="8" t="str">
        <f t="shared" si="8"/>
        <v/>
      </c>
      <c r="D189" s="9" t="str">
        <f>IF(A189="","",C189-子基金及业绩基准周净值!AJ219)</f>
        <v/>
      </c>
      <c r="E189" s="12" t="str">
        <f>IF(A189="","",(MAX(B$3:B189)-B189)/MAX(B$3:B189))</f>
        <v/>
      </c>
      <c r="F189" s="12" t="str">
        <f>IF(A189="","",MAX(E$4:E189))</f>
        <v/>
      </c>
      <c r="H189" s="14" t="str">
        <f t="shared" si="9"/>
        <v/>
      </c>
      <c r="I189" s="14" t="str">
        <f t="shared" si="10"/>
        <v/>
      </c>
      <c r="J189" s="15" t="str">
        <f t="shared" si="11"/>
        <v/>
      </c>
    </row>
    <row r="190" spans="1:10">
      <c r="A190" s="7" t="str">
        <f>IF(子基金及业绩基准周净值!A220="","",子基金及业绩基准周净值!A220)</f>
        <v/>
      </c>
      <c r="B190" s="1" t="str">
        <f>IF(A190="","",VLOOKUP($A190,子基金及业绩基准周净值!$A:$AV,13))</f>
        <v/>
      </c>
      <c r="C190" s="8" t="str">
        <f t="shared" si="8"/>
        <v/>
      </c>
      <c r="D190" s="9" t="str">
        <f>IF(A190="","",C190-子基金及业绩基准周净值!AJ220)</f>
        <v/>
      </c>
      <c r="E190" s="12" t="str">
        <f>IF(A190="","",(MAX(B$3:B190)-B190)/MAX(B$3:B190))</f>
        <v/>
      </c>
      <c r="F190" s="12" t="str">
        <f>IF(A190="","",MAX(E$4:E190))</f>
        <v/>
      </c>
      <c r="H190" s="14" t="str">
        <f t="shared" si="9"/>
        <v/>
      </c>
      <c r="I190" s="14" t="str">
        <f t="shared" si="10"/>
        <v/>
      </c>
      <c r="J190" s="15" t="str">
        <f t="shared" si="11"/>
        <v/>
      </c>
    </row>
    <row r="191" spans="1:10">
      <c r="A191" s="7" t="str">
        <f>IF(子基金及业绩基准周净值!A221="","",子基金及业绩基准周净值!A221)</f>
        <v/>
      </c>
      <c r="B191" s="1" t="str">
        <f>IF(A191="","",VLOOKUP($A191,子基金及业绩基准周净值!$A:$AV,13))</f>
        <v/>
      </c>
      <c r="C191" s="8" t="str">
        <f t="shared" si="8"/>
        <v/>
      </c>
      <c r="D191" s="9" t="str">
        <f>IF(A191="","",C191-子基金及业绩基准周净值!AJ221)</f>
        <v/>
      </c>
      <c r="E191" s="12" t="str">
        <f>IF(A191="","",(MAX(B$3:B191)-B191)/MAX(B$3:B191))</f>
        <v/>
      </c>
      <c r="F191" s="12" t="str">
        <f>IF(A191="","",MAX(E$4:E191))</f>
        <v/>
      </c>
      <c r="H191" s="14" t="str">
        <f t="shared" si="9"/>
        <v/>
      </c>
      <c r="I191" s="14" t="str">
        <f t="shared" si="10"/>
        <v/>
      </c>
      <c r="J191" s="15" t="str">
        <f t="shared" si="11"/>
        <v/>
      </c>
    </row>
    <row r="192" spans="1:10">
      <c r="A192" s="7" t="str">
        <f>IF(子基金及业绩基准周净值!A222="","",子基金及业绩基准周净值!A222)</f>
        <v/>
      </c>
      <c r="B192" s="1" t="str">
        <f>IF(A192="","",VLOOKUP($A192,子基金及业绩基准周净值!$A:$AV,13))</f>
        <v/>
      </c>
      <c r="C192" s="8" t="str">
        <f t="shared" si="8"/>
        <v/>
      </c>
      <c r="D192" s="9" t="str">
        <f>IF(A192="","",C192-子基金及业绩基准周净值!AJ222)</f>
        <v/>
      </c>
      <c r="E192" s="12" t="str">
        <f>IF(A192="","",(MAX(B$3:B192)-B192)/MAX(B$3:B192))</f>
        <v/>
      </c>
      <c r="F192" s="12" t="str">
        <f>IF(A192="","",MAX(E$4:E192))</f>
        <v/>
      </c>
      <c r="H192" s="14" t="str">
        <f t="shared" si="9"/>
        <v/>
      </c>
      <c r="I192" s="14" t="str">
        <f t="shared" si="10"/>
        <v/>
      </c>
      <c r="J192" s="15" t="str">
        <f t="shared" si="11"/>
        <v/>
      </c>
    </row>
    <row r="193" spans="1:10">
      <c r="A193" s="7" t="str">
        <f>IF(子基金及业绩基准周净值!A223="","",子基金及业绩基准周净值!A223)</f>
        <v/>
      </c>
      <c r="B193" s="1" t="str">
        <f>IF(A193="","",VLOOKUP($A193,子基金及业绩基准周净值!$A:$AV,13))</f>
        <v/>
      </c>
      <c r="C193" s="8" t="str">
        <f t="shared" si="8"/>
        <v/>
      </c>
      <c r="D193" s="9" t="str">
        <f>IF(A193="","",C193-子基金及业绩基准周净值!AJ223)</f>
        <v/>
      </c>
      <c r="E193" s="12" t="str">
        <f>IF(A193="","",(MAX(B$3:B193)-B193)/MAX(B$3:B193))</f>
        <v/>
      </c>
      <c r="F193" s="12" t="str">
        <f>IF(A193="","",MAX(E$4:E193))</f>
        <v/>
      </c>
      <c r="H193" s="14" t="str">
        <f t="shared" si="9"/>
        <v/>
      </c>
      <c r="I193" s="14" t="str">
        <f t="shared" si="10"/>
        <v/>
      </c>
      <c r="J193" s="15" t="str">
        <f t="shared" si="11"/>
        <v/>
      </c>
    </row>
    <row r="194" spans="1:10">
      <c r="A194" s="7" t="str">
        <f>IF(子基金及业绩基准周净值!A224="","",子基金及业绩基准周净值!A224)</f>
        <v/>
      </c>
      <c r="B194" s="1" t="str">
        <f>IF(A194="","",VLOOKUP($A194,子基金及业绩基准周净值!$A:$AV,13))</f>
        <v/>
      </c>
      <c r="C194" s="8" t="str">
        <f t="shared" si="8"/>
        <v/>
      </c>
      <c r="D194" s="9" t="str">
        <f>IF(A194="","",C194-子基金及业绩基准周净值!AJ224)</f>
        <v/>
      </c>
      <c r="E194" s="12" t="str">
        <f>IF(A194="","",(MAX(B$3:B194)-B194)/MAX(B$3:B194))</f>
        <v/>
      </c>
      <c r="F194" s="12" t="str">
        <f>IF(A194="","",MAX(E$4:E194))</f>
        <v/>
      </c>
      <c r="H194" s="14" t="str">
        <f t="shared" si="9"/>
        <v/>
      </c>
      <c r="I194" s="14" t="str">
        <f t="shared" si="10"/>
        <v/>
      </c>
      <c r="J194" s="15" t="str">
        <f t="shared" si="11"/>
        <v/>
      </c>
    </row>
    <row r="195" spans="1:10">
      <c r="A195" s="7" t="str">
        <f>IF(子基金及业绩基准周净值!A225="","",子基金及业绩基准周净值!A225)</f>
        <v/>
      </c>
      <c r="B195" s="1" t="str">
        <f>IF(A195="","",VLOOKUP($A195,子基金及业绩基准周净值!$A:$AV,13))</f>
        <v/>
      </c>
      <c r="C195" s="8" t="str">
        <f t="shared" si="8"/>
        <v/>
      </c>
      <c r="D195" s="9" t="str">
        <f>IF(A195="","",C195-子基金及业绩基准周净值!AJ225)</f>
        <v/>
      </c>
      <c r="E195" s="12" t="str">
        <f>IF(A195="","",(MAX(B$3:B195)-B195)/MAX(B$3:B195))</f>
        <v/>
      </c>
      <c r="F195" s="12" t="str">
        <f>IF(A195="","",MAX(E$4:E195))</f>
        <v/>
      </c>
      <c r="H195" s="14" t="str">
        <f t="shared" si="9"/>
        <v/>
      </c>
      <c r="I195" s="14" t="str">
        <f t="shared" si="10"/>
        <v/>
      </c>
      <c r="J195" s="15" t="str">
        <f t="shared" si="11"/>
        <v/>
      </c>
    </row>
    <row r="196" spans="1:10">
      <c r="A196" s="7" t="str">
        <f>IF(子基金及业绩基准周净值!A226="","",子基金及业绩基准周净值!A226)</f>
        <v/>
      </c>
      <c r="B196" s="1" t="str">
        <f>IF(A196="","",VLOOKUP($A196,子基金及业绩基准周净值!$A:$AV,13))</f>
        <v/>
      </c>
      <c r="C196" s="8" t="str">
        <f t="shared" si="8"/>
        <v/>
      </c>
      <c r="D196" s="9" t="str">
        <f>IF(A196="","",C196-子基金及业绩基准周净值!AJ226)</f>
        <v/>
      </c>
      <c r="E196" s="12" t="str">
        <f>IF(A196="","",(MAX(B$3:B196)-B196)/MAX(B$3:B196))</f>
        <v/>
      </c>
      <c r="F196" s="12" t="str">
        <f>IF(A196="","",MAX(E$4:E196))</f>
        <v/>
      </c>
      <c r="H196" s="14" t="str">
        <f t="shared" si="9"/>
        <v/>
      </c>
      <c r="I196" s="14" t="str">
        <f t="shared" si="10"/>
        <v/>
      </c>
      <c r="J196" s="15" t="str">
        <f t="shared" si="11"/>
        <v/>
      </c>
    </row>
    <row r="197" spans="1:10">
      <c r="A197" s="7" t="str">
        <f>IF(子基金及业绩基准周净值!A227="","",子基金及业绩基准周净值!A227)</f>
        <v/>
      </c>
      <c r="B197" s="1" t="str">
        <f>IF(A197="","",VLOOKUP($A197,子基金及业绩基准周净值!$A:$AV,13))</f>
        <v/>
      </c>
      <c r="C197" s="8" t="str">
        <f t="shared" ref="C197:C260" si="12">IF(A197="","",(B197-B196)/B196)</f>
        <v/>
      </c>
      <c r="D197" s="9" t="str">
        <f>IF(A197="","",C197-子基金及业绩基准周净值!AJ227)</f>
        <v/>
      </c>
      <c r="E197" s="12" t="str">
        <f>IF(A197="","",(MAX(B$3:B197)-B197)/MAX(B$3:B197))</f>
        <v/>
      </c>
      <c r="F197" s="12" t="str">
        <f>IF(A197="","",MAX(E$4:E197))</f>
        <v/>
      </c>
      <c r="H197" s="14" t="str">
        <f t="shared" ref="H197:H260" si="13">IF(B197="","",IF(C197&lt;-3%,"是","否"))</f>
        <v/>
      </c>
      <c r="I197" s="14" t="str">
        <f t="shared" ref="I197:I260" si="14">IF(A197="","",IF(F197&gt;5%,"是","否"))</f>
        <v/>
      </c>
      <c r="J197" s="15" t="str">
        <f t="shared" ref="J197:J260" si="15">IF(A197="","",IF(G197&gt;=4,"是","否"))</f>
        <v/>
      </c>
    </row>
    <row r="198" spans="1:10">
      <c r="A198" s="7" t="str">
        <f>IF(子基金及业绩基准周净值!A228="","",子基金及业绩基准周净值!A228)</f>
        <v/>
      </c>
      <c r="B198" s="1" t="str">
        <f>IF(A198="","",VLOOKUP($A198,子基金及业绩基准周净值!$A:$AV,13))</f>
        <v/>
      </c>
      <c r="C198" s="8" t="str">
        <f t="shared" si="12"/>
        <v/>
      </c>
      <c r="D198" s="9" t="str">
        <f>IF(A198="","",C198-子基金及业绩基准周净值!AJ228)</f>
        <v/>
      </c>
      <c r="E198" s="12" t="str">
        <f>IF(A198="","",(MAX(B$3:B198)-B198)/MAX(B$3:B198))</f>
        <v/>
      </c>
      <c r="F198" s="12" t="str">
        <f>IF(A198="","",MAX(E$4:E198))</f>
        <v/>
      </c>
      <c r="H198" s="14" t="str">
        <f t="shared" si="13"/>
        <v/>
      </c>
      <c r="I198" s="14" t="str">
        <f t="shared" si="14"/>
        <v/>
      </c>
      <c r="J198" s="15" t="str">
        <f t="shared" si="15"/>
        <v/>
      </c>
    </row>
    <row r="199" spans="1:10">
      <c r="A199" s="7" t="str">
        <f>IF(子基金及业绩基准周净值!A229="","",子基金及业绩基准周净值!A229)</f>
        <v/>
      </c>
      <c r="B199" s="1" t="str">
        <f>IF(A199="","",VLOOKUP($A199,子基金及业绩基准周净值!$A:$AV,13))</f>
        <v/>
      </c>
      <c r="C199" s="8" t="str">
        <f t="shared" si="12"/>
        <v/>
      </c>
      <c r="D199" s="9" t="str">
        <f>IF(A199="","",C199-子基金及业绩基准周净值!AJ229)</f>
        <v/>
      </c>
      <c r="E199" s="12" t="str">
        <f>IF(A199="","",(MAX(B$3:B199)-B199)/MAX(B$3:B199))</f>
        <v/>
      </c>
      <c r="F199" s="12" t="str">
        <f>IF(A199="","",MAX(E$4:E199))</f>
        <v/>
      </c>
      <c r="H199" s="14" t="str">
        <f t="shared" si="13"/>
        <v/>
      </c>
      <c r="I199" s="14" t="str">
        <f t="shared" si="14"/>
        <v/>
      </c>
      <c r="J199" s="15" t="str">
        <f t="shared" si="15"/>
        <v/>
      </c>
    </row>
    <row r="200" spans="1:10">
      <c r="A200" s="7" t="str">
        <f>IF(子基金及业绩基准周净值!A230="","",子基金及业绩基准周净值!A230)</f>
        <v/>
      </c>
      <c r="B200" s="1" t="str">
        <f>IF(A200="","",VLOOKUP($A200,子基金及业绩基准周净值!$A:$AV,13))</f>
        <v/>
      </c>
      <c r="C200" s="8" t="str">
        <f t="shared" si="12"/>
        <v/>
      </c>
      <c r="D200" s="9" t="str">
        <f>IF(A200="","",C200-子基金及业绩基准周净值!AJ230)</f>
        <v/>
      </c>
      <c r="E200" s="12" t="str">
        <f>IF(A200="","",(MAX(B$3:B200)-B200)/MAX(B$3:B200))</f>
        <v/>
      </c>
      <c r="F200" s="12" t="str">
        <f>IF(A200="","",MAX(E$4:E200))</f>
        <v/>
      </c>
      <c r="H200" s="14" t="str">
        <f t="shared" si="13"/>
        <v/>
      </c>
      <c r="I200" s="14" t="str">
        <f t="shared" si="14"/>
        <v/>
      </c>
      <c r="J200" s="15" t="str">
        <f t="shared" si="15"/>
        <v/>
      </c>
    </row>
    <row r="201" spans="1:10">
      <c r="A201" s="7" t="str">
        <f>IF(子基金及业绩基准周净值!A231="","",子基金及业绩基准周净值!A231)</f>
        <v/>
      </c>
      <c r="B201" s="1" t="str">
        <f>IF(A201="","",VLOOKUP($A201,子基金及业绩基准周净值!$A:$AV,13))</f>
        <v/>
      </c>
      <c r="C201" s="8" t="str">
        <f t="shared" si="12"/>
        <v/>
      </c>
      <c r="D201" s="9" t="str">
        <f>IF(A201="","",C201-子基金及业绩基准周净值!AJ231)</f>
        <v/>
      </c>
      <c r="E201" s="12" t="str">
        <f>IF(A201="","",(MAX(B$3:B201)-B201)/MAX(B$3:B201))</f>
        <v/>
      </c>
      <c r="F201" s="12" t="str">
        <f>IF(A201="","",MAX(E$4:E201))</f>
        <v/>
      </c>
      <c r="H201" s="14" t="str">
        <f t="shared" si="13"/>
        <v/>
      </c>
      <c r="I201" s="14" t="str">
        <f t="shared" si="14"/>
        <v/>
      </c>
      <c r="J201" s="15" t="str">
        <f t="shared" si="15"/>
        <v/>
      </c>
    </row>
    <row r="202" spans="1:10">
      <c r="A202" s="7" t="str">
        <f>IF(子基金及业绩基准周净值!A232="","",子基金及业绩基准周净值!A232)</f>
        <v/>
      </c>
      <c r="B202" s="1" t="str">
        <f>IF(A202="","",VLOOKUP($A202,子基金及业绩基准周净值!$A:$AV,13))</f>
        <v/>
      </c>
      <c r="C202" s="8" t="str">
        <f t="shared" si="12"/>
        <v/>
      </c>
      <c r="D202" s="9" t="str">
        <f>IF(A202="","",C202-子基金及业绩基准周净值!AJ232)</f>
        <v/>
      </c>
      <c r="E202" s="12" t="str">
        <f>IF(A202="","",(MAX(B$3:B202)-B202)/MAX(B$3:B202))</f>
        <v/>
      </c>
      <c r="F202" s="12" t="str">
        <f>IF(A202="","",MAX(E$4:E202))</f>
        <v/>
      </c>
      <c r="H202" s="14" t="str">
        <f t="shared" si="13"/>
        <v/>
      </c>
      <c r="I202" s="14" t="str">
        <f t="shared" si="14"/>
        <v/>
      </c>
      <c r="J202" s="15" t="str">
        <f t="shared" si="15"/>
        <v/>
      </c>
    </row>
    <row r="203" spans="1:10">
      <c r="A203" s="7" t="str">
        <f>IF(子基金及业绩基准周净值!A233="","",子基金及业绩基准周净值!A233)</f>
        <v/>
      </c>
      <c r="B203" s="1" t="str">
        <f>IF(A203="","",VLOOKUP($A203,子基金及业绩基准周净值!$A:$AV,13))</f>
        <v/>
      </c>
      <c r="C203" s="8" t="str">
        <f t="shared" si="12"/>
        <v/>
      </c>
      <c r="D203" s="9" t="str">
        <f>IF(A203="","",C203-子基金及业绩基准周净值!AJ233)</f>
        <v/>
      </c>
      <c r="E203" s="12" t="str">
        <f>IF(A203="","",(MAX(B$3:B203)-B203)/MAX(B$3:B203))</f>
        <v/>
      </c>
      <c r="F203" s="12" t="str">
        <f>IF(A203="","",MAX(E$4:E203))</f>
        <v/>
      </c>
      <c r="H203" s="14" t="str">
        <f t="shared" si="13"/>
        <v/>
      </c>
      <c r="I203" s="14" t="str">
        <f t="shared" si="14"/>
        <v/>
      </c>
      <c r="J203" s="15" t="str">
        <f t="shared" si="15"/>
        <v/>
      </c>
    </row>
    <row r="204" spans="1:10">
      <c r="A204" s="7" t="str">
        <f>IF(子基金及业绩基准周净值!A234="","",子基金及业绩基准周净值!A234)</f>
        <v/>
      </c>
      <c r="B204" s="1" t="str">
        <f>IF(A204="","",VLOOKUP($A204,子基金及业绩基准周净值!$A:$AV,13))</f>
        <v/>
      </c>
      <c r="C204" s="8" t="str">
        <f t="shared" si="12"/>
        <v/>
      </c>
      <c r="D204" s="9" t="str">
        <f>IF(A204="","",C204-子基金及业绩基准周净值!AJ234)</f>
        <v/>
      </c>
      <c r="E204" s="12" t="str">
        <f>IF(A204="","",(MAX(B$3:B204)-B204)/MAX(B$3:B204))</f>
        <v/>
      </c>
      <c r="F204" s="12" t="str">
        <f>IF(A204="","",MAX(E$4:E204))</f>
        <v/>
      </c>
      <c r="H204" s="14" t="str">
        <f t="shared" si="13"/>
        <v/>
      </c>
      <c r="I204" s="14" t="str">
        <f t="shared" si="14"/>
        <v/>
      </c>
      <c r="J204" s="15" t="str">
        <f t="shared" si="15"/>
        <v/>
      </c>
    </row>
    <row r="205" spans="1:10">
      <c r="A205" s="7" t="str">
        <f>IF(子基金及业绩基准周净值!A235="","",子基金及业绩基准周净值!A235)</f>
        <v/>
      </c>
      <c r="B205" s="1" t="str">
        <f>IF(A205="","",VLOOKUP($A205,子基金及业绩基准周净值!$A:$AV,13))</f>
        <v/>
      </c>
      <c r="C205" s="8" t="str">
        <f t="shared" si="12"/>
        <v/>
      </c>
      <c r="D205" s="9" t="str">
        <f>IF(A205="","",C205-子基金及业绩基准周净值!AJ235)</f>
        <v/>
      </c>
      <c r="E205" s="12" t="str">
        <f>IF(A205="","",(MAX(B$3:B205)-B205)/MAX(B$3:B205))</f>
        <v/>
      </c>
      <c r="F205" s="12" t="str">
        <f>IF(A205="","",MAX(E$4:E205))</f>
        <v/>
      </c>
      <c r="H205" s="14" t="str">
        <f t="shared" si="13"/>
        <v/>
      </c>
      <c r="I205" s="14" t="str">
        <f t="shared" si="14"/>
        <v/>
      </c>
      <c r="J205" s="15" t="str">
        <f t="shared" si="15"/>
        <v/>
      </c>
    </row>
    <row r="206" spans="1:10">
      <c r="A206" s="7" t="str">
        <f>IF(子基金及业绩基准周净值!A236="","",子基金及业绩基准周净值!A236)</f>
        <v/>
      </c>
      <c r="B206" s="1" t="str">
        <f>IF(A206="","",VLOOKUP($A206,子基金及业绩基准周净值!$A:$AV,13))</f>
        <v/>
      </c>
      <c r="C206" s="8" t="str">
        <f t="shared" si="12"/>
        <v/>
      </c>
      <c r="D206" s="9" t="str">
        <f>IF(A206="","",C206-子基金及业绩基准周净值!AJ236)</f>
        <v/>
      </c>
      <c r="E206" s="12" t="str">
        <f>IF(A206="","",(MAX(B$3:B206)-B206)/MAX(B$3:B206))</f>
        <v/>
      </c>
      <c r="F206" s="12" t="str">
        <f>IF(A206="","",MAX(E$4:E206))</f>
        <v/>
      </c>
      <c r="H206" s="14" t="str">
        <f t="shared" si="13"/>
        <v/>
      </c>
      <c r="I206" s="14" t="str">
        <f t="shared" si="14"/>
        <v/>
      </c>
      <c r="J206" s="15" t="str">
        <f t="shared" si="15"/>
        <v/>
      </c>
    </row>
    <row r="207" spans="1:10">
      <c r="A207" s="7" t="str">
        <f>IF(子基金及业绩基准周净值!A237="","",子基金及业绩基准周净值!A237)</f>
        <v/>
      </c>
      <c r="B207" s="1" t="str">
        <f>IF(A207="","",VLOOKUP($A207,子基金及业绩基准周净值!$A:$AV,13))</f>
        <v/>
      </c>
      <c r="C207" s="8" t="str">
        <f t="shared" si="12"/>
        <v/>
      </c>
      <c r="D207" s="9" t="str">
        <f>IF(A207="","",C207-子基金及业绩基准周净值!AJ237)</f>
        <v/>
      </c>
      <c r="E207" s="12" t="str">
        <f>IF(A207="","",(MAX(B$3:B207)-B207)/MAX(B$3:B207))</f>
        <v/>
      </c>
      <c r="F207" s="12" t="str">
        <f>IF(A207="","",MAX(E$4:E207))</f>
        <v/>
      </c>
      <c r="H207" s="14" t="str">
        <f t="shared" si="13"/>
        <v/>
      </c>
      <c r="I207" s="14" t="str">
        <f t="shared" si="14"/>
        <v/>
      </c>
      <c r="J207" s="15" t="str">
        <f t="shared" si="15"/>
        <v/>
      </c>
    </row>
    <row r="208" spans="1:10">
      <c r="A208" s="7" t="str">
        <f>IF(子基金及业绩基准周净值!A238="","",子基金及业绩基准周净值!A238)</f>
        <v/>
      </c>
      <c r="B208" s="1" t="str">
        <f>IF(A208="","",VLOOKUP($A208,子基金及业绩基准周净值!$A:$AV,13))</f>
        <v/>
      </c>
      <c r="C208" s="8" t="str">
        <f t="shared" si="12"/>
        <v/>
      </c>
      <c r="D208" s="9" t="str">
        <f>IF(A208="","",C208-子基金及业绩基准周净值!AJ238)</f>
        <v/>
      </c>
      <c r="E208" s="12" t="str">
        <f>IF(A208="","",(MAX(B$3:B208)-B208)/MAX(B$3:B208))</f>
        <v/>
      </c>
      <c r="F208" s="12" t="str">
        <f>IF(A208="","",MAX(E$4:E208))</f>
        <v/>
      </c>
      <c r="H208" s="14" t="str">
        <f t="shared" si="13"/>
        <v/>
      </c>
      <c r="I208" s="14" t="str">
        <f t="shared" si="14"/>
        <v/>
      </c>
      <c r="J208" s="15" t="str">
        <f t="shared" si="15"/>
        <v/>
      </c>
    </row>
    <row r="209" spans="1:10">
      <c r="A209" s="7" t="str">
        <f>IF(子基金及业绩基准周净值!A239="","",子基金及业绩基准周净值!A239)</f>
        <v/>
      </c>
      <c r="B209" s="1" t="str">
        <f>IF(A209="","",VLOOKUP($A209,子基金及业绩基准周净值!$A:$AV,13))</f>
        <v/>
      </c>
      <c r="C209" s="8" t="str">
        <f t="shared" si="12"/>
        <v/>
      </c>
      <c r="D209" s="9" t="str">
        <f>IF(A209="","",C209-子基金及业绩基准周净值!AJ239)</f>
        <v/>
      </c>
      <c r="E209" s="12" t="str">
        <f>IF(A209="","",(MAX(B$3:B209)-B209)/MAX(B$3:B209))</f>
        <v/>
      </c>
      <c r="F209" s="12" t="str">
        <f>IF(A209="","",MAX(E$4:E209))</f>
        <v/>
      </c>
      <c r="H209" s="14" t="str">
        <f t="shared" si="13"/>
        <v/>
      </c>
      <c r="I209" s="14" t="str">
        <f t="shared" si="14"/>
        <v/>
      </c>
      <c r="J209" s="15" t="str">
        <f t="shared" si="15"/>
        <v/>
      </c>
    </row>
    <row r="210" spans="1:10">
      <c r="A210" s="7" t="str">
        <f>IF(子基金及业绩基准周净值!A240="","",子基金及业绩基准周净值!A240)</f>
        <v/>
      </c>
      <c r="B210" s="1" t="str">
        <f>IF(A210="","",VLOOKUP($A210,子基金及业绩基准周净值!$A:$AV,13))</f>
        <v/>
      </c>
      <c r="C210" s="8" t="str">
        <f t="shared" si="12"/>
        <v/>
      </c>
      <c r="D210" s="9" t="str">
        <f>IF(A210="","",C210-子基金及业绩基准周净值!AJ240)</f>
        <v/>
      </c>
      <c r="E210" s="12" t="str">
        <f>IF(A210="","",(MAX(B$3:B210)-B210)/MAX(B$3:B210))</f>
        <v/>
      </c>
      <c r="F210" s="12" t="str">
        <f>IF(A210="","",MAX(E$4:E210))</f>
        <v/>
      </c>
      <c r="H210" s="14" t="str">
        <f t="shared" si="13"/>
        <v/>
      </c>
      <c r="I210" s="14" t="str">
        <f t="shared" si="14"/>
        <v/>
      </c>
      <c r="J210" s="15" t="str">
        <f t="shared" si="15"/>
        <v/>
      </c>
    </row>
    <row r="211" spans="1:10">
      <c r="A211" s="7" t="str">
        <f>IF(子基金及业绩基准周净值!A241="","",子基金及业绩基准周净值!A241)</f>
        <v/>
      </c>
      <c r="B211" s="1" t="str">
        <f>IF(A211="","",VLOOKUP($A211,子基金及业绩基准周净值!$A:$AV,13))</f>
        <v/>
      </c>
      <c r="C211" s="8" t="str">
        <f t="shared" si="12"/>
        <v/>
      </c>
      <c r="D211" s="9" t="str">
        <f>IF(A211="","",C211-子基金及业绩基准周净值!AJ241)</f>
        <v/>
      </c>
      <c r="E211" s="12" t="str">
        <f>IF(A211="","",(MAX(B$3:B211)-B211)/MAX(B$3:B211))</f>
        <v/>
      </c>
      <c r="F211" s="12" t="str">
        <f>IF(A211="","",MAX(E$4:E211))</f>
        <v/>
      </c>
      <c r="H211" s="14" t="str">
        <f t="shared" si="13"/>
        <v/>
      </c>
      <c r="I211" s="14" t="str">
        <f t="shared" si="14"/>
        <v/>
      </c>
      <c r="J211" s="15" t="str">
        <f t="shared" si="15"/>
        <v/>
      </c>
    </row>
    <row r="212" spans="1:10">
      <c r="A212" s="7" t="str">
        <f>IF(子基金及业绩基准周净值!A242="","",子基金及业绩基准周净值!A242)</f>
        <v/>
      </c>
      <c r="B212" s="1" t="str">
        <f>IF(A212="","",VLOOKUP($A212,子基金及业绩基准周净值!$A:$AV,13))</f>
        <v/>
      </c>
      <c r="C212" s="8" t="str">
        <f t="shared" si="12"/>
        <v/>
      </c>
      <c r="D212" s="9" t="str">
        <f>IF(A212="","",C212-子基金及业绩基准周净值!AJ242)</f>
        <v/>
      </c>
      <c r="E212" s="12" t="str">
        <f>IF(A212="","",(MAX(B$3:B212)-B212)/MAX(B$3:B212))</f>
        <v/>
      </c>
      <c r="F212" s="12" t="str">
        <f>IF(A212="","",MAX(E$4:E212))</f>
        <v/>
      </c>
      <c r="H212" s="14" t="str">
        <f t="shared" si="13"/>
        <v/>
      </c>
      <c r="I212" s="14" t="str">
        <f t="shared" si="14"/>
        <v/>
      </c>
      <c r="J212" s="15" t="str">
        <f t="shared" si="15"/>
        <v/>
      </c>
    </row>
    <row r="213" spans="1:10">
      <c r="A213" s="7" t="str">
        <f>IF(子基金及业绩基准周净值!A243="","",子基金及业绩基准周净值!A243)</f>
        <v/>
      </c>
      <c r="B213" s="1" t="str">
        <f>IF(A213="","",VLOOKUP($A213,子基金及业绩基准周净值!$A:$AV,13))</f>
        <v/>
      </c>
      <c r="C213" s="8" t="str">
        <f t="shared" si="12"/>
        <v/>
      </c>
      <c r="D213" s="9" t="str">
        <f>IF(A213="","",C213-子基金及业绩基准周净值!AJ243)</f>
        <v/>
      </c>
      <c r="E213" s="12" t="str">
        <f>IF(A213="","",(MAX(B$3:B213)-B213)/MAX(B$3:B213))</f>
        <v/>
      </c>
      <c r="F213" s="12" t="str">
        <f>IF(A213="","",MAX(E$4:E213))</f>
        <v/>
      </c>
      <c r="H213" s="14" t="str">
        <f t="shared" si="13"/>
        <v/>
      </c>
      <c r="I213" s="14" t="str">
        <f t="shared" si="14"/>
        <v/>
      </c>
      <c r="J213" s="15" t="str">
        <f t="shared" si="15"/>
        <v/>
      </c>
    </row>
    <row r="214" spans="1:10">
      <c r="A214" s="7" t="str">
        <f>IF(子基金及业绩基准周净值!A244="","",子基金及业绩基准周净值!A244)</f>
        <v/>
      </c>
      <c r="B214" s="1" t="str">
        <f>IF(A214="","",VLOOKUP($A214,子基金及业绩基准周净值!$A:$AV,13))</f>
        <v/>
      </c>
      <c r="C214" s="8" t="str">
        <f t="shared" si="12"/>
        <v/>
      </c>
      <c r="D214" s="9" t="str">
        <f>IF(A214="","",C214-子基金及业绩基准周净值!AJ244)</f>
        <v/>
      </c>
      <c r="E214" s="12" t="str">
        <f>IF(A214="","",(MAX(B$3:B214)-B214)/MAX(B$3:B214))</f>
        <v/>
      </c>
      <c r="F214" s="12" t="str">
        <f>IF(A214="","",MAX(E$4:E214))</f>
        <v/>
      </c>
      <c r="H214" s="14" t="str">
        <f t="shared" si="13"/>
        <v/>
      </c>
      <c r="I214" s="14" t="str">
        <f t="shared" si="14"/>
        <v/>
      </c>
      <c r="J214" s="15" t="str">
        <f t="shared" si="15"/>
        <v/>
      </c>
    </row>
    <row r="215" spans="1:10">
      <c r="A215" s="7" t="str">
        <f>IF(子基金及业绩基准周净值!A245="","",子基金及业绩基准周净值!A245)</f>
        <v/>
      </c>
      <c r="B215" s="1" t="str">
        <f>IF(A215="","",VLOOKUP($A215,子基金及业绩基准周净值!$A:$AV,13))</f>
        <v/>
      </c>
      <c r="C215" s="8" t="str">
        <f t="shared" si="12"/>
        <v/>
      </c>
      <c r="D215" s="9" t="str">
        <f>IF(A215="","",C215-子基金及业绩基准周净值!AJ245)</f>
        <v/>
      </c>
      <c r="E215" s="12" t="str">
        <f>IF(A215="","",(MAX(B$3:B215)-B215)/MAX(B$3:B215))</f>
        <v/>
      </c>
      <c r="F215" s="12" t="str">
        <f>IF(A215="","",MAX(E$4:E215))</f>
        <v/>
      </c>
      <c r="H215" s="14" t="str">
        <f t="shared" si="13"/>
        <v/>
      </c>
      <c r="I215" s="14" t="str">
        <f t="shared" si="14"/>
        <v/>
      </c>
      <c r="J215" s="15" t="str">
        <f t="shared" si="15"/>
        <v/>
      </c>
    </row>
    <row r="216" spans="1:10">
      <c r="A216" s="7" t="str">
        <f>IF(子基金及业绩基准周净值!A246="","",子基金及业绩基准周净值!A246)</f>
        <v/>
      </c>
      <c r="B216" s="1" t="str">
        <f>IF(A216="","",VLOOKUP($A216,子基金及业绩基准周净值!$A:$AV,13))</f>
        <v/>
      </c>
      <c r="C216" s="8" t="str">
        <f t="shared" si="12"/>
        <v/>
      </c>
      <c r="D216" s="9" t="str">
        <f>IF(A216="","",C216-子基金及业绩基准周净值!AJ246)</f>
        <v/>
      </c>
      <c r="E216" s="12" t="str">
        <f>IF(A216="","",(MAX(B$3:B216)-B216)/MAX(B$3:B216))</f>
        <v/>
      </c>
      <c r="F216" s="12" t="str">
        <f>IF(A216="","",MAX(E$4:E216))</f>
        <v/>
      </c>
      <c r="H216" s="14" t="str">
        <f t="shared" si="13"/>
        <v/>
      </c>
      <c r="I216" s="14" t="str">
        <f t="shared" si="14"/>
        <v/>
      </c>
      <c r="J216" s="15" t="str">
        <f t="shared" si="15"/>
        <v/>
      </c>
    </row>
    <row r="217" spans="1:10">
      <c r="A217" s="7" t="str">
        <f>IF(子基金及业绩基准周净值!A247="","",子基金及业绩基准周净值!A247)</f>
        <v/>
      </c>
      <c r="B217" s="1" t="str">
        <f>IF(A217="","",VLOOKUP($A217,子基金及业绩基准周净值!$A:$AV,13))</f>
        <v/>
      </c>
      <c r="C217" s="8" t="str">
        <f t="shared" si="12"/>
        <v/>
      </c>
      <c r="D217" s="9" t="str">
        <f>IF(A217="","",C217-子基金及业绩基准周净值!AJ247)</f>
        <v/>
      </c>
      <c r="E217" s="12" t="str">
        <f>IF(A217="","",(MAX(B$3:B217)-B217)/MAX(B$3:B217))</f>
        <v/>
      </c>
      <c r="F217" s="12" t="str">
        <f>IF(A217="","",MAX(E$4:E217))</f>
        <v/>
      </c>
      <c r="H217" s="14" t="str">
        <f t="shared" si="13"/>
        <v/>
      </c>
      <c r="I217" s="14" t="str">
        <f t="shared" si="14"/>
        <v/>
      </c>
      <c r="J217" s="15" t="str">
        <f t="shared" si="15"/>
        <v/>
      </c>
    </row>
    <row r="218" spans="1:10">
      <c r="A218" s="7" t="str">
        <f>IF(子基金及业绩基准周净值!A248="","",子基金及业绩基准周净值!A248)</f>
        <v/>
      </c>
      <c r="B218" s="1" t="str">
        <f>IF(A218="","",VLOOKUP($A218,子基金及业绩基准周净值!$A:$AV,13))</f>
        <v/>
      </c>
      <c r="C218" s="8" t="str">
        <f t="shared" si="12"/>
        <v/>
      </c>
      <c r="D218" s="9" t="str">
        <f>IF(A218="","",C218-子基金及业绩基准周净值!AJ248)</f>
        <v/>
      </c>
      <c r="E218" s="12" t="str">
        <f>IF(A218="","",(MAX(B$3:B218)-B218)/MAX(B$3:B218))</f>
        <v/>
      </c>
      <c r="F218" s="12" t="str">
        <f>IF(A218="","",MAX(E$4:E218))</f>
        <v/>
      </c>
      <c r="H218" s="14" t="str">
        <f t="shared" si="13"/>
        <v/>
      </c>
      <c r="I218" s="14" t="str">
        <f t="shared" si="14"/>
        <v/>
      </c>
      <c r="J218" s="15" t="str">
        <f t="shared" si="15"/>
        <v/>
      </c>
    </row>
    <row r="219" spans="1:10">
      <c r="A219" s="7" t="str">
        <f>IF(子基金及业绩基准周净值!A249="","",子基金及业绩基准周净值!A249)</f>
        <v/>
      </c>
      <c r="B219" s="1" t="str">
        <f>IF(A219="","",VLOOKUP($A219,子基金及业绩基准周净值!$A:$AV,13))</f>
        <v/>
      </c>
      <c r="C219" s="8" t="str">
        <f t="shared" si="12"/>
        <v/>
      </c>
      <c r="D219" s="9" t="str">
        <f>IF(A219="","",C219-子基金及业绩基准周净值!AJ249)</f>
        <v/>
      </c>
      <c r="E219" s="12" t="str">
        <f>IF(A219="","",(MAX(B$3:B219)-B219)/MAX(B$3:B219))</f>
        <v/>
      </c>
      <c r="F219" s="12" t="str">
        <f>IF(A219="","",MAX(E$4:E219))</f>
        <v/>
      </c>
      <c r="H219" s="14" t="str">
        <f t="shared" si="13"/>
        <v/>
      </c>
      <c r="I219" s="14" t="str">
        <f t="shared" si="14"/>
        <v/>
      </c>
      <c r="J219" s="15" t="str">
        <f t="shared" si="15"/>
        <v/>
      </c>
    </row>
    <row r="220" spans="1:10">
      <c r="A220" s="7" t="str">
        <f>IF(子基金及业绩基准周净值!A250="","",子基金及业绩基准周净值!A250)</f>
        <v/>
      </c>
      <c r="B220" s="1" t="str">
        <f>IF(A220="","",VLOOKUP($A220,子基金及业绩基准周净值!$A:$AV,13))</f>
        <v/>
      </c>
      <c r="C220" s="8" t="str">
        <f t="shared" si="12"/>
        <v/>
      </c>
      <c r="D220" s="9" t="str">
        <f>IF(A220="","",C220-子基金及业绩基准周净值!AJ250)</f>
        <v/>
      </c>
      <c r="E220" s="12" t="str">
        <f>IF(A220="","",(MAX(B$3:B220)-B220)/MAX(B$3:B220))</f>
        <v/>
      </c>
      <c r="F220" s="12" t="str">
        <f>IF(A220="","",MAX(E$4:E220))</f>
        <v/>
      </c>
      <c r="H220" s="14" t="str">
        <f t="shared" si="13"/>
        <v/>
      </c>
      <c r="I220" s="14" t="str">
        <f t="shared" si="14"/>
        <v/>
      </c>
      <c r="J220" s="15" t="str">
        <f t="shared" si="15"/>
        <v/>
      </c>
    </row>
    <row r="221" spans="1:10">
      <c r="A221" s="7" t="str">
        <f>IF(子基金及业绩基准周净值!A251="","",子基金及业绩基准周净值!A251)</f>
        <v/>
      </c>
      <c r="B221" s="1" t="str">
        <f>IF(A221="","",VLOOKUP($A221,子基金及业绩基准周净值!$A:$AV,13))</f>
        <v/>
      </c>
      <c r="C221" s="8" t="str">
        <f t="shared" si="12"/>
        <v/>
      </c>
      <c r="D221" s="9" t="str">
        <f>IF(A221="","",C221-子基金及业绩基准周净值!AJ251)</f>
        <v/>
      </c>
      <c r="E221" s="12" t="str">
        <f>IF(A221="","",(MAX(B$3:B221)-B221)/MAX(B$3:B221))</f>
        <v/>
      </c>
      <c r="F221" s="12" t="str">
        <f>IF(A221="","",MAX(E$4:E221))</f>
        <v/>
      </c>
      <c r="H221" s="14" t="str">
        <f t="shared" si="13"/>
        <v/>
      </c>
      <c r="I221" s="14" t="str">
        <f t="shared" si="14"/>
        <v/>
      </c>
      <c r="J221" s="15" t="str">
        <f t="shared" si="15"/>
        <v/>
      </c>
    </row>
    <row r="222" spans="1:10">
      <c r="A222" s="7" t="str">
        <f>IF(子基金及业绩基准周净值!A252="","",子基金及业绩基准周净值!A252)</f>
        <v/>
      </c>
      <c r="B222" s="1" t="str">
        <f>IF(A222="","",VLOOKUP($A222,子基金及业绩基准周净值!$A:$AV,13))</f>
        <v/>
      </c>
      <c r="C222" s="8" t="str">
        <f t="shared" si="12"/>
        <v/>
      </c>
      <c r="D222" s="9" t="str">
        <f>IF(A222="","",C222-子基金及业绩基准周净值!AJ252)</f>
        <v/>
      </c>
      <c r="E222" s="12" t="str">
        <f>IF(A222="","",(MAX(B$3:B222)-B222)/MAX(B$3:B222))</f>
        <v/>
      </c>
      <c r="F222" s="12" t="str">
        <f>IF(A222="","",MAX(E$4:E222))</f>
        <v/>
      </c>
      <c r="H222" s="14" t="str">
        <f t="shared" si="13"/>
        <v/>
      </c>
      <c r="I222" s="14" t="str">
        <f t="shared" si="14"/>
        <v/>
      </c>
      <c r="J222" s="15" t="str">
        <f t="shared" si="15"/>
        <v/>
      </c>
    </row>
    <row r="223" spans="1:10">
      <c r="A223" s="7" t="str">
        <f>IF(子基金及业绩基准周净值!A253="","",子基金及业绩基准周净值!A253)</f>
        <v/>
      </c>
      <c r="B223" s="1" t="str">
        <f>IF(A223="","",VLOOKUP($A223,子基金及业绩基准周净值!$A:$AV,13))</f>
        <v/>
      </c>
      <c r="C223" s="8" t="str">
        <f t="shared" si="12"/>
        <v/>
      </c>
      <c r="D223" s="9" t="str">
        <f>IF(A223="","",C223-子基金及业绩基准周净值!AJ253)</f>
        <v/>
      </c>
      <c r="E223" s="12" t="str">
        <f>IF(A223="","",(MAX(B$3:B223)-B223)/MAX(B$3:B223))</f>
        <v/>
      </c>
      <c r="F223" s="12" t="str">
        <f>IF(A223="","",MAX(E$4:E223))</f>
        <v/>
      </c>
      <c r="H223" s="14" t="str">
        <f t="shared" si="13"/>
        <v/>
      </c>
      <c r="I223" s="14" t="str">
        <f t="shared" si="14"/>
        <v/>
      </c>
      <c r="J223" s="15" t="str">
        <f t="shared" si="15"/>
        <v/>
      </c>
    </row>
    <row r="224" spans="1:10">
      <c r="A224" s="7" t="str">
        <f>IF(子基金及业绩基准周净值!A254="","",子基金及业绩基准周净值!A254)</f>
        <v/>
      </c>
      <c r="B224" s="1" t="str">
        <f>IF(A224="","",VLOOKUP($A224,子基金及业绩基准周净值!$A:$AV,13))</f>
        <v/>
      </c>
      <c r="C224" s="8" t="str">
        <f t="shared" si="12"/>
        <v/>
      </c>
      <c r="D224" s="9" t="str">
        <f>IF(A224="","",C224-子基金及业绩基准周净值!AJ254)</f>
        <v/>
      </c>
      <c r="E224" s="12" t="str">
        <f>IF(A224="","",(MAX(B$3:B224)-B224)/MAX(B$3:B224))</f>
        <v/>
      </c>
      <c r="F224" s="12" t="str">
        <f>IF(A224="","",MAX(E$4:E224))</f>
        <v/>
      </c>
      <c r="H224" s="14" t="str">
        <f t="shared" si="13"/>
        <v/>
      </c>
      <c r="I224" s="14" t="str">
        <f t="shared" si="14"/>
        <v/>
      </c>
      <c r="J224" s="15" t="str">
        <f t="shared" si="15"/>
        <v/>
      </c>
    </row>
    <row r="225" spans="1:10">
      <c r="A225" s="7" t="str">
        <f>IF(子基金及业绩基准周净值!A255="","",子基金及业绩基准周净值!A255)</f>
        <v/>
      </c>
      <c r="B225" s="1" t="str">
        <f>IF(A225="","",VLOOKUP($A225,子基金及业绩基准周净值!$A:$AV,13))</f>
        <v/>
      </c>
      <c r="C225" s="8" t="str">
        <f t="shared" si="12"/>
        <v/>
      </c>
      <c r="D225" s="9" t="str">
        <f>IF(A225="","",C225-子基金及业绩基准周净值!AJ255)</f>
        <v/>
      </c>
      <c r="E225" s="12" t="str">
        <f>IF(A225="","",(MAX(B$3:B225)-B225)/MAX(B$3:B225))</f>
        <v/>
      </c>
      <c r="F225" s="12" t="str">
        <f>IF(A225="","",MAX(E$4:E225))</f>
        <v/>
      </c>
      <c r="H225" s="14" t="str">
        <f t="shared" si="13"/>
        <v/>
      </c>
      <c r="I225" s="14" t="str">
        <f t="shared" si="14"/>
        <v/>
      </c>
      <c r="J225" s="15" t="str">
        <f t="shared" si="15"/>
        <v/>
      </c>
    </row>
    <row r="226" spans="1:10">
      <c r="A226" s="7" t="str">
        <f>IF(子基金及业绩基准周净值!A256="","",子基金及业绩基准周净值!A256)</f>
        <v/>
      </c>
      <c r="B226" s="1" t="str">
        <f>IF(A226="","",VLOOKUP($A226,子基金及业绩基准周净值!$A:$AV,13))</f>
        <v/>
      </c>
      <c r="C226" s="8" t="str">
        <f t="shared" si="12"/>
        <v/>
      </c>
      <c r="D226" s="9" t="str">
        <f>IF(A226="","",C226-子基金及业绩基准周净值!AJ256)</f>
        <v/>
      </c>
      <c r="E226" s="12" t="str">
        <f>IF(A226="","",(MAX(B$3:B226)-B226)/MAX(B$3:B226))</f>
        <v/>
      </c>
      <c r="F226" s="12" t="str">
        <f>IF(A226="","",MAX(E$4:E226))</f>
        <v/>
      </c>
      <c r="H226" s="14" t="str">
        <f t="shared" si="13"/>
        <v/>
      </c>
      <c r="I226" s="14" t="str">
        <f t="shared" si="14"/>
        <v/>
      </c>
      <c r="J226" s="15" t="str">
        <f t="shared" si="15"/>
        <v/>
      </c>
    </row>
    <row r="227" spans="1:10">
      <c r="A227" s="7" t="str">
        <f>IF(子基金及业绩基准周净值!A257="","",子基金及业绩基准周净值!A257)</f>
        <v/>
      </c>
      <c r="B227" s="1" t="str">
        <f>IF(A227="","",VLOOKUP($A227,子基金及业绩基准周净值!$A:$AV,13))</f>
        <v/>
      </c>
      <c r="C227" s="8" t="str">
        <f t="shared" si="12"/>
        <v/>
      </c>
      <c r="D227" s="9" t="str">
        <f>IF(A227="","",C227-子基金及业绩基准周净值!AJ257)</f>
        <v/>
      </c>
      <c r="E227" s="12" t="str">
        <f>IF(A227="","",(MAX(B$3:B227)-B227)/MAX(B$3:B227))</f>
        <v/>
      </c>
      <c r="F227" s="12" t="str">
        <f>IF(A227="","",MAX(E$4:E227))</f>
        <v/>
      </c>
      <c r="H227" s="14" t="str">
        <f t="shared" si="13"/>
        <v/>
      </c>
      <c r="I227" s="14" t="str">
        <f t="shared" si="14"/>
        <v/>
      </c>
      <c r="J227" s="15" t="str">
        <f t="shared" si="15"/>
        <v/>
      </c>
    </row>
    <row r="228" spans="1:10">
      <c r="A228" s="7" t="str">
        <f>IF(子基金及业绩基准周净值!A258="","",子基金及业绩基准周净值!A258)</f>
        <v/>
      </c>
      <c r="B228" s="1" t="str">
        <f>IF(A228="","",VLOOKUP($A228,子基金及业绩基准周净值!$A:$AV,13))</f>
        <v/>
      </c>
      <c r="C228" s="8" t="str">
        <f t="shared" si="12"/>
        <v/>
      </c>
      <c r="D228" s="9" t="str">
        <f>IF(A228="","",C228-子基金及业绩基准周净值!AJ258)</f>
        <v/>
      </c>
      <c r="E228" s="12" t="str">
        <f>IF(A228="","",(MAX(B$3:B228)-B228)/MAX(B$3:B228))</f>
        <v/>
      </c>
      <c r="F228" s="12" t="str">
        <f>IF(A228="","",MAX(E$4:E228))</f>
        <v/>
      </c>
      <c r="H228" s="14" t="str">
        <f t="shared" si="13"/>
        <v/>
      </c>
      <c r="I228" s="14" t="str">
        <f t="shared" si="14"/>
        <v/>
      </c>
      <c r="J228" s="15" t="str">
        <f t="shared" si="15"/>
        <v/>
      </c>
    </row>
    <row r="229" spans="1:10">
      <c r="A229" s="7" t="str">
        <f>IF(子基金及业绩基准周净值!A259="","",子基金及业绩基准周净值!A259)</f>
        <v/>
      </c>
      <c r="B229" s="1" t="str">
        <f>IF(A229="","",VLOOKUP($A229,子基金及业绩基准周净值!$A:$AV,13))</f>
        <v/>
      </c>
      <c r="C229" s="8" t="str">
        <f t="shared" si="12"/>
        <v/>
      </c>
      <c r="D229" s="9" t="str">
        <f>IF(A229="","",C229-子基金及业绩基准周净值!AJ259)</f>
        <v/>
      </c>
      <c r="E229" s="12" t="str">
        <f>IF(A229="","",(MAX(B$3:B229)-B229)/MAX(B$3:B229))</f>
        <v/>
      </c>
      <c r="F229" s="12" t="str">
        <f>IF(A229="","",MAX(E$4:E229))</f>
        <v/>
      </c>
      <c r="H229" s="14" t="str">
        <f t="shared" si="13"/>
        <v/>
      </c>
      <c r="I229" s="14" t="str">
        <f t="shared" si="14"/>
        <v/>
      </c>
      <c r="J229" s="15" t="str">
        <f t="shared" si="15"/>
        <v/>
      </c>
    </row>
    <row r="230" spans="1:10">
      <c r="A230" s="7" t="str">
        <f>IF(子基金及业绩基准周净值!A260="","",子基金及业绩基准周净值!A260)</f>
        <v/>
      </c>
      <c r="B230" s="1" t="str">
        <f>IF(A230="","",VLOOKUP($A230,子基金及业绩基准周净值!$A:$AV,13))</f>
        <v/>
      </c>
      <c r="C230" s="8" t="str">
        <f t="shared" si="12"/>
        <v/>
      </c>
      <c r="D230" s="9" t="str">
        <f>IF(A230="","",C230-子基金及业绩基准周净值!AJ260)</f>
        <v/>
      </c>
      <c r="E230" s="12" t="str">
        <f>IF(A230="","",(MAX(B$3:B230)-B230)/MAX(B$3:B230))</f>
        <v/>
      </c>
      <c r="F230" s="12" t="str">
        <f>IF(A230="","",MAX(E$4:E230))</f>
        <v/>
      </c>
      <c r="H230" s="14" t="str">
        <f t="shared" si="13"/>
        <v/>
      </c>
      <c r="I230" s="14" t="str">
        <f t="shared" si="14"/>
        <v/>
      </c>
      <c r="J230" s="15" t="str">
        <f t="shared" si="15"/>
        <v/>
      </c>
    </row>
    <row r="231" spans="1:10">
      <c r="A231" s="7" t="str">
        <f>IF(子基金及业绩基准周净值!A261="","",子基金及业绩基准周净值!A261)</f>
        <v/>
      </c>
      <c r="B231" s="1" t="str">
        <f>IF(A231="","",VLOOKUP($A231,子基金及业绩基准周净值!$A:$AV,13))</f>
        <v/>
      </c>
      <c r="C231" s="8" t="str">
        <f t="shared" si="12"/>
        <v/>
      </c>
      <c r="D231" s="9" t="str">
        <f>IF(A231="","",C231-子基金及业绩基准周净值!AJ261)</f>
        <v/>
      </c>
      <c r="E231" s="12" t="str">
        <f>IF(A231="","",(MAX(B$3:B231)-B231)/MAX(B$3:B231))</f>
        <v/>
      </c>
      <c r="F231" s="12" t="str">
        <f>IF(A231="","",MAX(E$4:E231))</f>
        <v/>
      </c>
      <c r="H231" s="14" t="str">
        <f t="shared" si="13"/>
        <v/>
      </c>
      <c r="I231" s="14" t="str">
        <f t="shared" si="14"/>
        <v/>
      </c>
      <c r="J231" s="15" t="str">
        <f t="shared" si="15"/>
        <v/>
      </c>
    </row>
    <row r="232" spans="1:10">
      <c r="A232" s="7" t="str">
        <f>IF(子基金及业绩基准周净值!A262="","",子基金及业绩基准周净值!A262)</f>
        <v/>
      </c>
      <c r="B232" s="1" t="str">
        <f>IF(A232="","",VLOOKUP($A232,子基金及业绩基准周净值!$A:$AV,13))</f>
        <v/>
      </c>
      <c r="C232" s="8" t="str">
        <f t="shared" si="12"/>
        <v/>
      </c>
      <c r="D232" s="9" t="str">
        <f>IF(A232="","",C232-子基金及业绩基准周净值!AJ262)</f>
        <v/>
      </c>
      <c r="E232" s="12" t="str">
        <f>IF(A232="","",(MAX(B$3:B232)-B232)/MAX(B$3:B232))</f>
        <v/>
      </c>
      <c r="F232" s="12" t="str">
        <f>IF(A232="","",MAX(E$4:E232))</f>
        <v/>
      </c>
      <c r="H232" s="14" t="str">
        <f t="shared" si="13"/>
        <v/>
      </c>
      <c r="I232" s="14" t="str">
        <f t="shared" si="14"/>
        <v/>
      </c>
      <c r="J232" s="15" t="str">
        <f t="shared" si="15"/>
        <v/>
      </c>
    </row>
    <row r="233" spans="1:10">
      <c r="A233" s="7" t="str">
        <f>IF(子基金及业绩基准周净值!A263="","",子基金及业绩基准周净值!A263)</f>
        <v/>
      </c>
      <c r="B233" s="1" t="str">
        <f>IF(A233="","",VLOOKUP($A233,子基金及业绩基准周净值!$A:$AV,13))</f>
        <v/>
      </c>
      <c r="C233" s="8" t="str">
        <f t="shared" si="12"/>
        <v/>
      </c>
      <c r="D233" s="9" t="str">
        <f>IF(A233="","",C233-子基金及业绩基准周净值!AJ263)</f>
        <v/>
      </c>
      <c r="E233" s="12" t="str">
        <f>IF(A233="","",(MAX(B$3:B233)-B233)/MAX(B$3:B233))</f>
        <v/>
      </c>
      <c r="F233" s="12" t="str">
        <f>IF(A233="","",MAX(E$4:E233))</f>
        <v/>
      </c>
      <c r="H233" s="14" t="str">
        <f t="shared" si="13"/>
        <v/>
      </c>
      <c r="I233" s="14" t="str">
        <f t="shared" si="14"/>
        <v/>
      </c>
      <c r="J233" s="15" t="str">
        <f t="shared" si="15"/>
        <v/>
      </c>
    </row>
    <row r="234" spans="1:10">
      <c r="A234" s="7" t="str">
        <f>IF(子基金及业绩基准周净值!A264="","",子基金及业绩基准周净值!A264)</f>
        <v/>
      </c>
      <c r="B234" s="1" t="str">
        <f>IF(A234="","",VLOOKUP($A234,子基金及业绩基准周净值!$A:$AV,13))</f>
        <v/>
      </c>
      <c r="C234" s="8" t="str">
        <f t="shared" si="12"/>
        <v/>
      </c>
      <c r="D234" s="9" t="str">
        <f>IF(A234="","",C234-子基金及业绩基准周净值!AJ264)</f>
        <v/>
      </c>
      <c r="E234" s="12" t="str">
        <f>IF(A234="","",(MAX(B$3:B234)-B234)/MAX(B$3:B234))</f>
        <v/>
      </c>
      <c r="F234" s="12" t="str">
        <f>IF(A234="","",MAX(E$4:E234))</f>
        <v/>
      </c>
      <c r="H234" s="14" t="str">
        <f t="shared" si="13"/>
        <v/>
      </c>
      <c r="I234" s="14" t="str">
        <f t="shared" si="14"/>
        <v/>
      </c>
      <c r="J234" s="15" t="str">
        <f t="shared" si="15"/>
        <v/>
      </c>
    </row>
    <row r="235" spans="1:10">
      <c r="A235" s="7" t="str">
        <f>IF(子基金及业绩基准周净值!A265="","",子基金及业绩基准周净值!A265)</f>
        <v/>
      </c>
      <c r="B235" s="1" t="str">
        <f>IF(A235="","",VLOOKUP($A235,子基金及业绩基准周净值!$A:$AV,13))</f>
        <v/>
      </c>
      <c r="C235" s="8" t="str">
        <f t="shared" si="12"/>
        <v/>
      </c>
      <c r="D235" s="9" t="str">
        <f>IF(A235="","",C235-子基金及业绩基准周净值!AJ265)</f>
        <v/>
      </c>
      <c r="E235" s="12" t="str">
        <f>IF(A235="","",(MAX(B$3:B235)-B235)/MAX(B$3:B235))</f>
        <v/>
      </c>
      <c r="F235" s="12" t="str">
        <f>IF(A235="","",MAX(E$4:E235))</f>
        <v/>
      </c>
      <c r="H235" s="14" t="str">
        <f t="shared" si="13"/>
        <v/>
      </c>
      <c r="I235" s="14" t="str">
        <f t="shared" si="14"/>
        <v/>
      </c>
      <c r="J235" s="15" t="str">
        <f t="shared" si="15"/>
        <v/>
      </c>
    </row>
    <row r="236" spans="1:10">
      <c r="A236" s="7" t="str">
        <f>IF(子基金及业绩基准周净值!A266="","",子基金及业绩基准周净值!A266)</f>
        <v/>
      </c>
      <c r="B236" s="1" t="str">
        <f>IF(A236="","",VLOOKUP($A236,子基金及业绩基准周净值!$A:$AV,13))</f>
        <v/>
      </c>
      <c r="C236" s="8" t="str">
        <f t="shared" si="12"/>
        <v/>
      </c>
      <c r="D236" s="9" t="str">
        <f>IF(A236="","",C236-子基金及业绩基准周净值!AJ266)</f>
        <v/>
      </c>
      <c r="E236" s="12" t="str">
        <f>IF(A236="","",(MAX(B$3:B236)-B236)/MAX(B$3:B236))</f>
        <v/>
      </c>
      <c r="F236" s="12" t="str">
        <f>IF(A236="","",MAX(E$4:E236))</f>
        <v/>
      </c>
      <c r="H236" s="14" t="str">
        <f t="shared" si="13"/>
        <v/>
      </c>
      <c r="I236" s="14" t="str">
        <f t="shared" si="14"/>
        <v/>
      </c>
      <c r="J236" s="15" t="str">
        <f t="shared" si="15"/>
        <v/>
      </c>
    </row>
    <row r="237" spans="1:10">
      <c r="A237" s="7" t="str">
        <f>IF(子基金及业绩基准周净值!A267="","",子基金及业绩基准周净值!A267)</f>
        <v/>
      </c>
      <c r="B237" s="1" t="str">
        <f>IF(A237="","",VLOOKUP($A237,子基金及业绩基准周净值!$A:$AV,13))</f>
        <v/>
      </c>
      <c r="C237" s="8" t="str">
        <f t="shared" si="12"/>
        <v/>
      </c>
      <c r="D237" s="9" t="str">
        <f>IF(A237="","",C237-子基金及业绩基准周净值!AJ267)</f>
        <v/>
      </c>
      <c r="E237" s="12" t="str">
        <f>IF(A237="","",(MAX(B$3:B237)-B237)/MAX(B$3:B237))</f>
        <v/>
      </c>
      <c r="F237" s="12" t="str">
        <f>IF(A237="","",MAX(E$4:E237))</f>
        <v/>
      </c>
      <c r="H237" s="14" t="str">
        <f t="shared" si="13"/>
        <v/>
      </c>
      <c r="I237" s="14" t="str">
        <f t="shared" si="14"/>
        <v/>
      </c>
      <c r="J237" s="15" t="str">
        <f t="shared" si="15"/>
        <v/>
      </c>
    </row>
    <row r="238" spans="1:10">
      <c r="A238" s="7" t="str">
        <f>IF(子基金及业绩基准周净值!A268="","",子基金及业绩基准周净值!A268)</f>
        <v/>
      </c>
      <c r="B238" s="1" t="str">
        <f>IF(A238="","",VLOOKUP($A238,子基金及业绩基准周净值!$A:$AV,13))</f>
        <v/>
      </c>
      <c r="C238" s="8" t="str">
        <f t="shared" si="12"/>
        <v/>
      </c>
      <c r="D238" s="9" t="str">
        <f>IF(A238="","",C238-子基金及业绩基准周净值!AJ268)</f>
        <v/>
      </c>
      <c r="E238" s="12" t="str">
        <f>IF(A238="","",(MAX(B$3:B238)-B238)/MAX(B$3:B238))</f>
        <v/>
      </c>
      <c r="F238" s="12" t="str">
        <f>IF(A238="","",MAX(E$4:E238))</f>
        <v/>
      </c>
      <c r="H238" s="14" t="str">
        <f t="shared" si="13"/>
        <v/>
      </c>
      <c r="I238" s="14" t="str">
        <f t="shared" si="14"/>
        <v/>
      </c>
      <c r="J238" s="15" t="str">
        <f t="shared" si="15"/>
        <v/>
      </c>
    </row>
    <row r="239" spans="1:10">
      <c r="A239" s="7" t="str">
        <f>IF(子基金及业绩基准周净值!A269="","",子基金及业绩基准周净值!A269)</f>
        <v/>
      </c>
      <c r="B239" s="1" t="str">
        <f>IF(A239="","",VLOOKUP($A239,子基金及业绩基准周净值!$A:$AV,13))</f>
        <v/>
      </c>
      <c r="C239" s="8" t="str">
        <f t="shared" si="12"/>
        <v/>
      </c>
      <c r="D239" s="9" t="str">
        <f>IF(A239="","",C239-子基金及业绩基准周净值!AJ269)</f>
        <v/>
      </c>
      <c r="E239" s="12" t="str">
        <f>IF(A239="","",(MAX(B$3:B239)-B239)/MAX(B$3:B239))</f>
        <v/>
      </c>
      <c r="F239" s="12" t="str">
        <f>IF(A239="","",MAX(E$4:E239))</f>
        <v/>
      </c>
      <c r="H239" s="14" t="str">
        <f t="shared" si="13"/>
        <v/>
      </c>
      <c r="I239" s="14" t="str">
        <f t="shared" si="14"/>
        <v/>
      </c>
      <c r="J239" s="15" t="str">
        <f t="shared" si="15"/>
        <v/>
      </c>
    </row>
    <row r="240" spans="1:10">
      <c r="A240" s="7" t="str">
        <f>IF(子基金及业绩基准周净值!A270="","",子基金及业绩基准周净值!A270)</f>
        <v/>
      </c>
      <c r="B240" s="1" t="str">
        <f>IF(A240="","",VLOOKUP($A240,子基金及业绩基准周净值!$A:$AV,13))</f>
        <v/>
      </c>
      <c r="C240" s="8" t="str">
        <f t="shared" si="12"/>
        <v/>
      </c>
      <c r="D240" s="9" t="str">
        <f>IF(A240="","",C240-子基金及业绩基准周净值!AJ270)</f>
        <v/>
      </c>
      <c r="E240" s="12" t="str">
        <f>IF(A240="","",(MAX(B$3:B240)-B240)/MAX(B$3:B240))</f>
        <v/>
      </c>
      <c r="F240" s="12" t="str">
        <f>IF(A240="","",MAX(E$4:E240))</f>
        <v/>
      </c>
      <c r="H240" s="14" t="str">
        <f t="shared" si="13"/>
        <v/>
      </c>
      <c r="I240" s="14" t="str">
        <f t="shared" si="14"/>
        <v/>
      </c>
      <c r="J240" s="15" t="str">
        <f t="shared" si="15"/>
        <v/>
      </c>
    </row>
    <row r="241" spans="1:10">
      <c r="A241" s="7" t="str">
        <f>IF(子基金及业绩基准周净值!A271="","",子基金及业绩基准周净值!A271)</f>
        <v/>
      </c>
      <c r="B241" s="1" t="str">
        <f>IF(A241="","",VLOOKUP($A241,子基金及业绩基准周净值!$A:$AV,13))</f>
        <v/>
      </c>
      <c r="C241" s="8" t="str">
        <f t="shared" si="12"/>
        <v/>
      </c>
      <c r="D241" s="9" t="str">
        <f>IF(A241="","",C241-子基金及业绩基准周净值!AJ271)</f>
        <v/>
      </c>
      <c r="E241" s="12" t="str">
        <f>IF(A241="","",(MAX(B$3:B241)-B241)/MAX(B$3:B241))</f>
        <v/>
      </c>
      <c r="F241" s="12" t="str">
        <f>IF(A241="","",MAX(E$4:E241))</f>
        <v/>
      </c>
      <c r="H241" s="14" t="str">
        <f t="shared" si="13"/>
        <v/>
      </c>
      <c r="I241" s="14" t="str">
        <f t="shared" si="14"/>
        <v/>
      </c>
      <c r="J241" s="15" t="str">
        <f t="shared" si="15"/>
        <v/>
      </c>
    </row>
    <row r="242" spans="1:10">
      <c r="A242" s="7" t="str">
        <f>IF(子基金及业绩基准周净值!A272="","",子基金及业绩基准周净值!A272)</f>
        <v/>
      </c>
      <c r="B242" s="1" t="str">
        <f>IF(A242="","",VLOOKUP($A242,子基金及业绩基准周净值!$A:$AV,13))</f>
        <v/>
      </c>
      <c r="C242" s="8" t="str">
        <f t="shared" si="12"/>
        <v/>
      </c>
      <c r="D242" s="9" t="str">
        <f>IF(A242="","",C242-子基金及业绩基准周净值!AJ272)</f>
        <v/>
      </c>
      <c r="E242" s="12" t="str">
        <f>IF(A242="","",(MAX(B$3:B242)-B242)/MAX(B$3:B242))</f>
        <v/>
      </c>
      <c r="F242" s="12" t="str">
        <f>IF(A242="","",MAX(E$4:E242))</f>
        <v/>
      </c>
      <c r="H242" s="14" t="str">
        <f t="shared" si="13"/>
        <v/>
      </c>
      <c r="I242" s="14" t="str">
        <f t="shared" si="14"/>
        <v/>
      </c>
      <c r="J242" s="15" t="str">
        <f t="shared" si="15"/>
        <v/>
      </c>
    </row>
    <row r="243" spans="1:10">
      <c r="A243" s="7" t="str">
        <f>IF(子基金及业绩基准周净值!A273="","",子基金及业绩基准周净值!A273)</f>
        <v/>
      </c>
      <c r="B243" s="1" t="str">
        <f>IF(A243="","",VLOOKUP($A243,子基金及业绩基准周净值!$A:$AV,13))</f>
        <v/>
      </c>
      <c r="C243" s="8" t="str">
        <f t="shared" si="12"/>
        <v/>
      </c>
      <c r="D243" s="9" t="str">
        <f>IF(A243="","",C243-子基金及业绩基准周净值!AJ273)</f>
        <v/>
      </c>
      <c r="E243" s="12" t="str">
        <f>IF(A243="","",(MAX(B$3:B243)-B243)/MAX(B$3:B243))</f>
        <v/>
      </c>
      <c r="F243" s="12" t="str">
        <f>IF(A243="","",MAX(E$4:E243))</f>
        <v/>
      </c>
      <c r="H243" s="14" t="str">
        <f t="shared" si="13"/>
        <v/>
      </c>
      <c r="I243" s="14" t="str">
        <f t="shared" si="14"/>
        <v/>
      </c>
      <c r="J243" s="15" t="str">
        <f t="shared" si="15"/>
        <v/>
      </c>
    </row>
    <row r="244" spans="1:10">
      <c r="A244" s="7" t="str">
        <f>IF(子基金及业绩基准周净值!A274="","",子基金及业绩基准周净值!A274)</f>
        <v/>
      </c>
      <c r="B244" s="1" t="str">
        <f>IF(A244="","",VLOOKUP($A244,子基金及业绩基准周净值!$A:$AV,13))</f>
        <v/>
      </c>
      <c r="C244" s="8" t="str">
        <f t="shared" si="12"/>
        <v/>
      </c>
      <c r="D244" s="9" t="str">
        <f>IF(A244="","",C244-子基金及业绩基准周净值!AJ274)</f>
        <v/>
      </c>
      <c r="E244" s="12" t="str">
        <f>IF(A244="","",(MAX(B$3:B244)-B244)/MAX(B$3:B244))</f>
        <v/>
      </c>
      <c r="F244" s="12" t="str">
        <f>IF(A244="","",MAX(E$4:E244))</f>
        <v/>
      </c>
      <c r="H244" s="14" t="str">
        <f t="shared" si="13"/>
        <v/>
      </c>
      <c r="I244" s="14" t="str">
        <f t="shared" si="14"/>
        <v/>
      </c>
      <c r="J244" s="15" t="str">
        <f t="shared" si="15"/>
        <v/>
      </c>
    </row>
    <row r="245" spans="1:10">
      <c r="A245" s="7" t="str">
        <f>IF(子基金及业绩基准周净值!A275="","",子基金及业绩基准周净值!A275)</f>
        <v/>
      </c>
      <c r="B245" s="1" t="str">
        <f>IF(A245="","",VLOOKUP($A245,子基金及业绩基准周净值!$A:$AV,13))</f>
        <v/>
      </c>
      <c r="C245" s="8" t="str">
        <f t="shared" si="12"/>
        <v/>
      </c>
      <c r="D245" s="9" t="str">
        <f>IF(A245="","",C245-子基金及业绩基准周净值!AJ275)</f>
        <v/>
      </c>
      <c r="E245" s="12" t="str">
        <f>IF(A245="","",(MAX(B$3:B245)-B245)/MAX(B$3:B245))</f>
        <v/>
      </c>
      <c r="F245" s="12" t="str">
        <f>IF(A245="","",MAX(E$4:E245))</f>
        <v/>
      </c>
      <c r="H245" s="14" t="str">
        <f t="shared" si="13"/>
        <v/>
      </c>
      <c r="I245" s="14" t="str">
        <f t="shared" si="14"/>
        <v/>
      </c>
      <c r="J245" s="15" t="str">
        <f t="shared" si="15"/>
        <v/>
      </c>
    </row>
    <row r="246" spans="1:10">
      <c r="A246" s="7" t="str">
        <f>IF(子基金及业绩基准周净值!A276="","",子基金及业绩基准周净值!A276)</f>
        <v/>
      </c>
      <c r="B246" s="1" t="str">
        <f>IF(A246="","",VLOOKUP($A246,子基金及业绩基准周净值!$A:$AV,13))</f>
        <v/>
      </c>
      <c r="C246" s="8" t="str">
        <f t="shared" si="12"/>
        <v/>
      </c>
      <c r="D246" s="9" t="str">
        <f>IF(A246="","",C246-子基金及业绩基准周净值!AJ276)</f>
        <v/>
      </c>
      <c r="E246" s="12" t="str">
        <f>IF(A246="","",(MAX(B$3:B246)-B246)/MAX(B$3:B246))</f>
        <v/>
      </c>
      <c r="F246" s="12" t="str">
        <f>IF(A246="","",MAX(E$4:E246))</f>
        <v/>
      </c>
      <c r="H246" s="14" t="str">
        <f t="shared" si="13"/>
        <v/>
      </c>
      <c r="I246" s="14" t="str">
        <f t="shared" si="14"/>
        <v/>
      </c>
      <c r="J246" s="15" t="str">
        <f t="shared" si="15"/>
        <v/>
      </c>
    </row>
    <row r="247" spans="1:10">
      <c r="A247" s="7" t="str">
        <f>IF(子基金及业绩基准周净值!A277="","",子基金及业绩基准周净值!A277)</f>
        <v/>
      </c>
      <c r="B247" s="1" t="str">
        <f>IF(A247="","",VLOOKUP($A247,子基金及业绩基准周净值!$A:$AV,13))</f>
        <v/>
      </c>
      <c r="C247" s="8" t="str">
        <f t="shared" si="12"/>
        <v/>
      </c>
      <c r="D247" s="9" t="str">
        <f>IF(A247="","",C247-子基金及业绩基准周净值!AJ277)</f>
        <v/>
      </c>
      <c r="E247" s="12" t="str">
        <f>IF(A247="","",(MAX(B$3:B247)-B247)/MAX(B$3:B247))</f>
        <v/>
      </c>
      <c r="F247" s="12" t="str">
        <f>IF(A247="","",MAX(E$4:E247))</f>
        <v/>
      </c>
      <c r="H247" s="14" t="str">
        <f t="shared" si="13"/>
        <v/>
      </c>
      <c r="I247" s="14" t="str">
        <f t="shared" si="14"/>
        <v/>
      </c>
      <c r="J247" s="15" t="str">
        <f t="shared" si="15"/>
        <v/>
      </c>
    </row>
    <row r="248" spans="1:10">
      <c r="A248" s="7" t="str">
        <f>IF(子基金及业绩基准周净值!A278="","",子基金及业绩基准周净值!A278)</f>
        <v/>
      </c>
      <c r="B248" s="1" t="str">
        <f>IF(A248="","",VLOOKUP($A248,子基金及业绩基准周净值!$A:$AV,13))</f>
        <v/>
      </c>
      <c r="C248" s="8" t="str">
        <f t="shared" si="12"/>
        <v/>
      </c>
      <c r="D248" s="9" t="str">
        <f>IF(A248="","",C248-子基金及业绩基准周净值!AJ278)</f>
        <v/>
      </c>
      <c r="E248" s="12" t="str">
        <f>IF(A248="","",(MAX(B$3:B248)-B248)/MAX(B$3:B248))</f>
        <v/>
      </c>
      <c r="F248" s="12" t="str">
        <f>IF(A248="","",MAX(E$4:E248))</f>
        <v/>
      </c>
      <c r="H248" s="14" t="str">
        <f t="shared" si="13"/>
        <v/>
      </c>
      <c r="I248" s="14" t="str">
        <f t="shared" si="14"/>
        <v/>
      </c>
      <c r="J248" s="15" t="str">
        <f t="shared" si="15"/>
        <v/>
      </c>
    </row>
    <row r="249" spans="1:10">
      <c r="A249" s="7" t="str">
        <f>IF(子基金及业绩基准周净值!A279="","",子基金及业绩基准周净值!A279)</f>
        <v/>
      </c>
      <c r="B249" s="1" t="str">
        <f>IF(A249="","",VLOOKUP($A249,子基金及业绩基准周净值!$A:$AV,13))</f>
        <v/>
      </c>
      <c r="C249" s="8" t="str">
        <f t="shared" si="12"/>
        <v/>
      </c>
      <c r="D249" s="9" t="str">
        <f>IF(A249="","",C249-子基金及业绩基准周净值!AJ279)</f>
        <v/>
      </c>
      <c r="E249" s="12" t="str">
        <f>IF(A249="","",(MAX(B$3:B249)-B249)/MAX(B$3:B249))</f>
        <v/>
      </c>
      <c r="F249" s="12" t="str">
        <f>IF(A249="","",MAX(E$4:E249))</f>
        <v/>
      </c>
      <c r="H249" s="14" t="str">
        <f t="shared" si="13"/>
        <v/>
      </c>
      <c r="I249" s="14" t="str">
        <f t="shared" si="14"/>
        <v/>
      </c>
      <c r="J249" s="15" t="str">
        <f t="shared" si="15"/>
        <v/>
      </c>
    </row>
    <row r="250" spans="1:10">
      <c r="A250" s="7" t="str">
        <f>IF(子基金及业绩基准周净值!A280="","",子基金及业绩基准周净值!A280)</f>
        <v/>
      </c>
      <c r="B250" s="1" t="str">
        <f>IF(A250="","",VLOOKUP($A250,子基金及业绩基准周净值!$A:$AV,13))</f>
        <v/>
      </c>
      <c r="C250" s="8" t="str">
        <f t="shared" si="12"/>
        <v/>
      </c>
      <c r="D250" s="9" t="str">
        <f>IF(A250="","",C250-子基金及业绩基准周净值!AJ280)</f>
        <v/>
      </c>
      <c r="E250" s="12" t="str">
        <f>IF(A250="","",(MAX(B$3:B250)-B250)/MAX(B$3:B250))</f>
        <v/>
      </c>
      <c r="F250" s="12" t="str">
        <f>IF(A250="","",MAX(E$4:E250))</f>
        <v/>
      </c>
      <c r="H250" s="14" t="str">
        <f t="shared" si="13"/>
        <v/>
      </c>
      <c r="I250" s="14" t="str">
        <f t="shared" si="14"/>
        <v/>
      </c>
      <c r="J250" s="15" t="str">
        <f t="shared" si="15"/>
        <v/>
      </c>
    </row>
    <row r="251" spans="1:10">
      <c r="A251" s="7" t="str">
        <f>IF(子基金及业绩基准周净值!A281="","",子基金及业绩基准周净值!A281)</f>
        <v/>
      </c>
      <c r="B251" s="1" t="str">
        <f>IF(A251="","",VLOOKUP($A251,子基金及业绩基准周净值!$A:$AV,13))</f>
        <v/>
      </c>
      <c r="C251" s="8" t="str">
        <f t="shared" si="12"/>
        <v/>
      </c>
      <c r="D251" s="9" t="str">
        <f>IF(A251="","",C251-子基金及业绩基准周净值!AJ281)</f>
        <v/>
      </c>
      <c r="E251" s="12" t="str">
        <f>IF(A251="","",(MAX(B$3:B251)-B251)/MAX(B$3:B251))</f>
        <v/>
      </c>
      <c r="F251" s="12" t="str">
        <f>IF(A251="","",MAX(E$4:E251))</f>
        <v/>
      </c>
      <c r="H251" s="14" t="str">
        <f t="shared" si="13"/>
        <v/>
      </c>
      <c r="I251" s="14" t="str">
        <f t="shared" si="14"/>
        <v/>
      </c>
      <c r="J251" s="15" t="str">
        <f t="shared" si="15"/>
        <v/>
      </c>
    </row>
    <row r="252" spans="1:10">
      <c r="A252" s="7" t="str">
        <f>IF(子基金及业绩基准周净值!A282="","",子基金及业绩基准周净值!A282)</f>
        <v/>
      </c>
      <c r="B252" s="1" t="str">
        <f>IF(A252="","",VLOOKUP($A252,子基金及业绩基准周净值!$A:$AV,13))</f>
        <v/>
      </c>
      <c r="C252" s="8" t="str">
        <f t="shared" si="12"/>
        <v/>
      </c>
      <c r="D252" s="9" t="str">
        <f>IF(A252="","",C252-子基金及业绩基准周净值!AJ282)</f>
        <v/>
      </c>
      <c r="E252" s="12" t="str">
        <f>IF(A252="","",(MAX(B$3:B252)-B252)/MAX(B$3:B252))</f>
        <v/>
      </c>
      <c r="F252" s="12" t="str">
        <f>IF(A252="","",MAX(E$4:E252))</f>
        <v/>
      </c>
      <c r="H252" s="14" t="str">
        <f t="shared" si="13"/>
        <v/>
      </c>
      <c r="I252" s="14" t="str">
        <f t="shared" si="14"/>
        <v/>
      </c>
      <c r="J252" s="15" t="str">
        <f t="shared" si="15"/>
        <v/>
      </c>
    </row>
    <row r="253" spans="1:10">
      <c r="A253" s="7" t="str">
        <f>IF(子基金及业绩基准周净值!A283="","",子基金及业绩基准周净值!A283)</f>
        <v/>
      </c>
      <c r="B253" s="1" t="str">
        <f>IF(A253="","",VLOOKUP($A253,子基金及业绩基准周净值!$A:$AV,13))</f>
        <v/>
      </c>
      <c r="C253" s="8" t="str">
        <f t="shared" si="12"/>
        <v/>
      </c>
      <c r="D253" s="9" t="str">
        <f>IF(A253="","",C253-子基金及业绩基准周净值!AJ283)</f>
        <v/>
      </c>
      <c r="E253" s="12" t="str">
        <f>IF(A253="","",(MAX(B$3:B253)-B253)/MAX(B$3:B253))</f>
        <v/>
      </c>
      <c r="F253" s="12" t="str">
        <f>IF(A253="","",MAX(E$4:E253))</f>
        <v/>
      </c>
      <c r="H253" s="14" t="str">
        <f t="shared" si="13"/>
        <v/>
      </c>
      <c r="I253" s="14" t="str">
        <f t="shared" si="14"/>
        <v/>
      </c>
      <c r="J253" s="15" t="str">
        <f t="shared" si="15"/>
        <v/>
      </c>
    </row>
    <row r="254" spans="1:10">
      <c r="A254" s="7" t="str">
        <f>IF(子基金及业绩基准周净值!A284="","",子基金及业绩基准周净值!A284)</f>
        <v/>
      </c>
      <c r="B254" s="1" t="str">
        <f>IF(A254="","",VLOOKUP($A254,子基金及业绩基准周净值!$A:$AV,13))</f>
        <v/>
      </c>
      <c r="C254" s="8" t="str">
        <f t="shared" si="12"/>
        <v/>
      </c>
      <c r="D254" s="9" t="str">
        <f>IF(A254="","",C254-子基金及业绩基准周净值!AJ284)</f>
        <v/>
      </c>
      <c r="E254" s="12" t="str">
        <f>IF(A254="","",(MAX(B$3:B254)-B254)/MAX(B$3:B254))</f>
        <v/>
      </c>
      <c r="F254" s="12" t="str">
        <f>IF(A254="","",MAX(E$4:E254))</f>
        <v/>
      </c>
      <c r="H254" s="14" t="str">
        <f t="shared" si="13"/>
        <v/>
      </c>
      <c r="I254" s="14" t="str">
        <f t="shared" si="14"/>
        <v/>
      </c>
      <c r="J254" s="15" t="str">
        <f t="shared" si="15"/>
        <v/>
      </c>
    </row>
    <row r="255" spans="1:10">
      <c r="A255" s="7" t="str">
        <f>IF(子基金及业绩基准周净值!A285="","",子基金及业绩基准周净值!A285)</f>
        <v/>
      </c>
      <c r="B255" s="1" t="str">
        <f>IF(A255="","",VLOOKUP($A255,子基金及业绩基准周净值!$A:$AV,13))</f>
        <v/>
      </c>
      <c r="C255" s="8" t="str">
        <f t="shared" si="12"/>
        <v/>
      </c>
      <c r="D255" s="9" t="str">
        <f>IF(A255="","",C255-子基金及业绩基准周净值!AJ285)</f>
        <v/>
      </c>
      <c r="E255" s="12" t="str">
        <f>IF(A255="","",(MAX(B$3:B255)-B255)/MAX(B$3:B255))</f>
        <v/>
      </c>
      <c r="F255" s="12" t="str">
        <f>IF(A255="","",MAX(E$4:E255))</f>
        <v/>
      </c>
      <c r="H255" s="14" t="str">
        <f t="shared" si="13"/>
        <v/>
      </c>
      <c r="I255" s="14" t="str">
        <f t="shared" si="14"/>
        <v/>
      </c>
      <c r="J255" s="15" t="str">
        <f t="shared" si="15"/>
        <v/>
      </c>
    </row>
    <row r="256" spans="1:10">
      <c r="A256" s="7" t="str">
        <f>IF(子基金及业绩基准周净值!A286="","",子基金及业绩基准周净值!A286)</f>
        <v/>
      </c>
      <c r="B256" s="1" t="str">
        <f>IF(A256="","",VLOOKUP($A256,子基金及业绩基准周净值!$A:$AV,13))</f>
        <v/>
      </c>
      <c r="C256" s="8" t="str">
        <f t="shared" si="12"/>
        <v/>
      </c>
      <c r="D256" s="9" t="str">
        <f>IF(A256="","",C256-子基金及业绩基准周净值!AJ286)</f>
        <v/>
      </c>
      <c r="E256" s="12" t="str">
        <f>IF(A256="","",(MAX(B$3:B256)-B256)/MAX(B$3:B256))</f>
        <v/>
      </c>
      <c r="F256" s="12" t="str">
        <f>IF(A256="","",MAX(E$4:E256))</f>
        <v/>
      </c>
      <c r="H256" s="14" t="str">
        <f t="shared" si="13"/>
        <v/>
      </c>
      <c r="I256" s="14" t="str">
        <f t="shared" si="14"/>
        <v/>
      </c>
      <c r="J256" s="15" t="str">
        <f t="shared" si="15"/>
        <v/>
      </c>
    </row>
    <row r="257" spans="1:10">
      <c r="A257" s="7" t="str">
        <f>IF(子基金及业绩基准周净值!A287="","",子基金及业绩基准周净值!A287)</f>
        <v/>
      </c>
      <c r="B257" s="1" t="str">
        <f>IF(A257="","",VLOOKUP($A257,子基金及业绩基准周净值!$A:$AV,13))</f>
        <v/>
      </c>
      <c r="C257" s="8" t="str">
        <f t="shared" si="12"/>
        <v/>
      </c>
      <c r="D257" s="9" t="str">
        <f>IF(A257="","",C257-子基金及业绩基准周净值!AJ287)</f>
        <v/>
      </c>
      <c r="E257" s="12" t="str">
        <f>IF(A257="","",(MAX(B$3:B257)-B257)/MAX(B$3:B257))</f>
        <v/>
      </c>
      <c r="F257" s="12" t="str">
        <f>IF(A257="","",MAX(E$4:E257))</f>
        <v/>
      </c>
      <c r="H257" s="14" t="str">
        <f t="shared" si="13"/>
        <v/>
      </c>
      <c r="I257" s="14" t="str">
        <f t="shared" si="14"/>
        <v/>
      </c>
      <c r="J257" s="15" t="str">
        <f t="shared" si="15"/>
        <v/>
      </c>
    </row>
    <row r="258" spans="1:10">
      <c r="A258" s="7" t="str">
        <f>IF(子基金及业绩基准周净值!A288="","",子基金及业绩基准周净值!A288)</f>
        <v/>
      </c>
      <c r="B258" s="1" t="str">
        <f>IF(A258="","",VLOOKUP($A258,子基金及业绩基准周净值!$A:$AV,13))</f>
        <v/>
      </c>
      <c r="C258" s="8" t="str">
        <f t="shared" si="12"/>
        <v/>
      </c>
      <c r="D258" s="9" t="str">
        <f>IF(A258="","",C258-子基金及业绩基准周净值!AJ288)</f>
        <v/>
      </c>
      <c r="E258" s="12" t="str">
        <f>IF(A258="","",(MAX(B$3:B258)-B258)/MAX(B$3:B258))</f>
        <v/>
      </c>
      <c r="F258" s="12" t="str">
        <f>IF(A258="","",MAX(E$4:E258))</f>
        <v/>
      </c>
      <c r="H258" s="14" t="str">
        <f t="shared" si="13"/>
        <v/>
      </c>
      <c r="I258" s="14" t="str">
        <f t="shared" si="14"/>
        <v/>
      </c>
      <c r="J258" s="15" t="str">
        <f t="shared" si="15"/>
        <v/>
      </c>
    </row>
    <row r="259" spans="1:10">
      <c r="A259" s="7" t="str">
        <f>IF(子基金及业绩基准周净值!A289="","",子基金及业绩基准周净值!A289)</f>
        <v/>
      </c>
      <c r="B259" s="1" t="str">
        <f>IF(A259="","",VLOOKUP($A259,子基金及业绩基准周净值!$A:$AV,13))</f>
        <v/>
      </c>
      <c r="C259" s="8" t="str">
        <f t="shared" si="12"/>
        <v/>
      </c>
      <c r="D259" s="9" t="str">
        <f>IF(A259="","",C259-子基金及业绩基准周净值!AJ289)</f>
        <v/>
      </c>
      <c r="E259" s="12" t="str">
        <f>IF(A259="","",(MAX(B$3:B259)-B259)/MAX(B$3:B259))</f>
        <v/>
      </c>
      <c r="F259" s="12" t="str">
        <f>IF(A259="","",MAX(E$4:E259))</f>
        <v/>
      </c>
      <c r="H259" s="14" t="str">
        <f t="shared" si="13"/>
        <v/>
      </c>
      <c r="I259" s="14" t="str">
        <f t="shared" si="14"/>
        <v/>
      </c>
      <c r="J259" s="15" t="str">
        <f t="shared" si="15"/>
        <v/>
      </c>
    </row>
    <row r="260" spans="1:10">
      <c r="A260" s="7" t="str">
        <f>IF(子基金及业绩基准周净值!A290="","",子基金及业绩基准周净值!A290)</f>
        <v/>
      </c>
      <c r="B260" s="1" t="str">
        <f>IF(A260="","",VLOOKUP($A260,子基金及业绩基准周净值!$A:$AV,13))</f>
        <v/>
      </c>
      <c r="C260" s="8" t="str">
        <f t="shared" si="12"/>
        <v/>
      </c>
      <c r="D260" s="9" t="str">
        <f>IF(A260="","",C260-子基金及业绩基准周净值!AJ290)</f>
        <v/>
      </c>
      <c r="E260" s="12" t="str">
        <f>IF(A260="","",(MAX(B$3:B260)-B260)/MAX(B$3:B260))</f>
        <v/>
      </c>
      <c r="F260" s="12" t="str">
        <f>IF(A260="","",MAX(E$4:E260))</f>
        <v/>
      </c>
      <c r="H260" s="14" t="str">
        <f t="shared" si="13"/>
        <v/>
      </c>
      <c r="I260" s="14" t="str">
        <f t="shared" si="14"/>
        <v/>
      </c>
      <c r="J260" s="15" t="str">
        <f t="shared" si="15"/>
        <v/>
      </c>
    </row>
    <row r="261" spans="1:10">
      <c r="A261" s="7" t="str">
        <f>IF(子基金及业绩基准周净值!A291="","",子基金及业绩基准周净值!A291)</f>
        <v/>
      </c>
      <c r="B261" s="1" t="str">
        <f>IF(A261="","",VLOOKUP($A261,子基金及业绩基准周净值!$A:$AV,13))</f>
        <v/>
      </c>
      <c r="C261" s="8" t="str">
        <f t="shared" ref="C261:C308" si="16">IF(A261="","",(B261-B260)/B260)</f>
        <v/>
      </c>
      <c r="D261" s="9" t="str">
        <f>IF(A261="","",C261-子基金及业绩基准周净值!AJ291)</f>
        <v/>
      </c>
      <c r="E261" s="12" t="str">
        <f>IF(A261="","",(MAX(B$3:B261)-B261)/MAX(B$3:B261))</f>
        <v/>
      </c>
      <c r="F261" s="12" t="str">
        <f>IF(A261="","",MAX(E$4:E261))</f>
        <v/>
      </c>
      <c r="H261" s="14" t="str">
        <f t="shared" ref="H261:H308" si="17">IF(B261="","",IF(C261&lt;-3%,"是","否"))</f>
        <v/>
      </c>
      <c r="I261" s="14" t="str">
        <f t="shared" ref="I261:I308" si="18">IF(A261="","",IF(F261&gt;5%,"是","否"))</f>
        <v/>
      </c>
      <c r="J261" s="15" t="str">
        <f t="shared" ref="J261:J308" si="19">IF(A261="","",IF(G261&gt;=4,"是","否"))</f>
        <v/>
      </c>
    </row>
    <row r="262" spans="1:10">
      <c r="A262" s="7" t="str">
        <f>IF(子基金及业绩基准周净值!A292="","",子基金及业绩基准周净值!A292)</f>
        <v/>
      </c>
      <c r="B262" s="1" t="str">
        <f>IF(A262="","",VLOOKUP($A262,子基金及业绩基准周净值!$A:$AV,13))</f>
        <v/>
      </c>
      <c r="C262" s="8" t="str">
        <f t="shared" si="16"/>
        <v/>
      </c>
      <c r="D262" s="9" t="str">
        <f>IF(A262="","",C262-子基金及业绩基准周净值!AJ292)</f>
        <v/>
      </c>
      <c r="E262" s="12" t="str">
        <f>IF(A262="","",(MAX(B$3:B262)-B262)/MAX(B$3:B262))</f>
        <v/>
      </c>
      <c r="F262" s="12" t="str">
        <f>IF(A262="","",MAX(E$4:E262))</f>
        <v/>
      </c>
      <c r="H262" s="14" t="str">
        <f t="shared" si="17"/>
        <v/>
      </c>
      <c r="I262" s="14" t="str">
        <f t="shared" si="18"/>
        <v/>
      </c>
      <c r="J262" s="15" t="str">
        <f t="shared" si="19"/>
        <v/>
      </c>
    </row>
    <row r="263" spans="1:10">
      <c r="A263" s="7" t="str">
        <f>IF(子基金及业绩基准周净值!A293="","",子基金及业绩基准周净值!A293)</f>
        <v/>
      </c>
      <c r="B263" s="1" t="str">
        <f>IF(A263="","",VLOOKUP($A263,子基金及业绩基准周净值!$A:$AV,13))</f>
        <v/>
      </c>
      <c r="C263" s="8" t="str">
        <f t="shared" si="16"/>
        <v/>
      </c>
      <c r="D263" s="9" t="str">
        <f>IF(A263="","",C263-子基金及业绩基准周净值!AJ293)</f>
        <v/>
      </c>
      <c r="E263" s="12" t="str">
        <f>IF(A263="","",(MAX(B$3:B263)-B263)/MAX(B$3:B263))</f>
        <v/>
      </c>
      <c r="F263" s="12" t="str">
        <f>IF(A263="","",MAX(E$4:E263))</f>
        <v/>
      </c>
      <c r="H263" s="14" t="str">
        <f t="shared" si="17"/>
        <v/>
      </c>
      <c r="I263" s="14" t="str">
        <f t="shared" si="18"/>
        <v/>
      </c>
      <c r="J263" s="15" t="str">
        <f t="shared" si="19"/>
        <v/>
      </c>
    </row>
    <row r="264" spans="1:10">
      <c r="A264" s="7" t="str">
        <f>IF(子基金及业绩基准周净值!A294="","",子基金及业绩基准周净值!A294)</f>
        <v/>
      </c>
      <c r="B264" s="1" t="str">
        <f>IF(A264="","",VLOOKUP($A264,子基金及业绩基准周净值!$A:$AV,13))</f>
        <v/>
      </c>
      <c r="C264" s="8" t="str">
        <f t="shared" si="16"/>
        <v/>
      </c>
      <c r="D264" s="9" t="str">
        <f>IF(A264="","",C264-子基金及业绩基准周净值!AJ294)</f>
        <v/>
      </c>
      <c r="E264" s="12" t="str">
        <f>IF(A264="","",(MAX(B$3:B264)-B264)/MAX(B$3:B264))</f>
        <v/>
      </c>
      <c r="F264" s="12" t="str">
        <f>IF(A264="","",MAX(E$4:E264))</f>
        <v/>
      </c>
      <c r="H264" s="14" t="str">
        <f t="shared" si="17"/>
        <v/>
      </c>
      <c r="I264" s="14" t="str">
        <f t="shared" si="18"/>
        <v/>
      </c>
      <c r="J264" s="15" t="str">
        <f t="shared" si="19"/>
        <v/>
      </c>
    </row>
    <row r="265" spans="1:10">
      <c r="A265" s="7" t="str">
        <f>IF(子基金及业绩基准周净值!A295="","",子基金及业绩基准周净值!A295)</f>
        <v/>
      </c>
      <c r="B265" s="1" t="str">
        <f>IF(A265="","",VLOOKUP($A265,子基金及业绩基准周净值!$A:$AV,13))</f>
        <v/>
      </c>
      <c r="C265" s="8" t="str">
        <f t="shared" si="16"/>
        <v/>
      </c>
      <c r="D265" s="9" t="str">
        <f>IF(A265="","",C265-子基金及业绩基准周净值!AJ295)</f>
        <v/>
      </c>
      <c r="E265" s="12" t="str">
        <f>IF(A265="","",(MAX(B$3:B265)-B265)/MAX(B$3:B265))</f>
        <v/>
      </c>
      <c r="F265" s="12" t="str">
        <f>IF(A265="","",MAX(E$4:E265))</f>
        <v/>
      </c>
      <c r="H265" s="14" t="str">
        <f t="shared" si="17"/>
        <v/>
      </c>
      <c r="I265" s="14" t="str">
        <f t="shared" si="18"/>
        <v/>
      </c>
      <c r="J265" s="15" t="str">
        <f t="shared" si="19"/>
        <v/>
      </c>
    </row>
    <row r="266" spans="1:10">
      <c r="A266" s="7" t="str">
        <f>IF(子基金及业绩基准周净值!A296="","",子基金及业绩基准周净值!A296)</f>
        <v/>
      </c>
      <c r="B266" s="1" t="str">
        <f>IF(A266="","",VLOOKUP($A266,子基金及业绩基准周净值!$A:$AV,13))</f>
        <v/>
      </c>
      <c r="C266" s="8" t="str">
        <f t="shared" si="16"/>
        <v/>
      </c>
      <c r="D266" s="9" t="str">
        <f>IF(A266="","",C266-子基金及业绩基准周净值!AJ296)</f>
        <v/>
      </c>
      <c r="E266" s="12" t="str">
        <f>IF(A266="","",(MAX(B$3:B266)-B266)/MAX(B$3:B266))</f>
        <v/>
      </c>
      <c r="F266" s="12" t="str">
        <f>IF(A266="","",MAX(E$4:E266))</f>
        <v/>
      </c>
      <c r="H266" s="14" t="str">
        <f t="shared" si="17"/>
        <v/>
      </c>
      <c r="I266" s="14" t="str">
        <f t="shared" si="18"/>
        <v/>
      </c>
      <c r="J266" s="15" t="str">
        <f t="shared" si="19"/>
        <v/>
      </c>
    </row>
    <row r="267" spans="1:10">
      <c r="A267" s="7" t="str">
        <f>IF(子基金及业绩基准周净值!A297="","",子基金及业绩基准周净值!A297)</f>
        <v/>
      </c>
      <c r="B267" s="1" t="str">
        <f>IF(A267="","",VLOOKUP($A267,子基金及业绩基准周净值!$A:$AV,13))</f>
        <v/>
      </c>
      <c r="C267" s="8" t="str">
        <f t="shared" si="16"/>
        <v/>
      </c>
      <c r="D267" s="9" t="str">
        <f>IF(A267="","",C267-子基金及业绩基准周净值!AJ297)</f>
        <v/>
      </c>
      <c r="E267" s="12" t="str">
        <f>IF(A267="","",(MAX(B$3:B267)-B267)/MAX(B$3:B267))</f>
        <v/>
      </c>
      <c r="F267" s="12" t="str">
        <f>IF(A267="","",MAX(E$4:E267))</f>
        <v/>
      </c>
      <c r="H267" s="14" t="str">
        <f t="shared" si="17"/>
        <v/>
      </c>
      <c r="I267" s="14" t="str">
        <f t="shared" si="18"/>
        <v/>
      </c>
      <c r="J267" s="15" t="str">
        <f t="shared" si="19"/>
        <v/>
      </c>
    </row>
    <row r="268" spans="1:10">
      <c r="A268" s="7" t="str">
        <f>IF(子基金及业绩基准周净值!A298="","",子基金及业绩基准周净值!A298)</f>
        <v/>
      </c>
      <c r="B268" s="1" t="str">
        <f>IF(A268="","",VLOOKUP($A268,子基金及业绩基准周净值!$A:$AV,13))</f>
        <v/>
      </c>
      <c r="C268" s="8" t="str">
        <f t="shared" si="16"/>
        <v/>
      </c>
      <c r="D268" s="9" t="str">
        <f>IF(A268="","",C268-子基金及业绩基准周净值!AJ298)</f>
        <v/>
      </c>
      <c r="E268" s="12" t="str">
        <f>IF(A268="","",(MAX(B$3:B268)-B268)/MAX(B$3:B268))</f>
        <v/>
      </c>
      <c r="F268" s="12" t="str">
        <f>IF(A268="","",MAX(E$4:E268))</f>
        <v/>
      </c>
      <c r="H268" s="14" t="str">
        <f t="shared" si="17"/>
        <v/>
      </c>
      <c r="I268" s="14" t="str">
        <f t="shared" si="18"/>
        <v/>
      </c>
      <c r="J268" s="15" t="str">
        <f t="shared" si="19"/>
        <v/>
      </c>
    </row>
    <row r="269" spans="1:10">
      <c r="A269" s="7" t="str">
        <f>IF(子基金及业绩基准周净值!A299="","",子基金及业绩基准周净值!A299)</f>
        <v/>
      </c>
      <c r="B269" s="1" t="str">
        <f>IF(A269="","",VLOOKUP($A269,子基金及业绩基准周净值!$A:$AV,13))</f>
        <v/>
      </c>
      <c r="C269" s="8" t="str">
        <f t="shared" si="16"/>
        <v/>
      </c>
      <c r="D269" s="9" t="str">
        <f>IF(A269="","",C269-子基金及业绩基准周净值!AJ299)</f>
        <v/>
      </c>
      <c r="E269" s="12" t="str">
        <f>IF(A269="","",(MAX(B$3:B269)-B269)/MAX(B$3:B269))</f>
        <v/>
      </c>
      <c r="F269" s="12" t="str">
        <f>IF(A269="","",MAX(E$4:E269))</f>
        <v/>
      </c>
      <c r="H269" s="14" t="str">
        <f t="shared" si="17"/>
        <v/>
      </c>
      <c r="I269" s="14" t="str">
        <f t="shared" si="18"/>
        <v/>
      </c>
      <c r="J269" s="15" t="str">
        <f t="shared" si="19"/>
        <v/>
      </c>
    </row>
    <row r="270" spans="1:10">
      <c r="A270" s="7" t="str">
        <f>IF(子基金及业绩基准周净值!A300="","",子基金及业绩基准周净值!A300)</f>
        <v/>
      </c>
      <c r="B270" s="1" t="str">
        <f>IF(A270="","",VLOOKUP($A270,子基金及业绩基准周净值!$A:$AV,13))</f>
        <v/>
      </c>
      <c r="C270" s="8" t="str">
        <f t="shared" si="16"/>
        <v/>
      </c>
      <c r="D270" s="9" t="str">
        <f>IF(A270="","",C270-子基金及业绩基准周净值!AJ300)</f>
        <v/>
      </c>
      <c r="E270" s="12" t="str">
        <f>IF(A270="","",(MAX(B$3:B270)-B270)/MAX(B$3:B270))</f>
        <v/>
      </c>
      <c r="F270" s="12" t="str">
        <f>IF(A270="","",MAX(E$4:E270))</f>
        <v/>
      </c>
      <c r="H270" s="14" t="str">
        <f t="shared" si="17"/>
        <v/>
      </c>
      <c r="I270" s="14" t="str">
        <f t="shared" si="18"/>
        <v/>
      </c>
      <c r="J270" s="15" t="str">
        <f t="shared" si="19"/>
        <v/>
      </c>
    </row>
    <row r="271" spans="1:10">
      <c r="A271" s="7" t="str">
        <f>IF(子基金及业绩基准周净值!A301="","",子基金及业绩基准周净值!A301)</f>
        <v/>
      </c>
      <c r="B271" s="1" t="str">
        <f>IF(A271="","",VLOOKUP($A271,子基金及业绩基准周净值!$A:$AV,13))</f>
        <v/>
      </c>
      <c r="C271" s="8" t="str">
        <f t="shared" si="16"/>
        <v/>
      </c>
      <c r="D271" s="9" t="str">
        <f>IF(A271="","",C271-子基金及业绩基准周净值!AJ301)</f>
        <v/>
      </c>
      <c r="E271" s="12" t="str">
        <f>IF(A271="","",(MAX(B$3:B271)-B271)/MAX(B$3:B271))</f>
        <v/>
      </c>
      <c r="F271" s="12" t="str">
        <f>IF(A271="","",MAX(E$4:E271))</f>
        <v/>
      </c>
      <c r="H271" s="14" t="str">
        <f t="shared" si="17"/>
        <v/>
      </c>
      <c r="I271" s="14" t="str">
        <f t="shared" si="18"/>
        <v/>
      </c>
      <c r="J271" s="15" t="str">
        <f t="shared" si="19"/>
        <v/>
      </c>
    </row>
    <row r="272" spans="1:10">
      <c r="A272" s="7" t="str">
        <f>IF(子基金及业绩基准周净值!A302="","",子基金及业绩基准周净值!A302)</f>
        <v/>
      </c>
      <c r="B272" s="1" t="str">
        <f>IF(A272="","",VLOOKUP($A272,子基金及业绩基准周净值!$A:$AV,13))</f>
        <v/>
      </c>
      <c r="C272" s="8" t="str">
        <f t="shared" si="16"/>
        <v/>
      </c>
      <c r="D272" s="9" t="str">
        <f>IF(A272="","",C272-子基金及业绩基准周净值!AJ302)</f>
        <v/>
      </c>
      <c r="E272" s="12" t="str">
        <f>IF(A272="","",(MAX(B$3:B272)-B272)/MAX(B$3:B272))</f>
        <v/>
      </c>
      <c r="F272" s="12" t="str">
        <f>IF(A272="","",MAX(E$4:E272))</f>
        <v/>
      </c>
      <c r="H272" s="14" t="str">
        <f t="shared" si="17"/>
        <v/>
      </c>
      <c r="I272" s="14" t="str">
        <f t="shared" si="18"/>
        <v/>
      </c>
      <c r="J272" s="15" t="str">
        <f t="shared" si="19"/>
        <v/>
      </c>
    </row>
    <row r="273" spans="1:10">
      <c r="A273" s="7" t="str">
        <f>IF(子基金及业绩基准周净值!A303="","",子基金及业绩基准周净值!A303)</f>
        <v/>
      </c>
      <c r="B273" s="1" t="str">
        <f>IF(A273="","",VLOOKUP($A273,子基金及业绩基准周净值!$A:$AV,13))</f>
        <v/>
      </c>
      <c r="C273" s="8" t="str">
        <f t="shared" si="16"/>
        <v/>
      </c>
      <c r="D273" s="9" t="str">
        <f>IF(A273="","",C273-子基金及业绩基准周净值!AJ303)</f>
        <v/>
      </c>
      <c r="E273" s="12" t="str">
        <f>IF(A273="","",(MAX(B$3:B273)-B273)/MAX(B$3:B273))</f>
        <v/>
      </c>
      <c r="F273" s="12" t="str">
        <f>IF(A273="","",MAX(E$4:E273))</f>
        <v/>
      </c>
      <c r="H273" s="14" t="str">
        <f t="shared" si="17"/>
        <v/>
      </c>
      <c r="I273" s="14" t="str">
        <f t="shared" si="18"/>
        <v/>
      </c>
      <c r="J273" s="15" t="str">
        <f t="shared" si="19"/>
        <v/>
      </c>
    </row>
    <row r="274" spans="1:10">
      <c r="A274" s="7" t="str">
        <f>IF(子基金及业绩基准周净值!A304="","",子基金及业绩基准周净值!A304)</f>
        <v/>
      </c>
      <c r="B274" s="1" t="str">
        <f>IF(A274="","",VLOOKUP($A274,子基金及业绩基准周净值!$A:$AV,13))</f>
        <v/>
      </c>
      <c r="C274" s="8" t="str">
        <f t="shared" si="16"/>
        <v/>
      </c>
      <c r="D274" s="9" t="str">
        <f>IF(A274="","",C274-子基金及业绩基准周净值!AJ304)</f>
        <v/>
      </c>
      <c r="E274" s="12" t="str">
        <f>IF(A274="","",(MAX(B$3:B274)-B274)/MAX(B$3:B274))</f>
        <v/>
      </c>
      <c r="F274" s="12" t="str">
        <f>IF(A274="","",MAX(E$4:E274))</f>
        <v/>
      </c>
      <c r="H274" s="14" t="str">
        <f t="shared" si="17"/>
        <v/>
      </c>
      <c r="I274" s="14" t="str">
        <f t="shared" si="18"/>
        <v/>
      </c>
      <c r="J274" s="15" t="str">
        <f t="shared" si="19"/>
        <v/>
      </c>
    </row>
    <row r="275" spans="1:10">
      <c r="A275" s="7" t="str">
        <f>IF(子基金及业绩基准周净值!A305="","",子基金及业绩基准周净值!A305)</f>
        <v/>
      </c>
      <c r="B275" s="1" t="str">
        <f>IF(A275="","",VLOOKUP($A275,子基金及业绩基准周净值!$A:$AV,13))</f>
        <v/>
      </c>
      <c r="C275" s="8" t="str">
        <f t="shared" si="16"/>
        <v/>
      </c>
      <c r="D275" s="9" t="str">
        <f>IF(A275="","",C275-子基金及业绩基准周净值!AJ305)</f>
        <v/>
      </c>
      <c r="E275" s="12" t="str">
        <f>IF(A275="","",(MAX(B$3:B275)-B275)/MAX(B$3:B275))</f>
        <v/>
      </c>
      <c r="F275" s="12" t="str">
        <f>IF(A275="","",MAX(E$4:E275))</f>
        <v/>
      </c>
      <c r="H275" s="14" t="str">
        <f t="shared" si="17"/>
        <v/>
      </c>
      <c r="I275" s="14" t="str">
        <f t="shared" si="18"/>
        <v/>
      </c>
      <c r="J275" s="15" t="str">
        <f t="shared" si="19"/>
        <v/>
      </c>
    </row>
    <row r="276" spans="1:10">
      <c r="A276" s="7" t="str">
        <f>IF(子基金及业绩基准周净值!A306="","",子基金及业绩基准周净值!A306)</f>
        <v/>
      </c>
      <c r="B276" s="1" t="str">
        <f>IF(A276="","",VLOOKUP($A276,子基金及业绩基准周净值!$A:$AV,13))</f>
        <v/>
      </c>
      <c r="C276" s="8" t="str">
        <f t="shared" si="16"/>
        <v/>
      </c>
      <c r="D276" s="9" t="str">
        <f>IF(A276="","",C276-子基金及业绩基准周净值!AJ306)</f>
        <v/>
      </c>
      <c r="E276" s="12" t="str">
        <f>IF(A276="","",(MAX(B$3:B276)-B276)/MAX(B$3:B276))</f>
        <v/>
      </c>
      <c r="F276" s="12" t="str">
        <f>IF(A276="","",MAX(E$4:E276))</f>
        <v/>
      </c>
      <c r="H276" s="14" t="str">
        <f t="shared" si="17"/>
        <v/>
      </c>
      <c r="I276" s="14" t="str">
        <f t="shared" si="18"/>
        <v/>
      </c>
      <c r="J276" s="15" t="str">
        <f t="shared" si="19"/>
        <v/>
      </c>
    </row>
    <row r="277" spans="1:10">
      <c r="A277" s="7" t="str">
        <f>IF(子基金及业绩基准周净值!A307="","",子基金及业绩基准周净值!A307)</f>
        <v/>
      </c>
      <c r="B277" s="1" t="str">
        <f>IF(A277="","",VLOOKUP($A277,子基金及业绩基准周净值!$A:$AV,13))</f>
        <v/>
      </c>
      <c r="C277" s="8" t="str">
        <f t="shared" si="16"/>
        <v/>
      </c>
      <c r="D277" s="9" t="str">
        <f>IF(A277="","",C277-子基金及业绩基准周净值!AJ307)</f>
        <v/>
      </c>
      <c r="E277" s="12" t="str">
        <f>IF(A277="","",(MAX(B$3:B277)-B277)/MAX(B$3:B277))</f>
        <v/>
      </c>
      <c r="F277" s="12" t="str">
        <f>IF(A277="","",MAX(E$4:E277))</f>
        <v/>
      </c>
      <c r="H277" s="14" t="str">
        <f t="shared" si="17"/>
        <v/>
      </c>
      <c r="I277" s="14" t="str">
        <f t="shared" si="18"/>
        <v/>
      </c>
      <c r="J277" s="15" t="str">
        <f t="shared" si="19"/>
        <v/>
      </c>
    </row>
    <row r="278" spans="1:10">
      <c r="A278" s="7" t="str">
        <f>IF(子基金及业绩基准周净值!A308="","",子基金及业绩基准周净值!A308)</f>
        <v/>
      </c>
      <c r="B278" s="1" t="str">
        <f>IF(A278="","",VLOOKUP($A278,子基金及业绩基准周净值!$A:$AV,13))</f>
        <v/>
      </c>
      <c r="C278" s="8" t="str">
        <f t="shared" si="16"/>
        <v/>
      </c>
      <c r="D278" s="9" t="str">
        <f>IF(A278="","",C278-子基金及业绩基准周净值!AJ308)</f>
        <v/>
      </c>
      <c r="E278" s="12" t="str">
        <f>IF(A278="","",(MAX(B$3:B278)-B278)/MAX(B$3:B278))</f>
        <v/>
      </c>
      <c r="F278" s="12" t="str">
        <f>IF(A278="","",MAX(E$4:E278))</f>
        <v/>
      </c>
      <c r="H278" s="14" t="str">
        <f t="shared" si="17"/>
        <v/>
      </c>
      <c r="I278" s="14" t="str">
        <f t="shared" si="18"/>
        <v/>
      </c>
      <c r="J278" s="15" t="str">
        <f t="shared" si="19"/>
        <v/>
      </c>
    </row>
    <row r="279" spans="1:10">
      <c r="A279" s="7" t="str">
        <f>IF(子基金及业绩基准周净值!A309="","",子基金及业绩基准周净值!A309)</f>
        <v/>
      </c>
      <c r="B279" s="1" t="str">
        <f>IF(A279="","",VLOOKUP($A279,子基金及业绩基准周净值!$A:$AV,13))</f>
        <v/>
      </c>
      <c r="C279" s="8" t="str">
        <f t="shared" si="16"/>
        <v/>
      </c>
      <c r="D279" s="9" t="str">
        <f>IF(A279="","",C279-子基金及业绩基准周净值!AJ309)</f>
        <v/>
      </c>
      <c r="E279" s="12" t="str">
        <f>IF(A279="","",(MAX(B$3:B279)-B279)/MAX(B$3:B279))</f>
        <v/>
      </c>
      <c r="F279" s="12" t="str">
        <f>IF(A279="","",MAX(E$4:E279))</f>
        <v/>
      </c>
      <c r="H279" s="14" t="str">
        <f t="shared" si="17"/>
        <v/>
      </c>
      <c r="I279" s="14" t="str">
        <f t="shared" si="18"/>
        <v/>
      </c>
      <c r="J279" s="15" t="str">
        <f t="shared" si="19"/>
        <v/>
      </c>
    </row>
    <row r="280" spans="1:10">
      <c r="A280" s="7" t="str">
        <f>IF(子基金及业绩基准周净值!A310="","",子基金及业绩基准周净值!A310)</f>
        <v/>
      </c>
      <c r="B280" s="1" t="str">
        <f>IF(A280="","",VLOOKUP($A280,子基金及业绩基准周净值!$A:$AV,13))</f>
        <v/>
      </c>
      <c r="C280" s="8" t="str">
        <f t="shared" si="16"/>
        <v/>
      </c>
      <c r="D280" s="9" t="str">
        <f>IF(A280="","",C280-子基金及业绩基准周净值!AJ310)</f>
        <v/>
      </c>
      <c r="E280" s="12" t="str">
        <f>IF(A280="","",(MAX(B$3:B280)-B280)/MAX(B$3:B280))</f>
        <v/>
      </c>
      <c r="F280" s="12" t="str">
        <f>IF(A280="","",MAX(E$4:E280))</f>
        <v/>
      </c>
      <c r="H280" s="14" t="str">
        <f t="shared" si="17"/>
        <v/>
      </c>
      <c r="I280" s="14" t="str">
        <f t="shared" si="18"/>
        <v/>
      </c>
      <c r="J280" s="15" t="str">
        <f t="shared" si="19"/>
        <v/>
      </c>
    </row>
    <row r="281" spans="1:10">
      <c r="A281" s="7" t="str">
        <f>IF(子基金及业绩基准周净值!A311="","",子基金及业绩基准周净值!A311)</f>
        <v/>
      </c>
      <c r="B281" s="1" t="str">
        <f>IF(A281="","",VLOOKUP($A281,子基金及业绩基准周净值!$A:$AV,13))</f>
        <v/>
      </c>
      <c r="C281" s="8" t="str">
        <f t="shared" si="16"/>
        <v/>
      </c>
      <c r="D281" s="9" t="str">
        <f>IF(A281="","",C281-子基金及业绩基准周净值!AJ311)</f>
        <v/>
      </c>
      <c r="E281" s="12" t="str">
        <f>IF(A281="","",(MAX(B$3:B281)-B281)/MAX(B$3:B281))</f>
        <v/>
      </c>
      <c r="F281" s="12" t="str">
        <f>IF(A281="","",MAX(E$4:E281))</f>
        <v/>
      </c>
      <c r="H281" s="14" t="str">
        <f t="shared" si="17"/>
        <v/>
      </c>
      <c r="I281" s="14" t="str">
        <f t="shared" si="18"/>
        <v/>
      </c>
      <c r="J281" s="15" t="str">
        <f t="shared" si="19"/>
        <v/>
      </c>
    </row>
    <row r="282" spans="1:10">
      <c r="A282" s="7" t="str">
        <f>IF(子基金及业绩基准周净值!A312="","",子基金及业绩基准周净值!A312)</f>
        <v/>
      </c>
      <c r="B282" s="1" t="str">
        <f>IF(A282="","",VLOOKUP($A282,子基金及业绩基准周净值!$A:$AV,13))</f>
        <v/>
      </c>
      <c r="C282" s="8" t="str">
        <f t="shared" si="16"/>
        <v/>
      </c>
      <c r="D282" s="9" t="str">
        <f>IF(A282="","",C282-子基金及业绩基准周净值!AJ312)</f>
        <v/>
      </c>
      <c r="E282" s="12" t="str">
        <f>IF(A282="","",(MAX(B$3:B282)-B282)/MAX(B$3:B282))</f>
        <v/>
      </c>
      <c r="F282" s="12" t="str">
        <f>IF(A282="","",MAX(E$4:E282))</f>
        <v/>
      </c>
      <c r="H282" s="14" t="str">
        <f t="shared" si="17"/>
        <v/>
      </c>
      <c r="I282" s="14" t="str">
        <f t="shared" si="18"/>
        <v/>
      </c>
      <c r="J282" s="15" t="str">
        <f t="shared" si="19"/>
        <v/>
      </c>
    </row>
    <row r="283" spans="1:10">
      <c r="A283" s="7" t="str">
        <f>IF(子基金及业绩基准周净值!A313="","",子基金及业绩基准周净值!A313)</f>
        <v/>
      </c>
      <c r="B283" s="1" t="str">
        <f>IF(A283="","",VLOOKUP($A283,子基金及业绩基准周净值!$A:$AV,13))</f>
        <v/>
      </c>
      <c r="C283" s="8" t="str">
        <f t="shared" si="16"/>
        <v/>
      </c>
      <c r="D283" s="9" t="str">
        <f>IF(A283="","",C283-子基金及业绩基准周净值!AJ313)</f>
        <v/>
      </c>
      <c r="E283" s="12" t="str">
        <f>IF(A283="","",(MAX(B$3:B283)-B283)/MAX(B$3:B283))</f>
        <v/>
      </c>
      <c r="F283" s="12" t="str">
        <f>IF(A283="","",MAX(E$4:E283))</f>
        <v/>
      </c>
      <c r="H283" s="14" t="str">
        <f t="shared" si="17"/>
        <v/>
      </c>
      <c r="I283" s="14" t="str">
        <f t="shared" si="18"/>
        <v/>
      </c>
      <c r="J283" s="15" t="str">
        <f t="shared" si="19"/>
        <v/>
      </c>
    </row>
    <row r="284" spans="1:10">
      <c r="A284" s="7" t="str">
        <f>IF(子基金及业绩基准周净值!A314="","",子基金及业绩基准周净值!A314)</f>
        <v/>
      </c>
      <c r="B284" s="1" t="str">
        <f>IF(A284="","",VLOOKUP($A284,子基金及业绩基准周净值!$A:$AV,13))</f>
        <v/>
      </c>
      <c r="C284" s="8" t="str">
        <f t="shared" si="16"/>
        <v/>
      </c>
      <c r="D284" s="9" t="str">
        <f>IF(A284="","",C284-子基金及业绩基准周净值!AJ314)</f>
        <v/>
      </c>
      <c r="E284" s="12" t="str">
        <f>IF(A284="","",(MAX(B$3:B284)-B284)/MAX(B$3:B284))</f>
        <v/>
      </c>
      <c r="F284" s="12" t="str">
        <f>IF(A284="","",MAX(E$4:E284))</f>
        <v/>
      </c>
      <c r="H284" s="14" t="str">
        <f t="shared" si="17"/>
        <v/>
      </c>
      <c r="I284" s="14" t="str">
        <f t="shared" si="18"/>
        <v/>
      </c>
      <c r="J284" s="15" t="str">
        <f t="shared" si="19"/>
        <v/>
      </c>
    </row>
    <row r="285" spans="1:10">
      <c r="A285" s="7" t="str">
        <f>IF(子基金及业绩基准周净值!A315="","",子基金及业绩基准周净值!A315)</f>
        <v/>
      </c>
      <c r="B285" s="1" t="str">
        <f>IF(A285="","",VLOOKUP($A285,子基金及业绩基准周净值!$A:$AV,13))</f>
        <v/>
      </c>
      <c r="C285" s="8" t="str">
        <f t="shared" si="16"/>
        <v/>
      </c>
      <c r="D285" s="9" t="str">
        <f>IF(A285="","",C285-子基金及业绩基准周净值!AJ315)</f>
        <v/>
      </c>
      <c r="E285" s="12" t="str">
        <f>IF(A285="","",(MAX(B$3:B285)-B285)/MAX(B$3:B285))</f>
        <v/>
      </c>
      <c r="F285" s="12" t="str">
        <f>IF(A285="","",MAX(E$4:E285))</f>
        <v/>
      </c>
      <c r="H285" s="14" t="str">
        <f t="shared" si="17"/>
        <v/>
      </c>
      <c r="I285" s="14" t="str">
        <f t="shared" si="18"/>
        <v/>
      </c>
      <c r="J285" s="15" t="str">
        <f t="shared" si="19"/>
        <v/>
      </c>
    </row>
    <row r="286" spans="1:10">
      <c r="A286" s="7" t="str">
        <f>IF(子基金及业绩基准周净值!A316="","",子基金及业绩基准周净值!A316)</f>
        <v/>
      </c>
      <c r="B286" s="1" t="str">
        <f>IF(A286="","",VLOOKUP($A286,子基金及业绩基准周净值!$A:$AV,13))</f>
        <v/>
      </c>
      <c r="C286" s="8" t="str">
        <f t="shared" si="16"/>
        <v/>
      </c>
      <c r="D286" s="9" t="str">
        <f>IF(A286="","",C286-子基金及业绩基准周净值!AJ316)</f>
        <v/>
      </c>
      <c r="E286" s="12" t="str">
        <f>IF(A286="","",(MAX(B$3:B286)-B286)/MAX(B$3:B286))</f>
        <v/>
      </c>
      <c r="F286" s="12" t="str">
        <f>IF(A286="","",MAX(E$4:E286))</f>
        <v/>
      </c>
      <c r="H286" s="14" t="str">
        <f t="shared" si="17"/>
        <v/>
      </c>
      <c r="I286" s="14" t="str">
        <f t="shared" si="18"/>
        <v/>
      </c>
      <c r="J286" s="15" t="str">
        <f t="shared" si="19"/>
        <v/>
      </c>
    </row>
    <row r="287" spans="1:10">
      <c r="A287" s="7" t="str">
        <f>IF(子基金及业绩基准周净值!A317="","",子基金及业绩基准周净值!A317)</f>
        <v/>
      </c>
      <c r="B287" s="1" t="str">
        <f>IF(A287="","",VLOOKUP($A287,子基金及业绩基准周净值!$A:$AV,13))</f>
        <v/>
      </c>
      <c r="C287" s="8" t="str">
        <f t="shared" si="16"/>
        <v/>
      </c>
      <c r="D287" s="9" t="str">
        <f>IF(A287="","",C287-子基金及业绩基准周净值!AJ317)</f>
        <v/>
      </c>
      <c r="E287" s="12" t="str">
        <f>IF(A287="","",(MAX(B$3:B287)-B287)/MAX(B$3:B287))</f>
        <v/>
      </c>
      <c r="F287" s="12" t="str">
        <f>IF(A287="","",MAX(E$4:E287))</f>
        <v/>
      </c>
      <c r="H287" s="14" t="str">
        <f t="shared" si="17"/>
        <v/>
      </c>
      <c r="I287" s="14" t="str">
        <f t="shared" si="18"/>
        <v/>
      </c>
      <c r="J287" s="15" t="str">
        <f t="shared" si="19"/>
        <v/>
      </c>
    </row>
    <row r="288" spans="1:10">
      <c r="A288" s="7" t="str">
        <f>IF(子基金及业绩基准周净值!A318="","",子基金及业绩基准周净值!A318)</f>
        <v/>
      </c>
      <c r="B288" s="1" t="str">
        <f>IF(A288="","",VLOOKUP($A288,子基金及业绩基准周净值!$A:$AV,13))</f>
        <v/>
      </c>
      <c r="C288" s="8" t="str">
        <f t="shared" si="16"/>
        <v/>
      </c>
      <c r="D288" s="9" t="str">
        <f>IF(A288="","",C288-子基金及业绩基准周净值!AJ318)</f>
        <v/>
      </c>
      <c r="E288" s="12" t="str">
        <f>IF(A288="","",(MAX(B$3:B288)-B288)/MAX(B$3:B288))</f>
        <v/>
      </c>
      <c r="F288" s="12" t="str">
        <f>IF(A288="","",MAX(E$4:E288))</f>
        <v/>
      </c>
      <c r="H288" s="14" t="str">
        <f t="shared" si="17"/>
        <v/>
      </c>
      <c r="I288" s="14" t="str">
        <f t="shared" si="18"/>
        <v/>
      </c>
      <c r="J288" s="15" t="str">
        <f t="shared" si="19"/>
        <v/>
      </c>
    </row>
    <row r="289" spans="1:10">
      <c r="A289" s="7" t="str">
        <f>IF(子基金及业绩基准周净值!A319="","",子基金及业绩基准周净值!A319)</f>
        <v/>
      </c>
      <c r="B289" s="1" t="str">
        <f>IF(A289="","",VLOOKUP($A289,子基金及业绩基准周净值!$A:$AV,13))</f>
        <v/>
      </c>
      <c r="C289" s="8" t="str">
        <f t="shared" si="16"/>
        <v/>
      </c>
      <c r="D289" s="9" t="str">
        <f>IF(A289="","",C289-子基金及业绩基准周净值!AJ319)</f>
        <v/>
      </c>
      <c r="E289" s="12" t="str">
        <f>IF(A289="","",(MAX(B$3:B289)-B289)/MAX(B$3:B289))</f>
        <v/>
      </c>
      <c r="F289" s="12" t="str">
        <f>IF(A289="","",MAX(E$4:E289))</f>
        <v/>
      </c>
      <c r="H289" s="14" t="str">
        <f t="shared" si="17"/>
        <v/>
      </c>
      <c r="I289" s="14" t="str">
        <f t="shared" si="18"/>
        <v/>
      </c>
      <c r="J289" s="15" t="str">
        <f t="shared" si="19"/>
        <v/>
      </c>
    </row>
    <row r="290" spans="1:10">
      <c r="A290" s="7" t="str">
        <f>IF(子基金及业绩基准周净值!A320="","",子基金及业绩基准周净值!A320)</f>
        <v/>
      </c>
      <c r="B290" s="1" t="str">
        <f>IF(A290="","",VLOOKUP($A290,子基金及业绩基准周净值!$A:$AV,13))</f>
        <v/>
      </c>
      <c r="C290" s="8" t="str">
        <f t="shared" si="16"/>
        <v/>
      </c>
      <c r="D290" s="9" t="str">
        <f>IF(A290="","",C290-子基金及业绩基准周净值!AJ320)</f>
        <v/>
      </c>
      <c r="E290" s="12" t="str">
        <f>IF(A290="","",(MAX(B$3:B290)-B290)/MAX(B$3:B290))</f>
        <v/>
      </c>
      <c r="F290" s="12" t="str">
        <f>IF(A290="","",MAX(E$4:E290))</f>
        <v/>
      </c>
      <c r="H290" s="14" t="str">
        <f t="shared" si="17"/>
        <v/>
      </c>
      <c r="I290" s="14" t="str">
        <f t="shared" si="18"/>
        <v/>
      </c>
      <c r="J290" s="15" t="str">
        <f t="shared" si="19"/>
        <v/>
      </c>
    </row>
    <row r="291" spans="1:10">
      <c r="A291" s="7" t="str">
        <f>IF(子基金及业绩基准周净值!A321="","",子基金及业绩基准周净值!A321)</f>
        <v/>
      </c>
      <c r="B291" s="1" t="str">
        <f>IF(A291="","",VLOOKUP($A291,子基金及业绩基准周净值!$A:$AV,13))</f>
        <v/>
      </c>
      <c r="C291" s="8" t="str">
        <f t="shared" si="16"/>
        <v/>
      </c>
      <c r="D291" s="9" t="str">
        <f>IF(A291="","",C291-子基金及业绩基准周净值!AJ321)</f>
        <v/>
      </c>
      <c r="E291" s="12" t="str">
        <f>IF(A291="","",(MAX(B$3:B291)-B291)/MAX(B$3:B291))</f>
        <v/>
      </c>
      <c r="F291" s="12" t="str">
        <f>IF(A291="","",MAX(E$4:E291))</f>
        <v/>
      </c>
      <c r="H291" s="14" t="str">
        <f t="shared" si="17"/>
        <v/>
      </c>
      <c r="I291" s="14" t="str">
        <f t="shared" si="18"/>
        <v/>
      </c>
      <c r="J291" s="15" t="str">
        <f t="shared" si="19"/>
        <v/>
      </c>
    </row>
    <row r="292" spans="1:10">
      <c r="A292" s="7" t="str">
        <f>IF(子基金及业绩基准周净值!A322="","",子基金及业绩基准周净值!A322)</f>
        <v/>
      </c>
      <c r="B292" s="1" t="str">
        <f>IF(A292="","",VLOOKUP($A292,子基金及业绩基准周净值!$A:$AV,13))</f>
        <v/>
      </c>
      <c r="C292" s="8" t="str">
        <f t="shared" si="16"/>
        <v/>
      </c>
      <c r="D292" s="9" t="str">
        <f>IF(A292="","",C292-子基金及业绩基准周净值!AJ322)</f>
        <v/>
      </c>
      <c r="E292" s="12" t="str">
        <f>IF(A292="","",(MAX(B$3:B292)-B292)/MAX(B$3:B292))</f>
        <v/>
      </c>
      <c r="F292" s="12" t="str">
        <f>IF(A292="","",MAX(E$4:E292))</f>
        <v/>
      </c>
      <c r="H292" s="14" t="str">
        <f t="shared" si="17"/>
        <v/>
      </c>
      <c r="I292" s="14" t="str">
        <f t="shared" si="18"/>
        <v/>
      </c>
      <c r="J292" s="15" t="str">
        <f t="shared" si="19"/>
        <v/>
      </c>
    </row>
    <row r="293" spans="1:10">
      <c r="A293" s="7" t="str">
        <f>IF(子基金及业绩基准周净值!A323="","",子基金及业绩基准周净值!A323)</f>
        <v/>
      </c>
      <c r="B293" s="1" t="str">
        <f>IF(A293="","",VLOOKUP($A293,子基金及业绩基准周净值!$A:$AV,13))</f>
        <v/>
      </c>
      <c r="C293" s="8" t="str">
        <f t="shared" si="16"/>
        <v/>
      </c>
      <c r="D293" s="9" t="str">
        <f>IF(A293="","",C293-子基金及业绩基准周净值!AJ323)</f>
        <v/>
      </c>
      <c r="E293" s="12" t="str">
        <f>IF(A293="","",(MAX(B$3:B293)-B293)/MAX(B$3:B293))</f>
        <v/>
      </c>
      <c r="F293" s="12" t="str">
        <f>IF(A293="","",MAX(E$4:E293))</f>
        <v/>
      </c>
      <c r="H293" s="14" t="str">
        <f t="shared" si="17"/>
        <v/>
      </c>
      <c r="I293" s="14" t="str">
        <f t="shared" si="18"/>
        <v/>
      </c>
      <c r="J293" s="15" t="str">
        <f t="shared" si="19"/>
        <v/>
      </c>
    </row>
    <row r="294" spans="1:10">
      <c r="A294" s="7" t="str">
        <f>IF(子基金及业绩基准周净值!A324="","",子基金及业绩基准周净值!A324)</f>
        <v/>
      </c>
      <c r="B294" s="1" t="str">
        <f>IF(A294="","",VLOOKUP($A294,子基金及业绩基准周净值!$A:$AV,13))</f>
        <v/>
      </c>
      <c r="C294" s="8" t="str">
        <f t="shared" si="16"/>
        <v/>
      </c>
      <c r="D294" s="9" t="str">
        <f>IF(A294="","",C294-子基金及业绩基准周净值!AJ324)</f>
        <v/>
      </c>
      <c r="E294" s="12" t="str">
        <f>IF(A294="","",(MAX(B$3:B294)-B294)/MAX(B$3:B294))</f>
        <v/>
      </c>
      <c r="F294" s="12" t="str">
        <f>IF(A294="","",MAX(E$4:E294))</f>
        <v/>
      </c>
      <c r="H294" s="14" t="str">
        <f t="shared" si="17"/>
        <v/>
      </c>
      <c r="I294" s="14" t="str">
        <f t="shared" si="18"/>
        <v/>
      </c>
      <c r="J294" s="15" t="str">
        <f t="shared" si="19"/>
        <v/>
      </c>
    </row>
    <row r="295" spans="1:10">
      <c r="A295" s="7" t="str">
        <f>IF(子基金及业绩基准周净值!A325="","",子基金及业绩基准周净值!A325)</f>
        <v/>
      </c>
      <c r="B295" s="1" t="str">
        <f>IF(A295="","",VLOOKUP($A295,子基金及业绩基准周净值!$A:$AV,13))</f>
        <v/>
      </c>
      <c r="C295" s="8" t="str">
        <f t="shared" si="16"/>
        <v/>
      </c>
      <c r="D295" s="9" t="str">
        <f>IF(A295="","",C295-子基金及业绩基准周净值!AJ325)</f>
        <v/>
      </c>
      <c r="E295" s="12" t="str">
        <f>IF(A295="","",(MAX(B$3:B295)-B295)/MAX(B$3:B295))</f>
        <v/>
      </c>
      <c r="F295" s="12" t="str">
        <f>IF(A295="","",MAX(E$4:E295))</f>
        <v/>
      </c>
      <c r="H295" s="14" t="str">
        <f t="shared" si="17"/>
        <v/>
      </c>
      <c r="I295" s="14" t="str">
        <f t="shared" si="18"/>
        <v/>
      </c>
      <c r="J295" s="15" t="str">
        <f t="shared" si="19"/>
        <v/>
      </c>
    </row>
    <row r="296" spans="1:10">
      <c r="A296" s="7" t="str">
        <f>IF(子基金及业绩基准周净值!A326="","",子基金及业绩基准周净值!A326)</f>
        <v/>
      </c>
      <c r="B296" s="1" t="str">
        <f>IF(A296="","",VLOOKUP($A296,子基金及业绩基准周净值!$A:$AV,13))</f>
        <v/>
      </c>
      <c r="C296" s="8" t="str">
        <f t="shared" si="16"/>
        <v/>
      </c>
      <c r="D296" s="9" t="str">
        <f>IF(A296="","",C296-子基金及业绩基准周净值!AJ326)</f>
        <v/>
      </c>
      <c r="E296" s="12" t="str">
        <f>IF(A296="","",(MAX(B$3:B296)-B296)/MAX(B$3:B296))</f>
        <v/>
      </c>
      <c r="F296" s="12" t="str">
        <f>IF(A296="","",MAX(E$4:E296))</f>
        <v/>
      </c>
      <c r="H296" s="14" t="str">
        <f t="shared" si="17"/>
        <v/>
      </c>
      <c r="I296" s="14" t="str">
        <f t="shared" si="18"/>
        <v/>
      </c>
      <c r="J296" s="15" t="str">
        <f t="shared" si="19"/>
        <v/>
      </c>
    </row>
    <row r="297" spans="1:10">
      <c r="A297" s="7" t="str">
        <f>IF(子基金及业绩基准周净值!A327="","",子基金及业绩基准周净值!A327)</f>
        <v/>
      </c>
      <c r="B297" s="1" t="str">
        <f>IF(A297="","",VLOOKUP($A297,子基金及业绩基准周净值!$A:$AV,13))</f>
        <v/>
      </c>
      <c r="C297" s="8" t="str">
        <f t="shared" si="16"/>
        <v/>
      </c>
      <c r="D297" s="9" t="str">
        <f>IF(A297="","",C297-子基金及业绩基准周净值!AJ327)</f>
        <v/>
      </c>
      <c r="E297" s="12" t="str">
        <f>IF(A297="","",(MAX(B$3:B297)-B297)/MAX(B$3:B297))</f>
        <v/>
      </c>
      <c r="F297" s="12" t="str">
        <f>IF(A297="","",MAX(E$4:E297))</f>
        <v/>
      </c>
      <c r="H297" s="14" t="str">
        <f t="shared" si="17"/>
        <v/>
      </c>
      <c r="I297" s="14" t="str">
        <f t="shared" si="18"/>
        <v/>
      </c>
      <c r="J297" s="15" t="str">
        <f t="shared" si="19"/>
        <v/>
      </c>
    </row>
    <row r="298" spans="1:10">
      <c r="A298" s="7" t="str">
        <f>IF(子基金及业绩基准周净值!A328="","",子基金及业绩基准周净值!A328)</f>
        <v/>
      </c>
      <c r="B298" s="1" t="str">
        <f>IF(A298="","",VLOOKUP($A298,子基金及业绩基准周净值!$A:$AV,13))</f>
        <v/>
      </c>
      <c r="C298" s="8" t="str">
        <f t="shared" si="16"/>
        <v/>
      </c>
      <c r="D298" s="9" t="str">
        <f>IF(A298="","",C298-子基金及业绩基准周净值!AJ328)</f>
        <v/>
      </c>
      <c r="E298" s="12" t="str">
        <f>IF(A298="","",(MAX(B$3:B298)-B298)/MAX(B$3:B298))</f>
        <v/>
      </c>
      <c r="F298" s="12" t="str">
        <f>IF(A298="","",MAX(E$4:E298))</f>
        <v/>
      </c>
      <c r="H298" s="14" t="str">
        <f t="shared" si="17"/>
        <v/>
      </c>
      <c r="I298" s="14" t="str">
        <f t="shared" si="18"/>
        <v/>
      </c>
      <c r="J298" s="15" t="str">
        <f t="shared" si="19"/>
        <v/>
      </c>
    </row>
    <row r="299" spans="1:10">
      <c r="A299" s="7" t="str">
        <f>IF(子基金及业绩基准周净值!A329="","",子基金及业绩基准周净值!A329)</f>
        <v/>
      </c>
      <c r="B299" s="1" t="str">
        <f>IF(A299="","",VLOOKUP($A299,子基金及业绩基准周净值!$A:$AV,13))</f>
        <v/>
      </c>
      <c r="C299" s="8" t="str">
        <f t="shared" si="16"/>
        <v/>
      </c>
      <c r="D299" s="9" t="str">
        <f>IF(A299="","",C299-子基金及业绩基准周净值!AJ329)</f>
        <v/>
      </c>
      <c r="E299" s="12" t="str">
        <f>IF(A299="","",(MAX(B$3:B299)-B299)/MAX(B$3:B299))</f>
        <v/>
      </c>
      <c r="F299" s="12" t="str">
        <f>IF(A299="","",MAX(E$4:E299))</f>
        <v/>
      </c>
      <c r="H299" s="14" t="str">
        <f t="shared" si="17"/>
        <v/>
      </c>
      <c r="I299" s="14" t="str">
        <f t="shared" si="18"/>
        <v/>
      </c>
      <c r="J299" s="15" t="str">
        <f t="shared" si="19"/>
        <v/>
      </c>
    </row>
    <row r="300" spans="1:10">
      <c r="A300" s="7" t="str">
        <f>IF(子基金及业绩基准周净值!A330="","",子基金及业绩基准周净值!A330)</f>
        <v/>
      </c>
      <c r="B300" s="1" t="str">
        <f>IF(A300="","",VLOOKUP($A300,子基金及业绩基准周净值!$A:$AV,13))</f>
        <v/>
      </c>
      <c r="C300" s="8" t="str">
        <f t="shared" si="16"/>
        <v/>
      </c>
      <c r="D300" s="9" t="str">
        <f>IF(A300="","",C300-子基金及业绩基准周净值!AJ330)</f>
        <v/>
      </c>
      <c r="E300" s="12" t="str">
        <f>IF(A300="","",(MAX(B$3:B300)-B300)/MAX(B$3:B300))</f>
        <v/>
      </c>
      <c r="F300" s="12" t="str">
        <f>IF(A300="","",MAX(E$4:E300))</f>
        <v/>
      </c>
      <c r="H300" s="14" t="str">
        <f t="shared" si="17"/>
        <v/>
      </c>
      <c r="I300" s="14" t="str">
        <f t="shared" si="18"/>
        <v/>
      </c>
      <c r="J300" s="15" t="str">
        <f t="shared" si="19"/>
        <v/>
      </c>
    </row>
    <row r="301" spans="1:10">
      <c r="A301" s="7" t="str">
        <f>IF(子基金及业绩基准周净值!A331="","",子基金及业绩基准周净值!A331)</f>
        <v/>
      </c>
      <c r="B301" s="1" t="str">
        <f>IF(A301="","",VLOOKUP($A301,子基金及业绩基准周净值!$A:$AV,13))</f>
        <v/>
      </c>
      <c r="C301" s="8" t="str">
        <f t="shared" si="16"/>
        <v/>
      </c>
      <c r="D301" s="9" t="str">
        <f>IF(A301="","",C301-子基金及业绩基准周净值!AJ331)</f>
        <v/>
      </c>
      <c r="E301" s="12" t="str">
        <f>IF(A301="","",(MAX(B$3:B301)-B301)/MAX(B$3:B301))</f>
        <v/>
      </c>
      <c r="F301" s="12" t="str">
        <f>IF(A301="","",MAX(E$4:E301))</f>
        <v/>
      </c>
      <c r="H301" s="14" t="str">
        <f t="shared" si="17"/>
        <v/>
      </c>
      <c r="I301" s="14" t="str">
        <f t="shared" si="18"/>
        <v/>
      </c>
      <c r="J301" s="15" t="str">
        <f t="shared" si="19"/>
        <v/>
      </c>
    </row>
    <row r="302" spans="1:10">
      <c r="A302" s="7" t="str">
        <f>IF(子基金及业绩基准周净值!A332="","",子基金及业绩基准周净值!A332)</f>
        <v/>
      </c>
      <c r="B302" s="1" t="str">
        <f>IF(A302="","",VLOOKUP($A302,子基金及业绩基准周净值!$A:$AV,13))</f>
        <v/>
      </c>
      <c r="C302" s="8" t="str">
        <f t="shared" si="16"/>
        <v/>
      </c>
      <c r="D302" s="9" t="str">
        <f>IF(A302="","",C302-子基金及业绩基准周净值!AJ332)</f>
        <v/>
      </c>
      <c r="E302" s="12" t="str">
        <f>IF(A302="","",(MAX(B$3:B302)-B302)/MAX(B$3:B302))</f>
        <v/>
      </c>
      <c r="F302" s="12" t="str">
        <f>IF(A302="","",MAX(E$4:E302))</f>
        <v/>
      </c>
      <c r="H302" s="14" t="str">
        <f t="shared" si="17"/>
        <v/>
      </c>
      <c r="I302" s="14" t="str">
        <f t="shared" si="18"/>
        <v/>
      </c>
      <c r="J302" s="15" t="str">
        <f t="shared" si="19"/>
        <v/>
      </c>
    </row>
    <row r="303" spans="1:10">
      <c r="A303" s="7" t="str">
        <f>IF(子基金及业绩基准周净值!A333="","",子基金及业绩基准周净值!A333)</f>
        <v/>
      </c>
      <c r="B303" s="1" t="str">
        <f>IF(A303="","",VLOOKUP($A303,子基金及业绩基准周净值!$A:$AV,13))</f>
        <v/>
      </c>
      <c r="C303" s="8" t="str">
        <f t="shared" si="16"/>
        <v/>
      </c>
      <c r="D303" s="9" t="str">
        <f>IF(A303="","",C303-子基金及业绩基准周净值!AJ333)</f>
        <v/>
      </c>
      <c r="E303" s="12" t="str">
        <f>IF(A303="","",(MAX(B$3:B303)-B303)/MAX(B$3:B303))</f>
        <v/>
      </c>
      <c r="F303" s="12" t="str">
        <f>IF(A303="","",MAX(E$4:E303))</f>
        <v/>
      </c>
      <c r="H303" s="14" t="str">
        <f t="shared" si="17"/>
        <v/>
      </c>
      <c r="I303" s="14" t="str">
        <f t="shared" si="18"/>
        <v/>
      </c>
      <c r="J303" s="15" t="str">
        <f t="shared" si="19"/>
        <v/>
      </c>
    </row>
    <row r="304" spans="1:10">
      <c r="A304" s="7" t="str">
        <f>IF(子基金及业绩基准周净值!A334="","",子基金及业绩基准周净值!A334)</f>
        <v/>
      </c>
      <c r="B304" s="1" t="str">
        <f>IF(A304="","",VLOOKUP($A304,子基金及业绩基准周净值!$A:$AV,13))</f>
        <v/>
      </c>
      <c r="C304" s="8" t="str">
        <f t="shared" si="16"/>
        <v/>
      </c>
      <c r="D304" s="9" t="str">
        <f>IF(A304="","",C304-子基金及业绩基准周净值!AJ334)</f>
        <v/>
      </c>
      <c r="E304" s="12" t="str">
        <f>IF(A304="","",(MAX(B$3:B304)-B304)/MAX(B$3:B304))</f>
        <v/>
      </c>
      <c r="F304" s="12" t="str">
        <f>IF(A304="","",MAX(E$4:E304))</f>
        <v/>
      </c>
      <c r="H304" s="14" t="str">
        <f t="shared" si="17"/>
        <v/>
      </c>
      <c r="I304" s="14" t="str">
        <f t="shared" si="18"/>
        <v/>
      </c>
      <c r="J304" s="15" t="str">
        <f t="shared" si="19"/>
        <v/>
      </c>
    </row>
    <row r="305" spans="1:10">
      <c r="A305" s="7" t="str">
        <f>IF(子基金及业绩基准周净值!A335="","",子基金及业绩基准周净值!A335)</f>
        <v/>
      </c>
      <c r="B305" s="1" t="str">
        <f>IF(A305="","",VLOOKUP($A305,子基金及业绩基准周净值!$A:$AV,13))</f>
        <v/>
      </c>
      <c r="C305" s="8" t="str">
        <f t="shared" si="16"/>
        <v/>
      </c>
      <c r="D305" s="9" t="str">
        <f>IF(A305="","",C305-子基金及业绩基准周净值!AJ335)</f>
        <v/>
      </c>
      <c r="E305" s="12" t="str">
        <f>IF(A305="","",(MAX(B$3:B305)-B305)/MAX(B$3:B305))</f>
        <v/>
      </c>
      <c r="F305" s="12" t="str">
        <f>IF(A305="","",MAX(E$4:E305))</f>
        <v/>
      </c>
      <c r="H305" s="14" t="str">
        <f t="shared" si="17"/>
        <v/>
      </c>
      <c r="I305" s="14" t="str">
        <f t="shared" si="18"/>
        <v/>
      </c>
      <c r="J305" s="15" t="str">
        <f t="shared" si="19"/>
        <v/>
      </c>
    </row>
    <row r="306" spans="1:10">
      <c r="A306" s="7" t="str">
        <f>IF(子基金及业绩基准周净值!A336="","",子基金及业绩基准周净值!A336)</f>
        <v/>
      </c>
      <c r="B306" s="1" t="str">
        <f>IF(A306="","",VLOOKUP($A306,子基金及业绩基准周净值!$A:$AV,13))</f>
        <v/>
      </c>
      <c r="C306" s="8" t="str">
        <f t="shared" si="16"/>
        <v/>
      </c>
      <c r="D306" s="9" t="str">
        <f>IF(A306="","",C306-子基金及业绩基准周净值!AJ336)</f>
        <v/>
      </c>
      <c r="E306" s="12" t="str">
        <f>IF(A306="","",(MAX(B$3:B306)-B306)/MAX(B$3:B306))</f>
        <v/>
      </c>
      <c r="F306" s="12" t="str">
        <f>IF(A306="","",MAX(E$4:E306))</f>
        <v/>
      </c>
      <c r="H306" s="14" t="str">
        <f t="shared" si="17"/>
        <v/>
      </c>
      <c r="I306" s="14" t="str">
        <f t="shared" si="18"/>
        <v/>
      </c>
      <c r="J306" s="15" t="str">
        <f t="shared" si="19"/>
        <v/>
      </c>
    </row>
    <row r="307" spans="1:10">
      <c r="A307" s="7" t="str">
        <f>IF(子基金及业绩基准周净值!A337="","",子基金及业绩基准周净值!A337)</f>
        <v/>
      </c>
      <c r="B307" s="1" t="str">
        <f>IF(A307="","",VLOOKUP($A307,子基金及业绩基准周净值!$A:$AV,13))</f>
        <v/>
      </c>
      <c r="C307" s="8" t="str">
        <f t="shared" si="16"/>
        <v/>
      </c>
      <c r="D307" s="9" t="str">
        <f>IF(A307="","",C307-子基金及业绩基准周净值!AJ337)</f>
        <v/>
      </c>
      <c r="E307" s="12" t="str">
        <f>IF(A307="","",(MAX(B$3:B307)-B307)/MAX(B$3:B307))</f>
        <v/>
      </c>
      <c r="F307" s="12" t="str">
        <f>IF(A307="","",MAX(E$4:E307))</f>
        <v/>
      </c>
      <c r="H307" s="14" t="str">
        <f t="shared" si="17"/>
        <v/>
      </c>
      <c r="I307" s="14" t="str">
        <f t="shared" si="18"/>
        <v/>
      </c>
      <c r="J307" s="15" t="str">
        <f t="shared" si="19"/>
        <v/>
      </c>
    </row>
    <row r="308" spans="1:10">
      <c r="A308" s="7" t="str">
        <f>IF(子基金及业绩基准周净值!A338="","",子基金及业绩基准周净值!A338)</f>
        <v/>
      </c>
      <c r="B308" s="1" t="str">
        <f>IF(A308="","",VLOOKUP($A308,子基金及业绩基准周净值!$A:$AV,13))</f>
        <v/>
      </c>
      <c r="C308" s="8" t="str">
        <f t="shared" si="16"/>
        <v/>
      </c>
      <c r="D308" s="9" t="str">
        <f>IF(A308="","",C308-子基金及业绩基准周净值!AJ338)</f>
        <v/>
      </c>
      <c r="E308" s="12" t="str">
        <f>IF(A308="","",(MAX(B$3:B308)-B308)/MAX(B$3:B308))</f>
        <v/>
      </c>
      <c r="F308" s="12" t="str">
        <f>IF(A308="","",MAX(E$4:E308))</f>
        <v/>
      </c>
      <c r="H308" s="14" t="str">
        <f t="shared" si="17"/>
        <v/>
      </c>
      <c r="I308" s="14" t="str">
        <f t="shared" si="18"/>
        <v/>
      </c>
      <c r="J308" s="15" t="str">
        <f t="shared" si="19"/>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K308"/>
  <sheetViews>
    <sheetView topLeftCell="A18" workbookViewId="0">
      <selection activeCell="G42" sqref="G42"/>
    </sheetView>
  </sheetViews>
  <sheetFormatPr defaultColWidth="9" defaultRowHeight="16.8"/>
  <cols>
    <col min="1" max="1" width="11.125" customWidth="1"/>
    <col min="2" max="2" width="17"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51</v>
      </c>
      <c r="C2" s="5" t="s">
        <v>310</v>
      </c>
      <c r="D2" s="6" t="s">
        <v>311</v>
      </c>
      <c r="F2" s="5" t="s">
        <v>22</v>
      </c>
      <c r="G2" s="10" t="s">
        <v>312</v>
      </c>
      <c r="H2" s="11" t="s">
        <v>313</v>
      </c>
      <c r="I2" s="11" t="s">
        <v>314</v>
      </c>
      <c r="J2" s="11" t="s">
        <v>315</v>
      </c>
      <c r="K2" s="5" t="s">
        <v>316</v>
      </c>
    </row>
    <row r="3" spans="1:2">
      <c r="A3" s="7">
        <f>IF(子基金及业绩基准周净值!A34="","",子基金及业绩基准周净值!A34)</f>
        <v>45681</v>
      </c>
      <c r="B3" s="1">
        <f>IF(A3="","",VLOOKUP($A3,子基金及业绩基准周净值!$A:$AV,14))</f>
        <v>1.0621</v>
      </c>
    </row>
    <row r="4" spans="1:10">
      <c r="A4" s="7">
        <f>IF(子基金及业绩基准周净值!A35="","",子基金及业绩基准周净值!A35)</f>
        <v>45684</v>
      </c>
      <c r="B4" s="1">
        <f>IF(A4="","",VLOOKUP($A4,子基金及业绩基准周净值!$A:$AV,14))</f>
        <v>1.061</v>
      </c>
      <c r="C4" s="8">
        <f>IF(A4="","",(B4-B3)/B3)</f>
        <v>-0.00103568402222022</v>
      </c>
      <c r="D4" s="9">
        <f>IF(A4="","",C4-(子基金及业绩基准周净值!AH35/子基金及业绩基准周净值!AH34-1))</f>
        <v>-0.00134068445718651</v>
      </c>
      <c r="E4" s="12">
        <f>IF(A4="","",(MAX(B$3:B4)-B4)/MAX(B$3:B4))</f>
        <v>0.00103568402222022</v>
      </c>
      <c r="F4" s="12">
        <f>IF(A4="","",MAX(E$4:E4))</f>
        <v>0.00103568402222022</v>
      </c>
      <c r="G4" s="13">
        <v>1</v>
      </c>
      <c r="H4" s="14" t="str">
        <f>IF(B4="","",IF(C4&lt;-3%,"是","否"))</f>
        <v>否</v>
      </c>
      <c r="I4" s="14" t="str">
        <f>IF(A4="","",IF(F4&gt;5%,"是","否"))</f>
        <v>否</v>
      </c>
      <c r="J4" s="15" t="str">
        <f>IF(A4="","",IF(G4&gt;=4,"是","否"))</f>
        <v>否</v>
      </c>
    </row>
    <row r="5" spans="1:10">
      <c r="A5" s="7">
        <f>IF(子基金及业绩基准周净值!A36="","",子基金及业绩基准周净值!A36)</f>
        <v>45695</v>
      </c>
      <c r="B5" s="1">
        <f>IF(A5="","",VLOOKUP($A5,子基金及业绩基准周净值!$A:$AV,14))</f>
        <v>1.0633</v>
      </c>
      <c r="C5" s="8">
        <f t="shared" ref="C5:C68" si="0">IF(A5="","",(B5-B4)/B4)</f>
        <v>0.00216776625824691</v>
      </c>
      <c r="D5" s="9">
        <f>IF(A5="","",C5-(子基金及业绩基准周净值!AH36/子基金及业绩基准周净值!AH35-1))</f>
        <v>-0.000605234364684713</v>
      </c>
      <c r="E5" s="12">
        <f>IF(A5="","",(MAX(B$3:B5)-B5)/MAX(B$3:B5))</f>
        <v>0</v>
      </c>
      <c r="F5" s="12">
        <f>IF(A5="","",MAX(E$4:E5))</f>
        <v>0.00103568402222022</v>
      </c>
      <c r="G5" s="13">
        <v>2</v>
      </c>
      <c r="H5" s="14" t="str">
        <f t="shared" ref="H5:H68" si="1">IF(B5="","",IF(C5&lt;-3%,"是","否"))</f>
        <v>否</v>
      </c>
      <c r="I5" s="14" t="str">
        <f t="shared" ref="I5:I68" si="2">IF(A5="","",IF(F5&gt;5%,"是","否"))</f>
        <v>否</v>
      </c>
      <c r="J5" s="15" t="str">
        <f t="shared" ref="J5:J68" si="3">IF(A5="","",IF(G5&gt;=4,"是","否"))</f>
        <v>否</v>
      </c>
    </row>
    <row r="6" spans="1:10">
      <c r="A6" s="7">
        <f>IF(子基金及业绩基准周净值!A37="","",子基金及业绩基准周净值!A37)</f>
        <v>45702</v>
      </c>
      <c r="B6" s="1">
        <f>IF(A6="","",VLOOKUP($A6,子基金及业绩基准周净值!$A:$AV,14))</f>
        <v>1.068</v>
      </c>
      <c r="C6" s="8">
        <f t="shared" si="0"/>
        <v>0.00442020126022773</v>
      </c>
      <c r="D6" s="9">
        <f>IF(A6="","",C6-(子基金及业绩基准周净值!AH37/子基金及业绩基准周净值!AH36-1))</f>
        <v>0.0022456599340353</v>
      </c>
      <c r="E6" s="12">
        <f>IF(A6="","",(MAX(B$3:B6)-B6)/MAX(B$3:B6))</f>
        <v>0</v>
      </c>
      <c r="F6" s="12">
        <f>IF(A6="","",MAX(E$4:E6))</f>
        <v>0.00103568402222022</v>
      </c>
      <c r="G6" s="13">
        <v>0</v>
      </c>
      <c r="H6" s="14" t="str">
        <f t="shared" si="1"/>
        <v>否</v>
      </c>
      <c r="I6" s="14" t="str">
        <f t="shared" si="2"/>
        <v>否</v>
      </c>
      <c r="J6" s="15" t="str">
        <f t="shared" si="3"/>
        <v>否</v>
      </c>
    </row>
    <row r="7" spans="1:10">
      <c r="A7" s="7">
        <f>IF(子基金及业绩基准周净值!A38="","",子基金及业绩基准周净值!A38)</f>
        <v>45709</v>
      </c>
      <c r="B7" s="1">
        <f>IF(A7="","",VLOOKUP($A7,子基金及业绩基准周净值!$A:$AV,14))</f>
        <v>1.0705</v>
      </c>
      <c r="C7" s="8">
        <f t="shared" si="0"/>
        <v>0.0023408239700374</v>
      </c>
      <c r="D7" s="9">
        <f>IF(A7="","",C7-(子基金及业绩基准周净值!AH38/子基金及业绩基准周净值!AH37-1))</f>
        <v>-0.00354693018867405</v>
      </c>
      <c r="E7" s="12">
        <f>IF(A7="","",(MAX(B$3:B7)-B7)/MAX(B$3:B7))</f>
        <v>0</v>
      </c>
      <c r="F7" s="12">
        <f>IF(A7="","",MAX(E$4:E7))</f>
        <v>0.00103568402222022</v>
      </c>
      <c r="G7" s="13">
        <v>1</v>
      </c>
      <c r="H7" s="14" t="str">
        <f t="shared" si="1"/>
        <v>否</v>
      </c>
      <c r="I7" s="14" t="str">
        <f t="shared" si="2"/>
        <v>否</v>
      </c>
      <c r="J7" s="15" t="str">
        <f t="shared" si="3"/>
        <v>否</v>
      </c>
    </row>
    <row r="8" spans="1:10">
      <c r="A8" s="7">
        <f>IF(子基金及业绩基准周净值!A39="","",子基金及业绩基准周净值!A39)</f>
        <v>45716</v>
      </c>
      <c r="B8" s="1">
        <f>IF(A8="","",VLOOKUP($A8,子基金及业绩基准周净值!$A:$AV,14))</f>
        <v>1.0701</v>
      </c>
      <c r="C8" s="8">
        <f t="shared" si="0"/>
        <v>-0.0003736571695469</v>
      </c>
      <c r="D8" s="9">
        <f>IF(A8="","",C8-(子基金及业绩基准周净值!AH39/子基金及业绩基准周净值!AH38-1))</f>
        <v>0.000432067761766024</v>
      </c>
      <c r="E8" s="12">
        <f>IF(A8="","",(MAX(B$3:B8)-B8)/MAX(B$3:B8))</f>
        <v>0.0003736571695469</v>
      </c>
      <c r="F8" s="12">
        <f>IF(A8="","",MAX(E$4:E8))</f>
        <v>0.00103568402222022</v>
      </c>
      <c r="G8" s="13">
        <v>0</v>
      </c>
      <c r="H8" s="14" t="str">
        <f t="shared" si="1"/>
        <v>否</v>
      </c>
      <c r="I8" s="14" t="str">
        <f t="shared" si="2"/>
        <v>否</v>
      </c>
      <c r="J8" s="15" t="str">
        <f t="shared" si="3"/>
        <v>否</v>
      </c>
    </row>
    <row r="9" spans="1:10">
      <c r="A9" s="7">
        <f>IF(子基金及业绩基准周净值!A40="","",子基金及业绩基准周净值!A40)</f>
        <v>45723</v>
      </c>
      <c r="B9" s="1">
        <f>IF(A9="","",VLOOKUP($A9,子基金及业绩基准周净值!$A:$AV,14))</f>
        <v>1.0712</v>
      </c>
      <c r="C9" s="8">
        <f t="shared" si="0"/>
        <v>0.00102794131389578</v>
      </c>
      <c r="D9" s="9">
        <f>IF(A9="","",C9-(子基金及业绩基准周净值!AH40/子基金及业绩基准周净值!AH39-1))</f>
        <v>-0.00373661557731868</v>
      </c>
      <c r="E9" s="12">
        <f>IF(A9="","",(MAX(B$3:B9)-B9)/MAX(B$3:B9))</f>
        <v>0</v>
      </c>
      <c r="F9" s="12">
        <f>IF(A9="","",MAX(E$4:E9))</f>
        <v>0.00103568402222022</v>
      </c>
      <c r="G9" s="13">
        <v>1</v>
      </c>
      <c r="H9" s="14" t="str">
        <f t="shared" si="1"/>
        <v>否</v>
      </c>
      <c r="I9" s="14" t="str">
        <f t="shared" si="2"/>
        <v>否</v>
      </c>
      <c r="J9" s="15" t="str">
        <f t="shared" si="3"/>
        <v>否</v>
      </c>
    </row>
    <row r="10" spans="1:10">
      <c r="A10" s="7">
        <f>IF(子基金及业绩基准周净值!A41="","",子基金及业绩基准周净值!A41)</f>
        <v>45730</v>
      </c>
      <c r="B10" s="1">
        <f>IF(A10="","",VLOOKUP($A10,子基金及业绩基准周净值!$A:$AV,14))</f>
        <v>1.0688</v>
      </c>
      <c r="C10" s="8">
        <f t="shared" si="0"/>
        <v>-0.00224047796863327</v>
      </c>
      <c r="D10" s="9">
        <f>IF(A10="","",C10-(子基金及业绩基准周净值!AH41/子基金及业绩基准周净值!AH40-1))</f>
        <v>-0.00347068884586634</v>
      </c>
      <c r="E10" s="12">
        <f>IF(A10="","",(MAX(B$3:B10)-B10)/MAX(B$3:B10))</f>
        <v>0.00224047796863327</v>
      </c>
      <c r="F10" s="12">
        <f>IF(A10="","",MAX(E$4:E10))</f>
        <v>0.00224047796863327</v>
      </c>
      <c r="G10" s="13">
        <v>2</v>
      </c>
      <c r="H10" s="14" t="str">
        <f t="shared" si="1"/>
        <v>否</v>
      </c>
      <c r="I10" s="14" t="str">
        <f t="shared" si="2"/>
        <v>否</v>
      </c>
      <c r="J10" s="15" t="str">
        <f t="shared" si="3"/>
        <v>否</v>
      </c>
    </row>
    <row r="11" spans="1:10">
      <c r="A11" s="7">
        <f>IF(子基金及业绩基准周净值!A42="","",子基金及业绩基准周净值!A42)</f>
        <v>45737</v>
      </c>
      <c r="B11" s="1">
        <f>IF(A11="","",VLOOKUP($A11,子基金及业绩基准周净值!$A:$AV,14))</f>
        <v>1.0713</v>
      </c>
      <c r="C11" s="8">
        <f t="shared" si="0"/>
        <v>0.00233907185628738</v>
      </c>
      <c r="D11" s="9">
        <f>IF(A11="","",C11-(子基金及业绩基准周净值!AH42/子基金及业绩基准周净值!AH41-1))</f>
        <v>0.00293180508440042</v>
      </c>
      <c r="E11" s="12">
        <f>IF(A11="","",(MAX(B$3:B11)-B11)/MAX(B$3:B11))</f>
        <v>0</v>
      </c>
      <c r="F11" s="12">
        <f>IF(A11="","",MAX(E$4:E11))</f>
        <v>0.00224047796863327</v>
      </c>
      <c r="G11" s="13">
        <v>0</v>
      </c>
      <c r="H11" s="14" t="str">
        <f t="shared" si="1"/>
        <v>否</v>
      </c>
      <c r="I11" s="14" t="str">
        <f t="shared" si="2"/>
        <v>否</v>
      </c>
      <c r="J11" s="15" t="str">
        <f t="shared" si="3"/>
        <v>否</v>
      </c>
    </row>
    <row r="12" spans="1:10">
      <c r="A12" s="7">
        <f>IF(子基金及业绩基准周净值!A43="","",子基金及业绩基准周净值!A43)</f>
        <v>45744</v>
      </c>
      <c r="B12" s="1">
        <f>IF(A12="","",VLOOKUP($A12,子基金及业绩基准周净值!$A:$AV,14))</f>
        <v>1.0686</v>
      </c>
      <c r="C12" s="8">
        <f t="shared" si="0"/>
        <v>-0.00252030243629229</v>
      </c>
      <c r="D12" s="9">
        <f>IF(A12="","",C12-(子基金及业绩基准周净值!AH43/子基金及业绩基准周净值!AH42-1))</f>
        <v>-0.00223828145714153</v>
      </c>
      <c r="E12" s="12">
        <f>IF(A12="","",(MAX(B$3:B12)-B12)/MAX(B$3:B12))</f>
        <v>0.00252030243629229</v>
      </c>
      <c r="F12" s="12">
        <f>IF(A12="","",MAX(E$4:E12))</f>
        <v>0.00252030243629229</v>
      </c>
      <c r="G12" s="13">
        <v>1</v>
      </c>
      <c r="H12" s="14" t="str">
        <f t="shared" si="1"/>
        <v>否</v>
      </c>
      <c r="I12" s="14" t="str">
        <f t="shared" si="2"/>
        <v>否</v>
      </c>
      <c r="J12" s="15" t="str">
        <f t="shared" si="3"/>
        <v>否</v>
      </c>
    </row>
    <row r="13" spans="1:10">
      <c r="A13" s="7">
        <f>IF(子基金及业绩基准周净值!A44="","",子基金及业绩基准周净值!A44)</f>
        <v>45750</v>
      </c>
      <c r="B13" s="1">
        <f>IF(A13="","",VLOOKUP($A13,子基金及业绩基准周净值!$A:$AV,14))</f>
        <v>1.0746</v>
      </c>
      <c r="C13" s="8">
        <f t="shared" si="0"/>
        <v>0.00561482313307131</v>
      </c>
      <c r="D13" s="9">
        <f>IF(A13="","",C13-(子基金及业绩基准周净值!AH44/子基金及业绩基准周净值!AH43-1))</f>
        <v>0.00415630983959963</v>
      </c>
      <c r="E13" s="12">
        <f>IF(A13="","",(MAX(B$3:B13)-B13)/MAX(B$3:B13))</f>
        <v>0</v>
      </c>
      <c r="F13" s="12">
        <f>IF(A13="","",MAX(E$4:E13))</f>
        <v>0.00252030243629229</v>
      </c>
      <c r="G13" s="13">
        <v>0</v>
      </c>
      <c r="H13" s="14" t="str">
        <f t="shared" si="1"/>
        <v>否</v>
      </c>
      <c r="I13" s="14" t="str">
        <f t="shared" si="2"/>
        <v>否</v>
      </c>
      <c r="J13" s="15" t="str">
        <f t="shared" si="3"/>
        <v>否</v>
      </c>
    </row>
    <row r="14" spans="1:10">
      <c r="A14" s="7">
        <f>IF(子基金及业绩基准周净值!A45="","",子基金及业绩基准周净值!A45)</f>
        <v>45758</v>
      </c>
      <c r="B14" s="1">
        <f>IF(A14="","",VLOOKUP($A14,子基金及业绩基准周净值!$A:$AV,14))</f>
        <v>1.0765</v>
      </c>
      <c r="C14" s="8">
        <f t="shared" si="0"/>
        <v>0.00176809975804952</v>
      </c>
      <c r="D14" s="9">
        <f>IF(A14="","",C14-(子基金及业绩基准周净值!AH45/子基金及业绩基准周净值!AH44-1))</f>
        <v>0.00793706578360113</v>
      </c>
      <c r="E14" s="12">
        <f>IF(A14="","",(MAX(B$3:B14)-B14)/MAX(B$3:B14))</f>
        <v>0</v>
      </c>
      <c r="F14" s="12">
        <f>IF(A14="","",MAX(E$4:E14))</f>
        <v>0.00252030243629229</v>
      </c>
      <c r="G14" s="13">
        <v>0</v>
      </c>
      <c r="H14" s="14" t="str">
        <f t="shared" si="1"/>
        <v>否</v>
      </c>
      <c r="I14" s="14" t="str">
        <f t="shared" si="2"/>
        <v>否</v>
      </c>
      <c r="J14" s="15" t="str">
        <f t="shared" si="3"/>
        <v>否</v>
      </c>
    </row>
    <row r="15" spans="1:10">
      <c r="A15" s="7">
        <f>IF(子基金及业绩基准周净值!A46="","",子基金及业绩基准周净值!A46)</f>
        <v>45765</v>
      </c>
      <c r="B15" s="1">
        <f>IF(A15="","",VLOOKUP($A15,子基金及业绩基准周净值!$A:$AV,14))</f>
        <v>1.0806</v>
      </c>
      <c r="C15" s="8">
        <f t="shared" si="0"/>
        <v>0.00380863910822108</v>
      </c>
      <c r="D15" s="9">
        <f>IF(A15="","",C15-(子基金及业绩基准周净值!AH46/子基金及业绩基准周净值!AH45-1))</f>
        <v>-0.000460639327611833</v>
      </c>
      <c r="E15" s="12">
        <f>IF(A15="","",(MAX(B$3:B15)-B15)/MAX(B$3:B15))</f>
        <v>0</v>
      </c>
      <c r="F15" s="12">
        <f>IF(A15="","",MAX(E$4:E15))</f>
        <v>0.00252030243629229</v>
      </c>
      <c r="G15" s="13">
        <v>1</v>
      </c>
      <c r="H15" s="14" t="str">
        <f t="shared" si="1"/>
        <v>否</v>
      </c>
      <c r="I15" s="14" t="str">
        <f t="shared" si="2"/>
        <v>否</v>
      </c>
      <c r="J15" s="15" t="str">
        <f t="shared" si="3"/>
        <v>否</v>
      </c>
    </row>
    <row r="16" spans="1:10">
      <c r="A16" s="7">
        <f>IF(子基金及业绩基准周净值!A47="","",子基金及业绩基准周净值!A47)</f>
        <v>45772</v>
      </c>
      <c r="B16" s="1">
        <f>IF(A16="","",VLOOKUP($A16,子基金及业绩基准周净值!$A:$AV,14))</f>
        <v>1.0852</v>
      </c>
      <c r="C16" s="8">
        <f t="shared" si="0"/>
        <v>0.00425689431797144</v>
      </c>
      <c r="D16" s="9">
        <f>IF(A16="","",C16-(子基金及业绩基准周净值!AH47/子基金及业绩基准周净值!AH46-1))</f>
        <v>0.00187477661843411</v>
      </c>
      <c r="E16" s="12">
        <f>IF(A16="","",(MAX(B$3:B16)-B16)/MAX(B$3:B16))</f>
        <v>0</v>
      </c>
      <c r="F16" s="12">
        <f>IF(A16="","",MAX(E$4:E16))</f>
        <v>0.00252030243629229</v>
      </c>
      <c r="G16" s="13">
        <v>0</v>
      </c>
      <c r="H16" s="14" t="str">
        <f t="shared" si="1"/>
        <v>否</v>
      </c>
      <c r="I16" s="14" t="str">
        <f t="shared" si="2"/>
        <v>否</v>
      </c>
      <c r="J16" s="15" t="str">
        <f t="shared" si="3"/>
        <v>否</v>
      </c>
    </row>
    <row r="17" spans="1:10">
      <c r="A17" s="7">
        <f>IF(子基金及业绩基准周净值!A48="","",子基金及业绩基准周净值!A48)</f>
        <v>45786</v>
      </c>
      <c r="B17" s="1">
        <f>IF(A17="","",VLOOKUP($A17,子基金及业绩基准周净值!$A:$AV,14))</f>
        <v>1.0902</v>
      </c>
      <c r="C17" s="8">
        <f t="shared" si="0"/>
        <v>0.00460744563214165</v>
      </c>
      <c r="D17" s="9">
        <f>IF(A17="","",C17-(子基金及业绩基准周净值!AH48/子基金及业绩基准周净值!AH47-1))</f>
        <v>-0.0020624204703621</v>
      </c>
      <c r="E17" s="12">
        <f>IF(A17="","",(MAX(B$3:B17)-B17)/MAX(B$3:B17))</f>
        <v>0</v>
      </c>
      <c r="F17" s="12">
        <f>IF(A17="","",MAX(E$4:E17))</f>
        <v>0.00252030243629229</v>
      </c>
      <c r="G17" s="13">
        <v>1</v>
      </c>
      <c r="H17" s="14" t="str">
        <f t="shared" si="1"/>
        <v>否</v>
      </c>
      <c r="I17" s="14" t="str">
        <f t="shared" si="2"/>
        <v>否</v>
      </c>
      <c r="J17" s="15" t="str">
        <f t="shared" si="3"/>
        <v>否</v>
      </c>
    </row>
    <row r="18" spans="1:10">
      <c r="A18" s="7">
        <f>IF(子基金及业绩基准周净值!A49="","",子基金及业绩基准周净值!A49)</f>
        <v>45793</v>
      </c>
      <c r="B18" s="1">
        <f>IF(A18="","",VLOOKUP($A18,子基金及业绩基准周净值!$A:$AV,14))</f>
        <v>1.0885</v>
      </c>
      <c r="C18" s="8">
        <f t="shared" si="0"/>
        <v>-0.0015593469088241</v>
      </c>
      <c r="D18" s="9">
        <f>IF(A18="","",C18-(子基金及业绩基准周净值!AH49/子基金及业绩基准周净值!AH48-1))</f>
        <v>-0.0114857486930639</v>
      </c>
      <c r="E18" s="12">
        <f>IF(A18="","",(MAX(B$3:B18)-B18)/MAX(B$3:B18))</f>
        <v>0.0015593469088241</v>
      </c>
      <c r="F18" s="12">
        <f>IF(A18="","",MAX(E$4:E18))</f>
        <v>0.00252030243629229</v>
      </c>
      <c r="G18" s="13">
        <v>2</v>
      </c>
      <c r="H18" s="14" t="str">
        <f t="shared" si="1"/>
        <v>否</v>
      </c>
      <c r="I18" s="14" t="str">
        <f t="shared" si="2"/>
        <v>否</v>
      </c>
      <c r="J18" s="15" t="str">
        <f t="shared" si="3"/>
        <v>否</v>
      </c>
    </row>
    <row r="19" spans="1:10">
      <c r="A19" s="7">
        <f>IF(子基金及业绩基准周净值!A50="","",子基金及业绩基准周净值!A50)</f>
        <v>45800</v>
      </c>
      <c r="B19" s="1">
        <f>IF(A19="","",VLOOKUP($A19,子基金及业绩基准周净值!$A:$AV,14))</f>
        <v>1.0872</v>
      </c>
      <c r="C19" s="8">
        <f t="shared" si="0"/>
        <v>-0.00119430408819484</v>
      </c>
      <c r="D19" s="9">
        <f>IF(A19="","",C19-(子基金及业绩基准周净值!AH50/子基金及业绩基准周净值!AH49-1))</f>
        <v>0.00591402596873451</v>
      </c>
      <c r="E19" s="12">
        <f>IF(A19="","",(MAX(B$3:B19)-B19)/MAX(B$3:B19))</f>
        <v>0.00275178866263081</v>
      </c>
      <c r="F19" s="12">
        <f>IF(A19="","",MAX(E$4:E19))</f>
        <v>0.00275178866263081</v>
      </c>
      <c r="G19" s="13">
        <v>0</v>
      </c>
      <c r="H19" s="14" t="str">
        <f t="shared" si="1"/>
        <v>否</v>
      </c>
      <c r="I19" s="14" t="str">
        <f t="shared" si="2"/>
        <v>否</v>
      </c>
      <c r="J19" s="15" t="str">
        <f t="shared" si="3"/>
        <v>否</v>
      </c>
    </row>
    <row r="20" spans="1:10">
      <c r="A20" s="7">
        <f>IF(子基金及业绩基准周净值!A51="","",子基金及业绩基准周净值!A51)</f>
        <v>45807</v>
      </c>
      <c r="B20" s="1">
        <f>IF(A20="","",VLOOKUP($A20,子基金及业绩基准周净值!$A:$AV,14))</f>
        <v>1.097</v>
      </c>
      <c r="C20" s="8">
        <f t="shared" si="0"/>
        <v>0.00901398086828553</v>
      </c>
      <c r="D20" s="9">
        <f>IF(A20="","",C20-(子基金及业绩基准周净值!AH51/子基金及业绩基准周净值!AH50-1))</f>
        <v>0.00755099335995702</v>
      </c>
      <c r="E20" s="12">
        <f>IF(A20="","",(MAX(B$3:B20)-B20)/MAX(B$3:B20))</f>
        <v>0</v>
      </c>
      <c r="F20" s="12">
        <f>IF(A20="","",MAX(E$4:E20))</f>
        <v>0.00275178866263081</v>
      </c>
      <c r="G20" s="13">
        <v>0</v>
      </c>
      <c r="H20" s="14" t="str">
        <f t="shared" si="1"/>
        <v>否</v>
      </c>
      <c r="I20" s="14" t="str">
        <f t="shared" si="2"/>
        <v>否</v>
      </c>
      <c r="J20" s="15" t="str">
        <f t="shared" si="3"/>
        <v>否</v>
      </c>
    </row>
    <row r="21" spans="1:10">
      <c r="A21" s="7">
        <f>IF(子基金及业绩基准周净值!A52="","",子基金及业绩基准周净值!A52)</f>
        <v>45814</v>
      </c>
      <c r="B21" s="1">
        <f>IF(A21="","",VLOOKUP($A21,子基金及业绩基准周净值!$A:$AV,14))</f>
        <v>1.0974</v>
      </c>
      <c r="C21" s="8">
        <f t="shared" si="0"/>
        <v>0.000364630811303515</v>
      </c>
      <c r="D21" s="9">
        <f>IF(A21="","",C21-(子基金及业绩基准周净值!AH52/子基金及业绩基准周净值!AH51-1))</f>
        <v>-0.00309766139596894</v>
      </c>
      <c r="E21" s="12">
        <f>IF(A21="","",(MAX(B$3:B21)-B21)/MAX(B$3:B21))</f>
        <v>0</v>
      </c>
      <c r="F21" s="12">
        <f>IF(A21="","",MAX(E$4:E21))</f>
        <v>0.00275178866263081</v>
      </c>
      <c r="G21" s="13">
        <v>1</v>
      </c>
      <c r="H21" s="14" t="str">
        <f t="shared" si="1"/>
        <v>否</v>
      </c>
      <c r="I21" s="14" t="str">
        <f t="shared" si="2"/>
        <v>否</v>
      </c>
      <c r="J21" s="15" t="str">
        <f t="shared" si="3"/>
        <v>否</v>
      </c>
    </row>
    <row r="22" spans="1:10">
      <c r="A22" s="7">
        <f>IF(子基金及业绩基准周净值!A53="","",子基金及业绩基准周净值!A53)</f>
        <v>45821</v>
      </c>
      <c r="B22" s="1">
        <f>IF(A22="","",VLOOKUP($A22,子基金及业绩基准周净值!$A:$AV,14))</f>
        <v>1.0953</v>
      </c>
      <c r="C22" s="8">
        <f t="shared" si="0"/>
        <v>-0.00191361399671951</v>
      </c>
      <c r="D22" s="9">
        <f>IF(A22="","",C22-(子基金及业绩基准周净值!AH53/子基金及业绩基准周净值!AH52-1))</f>
        <v>-0.00208349859817546</v>
      </c>
      <c r="E22" s="12">
        <f>IF(A22="","",(MAX(B$3:B22)-B22)/MAX(B$3:B22))</f>
        <v>0.00191361399671951</v>
      </c>
      <c r="F22" s="12">
        <f>IF(A22="","",MAX(E$4:E22))</f>
        <v>0.00275178866263081</v>
      </c>
      <c r="G22" s="13">
        <v>2</v>
      </c>
      <c r="H22" s="14" t="str">
        <f t="shared" si="1"/>
        <v>否</v>
      </c>
      <c r="I22" s="14" t="str">
        <f t="shared" si="2"/>
        <v>否</v>
      </c>
      <c r="J22" s="15" t="str">
        <f t="shared" si="3"/>
        <v>否</v>
      </c>
    </row>
    <row r="23" spans="1:10">
      <c r="A23" s="7">
        <f>IF(子基金及业绩基准周净值!A54="","",子基金及业绩基准周净值!A54)</f>
        <v>45828</v>
      </c>
      <c r="B23" s="1">
        <f>IF(A23="","",VLOOKUP($A23,子基金及业绩基准周净值!$A:$AV,14))</f>
        <v>1.0897</v>
      </c>
      <c r="C23" s="8">
        <f t="shared" si="0"/>
        <v>-0.00511275449648503</v>
      </c>
      <c r="D23" s="9">
        <f>IF(A23="","",C23-(子基金及业绩基准周净值!AH54/子基金及业绩基准周净值!AH53-1))</f>
        <v>-0.00403774097984839</v>
      </c>
      <c r="E23" s="12">
        <f>IF(A23="","",(MAX(B$3:B23)-B23)/MAX(B$3:B23))</f>
        <v>0.00701658465463827</v>
      </c>
      <c r="F23" s="12">
        <f>IF(A23="","",MAX(E$4:E23))</f>
        <v>0.00701658465463827</v>
      </c>
      <c r="G23" s="13">
        <v>3</v>
      </c>
      <c r="H23" s="14" t="str">
        <f t="shared" si="1"/>
        <v>否</v>
      </c>
      <c r="I23" s="14" t="str">
        <f t="shared" si="2"/>
        <v>否</v>
      </c>
      <c r="J23" s="15" t="str">
        <f t="shared" si="3"/>
        <v>否</v>
      </c>
    </row>
    <row r="24" spans="1:10">
      <c r="A24" s="7">
        <f>IF(子基金及业绩基准周净值!A55="","",子基金及业绩基准周净值!A55)</f>
        <v>45835</v>
      </c>
      <c r="B24" s="1">
        <f>IF(A24="","",VLOOKUP($A24,子基金及业绩基准周净值!$A:$AV,14))</f>
        <v>1.0992</v>
      </c>
      <c r="C24" s="8">
        <f t="shared" si="0"/>
        <v>0.00871799577865474</v>
      </c>
      <c r="D24" s="9">
        <f>IF(A24="","",C24-(子基金及业绩基准周净值!AH55/子基金及业绩基准周净值!AH54-1))</f>
        <v>0.00458165867455907</v>
      </c>
      <c r="E24" s="12">
        <f>IF(A24="","",(MAX(B$3:B24)-B24)/MAX(B$3:B24))</f>
        <v>0</v>
      </c>
      <c r="F24" s="12">
        <f>IF(A24="","",MAX(E$4:E24))</f>
        <v>0.00701658465463827</v>
      </c>
      <c r="G24" s="13">
        <v>0</v>
      </c>
      <c r="H24" s="14" t="str">
        <f t="shared" si="1"/>
        <v>否</v>
      </c>
      <c r="I24" s="14" t="str">
        <f t="shared" si="2"/>
        <v>否</v>
      </c>
      <c r="J24" s="15" t="str">
        <f t="shared" si="3"/>
        <v>否</v>
      </c>
    </row>
    <row r="25" spans="1:10">
      <c r="A25" s="7">
        <f>IF(子基金及业绩基准周净值!A56="","",子基金及业绩基准周净值!A56)</f>
        <v>45842</v>
      </c>
      <c r="B25" s="1">
        <f>IF(A25="","",VLOOKUP($A25,子基金及业绩基准周净值!$A:$AV,14))</f>
        <v>1.0916</v>
      </c>
      <c r="C25" s="8">
        <f t="shared" si="0"/>
        <v>-0.00691411935953425</v>
      </c>
      <c r="D25" s="9">
        <f>IF(A25="","",C25-(子基金及业绩基准周净值!AH56/子基金及业绩基准周净值!AH55-1))</f>
        <v>-0.0115831197953823</v>
      </c>
      <c r="E25" s="12">
        <f>IF(A25="","",(MAX(B$3:B25)-B25)/MAX(B$3:B25))</f>
        <v>0.00691411935953425</v>
      </c>
      <c r="F25" s="12">
        <f>IF(A25="","",MAX(E$4:E25))</f>
        <v>0.00701658465463827</v>
      </c>
      <c r="G25" s="13">
        <v>1</v>
      </c>
      <c r="H25" s="14" t="str">
        <f t="shared" si="1"/>
        <v>否</v>
      </c>
      <c r="I25" s="14" t="str">
        <f t="shared" si="2"/>
        <v>否</v>
      </c>
      <c r="J25" s="15" t="str">
        <f t="shared" si="3"/>
        <v>否</v>
      </c>
    </row>
    <row r="26" spans="1:10">
      <c r="A26" s="7">
        <f>IF(子基金及业绩基准周净值!A57="","",子基金及业绩基准周净值!A57)</f>
        <v>45849</v>
      </c>
      <c r="B26" s="1">
        <f>IF(A26="","",VLOOKUP($A26,子基金及业绩基准周净值!$A:$AV,14))</f>
        <v>1.09</v>
      </c>
      <c r="C26" s="8">
        <f t="shared" si="0"/>
        <v>-0.00146573836570156</v>
      </c>
      <c r="D26" s="9">
        <f>IF(A26="","",C26-(子基金及业绩基准周净值!AH57/子基金及业绩基准周净值!AH56-1))</f>
        <v>-0.00402180493970543</v>
      </c>
      <c r="E26" s="12">
        <f>IF(A26="","",(MAX(B$3:B26)-B26)/MAX(B$3:B26))</f>
        <v>0.00836972343522551</v>
      </c>
      <c r="F26" s="12">
        <f>IF(A26="","",MAX(E$4:E26))</f>
        <v>0.00836972343522551</v>
      </c>
      <c r="G26" s="13">
        <v>2</v>
      </c>
      <c r="H26" s="14" t="str">
        <f t="shared" si="1"/>
        <v>否</v>
      </c>
      <c r="I26" s="14" t="str">
        <f t="shared" si="2"/>
        <v>否</v>
      </c>
      <c r="J26" s="15" t="str">
        <f t="shared" si="3"/>
        <v>否</v>
      </c>
    </row>
    <row r="27" spans="1:10">
      <c r="A27" s="7">
        <f>IF(子基金及业绩基准周净值!A58="","",子基金及业绩基准周净值!A58)</f>
        <v>45856</v>
      </c>
      <c r="B27" s="1">
        <f>IF(A27="","",VLOOKUP($A27,子基金及业绩基准周净值!$A:$AV,14))</f>
        <v>1.0914</v>
      </c>
      <c r="C27" s="8">
        <f t="shared" si="0"/>
        <v>0.00128440366972463</v>
      </c>
      <c r="D27" s="9">
        <f>IF(A27="","",C27-(子基金及业绩基准周净值!AH58/子基金及业绩基准周净值!AH57-1))</f>
        <v>-0.00297881571784072</v>
      </c>
      <c r="E27" s="12">
        <f>IF(A27="","",(MAX(B$3:B27)-B27)/MAX(B$3:B27))</f>
        <v>0.00709606986899566</v>
      </c>
      <c r="F27" s="12">
        <f>IF(A27="","",MAX(E$4:E27))</f>
        <v>0.00836972343522551</v>
      </c>
      <c r="G27" s="13">
        <v>3</v>
      </c>
      <c r="H27" s="14" t="str">
        <f t="shared" si="1"/>
        <v>否</v>
      </c>
      <c r="I27" s="14" t="str">
        <f t="shared" si="2"/>
        <v>否</v>
      </c>
      <c r="J27" s="15" t="str">
        <f t="shared" si="3"/>
        <v>否</v>
      </c>
    </row>
    <row r="28" spans="1:10">
      <c r="A28" s="7">
        <f>IF(子基金及业绩基准周净值!A59="","",子基金及业绩基准周净值!A59)</f>
        <v>45863</v>
      </c>
      <c r="B28" s="1">
        <f>IF(A28="","",VLOOKUP($A28,子基金及业绩基准周净值!$A:$AV,14))</f>
        <v>1.0731</v>
      </c>
      <c r="C28" s="8">
        <f t="shared" si="0"/>
        <v>-0.0167674546454095</v>
      </c>
      <c r="D28" s="9">
        <f>IF(A28="","",C28-(子基金及业绩基准周净值!AH59/子基金及业绩基准周净值!AH58-1))</f>
        <v>-0.016730096449505</v>
      </c>
      <c r="E28" s="12">
        <f>IF(A28="","",(MAX(B$3:B28)-B28)/MAX(B$3:B28))</f>
        <v>0.0237445414847162</v>
      </c>
      <c r="F28" s="12">
        <f>IF(A28="","",MAX(E$4:E28))</f>
        <v>0.0237445414847162</v>
      </c>
      <c r="G28" s="13">
        <v>4</v>
      </c>
      <c r="H28" s="14" t="str">
        <f t="shared" si="1"/>
        <v>否</v>
      </c>
      <c r="I28" s="14" t="str">
        <f t="shared" si="2"/>
        <v>否</v>
      </c>
      <c r="J28" s="15" t="str">
        <f t="shared" si="3"/>
        <v>是</v>
      </c>
    </row>
    <row r="29" spans="1:10">
      <c r="A29" s="7">
        <f>IF(子基金及业绩基准周净值!A60="","",子基金及业绩基准周净值!A60)</f>
        <v>45870</v>
      </c>
      <c r="B29" s="1">
        <f>IF(A29="","",VLOOKUP($A29,子基金及业绩基准周净值!$A:$AV,14))</f>
        <v>1.089</v>
      </c>
      <c r="C29" s="8">
        <f t="shared" si="0"/>
        <v>0.014816885658373</v>
      </c>
      <c r="D29" s="9">
        <f>IF(A29="","",C29-(子基金及业绩基准周净值!AH60/子基金及业绩基准周净值!AH59-1))</f>
        <v>0.011065582381251</v>
      </c>
      <c r="E29" s="12">
        <f>IF(A29="","",(MAX(B$3:B29)-B29)/MAX(B$3:B29))</f>
        <v>0.00927947598253274</v>
      </c>
      <c r="F29" s="12">
        <f>IF(A29="","",MAX(E$4:E29))</f>
        <v>0.0237445414847162</v>
      </c>
      <c r="G29" s="13">
        <v>0</v>
      </c>
      <c r="H29" s="14" t="str">
        <f t="shared" si="1"/>
        <v>否</v>
      </c>
      <c r="I29" s="14" t="str">
        <f t="shared" si="2"/>
        <v>否</v>
      </c>
      <c r="J29" s="15" t="str">
        <f t="shared" si="3"/>
        <v>否</v>
      </c>
    </row>
    <row r="30" spans="1:10">
      <c r="A30" s="7">
        <f>IF(子基金及业绩基准周净值!A61="","",子基金及业绩基准周净值!A61)</f>
        <v>45877</v>
      </c>
      <c r="B30" s="1">
        <f>IF(A30="","",VLOOKUP($A30,子基金及业绩基准周净值!$A:$AV,14))</f>
        <v>1.0983</v>
      </c>
      <c r="C30" s="8">
        <f t="shared" si="0"/>
        <v>0.00853994490358135</v>
      </c>
      <c r="D30" s="9">
        <f>IF(A30="","",C30-(子基金及业绩基准周净值!AH61/子基金及业绩基准周净值!AH60-1))</f>
        <v>0.00247597020311619</v>
      </c>
      <c r="E30" s="12">
        <f>IF(A30="","",(MAX(B$3:B30)-B30)/MAX(B$3:B30))</f>
        <v>0.000818777292576329</v>
      </c>
      <c r="F30" s="12">
        <f>IF(A30="","",MAX(E$4:E30))</f>
        <v>0.0237445414847162</v>
      </c>
      <c r="G30" s="13">
        <v>0</v>
      </c>
      <c r="H30" s="14" t="str">
        <f t="shared" si="1"/>
        <v>否</v>
      </c>
      <c r="I30" s="14" t="str">
        <f t="shared" si="2"/>
        <v>否</v>
      </c>
      <c r="J30" s="15" t="str">
        <f t="shared" si="3"/>
        <v>否</v>
      </c>
    </row>
    <row r="31" spans="1:10">
      <c r="A31" s="7">
        <f>IF(子基金及业绩基准周净值!A62="","",子基金及业绩基准周净值!A62)</f>
        <v>45884</v>
      </c>
      <c r="B31" s="1">
        <f>IF(A31="","",VLOOKUP($A31,子基金及业绩基准周净值!$A:$AV,14))</f>
        <v>1.1078</v>
      </c>
      <c r="C31" s="8">
        <f t="shared" si="0"/>
        <v>0.00864973140307734</v>
      </c>
      <c r="D31" s="9">
        <f>IF(A31="","",C31-(子基金及业绩基准周净值!AH62/子基金及业绩基准周净值!AH61-1))</f>
        <v>0.00618464079663794</v>
      </c>
      <c r="E31" s="12">
        <f>IF(A31="","",(MAX(B$3:B31)-B31)/MAX(B$3:B31))</f>
        <v>0</v>
      </c>
      <c r="F31" s="12">
        <f>IF(A31="","",MAX(E$4:E31))</f>
        <v>0.0237445414847162</v>
      </c>
      <c r="G31" s="13">
        <v>0</v>
      </c>
      <c r="H31" s="14" t="str">
        <f t="shared" si="1"/>
        <v>否</v>
      </c>
      <c r="I31" s="14" t="str">
        <f t="shared" si="2"/>
        <v>否</v>
      </c>
      <c r="J31" s="15" t="str">
        <f t="shared" si="3"/>
        <v>否</v>
      </c>
    </row>
    <row r="32" spans="1:10">
      <c r="A32" s="7">
        <f>IF(子基金及业绩基准周净值!A63="","",子基金及业绩基准周净值!A63)</f>
        <v>45891</v>
      </c>
      <c r="B32" s="1">
        <f>IF(A32="","",VLOOKUP($A32,子基金及业绩基准周净值!$A:$AV,14))</f>
        <v>1.111</v>
      </c>
      <c r="C32" s="8">
        <f t="shared" si="0"/>
        <v>0.00288860805199503</v>
      </c>
      <c r="D32" s="9">
        <f>IF(A32="","",C32-(子基金及业绩基准周净值!AH63/子基金及业绩基准周净值!AH62-1))</f>
        <v>-0.0020646702162745</v>
      </c>
      <c r="E32" s="12">
        <f>IF(A32="","",(MAX(B$3:B32)-B32)/MAX(B$3:B32))</f>
        <v>0</v>
      </c>
      <c r="F32" s="12">
        <f>IF(A32="","",MAX(E$4:E32))</f>
        <v>0.0237445414847162</v>
      </c>
      <c r="G32" s="13">
        <v>1</v>
      </c>
      <c r="H32" s="14" t="str">
        <f t="shared" si="1"/>
        <v>否</v>
      </c>
      <c r="I32" s="14" t="str">
        <f t="shared" si="2"/>
        <v>否</v>
      </c>
      <c r="J32" s="15" t="str">
        <f t="shared" si="3"/>
        <v>否</v>
      </c>
    </row>
    <row r="33" spans="1:10">
      <c r="A33" s="7">
        <f>IF(子基金及业绩基准周净值!A64="","",子基金及业绩基准周净值!A64)</f>
        <v>45898</v>
      </c>
      <c r="B33" s="1">
        <f>IF(A33="","",VLOOKUP($A33,子基金及业绩基准周净值!$A:$AV,14))</f>
        <v>1.1104</v>
      </c>
      <c r="C33" s="8">
        <f t="shared" si="0"/>
        <v>-0.000540054005400481</v>
      </c>
      <c r="D33" s="9">
        <f>IF(A33="","",C33-(子基金及业绩基准周净值!AH64/子基金及业绩基准周净值!AH63-1))</f>
        <v>-0.00024787493241708</v>
      </c>
      <c r="E33" s="12">
        <f>IF(A33="","",(MAX(B$3:B33)-B33)/MAX(B$3:B33))</f>
        <v>0.000540054005400481</v>
      </c>
      <c r="F33" s="12">
        <f>IF(A33="","",MAX(E$4:E33))</f>
        <v>0.0237445414847162</v>
      </c>
      <c r="G33" s="13">
        <v>2</v>
      </c>
      <c r="H33" s="14" t="str">
        <f t="shared" si="1"/>
        <v>否</v>
      </c>
      <c r="I33" s="14" t="str">
        <f t="shared" si="2"/>
        <v>否</v>
      </c>
      <c r="J33" s="15" t="str">
        <f t="shared" si="3"/>
        <v>否</v>
      </c>
    </row>
    <row r="34" spans="1:10">
      <c r="A34" s="7">
        <f>IF(子基金及业绩基准周净值!A65="","",子基金及业绩基准周净值!A65)</f>
        <v>45905</v>
      </c>
      <c r="B34" s="1">
        <f>IF(A34="","",VLOOKUP($A34,子基金及业绩基准周净值!$A:$AV,14))</f>
        <v>1.1137</v>
      </c>
      <c r="C34" s="8">
        <f t="shared" si="0"/>
        <v>0.00297190201729094</v>
      </c>
      <c r="D34" s="9">
        <f>IF(A34="","",C34-(子基金及业绩基准周净值!AH65/子基金及业绩基准周净值!AH64-1))</f>
        <v>0.00124819761984043</v>
      </c>
      <c r="E34" s="12">
        <f>IF(A34="","",(MAX(B$3:B34)-B34)/MAX(B$3:B34))</f>
        <v>0</v>
      </c>
      <c r="F34" s="12">
        <f>IF(A34="","",MAX(E$4:E34))</f>
        <v>0.0237445414847162</v>
      </c>
      <c r="G34" s="13">
        <v>0</v>
      </c>
      <c r="H34" s="14" t="str">
        <f t="shared" si="1"/>
        <v>否</v>
      </c>
      <c r="I34" s="14" t="str">
        <f t="shared" si="2"/>
        <v>否</v>
      </c>
      <c r="J34" s="15" t="str">
        <f t="shared" si="3"/>
        <v>否</v>
      </c>
    </row>
    <row r="35" spans="1:10">
      <c r="A35" s="7">
        <f>IF(子基金及业绩基准周净值!A66="","",子基金及业绩基准周净值!A66)</f>
        <v>45912</v>
      </c>
      <c r="B35" s="1">
        <f>IF(A35="","",VLOOKUP($A35,子基金及业绩基准周净值!$A:$AV,14))</f>
        <v>1.1189</v>
      </c>
      <c r="C35" s="8">
        <f t="shared" si="0"/>
        <v>0.0046691209481908</v>
      </c>
      <c r="D35" s="9">
        <f>IF(A35="","",C35-(子基金及业绩基准周净值!AH66/子基金及业绩基准周净值!AH65-1))</f>
        <v>-0.000162770554344801</v>
      </c>
      <c r="E35" s="12">
        <f>IF(A35="","",(MAX(B$3:B35)-B35)/MAX(B$3:B35))</f>
        <v>0</v>
      </c>
      <c r="F35" s="12">
        <f>IF(A35="","",MAX(E$4:E35))</f>
        <v>0.0237445414847162</v>
      </c>
      <c r="G35" s="13">
        <v>1</v>
      </c>
      <c r="H35" s="14" t="str">
        <f t="shared" si="1"/>
        <v>否</v>
      </c>
      <c r="I35" s="14" t="str">
        <f t="shared" si="2"/>
        <v>否</v>
      </c>
      <c r="J35" s="15" t="str">
        <f t="shared" si="3"/>
        <v>否</v>
      </c>
    </row>
    <row r="36" spans="1:10">
      <c r="A36" s="7">
        <f>IF(子基金及业绩基准周净值!A67="","",子基金及业绩基准周净值!A67)</f>
        <v>45919</v>
      </c>
      <c r="B36" s="1">
        <f>IF(A36="","",VLOOKUP($A36,子基金及业绩基准周净值!$A:$AV,14))</f>
        <v>1.1115</v>
      </c>
      <c r="C36" s="8">
        <f t="shared" si="0"/>
        <v>-0.00661363839485215</v>
      </c>
      <c r="D36" s="9">
        <f>IF(A36="","",C36-(子基金及业绩基准周净值!AH67/子基金及业绩基准周净值!AH66-1))</f>
        <v>-0.00764365104463857</v>
      </c>
      <c r="E36" s="12">
        <f>IF(A36="","",(MAX(B$3:B36)-B36)/MAX(B$3:B36))</f>
        <v>0.00661363839485215</v>
      </c>
      <c r="F36" s="12">
        <f>IF(A36="","",MAX(E$4:E36))</f>
        <v>0.0237445414847162</v>
      </c>
      <c r="G36" s="13">
        <v>2</v>
      </c>
      <c r="H36" s="14" t="str">
        <f t="shared" si="1"/>
        <v>否</v>
      </c>
      <c r="I36" s="14" t="str">
        <f t="shared" si="2"/>
        <v>否</v>
      </c>
      <c r="J36" s="15" t="str">
        <f t="shared" si="3"/>
        <v>否</v>
      </c>
    </row>
    <row r="37" spans="1:10">
      <c r="A37" s="7">
        <f>IF(子基金及业绩基准周净值!A68="","",子基金及业绩基准周净值!A68)</f>
        <v>45926</v>
      </c>
      <c r="B37" s="1">
        <f>IF(A37="","",VLOOKUP($A37,子基金及业绩基准周净值!$A:$AV,14))</f>
        <v>1.1129</v>
      </c>
      <c r="C37" s="8">
        <f t="shared" si="0"/>
        <v>0.00125955915429606</v>
      </c>
      <c r="D37" s="9">
        <f>IF(A37="","",C37-(子基金及业绩基准周净值!AH68/子基金及业绩基准周净值!AH67-1))</f>
        <v>0.00134455174185751</v>
      </c>
      <c r="E37" s="12">
        <f>IF(A37="","",(MAX(B$3:B37)-B37)/MAX(B$3:B37))</f>
        <v>0.00536240950933953</v>
      </c>
      <c r="F37" s="12">
        <f>IF(A37="","",MAX(E$4:E37))</f>
        <v>0.0237445414847162</v>
      </c>
      <c r="G37" s="13">
        <v>0</v>
      </c>
      <c r="H37" s="14" t="str">
        <f t="shared" si="1"/>
        <v>否</v>
      </c>
      <c r="I37" s="14" t="str">
        <f t="shared" si="2"/>
        <v>否</v>
      </c>
      <c r="J37" s="15" t="str">
        <f t="shared" si="3"/>
        <v>否</v>
      </c>
    </row>
    <row r="38" spans="1:10">
      <c r="A38" s="7">
        <f>IF(子基金及业绩基准周净值!A69="","",子基金及业绩基准周净值!A69)</f>
        <v>45940</v>
      </c>
      <c r="B38" s="1">
        <f>IF(A38="","",VLOOKUP($A38,子基金及业绩基准周净值!$A:$AV,14))</f>
        <v>1.1286</v>
      </c>
      <c r="C38" s="8">
        <f t="shared" si="0"/>
        <v>0.0141072872674994</v>
      </c>
      <c r="D38" s="9">
        <f>IF(A38="","",C38-(子基金及业绩基准周净值!AH69/子基金及业绩基准周净值!AH68-1))</f>
        <v>0.0079178541547557</v>
      </c>
      <c r="E38" s="12">
        <f>IF(A38="","",(MAX(B$3:B38)-B38)/MAX(B$3:B38))</f>
        <v>0</v>
      </c>
      <c r="F38" s="12">
        <f>IF(A38="","",MAX(E$4:E38))</f>
        <v>0.0237445414847162</v>
      </c>
      <c r="G38" s="13">
        <v>0</v>
      </c>
      <c r="H38" s="14" t="str">
        <f t="shared" si="1"/>
        <v>否</v>
      </c>
      <c r="I38" s="14" t="str">
        <f t="shared" si="2"/>
        <v>否</v>
      </c>
      <c r="J38" s="15" t="str">
        <f t="shared" si="3"/>
        <v>否</v>
      </c>
    </row>
    <row r="39" spans="1:10">
      <c r="A39" s="7">
        <f>IF(子基金及业绩基准周净值!A70="","",子基金及业绩基准周净值!A70)</f>
        <v>45947</v>
      </c>
      <c r="B39" s="1">
        <f>IF(A39="","",VLOOKUP($A39,子基金及业绩基准周净值!$A:$AV,14))</f>
        <v>1.1219</v>
      </c>
      <c r="C39" s="8">
        <f t="shared" si="0"/>
        <v>-0.00593655856813765</v>
      </c>
      <c r="D39" s="9">
        <f>IF(A39="","",C39-(子基金及业绩基准周净值!AH70/子基金及业绩基准周净值!AH69-1))</f>
        <v>-0.000579641667571704</v>
      </c>
      <c r="E39" s="12">
        <f>IF(A39="","",(MAX(B$3:B39)-B39)/MAX(B$3:B39))</f>
        <v>0.00593655856813765</v>
      </c>
      <c r="F39" s="12">
        <f>IF(A39="","",MAX(E$4:E39))</f>
        <v>0.0237445414847162</v>
      </c>
      <c r="G39" s="13">
        <v>1</v>
      </c>
      <c r="H39" s="14" t="str">
        <f t="shared" si="1"/>
        <v>否</v>
      </c>
      <c r="I39" s="14" t="str">
        <f t="shared" si="2"/>
        <v>否</v>
      </c>
      <c r="J39" s="15" t="str">
        <f t="shared" si="3"/>
        <v>否</v>
      </c>
    </row>
    <row r="40" spans="1:10">
      <c r="A40" s="7">
        <f>IF(子基金及业绩基准周净值!A71="","",子基金及业绩基准周净值!A71)</f>
        <v>45954</v>
      </c>
      <c r="B40" s="1">
        <f>IF(A40="","",VLOOKUP($A40,子基金及业绩基准周净值!$A:$AV,14))</f>
        <v>1.1264</v>
      </c>
      <c r="C40" s="8">
        <f t="shared" si="0"/>
        <v>0.004011052678492</v>
      </c>
      <c r="D40" s="9">
        <f>IF(A40="","",C40-(子基金及业绩基准周净值!AH71/子基金及业绩基准周净值!AH70-1))</f>
        <v>-0.00507268730405897</v>
      </c>
      <c r="E40" s="12">
        <f>IF(A40="","",(MAX(B$3:B40)-B40)/MAX(B$3:B40))</f>
        <v>0.0019493177387914</v>
      </c>
      <c r="F40" s="12">
        <f>IF(A40="","",MAX(E$4:E40))</f>
        <v>0.0237445414847162</v>
      </c>
      <c r="G40" s="13">
        <v>2</v>
      </c>
      <c r="H40" s="14" t="str">
        <f t="shared" si="1"/>
        <v>否</v>
      </c>
      <c r="I40" s="14" t="str">
        <f t="shared" si="2"/>
        <v>否</v>
      </c>
      <c r="J40" s="15" t="str">
        <f t="shared" si="3"/>
        <v>否</v>
      </c>
    </row>
    <row r="41" spans="1:10">
      <c r="A41" s="7">
        <f>IF(子基金及业绩基准周净值!A72="","",子基金及业绩基准周净值!A72)</f>
        <v>45961</v>
      </c>
      <c r="B41" s="1">
        <f>IF(A41="","",VLOOKUP($A41,子基金及业绩基准周净值!$A:$AV,14))</f>
        <v>1.1243</v>
      </c>
      <c r="C41" s="8">
        <f t="shared" si="0"/>
        <v>-0.00186434659090908</v>
      </c>
      <c r="D41" s="9">
        <f>IF(A41="","",C41-(子基金及业绩基准周净值!AH72/子基金及业绩基准周净值!AH71-1))</f>
        <v>-0.00482847051965543</v>
      </c>
      <c r="E41" s="12">
        <f>IF(A41="","",(MAX(B$3:B41)-B41)/MAX(B$3:B41))</f>
        <v>0.00381003012581957</v>
      </c>
      <c r="F41" s="12">
        <f>IF(A41="","",MAX(E$4:E41))</f>
        <v>0.0237445414847162</v>
      </c>
      <c r="G41" s="13">
        <v>3</v>
      </c>
      <c r="H41" s="14" t="str">
        <f t="shared" si="1"/>
        <v>否</v>
      </c>
      <c r="I41" s="14" t="str">
        <f t="shared" si="2"/>
        <v>否</v>
      </c>
      <c r="J41" s="15" t="str">
        <f t="shared" si="3"/>
        <v>否</v>
      </c>
    </row>
    <row r="42" spans="1:10">
      <c r="A42" s="7" t="str">
        <f>IF(子基金及业绩基准周净值!A73="","",子基金及业绩基准周净值!A73)</f>
        <v/>
      </c>
      <c r="B42" s="1" t="str">
        <f>IF(A42="","",VLOOKUP($A42,子基金及业绩基准周净值!$A:$AV,14))</f>
        <v/>
      </c>
      <c r="C42" s="8" t="str">
        <f t="shared" si="0"/>
        <v/>
      </c>
      <c r="D42" s="9" t="str">
        <f>IF(A42="","",C42-(子基金及业绩基准周净值!AH73/子基金及业绩基准周净值!AH72-1))</f>
        <v/>
      </c>
      <c r="E42" s="12" t="str">
        <f>IF(A42="","",(MAX(B$3:B42)-B42)/MAX(B$3:B42))</f>
        <v/>
      </c>
      <c r="F42" s="12" t="str">
        <f>IF(A42="","",MAX(E$4:E42))</f>
        <v/>
      </c>
      <c r="G42" s="13"/>
      <c r="H42" s="14" t="str">
        <f t="shared" si="1"/>
        <v/>
      </c>
      <c r="I42" s="14" t="str">
        <f t="shared" si="2"/>
        <v/>
      </c>
      <c r="J42" s="15" t="str">
        <f t="shared" si="3"/>
        <v/>
      </c>
    </row>
    <row r="43" spans="1:10">
      <c r="A43" s="7" t="str">
        <f>IF(子基金及业绩基准周净值!A74="","",子基金及业绩基准周净值!A74)</f>
        <v/>
      </c>
      <c r="B43" s="1" t="str">
        <f>IF(A43="","",VLOOKUP($A43,子基金及业绩基准周净值!$A:$AV,14))</f>
        <v/>
      </c>
      <c r="C43" s="8" t="str">
        <f t="shared" si="0"/>
        <v/>
      </c>
      <c r="D43" s="9" t="str">
        <f>IF(A43="","",C43-(子基金及业绩基准周净值!AH74/子基金及业绩基准周净值!AH73-1))</f>
        <v/>
      </c>
      <c r="E43" s="12" t="str">
        <f>IF(A43="","",(MAX(B$3:B43)-B43)/MAX(B$3:B43))</f>
        <v/>
      </c>
      <c r="F43" s="12" t="str">
        <f>IF(A43="","",MAX(E$4:E43))</f>
        <v/>
      </c>
      <c r="G43" s="13"/>
      <c r="H43" s="14" t="str">
        <f t="shared" si="1"/>
        <v/>
      </c>
      <c r="I43" s="14" t="str">
        <f t="shared" si="2"/>
        <v/>
      </c>
      <c r="J43" s="15" t="str">
        <f t="shared" si="3"/>
        <v/>
      </c>
    </row>
    <row r="44" spans="1:10">
      <c r="A44" s="7" t="str">
        <f>IF(子基金及业绩基准周净值!A75="","",子基金及业绩基准周净值!A75)</f>
        <v/>
      </c>
      <c r="B44" s="1" t="str">
        <f>IF(A44="","",VLOOKUP($A44,子基金及业绩基准周净值!$A:$AV,14))</f>
        <v/>
      </c>
      <c r="C44" s="8" t="str">
        <f t="shared" si="0"/>
        <v/>
      </c>
      <c r="D44" s="9" t="str">
        <f>IF(A44="","",C44-(子基金及业绩基准周净值!AH75/子基金及业绩基准周净值!AH74-1))</f>
        <v/>
      </c>
      <c r="E44" s="12" t="str">
        <f>IF(A44="","",(MAX(B$3:B44)-B44)/MAX(B$3:B44))</f>
        <v/>
      </c>
      <c r="F44" s="12" t="str">
        <f>IF(A44="","",MAX(E$4:E44))</f>
        <v/>
      </c>
      <c r="G44" s="13"/>
      <c r="H44" s="14" t="str">
        <f t="shared" si="1"/>
        <v/>
      </c>
      <c r="I44" s="14" t="str">
        <f t="shared" si="2"/>
        <v/>
      </c>
      <c r="J44" s="15" t="str">
        <f t="shared" si="3"/>
        <v/>
      </c>
    </row>
    <row r="45" spans="1:10">
      <c r="A45" s="7" t="str">
        <f>IF(子基金及业绩基准周净值!A76="","",子基金及业绩基准周净值!A76)</f>
        <v/>
      </c>
      <c r="B45" s="1" t="str">
        <f>IF(A45="","",VLOOKUP($A45,子基金及业绩基准周净值!$A:$AV,14))</f>
        <v/>
      </c>
      <c r="C45" s="8" t="str">
        <f t="shared" si="0"/>
        <v/>
      </c>
      <c r="D45" s="9" t="str">
        <f>IF(A45="","",C45-(子基金及业绩基准周净值!AH76/子基金及业绩基准周净值!AH75-1))</f>
        <v/>
      </c>
      <c r="E45" s="12" t="str">
        <f>IF(A45="","",(MAX(B$3:B45)-B45)/MAX(B$3:B45))</f>
        <v/>
      </c>
      <c r="F45" s="12" t="str">
        <f>IF(A45="","",MAX(E$4:E45))</f>
        <v/>
      </c>
      <c r="G45" s="13"/>
      <c r="H45" s="14" t="str">
        <f t="shared" si="1"/>
        <v/>
      </c>
      <c r="I45" s="14" t="str">
        <f t="shared" si="2"/>
        <v/>
      </c>
      <c r="J45" s="15" t="str">
        <f t="shared" si="3"/>
        <v/>
      </c>
    </row>
    <row r="46" spans="1:10">
      <c r="A46" s="7" t="str">
        <f>IF(子基金及业绩基准周净值!A77="","",子基金及业绩基准周净值!A77)</f>
        <v/>
      </c>
      <c r="B46" s="1" t="str">
        <f>IF(A46="","",VLOOKUP($A46,子基金及业绩基准周净值!$A:$AV,14))</f>
        <v/>
      </c>
      <c r="C46" s="8" t="str">
        <f t="shared" si="0"/>
        <v/>
      </c>
      <c r="D46" s="9" t="str">
        <f>IF(A46="","",C46-(子基金及业绩基准周净值!AH77/子基金及业绩基准周净值!AH76-1))</f>
        <v/>
      </c>
      <c r="E46" s="12" t="str">
        <f>IF(A46="","",(MAX(B$3:B46)-B46)/MAX(B$3:B46))</f>
        <v/>
      </c>
      <c r="F46" s="12" t="str">
        <f>IF(A46="","",MAX(E$4:E46))</f>
        <v/>
      </c>
      <c r="G46" s="13"/>
      <c r="H46" s="14" t="str">
        <f t="shared" si="1"/>
        <v/>
      </c>
      <c r="I46" s="14" t="str">
        <f t="shared" si="2"/>
        <v/>
      </c>
      <c r="J46" s="15" t="str">
        <f t="shared" si="3"/>
        <v/>
      </c>
    </row>
    <row r="47" spans="1:10">
      <c r="A47" s="7" t="str">
        <f>IF(子基金及业绩基准周净值!A78="","",子基金及业绩基准周净值!A78)</f>
        <v/>
      </c>
      <c r="B47" s="1" t="str">
        <f>IF(A47="","",VLOOKUP($A47,子基金及业绩基准周净值!$A:$AV,14))</f>
        <v/>
      </c>
      <c r="C47" s="8" t="str">
        <f t="shared" si="0"/>
        <v/>
      </c>
      <c r="D47" s="9" t="str">
        <f>IF(A47="","",C47-(子基金及业绩基准周净值!AH78/子基金及业绩基准周净值!AH77-1))</f>
        <v/>
      </c>
      <c r="E47" s="12" t="str">
        <f>IF(A47="","",(MAX(B$3:B47)-B47)/MAX(B$3:B47))</f>
        <v/>
      </c>
      <c r="F47" s="12" t="str">
        <f>IF(A47="","",MAX(E$4:E47))</f>
        <v/>
      </c>
      <c r="G47" s="13"/>
      <c r="H47" s="14" t="str">
        <f t="shared" si="1"/>
        <v/>
      </c>
      <c r="I47" s="14" t="str">
        <f t="shared" si="2"/>
        <v/>
      </c>
      <c r="J47" s="15" t="str">
        <f t="shared" si="3"/>
        <v/>
      </c>
    </row>
    <row r="48" spans="1:10">
      <c r="A48" s="7" t="str">
        <f>IF(子基金及业绩基准周净值!A79="","",子基金及业绩基准周净值!A79)</f>
        <v/>
      </c>
      <c r="B48" s="1" t="str">
        <f>IF(A48="","",VLOOKUP($A48,子基金及业绩基准周净值!$A:$AV,14))</f>
        <v/>
      </c>
      <c r="C48" s="8" t="str">
        <f t="shared" si="0"/>
        <v/>
      </c>
      <c r="D48" s="9" t="str">
        <f>IF(A48="","",C48-(子基金及业绩基准周净值!AH79/子基金及业绩基准周净值!AH78-1))</f>
        <v/>
      </c>
      <c r="E48" s="12" t="str">
        <f>IF(A48="","",(MAX(B$3:B48)-B48)/MAX(B$3:B48))</f>
        <v/>
      </c>
      <c r="F48" s="12" t="str">
        <f>IF(A48="","",MAX(E$4:E48))</f>
        <v/>
      </c>
      <c r="G48" s="13"/>
      <c r="H48" s="14" t="str">
        <f t="shared" si="1"/>
        <v/>
      </c>
      <c r="I48" s="14" t="str">
        <f t="shared" si="2"/>
        <v/>
      </c>
      <c r="J48" s="15" t="str">
        <f t="shared" si="3"/>
        <v/>
      </c>
    </row>
    <row r="49" spans="1:10">
      <c r="A49" s="7" t="str">
        <f>IF(子基金及业绩基准周净值!A80="","",子基金及业绩基准周净值!A80)</f>
        <v/>
      </c>
      <c r="B49" s="1" t="str">
        <f>IF(A49="","",VLOOKUP($A49,子基金及业绩基准周净值!$A:$AV,14))</f>
        <v/>
      </c>
      <c r="C49" s="8" t="str">
        <f t="shared" si="0"/>
        <v/>
      </c>
      <c r="D49" s="9" t="str">
        <f>IF(A49="","",C49-(子基金及业绩基准周净值!AH80/子基金及业绩基准周净值!AH79-1))</f>
        <v/>
      </c>
      <c r="E49" s="12" t="str">
        <f>IF(A49="","",(MAX(B$3:B49)-B49)/MAX(B$3:B49))</f>
        <v/>
      </c>
      <c r="F49" s="12" t="str">
        <f>IF(A49="","",MAX(E$4:E49))</f>
        <v/>
      </c>
      <c r="G49" s="13"/>
      <c r="H49" s="14" t="str">
        <f t="shared" si="1"/>
        <v/>
      </c>
      <c r="I49" s="14" t="str">
        <f t="shared" si="2"/>
        <v/>
      </c>
      <c r="J49" s="15" t="str">
        <f t="shared" si="3"/>
        <v/>
      </c>
    </row>
    <row r="50" spans="1:10">
      <c r="A50" s="7" t="str">
        <f>IF(子基金及业绩基准周净值!A81="","",子基金及业绩基准周净值!A81)</f>
        <v/>
      </c>
      <c r="B50" s="1" t="str">
        <f>IF(A50="","",VLOOKUP($A50,子基金及业绩基准周净值!$A:$AV,14))</f>
        <v/>
      </c>
      <c r="C50" s="8" t="str">
        <f t="shared" si="0"/>
        <v/>
      </c>
      <c r="D50" s="9" t="str">
        <f>IF(A50="","",C50-(子基金及业绩基准周净值!AH81/子基金及业绩基准周净值!AH80-1))</f>
        <v/>
      </c>
      <c r="E50" s="12" t="str">
        <f>IF(A50="","",(MAX(B$3:B50)-B50)/MAX(B$3:B50))</f>
        <v/>
      </c>
      <c r="F50" s="12" t="str">
        <f>IF(A50="","",MAX(E$4:E50))</f>
        <v/>
      </c>
      <c r="G50" s="13"/>
      <c r="H50" s="14" t="str">
        <f t="shared" si="1"/>
        <v/>
      </c>
      <c r="I50" s="14" t="str">
        <f t="shared" si="2"/>
        <v/>
      </c>
      <c r="J50" s="15" t="str">
        <f t="shared" si="3"/>
        <v/>
      </c>
    </row>
    <row r="51" spans="1:10">
      <c r="A51" s="7" t="str">
        <f>IF(子基金及业绩基准周净值!A82="","",子基金及业绩基准周净值!A82)</f>
        <v/>
      </c>
      <c r="B51" s="1" t="str">
        <f>IF(A51="","",VLOOKUP($A51,子基金及业绩基准周净值!$A:$AV,14))</f>
        <v/>
      </c>
      <c r="C51" s="8" t="str">
        <f t="shared" si="0"/>
        <v/>
      </c>
      <c r="D51" s="9" t="str">
        <f>IF(A51="","",C51-(子基金及业绩基准周净值!AH82/子基金及业绩基准周净值!AH81-1))</f>
        <v/>
      </c>
      <c r="E51" s="12" t="str">
        <f>IF(A51="","",(MAX(B$3:B51)-B51)/MAX(B$3:B51))</f>
        <v/>
      </c>
      <c r="F51" s="12" t="str">
        <f>IF(A51="","",MAX(E$4:E51))</f>
        <v/>
      </c>
      <c r="G51" s="13"/>
      <c r="H51" s="14" t="str">
        <f t="shared" si="1"/>
        <v/>
      </c>
      <c r="I51" s="14" t="str">
        <f t="shared" si="2"/>
        <v/>
      </c>
      <c r="J51" s="15" t="str">
        <f t="shared" si="3"/>
        <v/>
      </c>
    </row>
    <row r="52" spans="1:10">
      <c r="A52" s="7" t="str">
        <f>IF(子基金及业绩基准周净值!A83="","",子基金及业绩基准周净值!A83)</f>
        <v/>
      </c>
      <c r="B52" s="1" t="str">
        <f>IF(A52="","",VLOOKUP($A52,子基金及业绩基准周净值!$A:$AV,14))</f>
        <v/>
      </c>
      <c r="C52" s="8" t="str">
        <f t="shared" si="0"/>
        <v/>
      </c>
      <c r="D52" s="9" t="str">
        <f>IF(A52="","",C52-(子基金及业绩基准周净值!AH83/子基金及业绩基准周净值!AH82-1))</f>
        <v/>
      </c>
      <c r="E52" s="12" t="str">
        <f>IF(A52="","",(MAX(B$3:B52)-B52)/MAX(B$3:B52))</f>
        <v/>
      </c>
      <c r="F52" s="12" t="str">
        <f>IF(A52="","",MAX(E$4:E52))</f>
        <v/>
      </c>
      <c r="G52" s="13"/>
      <c r="H52" s="14" t="str">
        <f t="shared" si="1"/>
        <v/>
      </c>
      <c r="I52" s="14" t="str">
        <f t="shared" si="2"/>
        <v/>
      </c>
      <c r="J52" s="15" t="str">
        <f t="shared" si="3"/>
        <v/>
      </c>
    </row>
    <row r="53" spans="1:10">
      <c r="A53" s="7" t="str">
        <f>IF(子基金及业绩基准周净值!A84="","",子基金及业绩基准周净值!A84)</f>
        <v/>
      </c>
      <c r="B53" s="1" t="str">
        <f>IF(A53="","",VLOOKUP($A53,子基金及业绩基准周净值!$A:$AV,14))</f>
        <v/>
      </c>
      <c r="C53" s="8" t="str">
        <f t="shared" si="0"/>
        <v/>
      </c>
      <c r="D53" s="9" t="str">
        <f>IF(A53="","",C53-(子基金及业绩基准周净值!AH84/子基金及业绩基准周净值!AH83-1))</f>
        <v/>
      </c>
      <c r="E53" s="12" t="str">
        <f>IF(A53="","",(MAX(B$3:B53)-B53)/MAX(B$3:B53))</f>
        <v/>
      </c>
      <c r="F53" s="12" t="str">
        <f>IF(A53="","",MAX(E$4:E53))</f>
        <v/>
      </c>
      <c r="G53" s="13"/>
      <c r="H53" s="14" t="str">
        <f t="shared" si="1"/>
        <v/>
      </c>
      <c r="I53" s="14" t="str">
        <f t="shared" si="2"/>
        <v/>
      </c>
      <c r="J53" s="15" t="str">
        <f t="shared" si="3"/>
        <v/>
      </c>
    </row>
    <row r="54" spans="1:10">
      <c r="A54" s="7" t="str">
        <f>IF(子基金及业绩基准周净值!A85="","",子基金及业绩基准周净值!A85)</f>
        <v/>
      </c>
      <c r="B54" s="1" t="str">
        <f>IF(A54="","",VLOOKUP($A54,子基金及业绩基准周净值!$A:$AV,14))</f>
        <v/>
      </c>
      <c r="C54" s="8" t="str">
        <f t="shared" si="0"/>
        <v/>
      </c>
      <c r="D54" s="9" t="str">
        <f>IF(A54="","",C54-(子基金及业绩基准周净值!AH85/子基金及业绩基准周净值!AH84-1))</f>
        <v/>
      </c>
      <c r="E54" s="12" t="str">
        <f>IF(A54="","",(MAX(B$3:B54)-B54)/MAX(B$3:B54))</f>
        <v/>
      </c>
      <c r="F54" s="12" t="str">
        <f>IF(A54="","",MAX(E$4:E54))</f>
        <v/>
      </c>
      <c r="G54" s="13"/>
      <c r="H54" s="14" t="str">
        <f t="shared" si="1"/>
        <v/>
      </c>
      <c r="I54" s="14" t="str">
        <f t="shared" si="2"/>
        <v/>
      </c>
      <c r="J54" s="15" t="str">
        <f t="shared" si="3"/>
        <v/>
      </c>
    </row>
    <row r="55" spans="1:10">
      <c r="A55" s="7" t="str">
        <f>IF(子基金及业绩基准周净值!A86="","",子基金及业绩基准周净值!A86)</f>
        <v/>
      </c>
      <c r="B55" s="1" t="str">
        <f>IF(A55="","",VLOOKUP($A55,子基金及业绩基准周净值!$A:$AV,14))</f>
        <v/>
      </c>
      <c r="C55" s="8" t="str">
        <f t="shared" si="0"/>
        <v/>
      </c>
      <c r="D55" s="9" t="str">
        <f>IF(A55="","",C55-(子基金及业绩基准周净值!AH86/子基金及业绩基准周净值!AH85-1))</f>
        <v/>
      </c>
      <c r="E55" s="12" t="str">
        <f>IF(A55="","",(MAX(B$3:B55)-B55)/MAX(B$3:B55))</f>
        <v/>
      </c>
      <c r="F55" s="12" t="str">
        <f>IF(A55="","",MAX(E$4:E55))</f>
        <v/>
      </c>
      <c r="G55" s="13"/>
      <c r="H55" s="14" t="str">
        <f t="shared" si="1"/>
        <v/>
      </c>
      <c r="I55" s="14" t="str">
        <f t="shared" si="2"/>
        <v/>
      </c>
      <c r="J55" s="15" t="str">
        <f t="shared" si="3"/>
        <v/>
      </c>
    </row>
    <row r="56" spans="1:10">
      <c r="A56" s="7" t="str">
        <f>IF(子基金及业绩基准周净值!A87="","",子基金及业绩基准周净值!A87)</f>
        <v/>
      </c>
      <c r="B56" s="1" t="str">
        <f>IF(A56="","",VLOOKUP($A56,子基金及业绩基准周净值!$A:$AV,14))</f>
        <v/>
      </c>
      <c r="C56" s="8" t="str">
        <f t="shared" si="0"/>
        <v/>
      </c>
      <c r="D56" s="9" t="str">
        <f>IF(A56="","",C56-(子基金及业绩基准周净值!AH87/子基金及业绩基准周净值!AH86-1))</f>
        <v/>
      </c>
      <c r="E56" s="12" t="str">
        <f>IF(A56="","",(MAX(B$3:B56)-B56)/MAX(B$3:B56))</f>
        <v/>
      </c>
      <c r="F56" s="12" t="str">
        <f>IF(A56="","",MAX(E$4:E56))</f>
        <v/>
      </c>
      <c r="G56" s="13"/>
      <c r="H56" s="14" t="str">
        <f t="shared" si="1"/>
        <v/>
      </c>
      <c r="I56" s="14" t="str">
        <f t="shared" si="2"/>
        <v/>
      </c>
      <c r="J56" s="15" t="str">
        <f t="shared" si="3"/>
        <v/>
      </c>
    </row>
    <row r="57" spans="1:10">
      <c r="A57" s="7" t="str">
        <f>IF(子基金及业绩基准周净值!A88="","",子基金及业绩基准周净值!A88)</f>
        <v/>
      </c>
      <c r="B57" s="1" t="str">
        <f>IF(A57="","",VLOOKUP($A57,子基金及业绩基准周净值!$A:$AV,14))</f>
        <v/>
      </c>
      <c r="C57" s="8" t="str">
        <f t="shared" si="0"/>
        <v/>
      </c>
      <c r="D57" s="9" t="str">
        <f>IF(A57="","",C57-(子基金及业绩基准周净值!AH88/子基金及业绩基准周净值!AH87-1))</f>
        <v/>
      </c>
      <c r="E57" s="12" t="str">
        <f>IF(A57="","",(MAX(B$3:B57)-B57)/MAX(B$3:B57))</f>
        <v/>
      </c>
      <c r="F57" s="12" t="str">
        <f>IF(A57="","",MAX(E$4:E57))</f>
        <v/>
      </c>
      <c r="G57" s="13"/>
      <c r="H57" s="14" t="str">
        <f t="shared" si="1"/>
        <v/>
      </c>
      <c r="I57" s="14" t="str">
        <f t="shared" si="2"/>
        <v/>
      </c>
      <c r="J57" s="15" t="str">
        <f t="shared" si="3"/>
        <v/>
      </c>
    </row>
    <row r="58" spans="1:10">
      <c r="A58" s="7" t="str">
        <f>IF(子基金及业绩基准周净值!A89="","",子基金及业绩基准周净值!A89)</f>
        <v/>
      </c>
      <c r="B58" s="1" t="str">
        <f>IF(A58="","",VLOOKUP($A58,子基金及业绩基准周净值!$A:$AV,14))</f>
        <v/>
      </c>
      <c r="C58" s="8" t="str">
        <f t="shared" si="0"/>
        <v/>
      </c>
      <c r="D58" s="9" t="str">
        <f>IF(A58="","",C58-(子基金及业绩基准周净值!AH89/子基金及业绩基准周净值!AH88-1))</f>
        <v/>
      </c>
      <c r="E58" s="12" t="str">
        <f>IF(A58="","",(MAX(B$3:B58)-B58)/MAX(B$3:B58))</f>
        <v/>
      </c>
      <c r="F58" s="12" t="str">
        <f>IF(A58="","",MAX(E$4:E58))</f>
        <v/>
      </c>
      <c r="G58" s="13"/>
      <c r="H58" s="14" t="str">
        <f t="shared" si="1"/>
        <v/>
      </c>
      <c r="I58" s="14" t="str">
        <f t="shared" si="2"/>
        <v/>
      </c>
      <c r="J58" s="15" t="str">
        <f t="shared" si="3"/>
        <v/>
      </c>
    </row>
    <row r="59" spans="1:10">
      <c r="A59" s="7" t="str">
        <f>IF(子基金及业绩基准周净值!A90="","",子基金及业绩基准周净值!A90)</f>
        <v/>
      </c>
      <c r="B59" s="1" t="str">
        <f>IF(A59="","",VLOOKUP($A59,子基金及业绩基准周净值!$A:$AV,14))</f>
        <v/>
      </c>
      <c r="C59" s="8" t="str">
        <f t="shared" si="0"/>
        <v/>
      </c>
      <c r="D59" s="9" t="str">
        <f>IF(A59="","",C59-(子基金及业绩基准周净值!AH90/子基金及业绩基准周净值!AH89-1))</f>
        <v/>
      </c>
      <c r="E59" s="12" t="str">
        <f>IF(A59="","",(MAX(B$3:B59)-B59)/MAX(B$3:B59))</f>
        <v/>
      </c>
      <c r="F59" s="12" t="str">
        <f>IF(A59="","",MAX(E$4:E59))</f>
        <v/>
      </c>
      <c r="G59" s="13"/>
      <c r="H59" s="14" t="str">
        <f t="shared" si="1"/>
        <v/>
      </c>
      <c r="I59" s="14" t="str">
        <f t="shared" si="2"/>
        <v/>
      </c>
      <c r="J59" s="15" t="str">
        <f t="shared" si="3"/>
        <v/>
      </c>
    </row>
    <row r="60" spans="1:10">
      <c r="A60" s="7" t="str">
        <f>IF(子基金及业绩基准周净值!A91="","",子基金及业绩基准周净值!A91)</f>
        <v/>
      </c>
      <c r="B60" s="1" t="str">
        <f>IF(A60="","",VLOOKUP($A60,子基金及业绩基准周净值!$A:$AV,14))</f>
        <v/>
      </c>
      <c r="C60" s="8" t="str">
        <f t="shared" si="0"/>
        <v/>
      </c>
      <c r="D60" s="9" t="str">
        <f>IF(A60="","",C60-(子基金及业绩基准周净值!AH91/子基金及业绩基准周净值!AH90-1))</f>
        <v/>
      </c>
      <c r="E60" s="12" t="str">
        <f>IF(A60="","",(MAX(B$3:B60)-B60)/MAX(B$3:B60))</f>
        <v/>
      </c>
      <c r="F60" s="12" t="str">
        <f>IF(A60="","",MAX(E$4:E60))</f>
        <v/>
      </c>
      <c r="G60" s="13"/>
      <c r="H60" s="14" t="str">
        <f t="shared" si="1"/>
        <v/>
      </c>
      <c r="I60" s="14" t="str">
        <f t="shared" si="2"/>
        <v/>
      </c>
      <c r="J60" s="15" t="str">
        <f t="shared" si="3"/>
        <v/>
      </c>
    </row>
    <row r="61" spans="1:10">
      <c r="A61" s="7" t="str">
        <f>IF(子基金及业绩基准周净值!A92="","",子基金及业绩基准周净值!A92)</f>
        <v/>
      </c>
      <c r="B61" s="1" t="str">
        <f>IF(A61="","",VLOOKUP($A61,子基金及业绩基准周净值!$A:$AV,14))</f>
        <v/>
      </c>
      <c r="C61" s="8" t="str">
        <f t="shared" si="0"/>
        <v/>
      </c>
      <c r="D61" s="9" t="str">
        <f>IF(A61="","",C61-(子基金及业绩基准周净值!AH92/子基金及业绩基准周净值!AH91-1))</f>
        <v/>
      </c>
      <c r="E61" s="12" t="str">
        <f>IF(A61="","",(MAX(B$3:B61)-B61)/MAX(B$3:B61))</f>
        <v/>
      </c>
      <c r="F61" s="12" t="str">
        <f>IF(A61="","",MAX(E$4:E61))</f>
        <v/>
      </c>
      <c r="G61" s="13"/>
      <c r="H61" s="14" t="str">
        <f t="shared" si="1"/>
        <v/>
      </c>
      <c r="I61" s="14" t="str">
        <f t="shared" si="2"/>
        <v/>
      </c>
      <c r="J61" s="15" t="str">
        <f t="shared" si="3"/>
        <v/>
      </c>
    </row>
    <row r="62" spans="1:10">
      <c r="A62" s="7" t="str">
        <f>IF(子基金及业绩基准周净值!A93="","",子基金及业绩基准周净值!A93)</f>
        <v/>
      </c>
      <c r="B62" s="1" t="str">
        <f>IF(A62="","",VLOOKUP($A62,子基金及业绩基准周净值!$A:$AV,14))</f>
        <v/>
      </c>
      <c r="C62" s="8" t="str">
        <f t="shared" si="0"/>
        <v/>
      </c>
      <c r="D62" s="9" t="str">
        <f>IF(A62="","",C62-(子基金及业绩基准周净值!AH93/子基金及业绩基准周净值!AH92-1))</f>
        <v/>
      </c>
      <c r="E62" s="12" t="str">
        <f>IF(A62="","",(MAX(B$3:B62)-B62)/MAX(B$3:B62))</f>
        <v/>
      </c>
      <c r="F62" s="12" t="str">
        <f>IF(A62="","",MAX(E$4:E62))</f>
        <v/>
      </c>
      <c r="G62" s="13"/>
      <c r="H62" s="14" t="str">
        <f t="shared" si="1"/>
        <v/>
      </c>
      <c r="I62" s="14" t="str">
        <f t="shared" si="2"/>
        <v/>
      </c>
      <c r="J62" s="15" t="str">
        <f t="shared" si="3"/>
        <v/>
      </c>
    </row>
    <row r="63" spans="1:10">
      <c r="A63" s="7" t="str">
        <f>IF(子基金及业绩基准周净值!A94="","",子基金及业绩基准周净值!A94)</f>
        <v/>
      </c>
      <c r="B63" s="1" t="str">
        <f>IF(A63="","",VLOOKUP($A63,子基金及业绩基准周净值!$A:$AV,14))</f>
        <v/>
      </c>
      <c r="C63" s="8" t="str">
        <f t="shared" si="0"/>
        <v/>
      </c>
      <c r="D63" s="9" t="str">
        <f>IF(A63="","",C63-(子基金及业绩基准周净值!AH94/子基金及业绩基准周净值!AH93-1))</f>
        <v/>
      </c>
      <c r="E63" s="12" t="str">
        <f>IF(A63="","",(MAX(B$3:B63)-B63)/MAX(B$3:B63))</f>
        <v/>
      </c>
      <c r="F63" s="12" t="str">
        <f>IF(A63="","",MAX(E$4:E63))</f>
        <v/>
      </c>
      <c r="G63" s="13"/>
      <c r="H63" s="14" t="str">
        <f t="shared" si="1"/>
        <v/>
      </c>
      <c r="I63" s="14" t="str">
        <f t="shared" si="2"/>
        <v/>
      </c>
      <c r="J63" s="15" t="str">
        <f t="shared" si="3"/>
        <v/>
      </c>
    </row>
    <row r="64" spans="1:10">
      <c r="A64" s="7" t="str">
        <f>IF(子基金及业绩基准周净值!A95="","",子基金及业绩基准周净值!A95)</f>
        <v/>
      </c>
      <c r="B64" s="1" t="str">
        <f>IF(A64="","",VLOOKUP($A64,子基金及业绩基准周净值!$A:$AV,14))</f>
        <v/>
      </c>
      <c r="C64" s="8" t="str">
        <f t="shared" si="0"/>
        <v/>
      </c>
      <c r="D64" s="9" t="str">
        <f>IF(A64="","",C64-(子基金及业绩基准周净值!AH95/子基金及业绩基准周净值!AH94-1))</f>
        <v/>
      </c>
      <c r="E64" s="12" t="str">
        <f>IF(A64="","",(MAX(B$3:B64)-B64)/MAX(B$3:B64))</f>
        <v/>
      </c>
      <c r="F64" s="12" t="str">
        <f>IF(A64="","",MAX(E$4:E64))</f>
        <v/>
      </c>
      <c r="G64" s="13"/>
      <c r="H64" s="14" t="str">
        <f t="shared" si="1"/>
        <v/>
      </c>
      <c r="I64" s="14" t="str">
        <f t="shared" si="2"/>
        <v/>
      </c>
      <c r="J64" s="15" t="str">
        <f t="shared" si="3"/>
        <v/>
      </c>
    </row>
    <row r="65" spans="1:10">
      <c r="A65" s="7" t="str">
        <f>IF(子基金及业绩基准周净值!A96="","",子基金及业绩基准周净值!A96)</f>
        <v/>
      </c>
      <c r="B65" s="1" t="str">
        <f>IF(A65="","",VLOOKUP($A65,子基金及业绩基准周净值!$A:$AV,14))</f>
        <v/>
      </c>
      <c r="C65" s="8" t="str">
        <f t="shared" si="0"/>
        <v/>
      </c>
      <c r="D65" s="9" t="str">
        <f>IF(A65="","",C65-(子基金及业绩基准周净值!AH96/子基金及业绩基准周净值!AH95-1))</f>
        <v/>
      </c>
      <c r="E65" s="12" t="str">
        <f>IF(A65="","",(MAX(B$3:B65)-B65)/MAX(B$3:B65))</f>
        <v/>
      </c>
      <c r="F65" s="12" t="str">
        <f>IF(A65="","",MAX(E$4:E65))</f>
        <v/>
      </c>
      <c r="G65" s="13"/>
      <c r="H65" s="14" t="str">
        <f t="shared" si="1"/>
        <v/>
      </c>
      <c r="I65" s="14" t="str">
        <f t="shared" si="2"/>
        <v/>
      </c>
      <c r="J65" s="15" t="str">
        <f t="shared" si="3"/>
        <v/>
      </c>
    </row>
    <row r="66" spans="1:10">
      <c r="A66" s="7" t="str">
        <f>IF(子基金及业绩基准周净值!A97="","",子基金及业绩基准周净值!A97)</f>
        <v/>
      </c>
      <c r="B66" s="1" t="str">
        <f>IF(A66="","",VLOOKUP($A66,子基金及业绩基准周净值!$A:$AV,14))</f>
        <v/>
      </c>
      <c r="C66" s="8" t="str">
        <f t="shared" si="0"/>
        <v/>
      </c>
      <c r="D66" s="9" t="str">
        <f>IF(A66="","",C66-(子基金及业绩基准周净值!AH97/子基金及业绩基准周净值!AH96-1))</f>
        <v/>
      </c>
      <c r="E66" s="12" t="str">
        <f>IF(A66="","",(MAX(B$3:B66)-B66)/MAX(B$3:B66))</f>
        <v/>
      </c>
      <c r="F66" s="12" t="str">
        <f>IF(A66="","",MAX(E$4:E66))</f>
        <v/>
      </c>
      <c r="G66" s="13"/>
      <c r="H66" s="14" t="str">
        <f t="shared" si="1"/>
        <v/>
      </c>
      <c r="I66" s="14" t="str">
        <f t="shared" si="2"/>
        <v/>
      </c>
      <c r="J66" s="15" t="str">
        <f t="shared" si="3"/>
        <v/>
      </c>
    </row>
    <row r="67" spans="1:10">
      <c r="A67" s="7" t="str">
        <f>IF(子基金及业绩基准周净值!A98="","",子基金及业绩基准周净值!A98)</f>
        <v/>
      </c>
      <c r="B67" s="1" t="str">
        <f>IF(A67="","",VLOOKUP($A67,子基金及业绩基准周净值!$A:$AV,14))</f>
        <v/>
      </c>
      <c r="C67" s="8" t="str">
        <f t="shared" si="0"/>
        <v/>
      </c>
      <c r="D67" s="9" t="str">
        <f>IF(A67="","",C67-(子基金及业绩基准周净值!AH98/子基金及业绩基准周净值!AH97-1))</f>
        <v/>
      </c>
      <c r="E67" s="12" t="str">
        <f>IF(A67="","",(MAX(B$3:B67)-B67)/MAX(B$3:B67))</f>
        <v/>
      </c>
      <c r="F67" s="12" t="str">
        <f>IF(A67="","",MAX(E$4:E67))</f>
        <v/>
      </c>
      <c r="G67" s="13"/>
      <c r="H67" s="14" t="str">
        <f t="shared" si="1"/>
        <v/>
      </c>
      <c r="I67" s="14" t="str">
        <f t="shared" si="2"/>
        <v/>
      </c>
      <c r="J67" s="15" t="str">
        <f t="shared" si="3"/>
        <v/>
      </c>
    </row>
    <row r="68" spans="1:10">
      <c r="A68" s="7" t="str">
        <f>IF(子基金及业绩基准周净值!A99="","",子基金及业绩基准周净值!A99)</f>
        <v/>
      </c>
      <c r="B68" s="1" t="str">
        <f>IF(A68="","",VLOOKUP($A68,子基金及业绩基准周净值!$A:$AV,14))</f>
        <v/>
      </c>
      <c r="C68" s="8" t="str">
        <f t="shared" si="0"/>
        <v/>
      </c>
      <c r="D68" s="9" t="str">
        <f>IF(A68="","",C68-(子基金及业绩基准周净值!AH99/子基金及业绩基准周净值!AH98-1))</f>
        <v/>
      </c>
      <c r="E68" s="12" t="str">
        <f>IF(A68="","",(MAX(B$3:B68)-B68)/MAX(B$3:B68))</f>
        <v/>
      </c>
      <c r="F68" s="12" t="str">
        <f>IF(A68="","",MAX(E$4:E68))</f>
        <v/>
      </c>
      <c r="G68" s="13"/>
      <c r="H68" s="14" t="str">
        <f t="shared" si="1"/>
        <v/>
      </c>
      <c r="I68" s="14" t="str">
        <f t="shared" si="2"/>
        <v/>
      </c>
      <c r="J68" s="15" t="str">
        <f t="shared" si="3"/>
        <v/>
      </c>
    </row>
    <row r="69" spans="1:10">
      <c r="A69" s="7" t="str">
        <f>IF(子基金及业绩基准周净值!A100="","",子基金及业绩基准周净值!A100)</f>
        <v/>
      </c>
      <c r="B69" s="1" t="str">
        <f>IF(A69="","",VLOOKUP($A69,子基金及业绩基准周净值!$A:$AV,14))</f>
        <v/>
      </c>
      <c r="C69" s="8" t="str">
        <f t="shared" ref="C69:C132" si="4">IF(A69="","",(B69-B68)/B68)</f>
        <v/>
      </c>
      <c r="D69" s="9" t="str">
        <f>IF(A69="","",C69-(子基金及业绩基准周净值!AH100/子基金及业绩基准周净值!AH99-1))</f>
        <v/>
      </c>
      <c r="E69" s="12" t="str">
        <f>IF(A69="","",(MAX(B$3:B69)-B69)/MAX(B$3:B69))</f>
        <v/>
      </c>
      <c r="F69" s="12" t="str">
        <f>IF(A69="","",MAX(E$4:E69))</f>
        <v/>
      </c>
      <c r="G69" s="13"/>
      <c r="H69" s="14" t="str">
        <f t="shared" ref="H69:H132" si="5">IF(B69="","",IF(C69&lt;-3%,"是","否"))</f>
        <v/>
      </c>
      <c r="I69" s="14" t="str">
        <f t="shared" ref="I69:I132" si="6">IF(A69="","",IF(F69&gt;5%,"是","否"))</f>
        <v/>
      </c>
      <c r="J69" s="15" t="str">
        <f t="shared" ref="J69:J132" si="7">IF(A69="","",IF(G69&gt;=4,"是","否"))</f>
        <v/>
      </c>
    </row>
    <row r="70" spans="1:10">
      <c r="A70" s="7" t="str">
        <f>IF(子基金及业绩基准周净值!A101="","",子基金及业绩基准周净值!A101)</f>
        <v/>
      </c>
      <c r="B70" s="1" t="str">
        <f>IF(A70="","",VLOOKUP($A70,子基金及业绩基准周净值!$A:$AV,14))</f>
        <v/>
      </c>
      <c r="C70" s="8" t="str">
        <f t="shared" si="4"/>
        <v/>
      </c>
      <c r="D70" s="9" t="str">
        <f>IF(A70="","",C70-(子基金及业绩基准周净值!AH101/子基金及业绩基准周净值!AH100-1))</f>
        <v/>
      </c>
      <c r="E70" s="12" t="str">
        <f>IF(A70="","",(MAX(B$3:B70)-B70)/MAX(B$3:B70))</f>
        <v/>
      </c>
      <c r="F70" s="12" t="str">
        <f>IF(A70="","",MAX(E$4:E70))</f>
        <v/>
      </c>
      <c r="G70" s="13"/>
      <c r="H70" s="14" t="str">
        <f t="shared" si="5"/>
        <v/>
      </c>
      <c r="I70" s="14" t="str">
        <f t="shared" si="6"/>
        <v/>
      </c>
      <c r="J70" s="15" t="str">
        <f t="shared" si="7"/>
        <v/>
      </c>
    </row>
    <row r="71" spans="1:10">
      <c r="A71" s="7" t="str">
        <f>IF(子基金及业绩基准周净值!A102="","",子基金及业绩基准周净值!A102)</f>
        <v/>
      </c>
      <c r="B71" s="1" t="str">
        <f>IF(A71="","",VLOOKUP($A71,子基金及业绩基准周净值!$A:$AV,14))</f>
        <v/>
      </c>
      <c r="C71" s="8" t="str">
        <f t="shared" si="4"/>
        <v/>
      </c>
      <c r="D71" s="9" t="str">
        <f>IF(A71="","",C71-(子基金及业绩基准周净值!AH102/子基金及业绩基准周净值!AH101-1))</f>
        <v/>
      </c>
      <c r="E71" s="12" t="str">
        <f>IF(A71="","",(MAX(B$3:B71)-B71)/MAX(B$3:B71))</f>
        <v/>
      </c>
      <c r="F71" s="12" t="str">
        <f>IF(A71="","",MAX(E$4:E71))</f>
        <v/>
      </c>
      <c r="G71" s="13"/>
      <c r="H71" s="14" t="str">
        <f t="shared" si="5"/>
        <v/>
      </c>
      <c r="I71" s="14" t="str">
        <f t="shared" si="6"/>
        <v/>
      </c>
      <c r="J71" s="15" t="str">
        <f t="shared" si="7"/>
        <v/>
      </c>
    </row>
    <row r="72" spans="1:10">
      <c r="A72" s="7" t="str">
        <f>IF(子基金及业绩基准周净值!A103="","",子基金及业绩基准周净值!A103)</f>
        <v/>
      </c>
      <c r="B72" s="1" t="str">
        <f>IF(A72="","",VLOOKUP($A72,子基金及业绩基准周净值!$A:$AV,14))</f>
        <v/>
      </c>
      <c r="C72" s="8" t="str">
        <f t="shared" si="4"/>
        <v/>
      </c>
      <c r="D72" s="9" t="str">
        <f>IF(A72="","",C72-(子基金及业绩基准周净值!AH103/子基金及业绩基准周净值!AH102-1))</f>
        <v/>
      </c>
      <c r="E72" s="12" t="str">
        <f>IF(A72="","",(MAX(B$3:B72)-B72)/MAX(B$3:B72))</f>
        <v/>
      </c>
      <c r="F72" s="12" t="str">
        <f>IF(A72="","",MAX(E$4:E72))</f>
        <v/>
      </c>
      <c r="G72" s="13"/>
      <c r="H72" s="14" t="str">
        <f t="shared" si="5"/>
        <v/>
      </c>
      <c r="I72" s="14" t="str">
        <f t="shared" si="6"/>
        <v/>
      </c>
      <c r="J72" s="15" t="str">
        <f t="shared" si="7"/>
        <v/>
      </c>
    </row>
    <row r="73" spans="1:10">
      <c r="A73" s="7" t="str">
        <f>IF(子基金及业绩基准周净值!A104="","",子基金及业绩基准周净值!A104)</f>
        <v/>
      </c>
      <c r="B73" s="1" t="str">
        <f>IF(A73="","",VLOOKUP($A73,子基金及业绩基准周净值!$A:$AV,14))</f>
        <v/>
      </c>
      <c r="C73" s="8" t="str">
        <f t="shared" si="4"/>
        <v/>
      </c>
      <c r="D73" s="9" t="str">
        <f>IF(A73="","",C73-(子基金及业绩基准周净值!AH104/子基金及业绩基准周净值!AH103-1))</f>
        <v/>
      </c>
      <c r="E73" s="12" t="str">
        <f>IF(A73="","",(MAX(B$3:B73)-B73)/MAX(B$3:B73))</f>
        <v/>
      </c>
      <c r="F73" s="12" t="str">
        <f>IF(A73="","",MAX(E$4:E73))</f>
        <v/>
      </c>
      <c r="G73" s="13"/>
      <c r="H73" s="14" t="str">
        <f t="shared" si="5"/>
        <v/>
      </c>
      <c r="I73" s="14" t="str">
        <f t="shared" si="6"/>
        <v/>
      </c>
      <c r="J73" s="15" t="str">
        <f t="shared" si="7"/>
        <v/>
      </c>
    </row>
    <row r="74" spans="1:10">
      <c r="A74" s="7" t="str">
        <f>IF(子基金及业绩基准周净值!A105="","",子基金及业绩基准周净值!A105)</f>
        <v/>
      </c>
      <c r="B74" s="1" t="str">
        <f>IF(A74="","",VLOOKUP($A74,子基金及业绩基准周净值!$A:$AV,14))</f>
        <v/>
      </c>
      <c r="C74" s="8" t="str">
        <f t="shared" si="4"/>
        <v/>
      </c>
      <c r="D74" s="9" t="str">
        <f>IF(A74="","",C74-(子基金及业绩基准周净值!AH105/子基金及业绩基准周净值!AH104-1))</f>
        <v/>
      </c>
      <c r="E74" s="12" t="str">
        <f>IF(A74="","",(MAX(B$3:B74)-B74)/MAX(B$3:B74))</f>
        <v/>
      </c>
      <c r="F74" s="12" t="str">
        <f>IF(A74="","",MAX(E$4:E74))</f>
        <v/>
      </c>
      <c r="G74" s="13"/>
      <c r="H74" s="14" t="str">
        <f t="shared" si="5"/>
        <v/>
      </c>
      <c r="I74" s="14" t="str">
        <f t="shared" si="6"/>
        <v/>
      </c>
      <c r="J74" s="15" t="str">
        <f t="shared" si="7"/>
        <v/>
      </c>
    </row>
    <row r="75" spans="1:10">
      <c r="A75" s="7" t="str">
        <f>IF(子基金及业绩基准周净值!A106="","",子基金及业绩基准周净值!A106)</f>
        <v/>
      </c>
      <c r="B75" s="1" t="str">
        <f>IF(A75="","",VLOOKUP($A75,子基金及业绩基准周净值!$A:$AV,14))</f>
        <v/>
      </c>
      <c r="C75" s="8" t="str">
        <f t="shared" si="4"/>
        <v/>
      </c>
      <c r="D75" s="9" t="str">
        <f>IF(A75="","",C75-(子基金及业绩基准周净值!AH106/子基金及业绩基准周净值!AH105-1))</f>
        <v/>
      </c>
      <c r="E75" s="12" t="str">
        <f>IF(A75="","",(MAX(B$3:B75)-B75)/MAX(B$3:B75))</f>
        <v/>
      </c>
      <c r="F75" s="12" t="str">
        <f>IF(A75="","",MAX(E$4:E75))</f>
        <v/>
      </c>
      <c r="G75" s="13"/>
      <c r="H75" s="14" t="str">
        <f t="shared" si="5"/>
        <v/>
      </c>
      <c r="I75" s="14" t="str">
        <f t="shared" si="6"/>
        <v/>
      </c>
      <c r="J75" s="15" t="str">
        <f t="shared" si="7"/>
        <v/>
      </c>
    </row>
    <row r="76" spans="1:10">
      <c r="A76" s="7" t="str">
        <f>IF(子基金及业绩基准周净值!A107="","",子基金及业绩基准周净值!A107)</f>
        <v/>
      </c>
      <c r="B76" s="1" t="str">
        <f>IF(A76="","",VLOOKUP($A76,子基金及业绩基准周净值!$A:$AV,14))</f>
        <v/>
      </c>
      <c r="C76" s="8" t="str">
        <f t="shared" si="4"/>
        <v/>
      </c>
      <c r="D76" s="9" t="str">
        <f>IF(A76="","",C76-(子基金及业绩基准周净值!AH107/子基金及业绩基准周净值!AH106-1))</f>
        <v/>
      </c>
      <c r="E76" s="12" t="str">
        <f>IF(A76="","",(MAX(B$3:B76)-B76)/MAX(B$3:B76))</f>
        <v/>
      </c>
      <c r="F76" s="12" t="str">
        <f>IF(A76="","",MAX(E$4:E76))</f>
        <v/>
      </c>
      <c r="G76" s="13"/>
      <c r="H76" s="14" t="str">
        <f t="shared" si="5"/>
        <v/>
      </c>
      <c r="I76" s="14" t="str">
        <f t="shared" si="6"/>
        <v/>
      </c>
      <c r="J76" s="15" t="str">
        <f t="shared" si="7"/>
        <v/>
      </c>
    </row>
    <row r="77" spans="1:10">
      <c r="A77" s="7" t="str">
        <f>IF(子基金及业绩基准周净值!A108="","",子基金及业绩基准周净值!A108)</f>
        <v/>
      </c>
      <c r="B77" s="1" t="str">
        <f>IF(A77="","",VLOOKUP($A77,子基金及业绩基准周净值!$A:$AV,14))</f>
        <v/>
      </c>
      <c r="C77" s="8" t="str">
        <f t="shared" si="4"/>
        <v/>
      </c>
      <c r="D77" s="9" t="str">
        <f>IF(A77="","",C77-(子基金及业绩基准周净值!AH108/子基金及业绩基准周净值!AH107-1))</f>
        <v/>
      </c>
      <c r="E77" s="12" t="str">
        <f>IF(A77="","",(MAX(B$3:B77)-B77)/MAX(B$3:B77))</f>
        <v/>
      </c>
      <c r="F77" s="12" t="str">
        <f>IF(A77="","",MAX(E$4:E77))</f>
        <v/>
      </c>
      <c r="G77" s="13"/>
      <c r="H77" s="14" t="str">
        <f t="shared" si="5"/>
        <v/>
      </c>
      <c r="I77" s="14" t="str">
        <f t="shared" si="6"/>
        <v/>
      </c>
      <c r="J77" s="15" t="str">
        <f t="shared" si="7"/>
        <v/>
      </c>
    </row>
    <row r="78" spans="1:10">
      <c r="A78" s="7" t="str">
        <f>IF(子基金及业绩基准周净值!A109="","",子基金及业绩基准周净值!A109)</f>
        <v/>
      </c>
      <c r="B78" s="1" t="str">
        <f>IF(A78="","",VLOOKUP($A78,子基金及业绩基准周净值!$A:$AV,14))</f>
        <v/>
      </c>
      <c r="C78" s="8" t="str">
        <f t="shared" si="4"/>
        <v/>
      </c>
      <c r="D78" s="9" t="str">
        <f>IF(A78="","",C78-(子基金及业绩基准周净值!AH109/子基金及业绩基准周净值!AH108-1))</f>
        <v/>
      </c>
      <c r="E78" s="12" t="str">
        <f>IF(A78="","",(MAX(B$3:B78)-B78)/MAX(B$3:B78))</f>
        <v/>
      </c>
      <c r="F78" s="12" t="str">
        <f>IF(A78="","",MAX(E$4:E78))</f>
        <v/>
      </c>
      <c r="G78" s="13"/>
      <c r="H78" s="14" t="str">
        <f t="shared" si="5"/>
        <v/>
      </c>
      <c r="I78" s="14" t="str">
        <f t="shared" si="6"/>
        <v/>
      </c>
      <c r="J78" s="15" t="str">
        <f t="shared" si="7"/>
        <v/>
      </c>
    </row>
    <row r="79" spans="1:10">
      <c r="A79" s="7" t="str">
        <f>IF(子基金及业绩基准周净值!A110="","",子基金及业绩基准周净值!A110)</f>
        <v/>
      </c>
      <c r="B79" s="1" t="str">
        <f>IF(A79="","",VLOOKUP($A79,子基金及业绩基准周净值!$A:$AV,14))</f>
        <v/>
      </c>
      <c r="C79" s="8" t="str">
        <f t="shared" si="4"/>
        <v/>
      </c>
      <c r="D79" s="9" t="str">
        <f>IF(A79="","",C79-(子基金及业绩基准周净值!AH110/子基金及业绩基准周净值!AH109-1))</f>
        <v/>
      </c>
      <c r="E79" s="12" t="str">
        <f>IF(A79="","",(MAX(B$3:B79)-B79)/MAX(B$3:B79))</f>
        <v/>
      </c>
      <c r="F79" s="12" t="str">
        <f>IF(A79="","",MAX(E$4:E79))</f>
        <v/>
      </c>
      <c r="G79" s="13"/>
      <c r="H79" s="14" t="str">
        <f t="shared" si="5"/>
        <v/>
      </c>
      <c r="I79" s="14" t="str">
        <f t="shared" si="6"/>
        <v/>
      </c>
      <c r="J79" s="15" t="str">
        <f t="shared" si="7"/>
        <v/>
      </c>
    </row>
    <row r="80" spans="1:10">
      <c r="A80" s="7" t="str">
        <f>IF(子基金及业绩基准周净值!A111="","",子基金及业绩基准周净值!A111)</f>
        <v/>
      </c>
      <c r="B80" s="1" t="str">
        <f>IF(A80="","",VLOOKUP($A80,子基金及业绩基准周净值!$A:$AV,14))</f>
        <v/>
      </c>
      <c r="C80" s="8" t="str">
        <f t="shared" si="4"/>
        <v/>
      </c>
      <c r="D80" s="9" t="str">
        <f>IF(A80="","",C80-(子基金及业绩基准周净值!AH111/子基金及业绩基准周净值!AH110-1))</f>
        <v/>
      </c>
      <c r="E80" s="12" t="str">
        <f>IF(A80="","",(MAX(B$3:B80)-B80)/MAX(B$3:B80))</f>
        <v/>
      </c>
      <c r="F80" s="12" t="str">
        <f>IF(A80="","",MAX(E$4:E80))</f>
        <v/>
      </c>
      <c r="G80" s="13"/>
      <c r="H80" s="14" t="str">
        <f t="shared" si="5"/>
        <v/>
      </c>
      <c r="I80" s="14" t="str">
        <f t="shared" si="6"/>
        <v/>
      </c>
      <c r="J80" s="15" t="str">
        <f t="shared" si="7"/>
        <v/>
      </c>
    </row>
    <row r="81" spans="1:10">
      <c r="A81" s="7" t="str">
        <f>IF(子基金及业绩基准周净值!A112="","",子基金及业绩基准周净值!A112)</f>
        <v/>
      </c>
      <c r="B81" s="1" t="str">
        <f>IF(A81="","",VLOOKUP($A81,子基金及业绩基准周净值!$A:$AV,14))</f>
        <v/>
      </c>
      <c r="C81" s="8" t="str">
        <f t="shared" si="4"/>
        <v/>
      </c>
      <c r="D81" s="9" t="str">
        <f>IF(A81="","",C81-(子基金及业绩基准周净值!AH112/子基金及业绩基准周净值!AH111-1))</f>
        <v/>
      </c>
      <c r="E81" s="12" t="str">
        <f>IF(A81="","",(MAX(B$3:B81)-B81)/MAX(B$3:B81))</f>
        <v/>
      </c>
      <c r="F81" s="12" t="str">
        <f>IF(A81="","",MAX(E$4:E81))</f>
        <v/>
      </c>
      <c r="G81" s="13"/>
      <c r="H81" s="14" t="str">
        <f t="shared" si="5"/>
        <v/>
      </c>
      <c r="I81" s="14" t="str">
        <f t="shared" si="6"/>
        <v/>
      </c>
      <c r="J81" s="15" t="str">
        <f t="shared" si="7"/>
        <v/>
      </c>
    </row>
    <row r="82" spans="1:10">
      <c r="A82" s="7" t="str">
        <f>IF(子基金及业绩基准周净值!A113="","",子基金及业绩基准周净值!A113)</f>
        <v/>
      </c>
      <c r="B82" s="1" t="str">
        <f>IF(A82="","",VLOOKUP($A82,子基金及业绩基准周净值!$A:$AV,14))</f>
        <v/>
      </c>
      <c r="C82" s="8" t="str">
        <f t="shared" si="4"/>
        <v/>
      </c>
      <c r="D82" s="9" t="str">
        <f>IF(A82="","",C82-(子基金及业绩基准周净值!AH113/子基金及业绩基准周净值!AH112-1))</f>
        <v/>
      </c>
      <c r="E82" s="12" t="str">
        <f>IF(A82="","",(MAX(B$3:B82)-B82)/MAX(B$3:B82))</f>
        <v/>
      </c>
      <c r="F82" s="12" t="str">
        <f>IF(A82="","",MAX(E$4:E82))</f>
        <v/>
      </c>
      <c r="G82" s="13"/>
      <c r="H82" s="14" t="str">
        <f t="shared" si="5"/>
        <v/>
      </c>
      <c r="I82" s="14" t="str">
        <f t="shared" si="6"/>
        <v/>
      </c>
      <c r="J82" s="15" t="str">
        <f t="shared" si="7"/>
        <v/>
      </c>
    </row>
    <row r="83" spans="1:10">
      <c r="A83" s="7" t="str">
        <f>IF(子基金及业绩基准周净值!A114="","",子基金及业绩基准周净值!A114)</f>
        <v/>
      </c>
      <c r="B83" s="1" t="str">
        <f>IF(A83="","",VLOOKUP($A83,子基金及业绩基准周净值!$A:$AV,14))</f>
        <v/>
      </c>
      <c r="C83" s="8" t="str">
        <f t="shared" si="4"/>
        <v/>
      </c>
      <c r="D83" s="9" t="str">
        <f>IF(A83="","",C83-(子基金及业绩基准周净值!AH114/子基金及业绩基准周净值!AH113-1))</f>
        <v/>
      </c>
      <c r="E83" s="12" t="str">
        <f>IF(A83="","",(MAX(B$3:B83)-B83)/MAX(B$3:B83))</f>
        <v/>
      </c>
      <c r="F83" s="12" t="str">
        <f>IF(A83="","",MAX(E$4:E83))</f>
        <v/>
      </c>
      <c r="G83" s="13"/>
      <c r="H83" s="14" t="str">
        <f t="shared" si="5"/>
        <v/>
      </c>
      <c r="I83" s="14" t="str">
        <f t="shared" si="6"/>
        <v/>
      </c>
      <c r="J83" s="15" t="str">
        <f t="shared" si="7"/>
        <v/>
      </c>
    </row>
    <row r="84" spans="1:10">
      <c r="A84" s="7" t="str">
        <f>IF(子基金及业绩基准周净值!A115="","",子基金及业绩基准周净值!A115)</f>
        <v/>
      </c>
      <c r="B84" s="1" t="str">
        <f>IF(A84="","",VLOOKUP($A84,子基金及业绩基准周净值!$A:$AV,14))</f>
        <v/>
      </c>
      <c r="C84" s="8" t="str">
        <f t="shared" si="4"/>
        <v/>
      </c>
      <c r="D84" s="9" t="str">
        <f>IF(A84="","",C84-(子基金及业绩基准周净值!AH115/子基金及业绩基准周净值!AH114-1))</f>
        <v/>
      </c>
      <c r="E84" s="12" t="str">
        <f>IF(A84="","",(MAX(B$3:B84)-B84)/MAX(B$3:B84))</f>
        <v/>
      </c>
      <c r="F84" s="12" t="str">
        <f>IF(A84="","",MAX(E$4:E84))</f>
        <v/>
      </c>
      <c r="G84" s="13"/>
      <c r="H84" s="14" t="str">
        <f t="shared" si="5"/>
        <v/>
      </c>
      <c r="I84" s="14" t="str">
        <f t="shared" si="6"/>
        <v/>
      </c>
      <c r="J84" s="15" t="str">
        <f t="shared" si="7"/>
        <v/>
      </c>
    </row>
    <row r="85" spans="1:10">
      <c r="A85" s="7" t="str">
        <f>IF(子基金及业绩基准周净值!A116="","",子基金及业绩基准周净值!A116)</f>
        <v/>
      </c>
      <c r="B85" s="1" t="str">
        <f>IF(A85="","",VLOOKUP($A85,子基金及业绩基准周净值!$A:$AV,14))</f>
        <v/>
      </c>
      <c r="C85" s="8" t="str">
        <f t="shared" si="4"/>
        <v/>
      </c>
      <c r="D85" s="9" t="str">
        <f>IF(A85="","",C85-(子基金及业绩基准周净值!AH116/子基金及业绩基准周净值!AH115-1))</f>
        <v/>
      </c>
      <c r="E85" s="12" t="str">
        <f>IF(A85="","",(MAX(B$3:B85)-B85)/MAX(B$3:B85))</f>
        <v/>
      </c>
      <c r="F85" s="12" t="str">
        <f>IF(A85="","",MAX(E$4:E85))</f>
        <v/>
      </c>
      <c r="G85" s="13"/>
      <c r="H85" s="14" t="str">
        <f t="shared" si="5"/>
        <v/>
      </c>
      <c r="I85" s="14" t="str">
        <f t="shared" si="6"/>
        <v/>
      </c>
      <c r="J85" s="15" t="str">
        <f t="shared" si="7"/>
        <v/>
      </c>
    </row>
    <row r="86" spans="1:10">
      <c r="A86" s="7" t="str">
        <f>IF(子基金及业绩基准周净值!A117="","",子基金及业绩基准周净值!A117)</f>
        <v/>
      </c>
      <c r="B86" s="1" t="str">
        <f>IF(A86="","",VLOOKUP($A86,子基金及业绩基准周净值!$A:$AV,14))</f>
        <v/>
      </c>
      <c r="C86" s="8" t="str">
        <f t="shared" si="4"/>
        <v/>
      </c>
      <c r="D86" s="9" t="str">
        <f>IF(A86="","",C86-(子基金及业绩基准周净值!AH117/子基金及业绩基准周净值!AH116-1))</f>
        <v/>
      </c>
      <c r="E86" s="12" t="str">
        <f>IF(A86="","",(MAX(B$3:B86)-B86)/MAX(B$3:B86))</f>
        <v/>
      </c>
      <c r="F86" s="12" t="str">
        <f>IF(A86="","",MAX(E$4:E86))</f>
        <v/>
      </c>
      <c r="G86" s="13"/>
      <c r="H86" s="14" t="str">
        <f t="shared" si="5"/>
        <v/>
      </c>
      <c r="I86" s="14" t="str">
        <f t="shared" si="6"/>
        <v/>
      </c>
      <c r="J86" s="15" t="str">
        <f t="shared" si="7"/>
        <v/>
      </c>
    </row>
    <row r="87" spans="1:10">
      <c r="A87" s="7" t="str">
        <f>IF(子基金及业绩基准周净值!A118="","",子基金及业绩基准周净值!A118)</f>
        <v/>
      </c>
      <c r="B87" s="1" t="str">
        <f>IF(A87="","",VLOOKUP($A87,子基金及业绩基准周净值!$A:$AV,14))</f>
        <v/>
      </c>
      <c r="C87" s="8" t="str">
        <f t="shared" si="4"/>
        <v/>
      </c>
      <c r="D87" s="9" t="str">
        <f>IF(A87="","",C87-(子基金及业绩基准周净值!AH118/子基金及业绩基准周净值!AH117-1))</f>
        <v/>
      </c>
      <c r="E87" s="12" t="str">
        <f>IF(A87="","",(MAX(B$3:B87)-B87)/MAX(B$3:B87))</f>
        <v/>
      </c>
      <c r="F87" s="12" t="str">
        <f>IF(A87="","",MAX(E$4:E87))</f>
        <v/>
      </c>
      <c r="G87" s="13"/>
      <c r="H87" s="14" t="str">
        <f t="shared" si="5"/>
        <v/>
      </c>
      <c r="I87" s="14" t="str">
        <f t="shared" si="6"/>
        <v/>
      </c>
      <c r="J87" s="15" t="str">
        <f t="shared" si="7"/>
        <v/>
      </c>
    </row>
    <row r="88" spans="1:10">
      <c r="A88" s="7" t="str">
        <f>IF(子基金及业绩基准周净值!A119="","",子基金及业绩基准周净值!A119)</f>
        <v/>
      </c>
      <c r="B88" s="1" t="str">
        <f>IF(A88="","",VLOOKUP($A88,子基金及业绩基准周净值!$A:$AV,14))</f>
        <v/>
      </c>
      <c r="C88" s="8" t="str">
        <f t="shared" si="4"/>
        <v/>
      </c>
      <c r="D88" s="9" t="str">
        <f>IF(A88="","",C88-(子基金及业绩基准周净值!AH119/子基金及业绩基准周净值!AH118-1))</f>
        <v/>
      </c>
      <c r="E88" s="12" t="str">
        <f>IF(A88="","",(MAX(B$3:B88)-B88)/MAX(B$3:B88))</f>
        <v/>
      </c>
      <c r="F88" s="12" t="str">
        <f>IF(A88="","",MAX(E$4:E88))</f>
        <v/>
      </c>
      <c r="G88" s="13"/>
      <c r="H88" s="14" t="str">
        <f t="shared" si="5"/>
        <v/>
      </c>
      <c r="I88" s="14" t="str">
        <f t="shared" si="6"/>
        <v/>
      </c>
      <c r="J88" s="15" t="str">
        <f t="shared" si="7"/>
        <v/>
      </c>
    </row>
    <row r="89" spans="1:10">
      <c r="A89" s="7" t="str">
        <f>IF(子基金及业绩基准周净值!A120="","",子基金及业绩基准周净值!A120)</f>
        <v/>
      </c>
      <c r="B89" s="1" t="str">
        <f>IF(A89="","",VLOOKUP($A89,子基金及业绩基准周净值!$A:$AV,14))</f>
        <v/>
      </c>
      <c r="C89" s="8" t="str">
        <f t="shared" si="4"/>
        <v/>
      </c>
      <c r="D89" s="9" t="str">
        <f>IF(A89="","",C89-(子基金及业绩基准周净值!AH120/子基金及业绩基准周净值!AH119-1))</f>
        <v/>
      </c>
      <c r="E89" s="12" t="str">
        <f>IF(A89="","",(MAX(B$3:B89)-B89)/MAX(B$3:B89))</f>
        <v/>
      </c>
      <c r="F89" s="12" t="str">
        <f>IF(A89="","",MAX(E$4:E89))</f>
        <v/>
      </c>
      <c r="G89" s="13"/>
      <c r="H89" s="14" t="str">
        <f t="shared" si="5"/>
        <v/>
      </c>
      <c r="I89" s="14" t="str">
        <f t="shared" si="6"/>
        <v/>
      </c>
      <c r="J89" s="15" t="str">
        <f t="shared" si="7"/>
        <v/>
      </c>
    </row>
    <row r="90" spans="1:10">
      <c r="A90" s="7" t="str">
        <f>IF(子基金及业绩基准周净值!A121="","",子基金及业绩基准周净值!A121)</f>
        <v/>
      </c>
      <c r="B90" s="1" t="str">
        <f>IF(A90="","",VLOOKUP($A90,子基金及业绩基准周净值!$A:$AV,14))</f>
        <v/>
      </c>
      <c r="C90" s="8" t="str">
        <f t="shared" si="4"/>
        <v/>
      </c>
      <c r="D90" s="9" t="str">
        <f>IF(A90="","",C90-(子基金及业绩基准周净值!AH121/子基金及业绩基准周净值!AH120-1))</f>
        <v/>
      </c>
      <c r="E90" s="12" t="str">
        <f>IF(A90="","",(MAX(B$3:B90)-B90)/MAX(B$3:B90))</f>
        <v/>
      </c>
      <c r="F90" s="12" t="str">
        <f>IF(A90="","",MAX(E$4:E90))</f>
        <v/>
      </c>
      <c r="G90" s="13"/>
      <c r="H90" s="14" t="str">
        <f t="shared" si="5"/>
        <v/>
      </c>
      <c r="I90" s="14" t="str">
        <f t="shared" si="6"/>
        <v/>
      </c>
      <c r="J90" s="15" t="str">
        <f t="shared" si="7"/>
        <v/>
      </c>
    </row>
    <row r="91" spans="1:10">
      <c r="A91" s="7" t="str">
        <f>IF(子基金及业绩基准周净值!A122="","",子基金及业绩基准周净值!A122)</f>
        <v/>
      </c>
      <c r="B91" s="1" t="str">
        <f>IF(A91="","",VLOOKUP($A91,子基金及业绩基准周净值!$A:$AV,14))</f>
        <v/>
      </c>
      <c r="C91" s="8" t="str">
        <f t="shared" si="4"/>
        <v/>
      </c>
      <c r="D91" s="9" t="str">
        <f>IF(A91="","",C91-(子基金及业绩基准周净值!AH122/子基金及业绩基准周净值!AH121-1))</f>
        <v/>
      </c>
      <c r="E91" s="12" t="str">
        <f>IF(A91="","",(MAX(B$3:B91)-B91)/MAX(B$3:B91))</f>
        <v/>
      </c>
      <c r="F91" s="12" t="str">
        <f>IF(A91="","",MAX(E$4:E91))</f>
        <v/>
      </c>
      <c r="G91" s="13"/>
      <c r="H91" s="14" t="str">
        <f t="shared" si="5"/>
        <v/>
      </c>
      <c r="I91" s="14" t="str">
        <f t="shared" si="6"/>
        <v/>
      </c>
      <c r="J91" s="15" t="str">
        <f t="shared" si="7"/>
        <v/>
      </c>
    </row>
    <row r="92" spans="1:10">
      <c r="A92" s="7" t="str">
        <f>IF(子基金及业绩基准周净值!A123="","",子基金及业绩基准周净值!A123)</f>
        <v/>
      </c>
      <c r="B92" s="1" t="str">
        <f>IF(A92="","",VLOOKUP($A92,子基金及业绩基准周净值!$A:$AV,14))</f>
        <v/>
      </c>
      <c r="C92" s="8" t="str">
        <f t="shared" si="4"/>
        <v/>
      </c>
      <c r="D92" s="9" t="str">
        <f>IF(A92="","",C92-(子基金及业绩基准周净值!AH123/子基金及业绩基准周净值!AH122-1))</f>
        <v/>
      </c>
      <c r="E92" s="12" t="str">
        <f>IF(A92="","",(MAX(B$3:B92)-B92)/MAX(B$3:B92))</f>
        <v/>
      </c>
      <c r="F92" s="12" t="str">
        <f>IF(A92="","",MAX(E$4:E92))</f>
        <v/>
      </c>
      <c r="G92" s="13"/>
      <c r="H92" s="14" t="str">
        <f t="shared" si="5"/>
        <v/>
      </c>
      <c r="I92" s="14" t="str">
        <f t="shared" si="6"/>
        <v/>
      </c>
      <c r="J92" s="15" t="str">
        <f t="shared" si="7"/>
        <v/>
      </c>
    </row>
    <row r="93" spans="1:10">
      <c r="A93" s="7" t="str">
        <f>IF(子基金及业绩基准周净值!A124="","",子基金及业绩基准周净值!A124)</f>
        <v/>
      </c>
      <c r="B93" s="1" t="str">
        <f>IF(A93="","",VLOOKUP($A93,子基金及业绩基准周净值!$A:$AV,14))</f>
        <v/>
      </c>
      <c r="C93" s="8" t="str">
        <f t="shared" si="4"/>
        <v/>
      </c>
      <c r="D93" s="9" t="str">
        <f>IF(A93="","",C93-(子基金及业绩基准周净值!AH124/子基金及业绩基准周净值!AH123-1))</f>
        <v/>
      </c>
      <c r="E93" s="12" t="str">
        <f>IF(A93="","",(MAX(B$3:B93)-B93)/MAX(B$3:B93))</f>
        <v/>
      </c>
      <c r="F93" s="12" t="str">
        <f>IF(A93="","",MAX(E$4:E93))</f>
        <v/>
      </c>
      <c r="G93" s="13"/>
      <c r="H93" s="14" t="str">
        <f t="shared" si="5"/>
        <v/>
      </c>
      <c r="I93" s="14" t="str">
        <f t="shared" si="6"/>
        <v/>
      </c>
      <c r="J93" s="15" t="str">
        <f t="shared" si="7"/>
        <v/>
      </c>
    </row>
    <row r="94" spans="1:10">
      <c r="A94" s="7" t="str">
        <f>IF(子基金及业绩基准周净值!A125="","",子基金及业绩基准周净值!A125)</f>
        <v/>
      </c>
      <c r="B94" s="1" t="str">
        <f>IF(A94="","",VLOOKUP($A94,子基金及业绩基准周净值!$A:$AV,14))</f>
        <v/>
      </c>
      <c r="C94" s="8" t="str">
        <f t="shared" si="4"/>
        <v/>
      </c>
      <c r="D94" s="9" t="str">
        <f>IF(A94="","",C94-(子基金及业绩基准周净值!AH125/子基金及业绩基准周净值!AH124-1))</f>
        <v/>
      </c>
      <c r="E94" s="12" t="str">
        <f>IF(A94="","",(MAX(B$3:B94)-B94)/MAX(B$3:B94))</f>
        <v/>
      </c>
      <c r="F94" s="12" t="str">
        <f>IF(A94="","",MAX(E$4:E94))</f>
        <v/>
      </c>
      <c r="G94" s="13"/>
      <c r="H94" s="14" t="str">
        <f t="shared" si="5"/>
        <v/>
      </c>
      <c r="I94" s="14" t="str">
        <f t="shared" si="6"/>
        <v/>
      </c>
      <c r="J94" s="15" t="str">
        <f t="shared" si="7"/>
        <v/>
      </c>
    </row>
    <row r="95" spans="1:10">
      <c r="A95" s="7" t="str">
        <f>IF(子基金及业绩基准周净值!A126="","",子基金及业绩基准周净值!A126)</f>
        <v/>
      </c>
      <c r="B95" s="1" t="str">
        <f>IF(A95="","",VLOOKUP($A95,子基金及业绩基准周净值!$A:$AV,14))</f>
        <v/>
      </c>
      <c r="C95" s="8" t="str">
        <f t="shared" si="4"/>
        <v/>
      </c>
      <c r="D95" s="9" t="str">
        <f>IF(A95="","",C95-(子基金及业绩基准周净值!AH126/子基金及业绩基准周净值!AH125-1))</f>
        <v/>
      </c>
      <c r="E95" s="12" t="str">
        <f>IF(A95="","",(MAX(B$3:B95)-B95)/MAX(B$3:B95))</f>
        <v/>
      </c>
      <c r="F95" s="12" t="str">
        <f>IF(A95="","",MAX(E$4:E95))</f>
        <v/>
      </c>
      <c r="G95" s="13"/>
      <c r="H95" s="14" t="str">
        <f t="shared" si="5"/>
        <v/>
      </c>
      <c r="I95" s="14" t="str">
        <f t="shared" si="6"/>
        <v/>
      </c>
      <c r="J95" s="15" t="str">
        <f t="shared" si="7"/>
        <v/>
      </c>
    </row>
    <row r="96" spans="1:10">
      <c r="A96" s="7" t="str">
        <f>IF(子基金及业绩基准周净值!A127="","",子基金及业绩基准周净值!A127)</f>
        <v/>
      </c>
      <c r="B96" s="1" t="str">
        <f>IF(A96="","",VLOOKUP($A96,子基金及业绩基准周净值!$A:$AV,14))</f>
        <v/>
      </c>
      <c r="C96" s="8" t="str">
        <f t="shared" si="4"/>
        <v/>
      </c>
      <c r="D96" s="9" t="str">
        <f>IF(A96="","",C96-(子基金及业绩基准周净值!AH127/子基金及业绩基准周净值!AH126-1))</f>
        <v/>
      </c>
      <c r="E96" s="12" t="str">
        <f>IF(A96="","",(MAX(B$3:B96)-B96)/MAX(B$3:B96))</f>
        <v/>
      </c>
      <c r="F96" s="12" t="str">
        <f>IF(A96="","",MAX(E$4:E96))</f>
        <v/>
      </c>
      <c r="G96" s="13"/>
      <c r="H96" s="14" t="str">
        <f t="shared" si="5"/>
        <v/>
      </c>
      <c r="I96" s="14" t="str">
        <f t="shared" si="6"/>
        <v/>
      </c>
      <c r="J96" s="15" t="str">
        <f t="shared" si="7"/>
        <v/>
      </c>
    </row>
    <row r="97" spans="1:10">
      <c r="A97" s="7" t="str">
        <f>IF(子基金及业绩基准周净值!A128="","",子基金及业绩基准周净值!A128)</f>
        <v/>
      </c>
      <c r="B97" s="1" t="str">
        <f>IF(A97="","",VLOOKUP($A97,子基金及业绩基准周净值!$A:$AV,14))</f>
        <v/>
      </c>
      <c r="C97" s="8" t="str">
        <f t="shared" si="4"/>
        <v/>
      </c>
      <c r="D97" s="9" t="str">
        <f>IF(A97="","",C97-(子基金及业绩基准周净值!AH128/子基金及业绩基准周净值!AH127-1))</f>
        <v/>
      </c>
      <c r="E97" s="12" t="str">
        <f>IF(A97="","",(MAX(B$3:B97)-B97)/MAX(B$3:B97))</f>
        <v/>
      </c>
      <c r="F97" s="12" t="str">
        <f>IF(A97="","",MAX(E$4:E97))</f>
        <v/>
      </c>
      <c r="G97" s="13"/>
      <c r="H97" s="14" t="str">
        <f t="shared" si="5"/>
        <v/>
      </c>
      <c r="I97" s="14" t="str">
        <f t="shared" si="6"/>
        <v/>
      </c>
      <c r="J97" s="15" t="str">
        <f t="shared" si="7"/>
        <v/>
      </c>
    </row>
    <row r="98" spans="1:10">
      <c r="A98" s="7" t="str">
        <f>IF(子基金及业绩基准周净值!A129="","",子基金及业绩基准周净值!A129)</f>
        <v/>
      </c>
      <c r="B98" s="1" t="str">
        <f>IF(A98="","",VLOOKUP($A98,子基金及业绩基准周净值!$A:$AV,14))</f>
        <v/>
      </c>
      <c r="C98" s="8" t="str">
        <f t="shared" si="4"/>
        <v/>
      </c>
      <c r="D98" s="9" t="str">
        <f>IF(A98="","",C98-(子基金及业绩基准周净值!AH129/子基金及业绩基准周净值!AH128-1))</f>
        <v/>
      </c>
      <c r="E98" s="12" t="str">
        <f>IF(A98="","",(MAX(B$3:B98)-B98)/MAX(B$3:B98))</f>
        <v/>
      </c>
      <c r="F98" s="12" t="str">
        <f>IF(A98="","",MAX(E$4:E98))</f>
        <v/>
      </c>
      <c r="G98" s="13"/>
      <c r="H98" s="14" t="str">
        <f t="shared" si="5"/>
        <v/>
      </c>
      <c r="I98" s="14" t="str">
        <f t="shared" si="6"/>
        <v/>
      </c>
      <c r="J98" s="15" t="str">
        <f t="shared" si="7"/>
        <v/>
      </c>
    </row>
    <row r="99" spans="1:10">
      <c r="A99" s="7" t="str">
        <f>IF(子基金及业绩基准周净值!A130="","",子基金及业绩基准周净值!A130)</f>
        <v/>
      </c>
      <c r="B99" s="1" t="str">
        <f>IF(A99="","",VLOOKUP($A99,子基金及业绩基准周净值!$A:$AV,14))</f>
        <v/>
      </c>
      <c r="C99" s="8" t="str">
        <f t="shared" si="4"/>
        <v/>
      </c>
      <c r="D99" s="9" t="str">
        <f>IF(A99="","",C99-(子基金及业绩基准周净值!AH130/子基金及业绩基准周净值!AH129-1))</f>
        <v/>
      </c>
      <c r="E99" s="12" t="str">
        <f>IF(A99="","",(MAX(B$3:B99)-B99)/MAX(B$3:B99))</f>
        <v/>
      </c>
      <c r="F99" s="12" t="str">
        <f>IF(A99="","",MAX(E$4:E99))</f>
        <v/>
      </c>
      <c r="G99" s="13"/>
      <c r="H99" s="14" t="str">
        <f t="shared" si="5"/>
        <v/>
      </c>
      <c r="I99" s="14" t="str">
        <f t="shared" si="6"/>
        <v/>
      </c>
      <c r="J99" s="15" t="str">
        <f t="shared" si="7"/>
        <v/>
      </c>
    </row>
    <row r="100" spans="1:10">
      <c r="A100" s="7" t="str">
        <f>IF(子基金及业绩基准周净值!A131="","",子基金及业绩基准周净值!A131)</f>
        <v/>
      </c>
      <c r="B100" s="1" t="str">
        <f>IF(A100="","",VLOOKUP($A100,子基金及业绩基准周净值!$A:$AV,14))</f>
        <v/>
      </c>
      <c r="C100" s="8" t="str">
        <f t="shared" si="4"/>
        <v/>
      </c>
      <c r="D100" s="9" t="str">
        <f>IF(A100="","",C100-(子基金及业绩基准周净值!AH131/子基金及业绩基准周净值!AH130-1))</f>
        <v/>
      </c>
      <c r="E100" s="12" t="str">
        <f>IF(A100="","",(MAX(B$3:B100)-B100)/MAX(B$3:B100))</f>
        <v/>
      </c>
      <c r="F100" s="12" t="str">
        <f>IF(A100="","",MAX(E$4:E100))</f>
        <v/>
      </c>
      <c r="G100" s="13"/>
      <c r="H100" s="14" t="str">
        <f t="shared" si="5"/>
        <v/>
      </c>
      <c r="I100" s="14" t="str">
        <f t="shared" si="6"/>
        <v/>
      </c>
      <c r="J100" s="15" t="str">
        <f t="shared" si="7"/>
        <v/>
      </c>
    </row>
    <row r="101" spans="1:10">
      <c r="A101" s="7" t="str">
        <f>IF(子基金及业绩基准周净值!A132="","",子基金及业绩基准周净值!A132)</f>
        <v/>
      </c>
      <c r="B101" s="1" t="str">
        <f>IF(A101="","",VLOOKUP($A101,子基金及业绩基准周净值!$A:$AV,14))</f>
        <v/>
      </c>
      <c r="C101" s="8" t="str">
        <f t="shared" si="4"/>
        <v/>
      </c>
      <c r="D101" s="9" t="str">
        <f>IF(A101="","",C101-(子基金及业绩基准周净值!AH132/子基金及业绩基准周净值!AH131-1))</f>
        <v/>
      </c>
      <c r="E101" s="12" t="str">
        <f>IF(A101="","",(MAX(B$3:B101)-B101)/MAX(B$3:B101))</f>
        <v/>
      </c>
      <c r="F101" s="12" t="str">
        <f>IF(A101="","",MAX(E$4:E101))</f>
        <v/>
      </c>
      <c r="G101" s="13"/>
      <c r="H101" s="14" t="str">
        <f t="shared" si="5"/>
        <v/>
      </c>
      <c r="I101" s="14" t="str">
        <f t="shared" si="6"/>
        <v/>
      </c>
      <c r="J101" s="15" t="str">
        <f t="shared" si="7"/>
        <v/>
      </c>
    </row>
    <row r="102" spans="1:10">
      <c r="A102" s="7" t="str">
        <f>IF(子基金及业绩基准周净值!A133="","",子基金及业绩基准周净值!A133)</f>
        <v/>
      </c>
      <c r="B102" s="1" t="str">
        <f>IF(A102="","",VLOOKUP($A102,子基金及业绩基准周净值!$A:$AV,14))</f>
        <v/>
      </c>
      <c r="C102" s="8" t="str">
        <f t="shared" si="4"/>
        <v/>
      </c>
      <c r="D102" s="9" t="str">
        <f>IF(A102="","",C102-(子基金及业绩基准周净值!AH133/子基金及业绩基准周净值!AH132-1))</f>
        <v/>
      </c>
      <c r="E102" s="12" t="str">
        <f>IF(A102="","",(MAX(B$3:B102)-B102)/MAX(B$3:B102))</f>
        <v/>
      </c>
      <c r="F102" s="12" t="str">
        <f>IF(A102="","",MAX(E$4:E102))</f>
        <v/>
      </c>
      <c r="G102" s="13"/>
      <c r="H102" s="14" t="str">
        <f t="shared" si="5"/>
        <v/>
      </c>
      <c r="I102" s="14" t="str">
        <f t="shared" si="6"/>
        <v/>
      </c>
      <c r="J102" s="15" t="str">
        <f t="shared" si="7"/>
        <v/>
      </c>
    </row>
    <row r="103" spans="1:10">
      <c r="A103" s="7" t="str">
        <f>IF(子基金及业绩基准周净值!A134="","",子基金及业绩基准周净值!A134)</f>
        <v/>
      </c>
      <c r="B103" s="1" t="str">
        <f>IF(A103="","",VLOOKUP($A103,子基金及业绩基准周净值!$A:$AV,14))</f>
        <v/>
      </c>
      <c r="C103" s="8" t="str">
        <f t="shared" si="4"/>
        <v/>
      </c>
      <c r="D103" s="9" t="str">
        <f>IF(A103="","",C103-(子基金及业绩基准周净值!AH134/子基金及业绩基准周净值!AH133-1))</f>
        <v/>
      </c>
      <c r="E103" s="12" t="str">
        <f>IF(A103="","",(MAX(B$3:B103)-B103)/MAX(B$3:B103))</f>
        <v/>
      </c>
      <c r="F103" s="12" t="str">
        <f>IF(A103="","",MAX(E$4:E103))</f>
        <v/>
      </c>
      <c r="G103" s="13"/>
      <c r="H103" s="14" t="str">
        <f t="shared" si="5"/>
        <v/>
      </c>
      <c r="I103" s="14" t="str">
        <f t="shared" si="6"/>
        <v/>
      </c>
      <c r="J103" s="15" t="str">
        <f t="shared" si="7"/>
        <v/>
      </c>
    </row>
    <row r="104" spans="1:10">
      <c r="A104" s="7" t="str">
        <f>IF(子基金及业绩基准周净值!A135="","",子基金及业绩基准周净值!A135)</f>
        <v/>
      </c>
      <c r="B104" s="1" t="str">
        <f>IF(A104="","",VLOOKUP($A104,子基金及业绩基准周净值!$A:$AV,14))</f>
        <v/>
      </c>
      <c r="C104" s="8" t="str">
        <f t="shared" si="4"/>
        <v/>
      </c>
      <c r="D104" s="9" t="str">
        <f>IF(A104="","",C104-(子基金及业绩基准周净值!AH135/子基金及业绩基准周净值!AH134-1))</f>
        <v/>
      </c>
      <c r="E104" s="12" t="str">
        <f>IF(A104="","",(MAX(B$3:B104)-B104)/MAX(B$3:B104))</f>
        <v/>
      </c>
      <c r="F104" s="12" t="str">
        <f>IF(A104="","",MAX(E$4:E104))</f>
        <v/>
      </c>
      <c r="G104" s="13"/>
      <c r="H104" s="14" t="str">
        <f t="shared" si="5"/>
        <v/>
      </c>
      <c r="I104" s="14" t="str">
        <f t="shared" si="6"/>
        <v/>
      </c>
      <c r="J104" s="15" t="str">
        <f t="shared" si="7"/>
        <v/>
      </c>
    </row>
    <row r="105" spans="1:10">
      <c r="A105" s="7" t="str">
        <f>IF(子基金及业绩基准周净值!A136="","",子基金及业绩基准周净值!A136)</f>
        <v/>
      </c>
      <c r="B105" s="1" t="str">
        <f>IF(A105="","",VLOOKUP($A105,子基金及业绩基准周净值!$A:$AV,14))</f>
        <v/>
      </c>
      <c r="C105" s="8" t="str">
        <f t="shared" si="4"/>
        <v/>
      </c>
      <c r="D105" s="9" t="str">
        <f>IF(A105="","",C105-(子基金及业绩基准周净值!AH136/子基金及业绩基准周净值!AH135-1))</f>
        <v/>
      </c>
      <c r="E105" s="12" t="str">
        <f>IF(A105="","",(MAX(B$3:B105)-B105)/MAX(B$3:B105))</f>
        <v/>
      </c>
      <c r="F105" s="12" t="str">
        <f>IF(A105="","",MAX(E$4:E105))</f>
        <v/>
      </c>
      <c r="G105" s="13"/>
      <c r="H105" s="14" t="str">
        <f t="shared" si="5"/>
        <v/>
      </c>
      <c r="I105" s="14" t="str">
        <f t="shared" si="6"/>
        <v/>
      </c>
      <c r="J105" s="15" t="str">
        <f t="shared" si="7"/>
        <v/>
      </c>
    </row>
    <row r="106" spans="1:10">
      <c r="A106" s="7" t="str">
        <f>IF(子基金及业绩基准周净值!A137="","",子基金及业绩基准周净值!A137)</f>
        <v/>
      </c>
      <c r="B106" s="1" t="str">
        <f>IF(A106="","",VLOOKUP($A106,子基金及业绩基准周净值!$A:$AV,14))</f>
        <v/>
      </c>
      <c r="C106" s="8" t="str">
        <f t="shared" si="4"/>
        <v/>
      </c>
      <c r="D106" s="9" t="str">
        <f>IF(A106="","",C106-(子基金及业绩基准周净值!AH137/子基金及业绩基准周净值!AH136-1))</f>
        <v/>
      </c>
      <c r="E106" s="12" t="str">
        <f>IF(A106="","",(MAX(B$3:B106)-B106)/MAX(B$3:B106))</f>
        <v/>
      </c>
      <c r="F106" s="12" t="str">
        <f>IF(A106="","",MAX(E$4:E106))</f>
        <v/>
      </c>
      <c r="G106" s="13"/>
      <c r="H106" s="14" t="str">
        <f t="shared" si="5"/>
        <v/>
      </c>
      <c r="I106" s="14" t="str">
        <f t="shared" si="6"/>
        <v/>
      </c>
      <c r="J106" s="15" t="str">
        <f t="shared" si="7"/>
        <v/>
      </c>
    </row>
    <row r="107" spans="1:10">
      <c r="A107" s="7" t="str">
        <f>IF(子基金及业绩基准周净值!A138="","",子基金及业绩基准周净值!A138)</f>
        <v/>
      </c>
      <c r="B107" s="1" t="str">
        <f>IF(A107="","",VLOOKUP($A107,子基金及业绩基准周净值!$A:$AV,14))</f>
        <v/>
      </c>
      <c r="C107" s="8" t="str">
        <f t="shared" si="4"/>
        <v/>
      </c>
      <c r="D107" s="9" t="str">
        <f>IF(A107="","",C107-(子基金及业绩基准周净值!AH138/子基金及业绩基准周净值!AH137-1))</f>
        <v/>
      </c>
      <c r="E107" s="12" t="str">
        <f>IF(A107="","",(MAX(B$3:B107)-B107)/MAX(B$3:B107))</f>
        <v/>
      </c>
      <c r="F107" s="12" t="str">
        <f>IF(A107="","",MAX(E$4:E107))</f>
        <v/>
      </c>
      <c r="G107" s="13"/>
      <c r="H107" s="14" t="str">
        <f t="shared" si="5"/>
        <v/>
      </c>
      <c r="I107" s="14" t="str">
        <f t="shared" si="6"/>
        <v/>
      </c>
      <c r="J107" s="15" t="str">
        <f t="shared" si="7"/>
        <v/>
      </c>
    </row>
    <row r="108" spans="1:10">
      <c r="A108" s="7" t="str">
        <f>IF(子基金及业绩基准周净值!A139="","",子基金及业绩基准周净值!A139)</f>
        <v/>
      </c>
      <c r="B108" s="1" t="str">
        <f>IF(A108="","",VLOOKUP($A108,子基金及业绩基准周净值!$A:$AV,14))</f>
        <v/>
      </c>
      <c r="C108" s="8" t="str">
        <f t="shared" si="4"/>
        <v/>
      </c>
      <c r="D108" s="9" t="str">
        <f>IF(A108="","",C108-(子基金及业绩基准周净值!AH139/子基金及业绩基准周净值!AH138-1))</f>
        <v/>
      </c>
      <c r="E108" s="12" t="str">
        <f>IF(A108="","",(MAX(B$3:B108)-B108)/MAX(B$3:B108))</f>
        <v/>
      </c>
      <c r="F108" s="12" t="str">
        <f>IF(A108="","",MAX(E$4:E108))</f>
        <v/>
      </c>
      <c r="G108" s="13"/>
      <c r="H108" s="14" t="str">
        <f t="shared" si="5"/>
        <v/>
      </c>
      <c r="I108" s="14" t="str">
        <f t="shared" si="6"/>
        <v/>
      </c>
      <c r="J108" s="15" t="str">
        <f t="shared" si="7"/>
        <v/>
      </c>
    </row>
    <row r="109" spans="1:10">
      <c r="A109" s="7" t="str">
        <f>IF(子基金及业绩基准周净值!A140="","",子基金及业绩基准周净值!A140)</f>
        <v/>
      </c>
      <c r="B109" s="1" t="str">
        <f>IF(A109="","",VLOOKUP($A109,子基金及业绩基准周净值!$A:$AV,14))</f>
        <v/>
      </c>
      <c r="C109" s="8" t="str">
        <f t="shared" si="4"/>
        <v/>
      </c>
      <c r="D109" s="9" t="str">
        <f>IF(A109="","",C109-(子基金及业绩基准周净值!AH140/子基金及业绩基准周净值!AH139-1))</f>
        <v/>
      </c>
      <c r="E109" s="12" t="str">
        <f>IF(A109="","",(MAX(B$3:B109)-B109)/MAX(B$3:B109))</f>
        <v/>
      </c>
      <c r="F109" s="12" t="str">
        <f>IF(A109="","",MAX(E$4:E109))</f>
        <v/>
      </c>
      <c r="G109" s="13"/>
      <c r="H109" s="14" t="str">
        <f t="shared" si="5"/>
        <v/>
      </c>
      <c r="I109" s="14" t="str">
        <f t="shared" si="6"/>
        <v/>
      </c>
      <c r="J109" s="15" t="str">
        <f t="shared" si="7"/>
        <v/>
      </c>
    </row>
    <row r="110" spans="1:10">
      <c r="A110" s="7" t="str">
        <f>IF(子基金及业绩基准周净值!A141="","",子基金及业绩基准周净值!A141)</f>
        <v/>
      </c>
      <c r="B110" s="1" t="str">
        <f>IF(A110="","",VLOOKUP($A110,子基金及业绩基准周净值!$A:$AV,14))</f>
        <v/>
      </c>
      <c r="C110" s="8" t="str">
        <f t="shared" si="4"/>
        <v/>
      </c>
      <c r="D110" s="9" t="str">
        <f>IF(A110="","",C110-(子基金及业绩基准周净值!AH141/子基金及业绩基准周净值!AH140-1))</f>
        <v/>
      </c>
      <c r="E110" s="12" t="str">
        <f>IF(A110="","",(MAX(B$3:B110)-B110)/MAX(B$3:B110))</f>
        <v/>
      </c>
      <c r="F110" s="12" t="str">
        <f>IF(A110="","",MAX(E$4:E110))</f>
        <v/>
      </c>
      <c r="G110" s="13"/>
      <c r="H110" s="14" t="str">
        <f t="shared" si="5"/>
        <v/>
      </c>
      <c r="I110" s="14" t="str">
        <f t="shared" si="6"/>
        <v/>
      </c>
      <c r="J110" s="15" t="str">
        <f t="shared" si="7"/>
        <v/>
      </c>
    </row>
    <row r="111" spans="1:10">
      <c r="A111" s="7" t="str">
        <f>IF(子基金及业绩基准周净值!A142="","",子基金及业绩基准周净值!A142)</f>
        <v/>
      </c>
      <c r="B111" s="1" t="str">
        <f>IF(A111="","",VLOOKUP($A111,子基金及业绩基准周净值!$A:$AV,14))</f>
        <v/>
      </c>
      <c r="C111" s="8" t="str">
        <f t="shared" si="4"/>
        <v/>
      </c>
      <c r="D111" s="9" t="str">
        <f>IF(A111="","",C111-(子基金及业绩基准周净值!AH142/子基金及业绩基准周净值!AH141-1))</f>
        <v/>
      </c>
      <c r="E111" s="12" t="str">
        <f>IF(A111="","",(MAX(B$3:B111)-B111)/MAX(B$3:B111))</f>
        <v/>
      </c>
      <c r="F111" s="12" t="str">
        <f>IF(A111="","",MAX(E$4:E111))</f>
        <v/>
      </c>
      <c r="G111" s="13"/>
      <c r="H111" s="14" t="str">
        <f t="shared" si="5"/>
        <v/>
      </c>
      <c r="I111" s="14" t="str">
        <f t="shared" si="6"/>
        <v/>
      </c>
      <c r="J111" s="15" t="str">
        <f t="shared" si="7"/>
        <v/>
      </c>
    </row>
    <row r="112" spans="1:10">
      <c r="A112" s="7" t="str">
        <f>IF(子基金及业绩基准周净值!A143="","",子基金及业绩基准周净值!A143)</f>
        <v/>
      </c>
      <c r="B112" s="1" t="str">
        <f>IF(A112="","",VLOOKUP($A112,子基金及业绩基准周净值!$A:$AV,14))</f>
        <v/>
      </c>
      <c r="C112" s="8" t="str">
        <f t="shared" si="4"/>
        <v/>
      </c>
      <c r="D112" s="9" t="str">
        <f>IF(A112="","",C112-(子基金及业绩基准周净值!AH143/子基金及业绩基准周净值!AH142-1))</f>
        <v/>
      </c>
      <c r="E112" s="12" t="str">
        <f>IF(A112="","",(MAX(B$3:B112)-B112)/MAX(B$3:B112))</f>
        <v/>
      </c>
      <c r="F112" s="12" t="str">
        <f>IF(A112="","",MAX(E$4:E112))</f>
        <v/>
      </c>
      <c r="G112" s="13"/>
      <c r="H112" s="14" t="str">
        <f t="shared" si="5"/>
        <v/>
      </c>
      <c r="I112" s="14" t="str">
        <f t="shared" si="6"/>
        <v/>
      </c>
      <c r="J112" s="15" t="str">
        <f t="shared" si="7"/>
        <v/>
      </c>
    </row>
    <row r="113" spans="1:10">
      <c r="A113" s="7" t="str">
        <f>IF(子基金及业绩基准周净值!A144="","",子基金及业绩基准周净值!A144)</f>
        <v/>
      </c>
      <c r="B113" s="1" t="str">
        <f>IF(A113="","",VLOOKUP($A113,子基金及业绩基准周净值!$A:$AV,14))</f>
        <v/>
      </c>
      <c r="C113" s="8" t="str">
        <f t="shared" si="4"/>
        <v/>
      </c>
      <c r="D113" s="9" t="str">
        <f>IF(A113="","",C113-(子基金及业绩基准周净值!AH144/子基金及业绩基准周净值!AH143-1))</f>
        <v/>
      </c>
      <c r="E113" s="12" t="str">
        <f>IF(A113="","",(MAX(B$3:B113)-B113)/MAX(B$3:B113))</f>
        <v/>
      </c>
      <c r="F113" s="12" t="str">
        <f>IF(A113="","",MAX(E$4:E113))</f>
        <v/>
      </c>
      <c r="G113" s="13"/>
      <c r="H113" s="14" t="str">
        <f t="shared" si="5"/>
        <v/>
      </c>
      <c r="I113" s="14" t="str">
        <f t="shared" si="6"/>
        <v/>
      </c>
      <c r="J113" s="15" t="str">
        <f t="shared" si="7"/>
        <v/>
      </c>
    </row>
    <row r="114" spans="1:10">
      <c r="A114" s="7" t="str">
        <f>IF(子基金及业绩基准周净值!A145="","",子基金及业绩基准周净值!A145)</f>
        <v/>
      </c>
      <c r="B114" s="1" t="str">
        <f>IF(A114="","",VLOOKUP($A114,子基金及业绩基准周净值!$A:$AV,14))</f>
        <v/>
      </c>
      <c r="C114" s="8" t="str">
        <f t="shared" si="4"/>
        <v/>
      </c>
      <c r="D114" s="9" t="str">
        <f>IF(A114="","",C114-(子基金及业绩基准周净值!AH145/子基金及业绩基准周净值!AH144-1))</f>
        <v/>
      </c>
      <c r="E114" s="12" t="str">
        <f>IF(A114="","",(MAX(B$3:B114)-B114)/MAX(B$3:B114))</f>
        <v/>
      </c>
      <c r="F114" s="12" t="str">
        <f>IF(A114="","",MAX(E$4:E114))</f>
        <v/>
      </c>
      <c r="G114" s="13"/>
      <c r="H114" s="14" t="str">
        <f t="shared" si="5"/>
        <v/>
      </c>
      <c r="I114" s="14" t="str">
        <f t="shared" si="6"/>
        <v/>
      </c>
      <c r="J114" s="15" t="str">
        <f t="shared" si="7"/>
        <v/>
      </c>
    </row>
    <row r="115" spans="1:10">
      <c r="A115" s="7" t="str">
        <f>IF(子基金及业绩基准周净值!A146="","",子基金及业绩基准周净值!A146)</f>
        <v/>
      </c>
      <c r="B115" s="1" t="str">
        <f>IF(A115="","",VLOOKUP($A115,子基金及业绩基准周净值!$A:$AV,14))</f>
        <v/>
      </c>
      <c r="C115" s="8" t="str">
        <f t="shared" si="4"/>
        <v/>
      </c>
      <c r="D115" s="9" t="str">
        <f>IF(A115="","",C115-(子基金及业绩基准周净值!AH146/子基金及业绩基准周净值!AH145-1))</f>
        <v/>
      </c>
      <c r="E115" s="12" t="str">
        <f>IF(A115="","",(MAX(B$3:B115)-B115)/MAX(B$3:B115))</f>
        <v/>
      </c>
      <c r="F115" s="12" t="str">
        <f>IF(A115="","",MAX(E$4:E115))</f>
        <v/>
      </c>
      <c r="G115" s="13"/>
      <c r="H115" s="14" t="str">
        <f t="shared" si="5"/>
        <v/>
      </c>
      <c r="I115" s="14" t="str">
        <f t="shared" si="6"/>
        <v/>
      </c>
      <c r="J115" s="15" t="str">
        <f t="shared" si="7"/>
        <v/>
      </c>
    </row>
    <row r="116" spans="1:10">
      <c r="A116" s="7" t="str">
        <f>IF(子基金及业绩基准周净值!A147="","",子基金及业绩基准周净值!A147)</f>
        <v/>
      </c>
      <c r="B116" s="1" t="str">
        <f>IF(A116="","",VLOOKUP($A116,子基金及业绩基准周净值!$A:$AV,14))</f>
        <v/>
      </c>
      <c r="C116" s="8" t="str">
        <f t="shared" si="4"/>
        <v/>
      </c>
      <c r="D116" s="9" t="str">
        <f>IF(A116="","",C116-(子基金及业绩基准周净值!AH147/子基金及业绩基准周净值!AH146-1))</f>
        <v/>
      </c>
      <c r="E116" s="12" t="str">
        <f>IF(A116="","",(MAX(B$3:B116)-B116)/MAX(B$3:B116))</f>
        <v/>
      </c>
      <c r="F116" s="12" t="str">
        <f>IF(A116="","",MAX(E$4:E116))</f>
        <v/>
      </c>
      <c r="G116" s="13"/>
      <c r="H116" s="14" t="str">
        <f t="shared" si="5"/>
        <v/>
      </c>
      <c r="I116" s="14" t="str">
        <f t="shared" si="6"/>
        <v/>
      </c>
      <c r="J116" s="15" t="str">
        <f t="shared" si="7"/>
        <v/>
      </c>
    </row>
    <row r="117" spans="1:10">
      <c r="A117" s="7" t="str">
        <f>IF(子基金及业绩基准周净值!A148="","",子基金及业绩基准周净值!A148)</f>
        <v/>
      </c>
      <c r="B117" s="1" t="str">
        <f>IF(A117="","",VLOOKUP($A117,子基金及业绩基准周净值!$A:$AV,14))</f>
        <v/>
      </c>
      <c r="C117" s="8" t="str">
        <f t="shared" si="4"/>
        <v/>
      </c>
      <c r="D117" s="9" t="str">
        <f>IF(A117="","",C117-(子基金及业绩基准周净值!AH148/子基金及业绩基准周净值!AH147-1))</f>
        <v/>
      </c>
      <c r="E117" s="12" t="str">
        <f>IF(A117="","",(MAX(B$3:B117)-B117)/MAX(B$3:B117))</f>
        <v/>
      </c>
      <c r="F117" s="12" t="str">
        <f>IF(A117="","",MAX(E$4:E117))</f>
        <v/>
      </c>
      <c r="G117" s="13"/>
      <c r="H117" s="14" t="str">
        <f t="shared" si="5"/>
        <v/>
      </c>
      <c r="I117" s="14" t="str">
        <f t="shared" si="6"/>
        <v/>
      </c>
      <c r="J117" s="15" t="str">
        <f t="shared" si="7"/>
        <v/>
      </c>
    </row>
    <row r="118" spans="1:10">
      <c r="A118" s="7" t="str">
        <f>IF(子基金及业绩基准周净值!A149="","",子基金及业绩基准周净值!A149)</f>
        <v/>
      </c>
      <c r="B118" s="1" t="str">
        <f>IF(A118="","",VLOOKUP($A118,子基金及业绩基准周净值!$A:$AV,14))</f>
        <v/>
      </c>
      <c r="C118" s="8" t="str">
        <f t="shared" si="4"/>
        <v/>
      </c>
      <c r="D118" s="9" t="str">
        <f>IF(A118="","",C118-(子基金及业绩基准周净值!AH149/子基金及业绩基准周净值!AH148-1))</f>
        <v/>
      </c>
      <c r="E118" s="12" t="str">
        <f>IF(A118="","",(MAX(B$3:B118)-B118)/MAX(B$3:B118))</f>
        <v/>
      </c>
      <c r="F118" s="12" t="str">
        <f>IF(A118="","",MAX(E$4:E118))</f>
        <v/>
      </c>
      <c r="G118" s="13"/>
      <c r="H118" s="14" t="str">
        <f t="shared" si="5"/>
        <v/>
      </c>
      <c r="I118" s="14" t="str">
        <f t="shared" si="6"/>
        <v/>
      </c>
      <c r="J118" s="15" t="str">
        <f t="shared" si="7"/>
        <v/>
      </c>
    </row>
    <row r="119" spans="1:10">
      <c r="A119" s="7" t="str">
        <f>IF(子基金及业绩基准周净值!A150="","",子基金及业绩基准周净值!A150)</f>
        <v/>
      </c>
      <c r="B119" s="1" t="str">
        <f>IF(A119="","",VLOOKUP($A119,子基金及业绩基准周净值!$A:$AV,14))</f>
        <v/>
      </c>
      <c r="C119" s="8" t="str">
        <f t="shared" si="4"/>
        <v/>
      </c>
      <c r="D119" s="9" t="str">
        <f>IF(A119="","",C119-(子基金及业绩基准周净值!AH150/子基金及业绩基准周净值!AH149-1))</f>
        <v/>
      </c>
      <c r="E119" s="12" t="str">
        <f>IF(A119="","",(MAX(B$3:B119)-B119)/MAX(B$3:B119))</f>
        <v/>
      </c>
      <c r="F119" s="12" t="str">
        <f>IF(A119="","",MAX(E$4:E119))</f>
        <v/>
      </c>
      <c r="G119" s="13"/>
      <c r="H119" s="14" t="str">
        <f t="shared" si="5"/>
        <v/>
      </c>
      <c r="I119" s="14" t="str">
        <f t="shared" si="6"/>
        <v/>
      </c>
      <c r="J119" s="15" t="str">
        <f t="shared" si="7"/>
        <v/>
      </c>
    </row>
    <row r="120" spans="1:10">
      <c r="A120" s="7" t="str">
        <f>IF(子基金及业绩基准周净值!A151="","",子基金及业绩基准周净值!A151)</f>
        <v/>
      </c>
      <c r="B120" s="1" t="str">
        <f>IF(A120="","",VLOOKUP($A120,子基金及业绩基准周净值!$A:$AV,14))</f>
        <v/>
      </c>
      <c r="C120" s="8" t="str">
        <f t="shared" si="4"/>
        <v/>
      </c>
      <c r="D120" s="9" t="str">
        <f>IF(A120="","",C120-(子基金及业绩基准周净值!AH151/子基金及业绩基准周净值!AH150-1))</f>
        <v/>
      </c>
      <c r="E120" s="12" t="str">
        <f>IF(A120="","",(MAX(B$3:B120)-B120)/MAX(B$3:B120))</f>
        <v/>
      </c>
      <c r="F120" s="12" t="str">
        <f>IF(A120="","",MAX(E$4:E120))</f>
        <v/>
      </c>
      <c r="G120" s="13"/>
      <c r="H120" s="14" t="str">
        <f t="shared" si="5"/>
        <v/>
      </c>
      <c r="I120" s="14" t="str">
        <f t="shared" si="6"/>
        <v/>
      </c>
      <c r="J120" s="15" t="str">
        <f t="shared" si="7"/>
        <v/>
      </c>
    </row>
    <row r="121" spans="1:10">
      <c r="A121" s="7" t="str">
        <f>IF(子基金及业绩基准周净值!A152="","",子基金及业绩基准周净值!A152)</f>
        <v/>
      </c>
      <c r="B121" s="1" t="str">
        <f>IF(A121="","",VLOOKUP($A121,子基金及业绩基准周净值!$A:$AV,14))</f>
        <v/>
      </c>
      <c r="C121" s="8" t="str">
        <f t="shared" si="4"/>
        <v/>
      </c>
      <c r="D121" s="9" t="str">
        <f>IF(A121="","",C121-(子基金及业绩基准周净值!AH152/子基金及业绩基准周净值!AH151-1))</f>
        <v/>
      </c>
      <c r="E121" s="12" t="str">
        <f>IF(A121="","",(MAX(B$3:B121)-B121)/MAX(B$3:B121))</f>
        <v/>
      </c>
      <c r="F121" s="12" t="str">
        <f>IF(A121="","",MAX(E$4:E121))</f>
        <v/>
      </c>
      <c r="G121" s="13"/>
      <c r="H121" s="14" t="str">
        <f t="shared" si="5"/>
        <v/>
      </c>
      <c r="I121" s="14" t="str">
        <f t="shared" si="6"/>
        <v/>
      </c>
      <c r="J121" s="15" t="str">
        <f t="shared" si="7"/>
        <v/>
      </c>
    </row>
    <row r="122" spans="1:10">
      <c r="A122" s="7" t="str">
        <f>IF(子基金及业绩基准周净值!A153="","",子基金及业绩基准周净值!A153)</f>
        <v/>
      </c>
      <c r="B122" s="1" t="str">
        <f>IF(A122="","",VLOOKUP($A122,子基金及业绩基准周净值!$A:$AV,14))</f>
        <v/>
      </c>
      <c r="C122" s="8" t="str">
        <f t="shared" si="4"/>
        <v/>
      </c>
      <c r="D122" s="9" t="str">
        <f>IF(A122="","",C122-(子基金及业绩基准周净值!AH153/子基金及业绩基准周净值!AH152-1))</f>
        <v/>
      </c>
      <c r="E122" s="12" t="str">
        <f>IF(A122="","",(MAX(B$3:B122)-B122)/MAX(B$3:B122))</f>
        <v/>
      </c>
      <c r="F122" s="12" t="str">
        <f>IF(A122="","",MAX(E$4:E122))</f>
        <v/>
      </c>
      <c r="G122" s="13"/>
      <c r="H122" s="14" t="str">
        <f t="shared" si="5"/>
        <v/>
      </c>
      <c r="I122" s="14" t="str">
        <f t="shared" si="6"/>
        <v/>
      </c>
      <c r="J122" s="15" t="str">
        <f t="shared" si="7"/>
        <v/>
      </c>
    </row>
    <row r="123" spans="1:10">
      <c r="A123" s="7" t="str">
        <f>IF(子基金及业绩基准周净值!A154="","",子基金及业绩基准周净值!A154)</f>
        <v/>
      </c>
      <c r="B123" s="1" t="str">
        <f>IF(A123="","",VLOOKUP($A123,子基金及业绩基准周净值!$A:$AV,14))</f>
        <v/>
      </c>
      <c r="C123" s="8" t="str">
        <f t="shared" si="4"/>
        <v/>
      </c>
      <c r="D123" s="9" t="str">
        <f>IF(A123="","",C123-(子基金及业绩基准周净值!AH154/子基金及业绩基准周净值!AH153-1))</f>
        <v/>
      </c>
      <c r="E123" s="12" t="str">
        <f>IF(A123="","",(MAX(B$3:B123)-B123)/MAX(B$3:B123))</f>
        <v/>
      </c>
      <c r="F123" s="12" t="str">
        <f>IF(A123="","",MAX(E$4:E123))</f>
        <v/>
      </c>
      <c r="G123" s="13"/>
      <c r="H123" s="14" t="str">
        <f t="shared" si="5"/>
        <v/>
      </c>
      <c r="I123" s="14" t="str">
        <f t="shared" si="6"/>
        <v/>
      </c>
      <c r="J123" s="15" t="str">
        <f t="shared" si="7"/>
        <v/>
      </c>
    </row>
    <row r="124" spans="1:10">
      <c r="A124" s="7" t="str">
        <f>IF(子基金及业绩基准周净值!A155="","",子基金及业绩基准周净值!A155)</f>
        <v/>
      </c>
      <c r="B124" s="1" t="str">
        <f>IF(A124="","",VLOOKUP($A124,子基金及业绩基准周净值!$A:$AV,14))</f>
        <v/>
      </c>
      <c r="C124" s="8" t="str">
        <f t="shared" si="4"/>
        <v/>
      </c>
      <c r="D124" s="9" t="str">
        <f>IF(A124="","",C124-(子基金及业绩基准周净值!AH155/子基金及业绩基准周净值!AH154-1))</f>
        <v/>
      </c>
      <c r="E124" s="12" t="str">
        <f>IF(A124="","",(MAX(B$3:B124)-B124)/MAX(B$3:B124))</f>
        <v/>
      </c>
      <c r="F124" s="12" t="str">
        <f>IF(A124="","",MAX(E$4:E124))</f>
        <v/>
      </c>
      <c r="G124" s="13"/>
      <c r="H124" s="14" t="str">
        <f t="shared" si="5"/>
        <v/>
      </c>
      <c r="I124" s="14" t="str">
        <f t="shared" si="6"/>
        <v/>
      </c>
      <c r="J124" s="15" t="str">
        <f t="shared" si="7"/>
        <v/>
      </c>
    </row>
    <row r="125" spans="1:10">
      <c r="A125" s="7" t="str">
        <f>IF(子基金及业绩基准周净值!A156="","",子基金及业绩基准周净值!A156)</f>
        <v/>
      </c>
      <c r="B125" s="1" t="str">
        <f>IF(A125="","",VLOOKUP($A125,子基金及业绩基准周净值!$A:$AV,14))</f>
        <v/>
      </c>
      <c r="C125" s="8" t="str">
        <f t="shared" si="4"/>
        <v/>
      </c>
      <c r="D125" s="9" t="str">
        <f>IF(A125="","",C125-(子基金及业绩基准周净值!AH156/子基金及业绩基准周净值!AH155-1))</f>
        <v/>
      </c>
      <c r="E125" s="12" t="str">
        <f>IF(A125="","",(MAX(B$3:B125)-B125)/MAX(B$3:B125))</f>
        <v/>
      </c>
      <c r="F125" s="12" t="str">
        <f>IF(A125="","",MAX(E$4:E125))</f>
        <v/>
      </c>
      <c r="G125" s="13"/>
      <c r="H125" s="14" t="str">
        <f t="shared" si="5"/>
        <v/>
      </c>
      <c r="I125" s="14" t="str">
        <f t="shared" si="6"/>
        <v/>
      </c>
      <c r="J125" s="15" t="str">
        <f t="shared" si="7"/>
        <v/>
      </c>
    </row>
    <row r="126" spans="1:10">
      <c r="A126" s="7" t="str">
        <f>IF(子基金及业绩基准周净值!A157="","",子基金及业绩基准周净值!A157)</f>
        <v/>
      </c>
      <c r="B126" s="1" t="str">
        <f>IF(A126="","",VLOOKUP($A126,子基金及业绩基准周净值!$A:$AV,14))</f>
        <v/>
      </c>
      <c r="C126" s="8" t="str">
        <f t="shared" si="4"/>
        <v/>
      </c>
      <c r="D126" s="9" t="str">
        <f>IF(A126="","",C126-(子基金及业绩基准周净值!AH157/子基金及业绩基准周净值!AH156-1))</f>
        <v/>
      </c>
      <c r="E126" s="12" t="str">
        <f>IF(A126="","",(MAX(B$3:B126)-B126)/MAX(B$3:B126))</f>
        <v/>
      </c>
      <c r="F126" s="12" t="str">
        <f>IF(A126="","",MAX(E$4:E126))</f>
        <v/>
      </c>
      <c r="G126" s="13"/>
      <c r="H126" s="14" t="str">
        <f t="shared" si="5"/>
        <v/>
      </c>
      <c r="I126" s="14" t="str">
        <f t="shared" si="6"/>
        <v/>
      </c>
      <c r="J126" s="15" t="str">
        <f t="shared" si="7"/>
        <v/>
      </c>
    </row>
    <row r="127" spans="1:10">
      <c r="A127" s="7" t="str">
        <f>IF(子基金及业绩基准周净值!A158="","",子基金及业绩基准周净值!A158)</f>
        <v/>
      </c>
      <c r="B127" s="1" t="str">
        <f>IF(A127="","",VLOOKUP($A127,子基金及业绩基准周净值!$A:$AV,14))</f>
        <v/>
      </c>
      <c r="C127" s="8" t="str">
        <f t="shared" si="4"/>
        <v/>
      </c>
      <c r="D127" s="9" t="str">
        <f>IF(A127="","",C127-(子基金及业绩基准周净值!AH158/子基金及业绩基准周净值!AH157-1))</f>
        <v/>
      </c>
      <c r="E127" s="12" t="str">
        <f>IF(A127="","",(MAX(B$3:B127)-B127)/MAX(B$3:B127))</f>
        <v/>
      </c>
      <c r="F127" s="12" t="str">
        <f>IF(A127="","",MAX(E$4:E127))</f>
        <v/>
      </c>
      <c r="G127" s="13"/>
      <c r="H127" s="14" t="str">
        <f t="shared" si="5"/>
        <v/>
      </c>
      <c r="I127" s="14" t="str">
        <f t="shared" si="6"/>
        <v/>
      </c>
      <c r="J127" s="15" t="str">
        <f t="shared" si="7"/>
        <v/>
      </c>
    </row>
    <row r="128" spans="1:10">
      <c r="A128" s="7" t="str">
        <f>IF(子基金及业绩基准周净值!A159="","",子基金及业绩基准周净值!A159)</f>
        <v/>
      </c>
      <c r="B128" s="1" t="str">
        <f>IF(A128="","",VLOOKUP($A128,子基金及业绩基准周净值!$A:$AV,14))</f>
        <v/>
      </c>
      <c r="C128" s="8" t="str">
        <f t="shared" si="4"/>
        <v/>
      </c>
      <c r="D128" s="9" t="str">
        <f>IF(A128="","",C128-(子基金及业绩基准周净值!AH159/子基金及业绩基准周净值!AH158-1))</f>
        <v/>
      </c>
      <c r="E128" s="12" t="str">
        <f>IF(A128="","",(MAX(B$3:B128)-B128)/MAX(B$3:B128))</f>
        <v/>
      </c>
      <c r="F128" s="12" t="str">
        <f>IF(A128="","",MAX(E$4:E128))</f>
        <v/>
      </c>
      <c r="G128" s="13"/>
      <c r="H128" s="14" t="str">
        <f t="shared" si="5"/>
        <v/>
      </c>
      <c r="I128" s="14" t="str">
        <f t="shared" si="6"/>
        <v/>
      </c>
      <c r="J128" s="15" t="str">
        <f t="shared" si="7"/>
        <v/>
      </c>
    </row>
    <row r="129" spans="1:10">
      <c r="A129" s="7" t="str">
        <f>IF(子基金及业绩基准周净值!A160="","",子基金及业绩基准周净值!A160)</f>
        <v/>
      </c>
      <c r="B129" s="1" t="str">
        <f>IF(A129="","",VLOOKUP($A129,子基金及业绩基准周净值!$A:$AV,14))</f>
        <v/>
      </c>
      <c r="C129" s="8" t="str">
        <f t="shared" si="4"/>
        <v/>
      </c>
      <c r="D129" s="9" t="str">
        <f>IF(A129="","",C129-(子基金及业绩基准周净值!AH160/子基金及业绩基准周净值!AH159-1))</f>
        <v/>
      </c>
      <c r="E129" s="12" t="str">
        <f>IF(A129="","",(MAX(B$3:B129)-B129)/MAX(B$3:B129))</f>
        <v/>
      </c>
      <c r="F129" s="12" t="str">
        <f>IF(A129="","",MAX(E$4:E129))</f>
        <v/>
      </c>
      <c r="G129" s="13"/>
      <c r="H129" s="14" t="str">
        <f t="shared" si="5"/>
        <v/>
      </c>
      <c r="I129" s="14" t="str">
        <f t="shared" si="6"/>
        <v/>
      </c>
      <c r="J129" s="15" t="str">
        <f t="shared" si="7"/>
        <v/>
      </c>
    </row>
    <row r="130" spans="1:10">
      <c r="A130" s="7" t="str">
        <f>IF(子基金及业绩基准周净值!A161="","",子基金及业绩基准周净值!A161)</f>
        <v/>
      </c>
      <c r="B130" s="1" t="str">
        <f>IF(A130="","",VLOOKUP($A130,子基金及业绩基准周净值!$A:$AV,14))</f>
        <v/>
      </c>
      <c r="C130" s="8" t="str">
        <f t="shared" si="4"/>
        <v/>
      </c>
      <c r="D130" s="9" t="str">
        <f>IF(A130="","",C130-(子基金及业绩基准周净值!AH161/子基金及业绩基准周净值!AH160-1))</f>
        <v/>
      </c>
      <c r="E130" s="12" t="str">
        <f>IF(A130="","",(MAX(B$3:B130)-B130)/MAX(B$3:B130))</f>
        <v/>
      </c>
      <c r="F130" s="12" t="str">
        <f>IF(A130="","",MAX(E$4:E130))</f>
        <v/>
      </c>
      <c r="G130" s="13"/>
      <c r="H130" s="14" t="str">
        <f t="shared" si="5"/>
        <v/>
      </c>
      <c r="I130" s="14" t="str">
        <f t="shared" si="6"/>
        <v/>
      </c>
      <c r="J130" s="15" t="str">
        <f t="shared" si="7"/>
        <v/>
      </c>
    </row>
    <row r="131" spans="1:10">
      <c r="A131" s="7" t="str">
        <f>IF(子基金及业绩基准周净值!A162="","",子基金及业绩基准周净值!A162)</f>
        <v/>
      </c>
      <c r="B131" s="1" t="str">
        <f>IF(A131="","",VLOOKUP($A131,子基金及业绩基准周净值!$A:$AV,14))</f>
        <v/>
      </c>
      <c r="C131" s="8" t="str">
        <f t="shared" si="4"/>
        <v/>
      </c>
      <c r="D131" s="9" t="str">
        <f>IF(A131="","",C131-(子基金及业绩基准周净值!AH162/子基金及业绩基准周净值!AH161-1))</f>
        <v/>
      </c>
      <c r="E131" s="12" t="str">
        <f>IF(A131="","",(MAX(B$3:B131)-B131)/MAX(B$3:B131))</f>
        <v/>
      </c>
      <c r="F131" s="12" t="str">
        <f>IF(A131="","",MAX(E$4:E131))</f>
        <v/>
      </c>
      <c r="G131" s="13"/>
      <c r="H131" s="14" t="str">
        <f t="shared" si="5"/>
        <v/>
      </c>
      <c r="I131" s="14" t="str">
        <f t="shared" si="6"/>
        <v/>
      </c>
      <c r="J131" s="15" t="str">
        <f t="shared" si="7"/>
        <v/>
      </c>
    </row>
    <row r="132" spans="1:10">
      <c r="A132" s="7" t="str">
        <f>IF(子基金及业绩基准周净值!A163="","",子基金及业绩基准周净值!A163)</f>
        <v/>
      </c>
      <c r="B132" s="1" t="str">
        <f>IF(A132="","",VLOOKUP($A132,子基金及业绩基准周净值!$A:$AV,14))</f>
        <v/>
      </c>
      <c r="C132" s="8" t="str">
        <f t="shared" si="4"/>
        <v/>
      </c>
      <c r="D132" s="9" t="str">
        <f>IF(A132="","",C132-(子基金及业绩基准周净值!AH163/子基金及业绩基准周净值!AH162-1))</f>
        <v/>
      </c>
      <c r="E132" s="12" t="str">
        <f>IF(A132="","",(MAX(B$3:B132)-B132)/MAX(B$3:B132))</f>
        <v/>
      </c>
      <c r="F132" s="12" t="str">
        <f>IF(A132="","",MAX(E$4:E132))</f>
        <v/>
      </c>
      <c r="G132" s="13"/>
      <c r="H132" s="14" t="str">
        <f t="shared" si="5"/>
        <v/>
      </c>
      <c r="I132" s="14" t="str">
        <f t="shared" si="6"/>
        <v/>
      </c>
      <c r="J132" s="15" t="str">
        <f t="shared" si="7"/>
        <v/>
      </c>
    </row>
    <row r="133" spans="1:10">
      <c r="A133" s="7" t="str">
        <f>IF(子基金及业绩基准周净值!A164="","",子基金及业绩基准周净值!A164)</f>
        <v/>
      </c>
      <c r="B133" s="1" t="str">
        <f>IF(A133="","",VLOOKUP($A133,子基金及业绩基准周净值!$A:$AV,14))</f>
        <v/>
      </c>
      <c r="C133" s="8" t="str">
        <f t="shared" ref="C133:C196" si="8">IF(A133="","",(B133-B132)/B132)</f>
        <v/>
      </c>
      <c r="D133" s="9" t="str">
        <f>IF(A133="","",C133-(子基金及业绩基准周净值!AH164/子基金及业绩基准周净值!AH163-1))</f>
        <v/>
      </c>
      <c r="E133" s="12" t="str">
        <f>IF(A133="","",(MAX(B$3:B133)-B133)/MAX(B$3:B133))</f>
        <v/>
      </c>
      <c r="F133" s="12" t="str">
        <f>IF(A133="","",MAX(E$4:E133))</f>
        <v/>
      </c>
      <c r="G133" s="13"/>
      <c r="H133" s="14" t="str">
        <f t="shared" ref="H133:H196" si="9">IF(B133="","",IF(C133&lt;-3%,"是","否"))</f>
        <v/>
      </c>
      <c r="I133" s="14" t="str">
        <f t="shared" ref="I133:I196" si="10">IF(A133="","",IF(F133&gt;5%,"是","否"))</f>
        <v/>
      </c>
      <c r="J133" s="15" t="str">
        <f t="shared" ref="J133:J196" si="11">IF(A133="","",IF(G133&gt;=4,"是","否"))</f>
        <v/>
      </c>
    </row>
    <row r="134" spans="1:10">
      <c r="A134" s="7" t="str">
        <f>IF(子基金及业绩基准周净值!A165="","",子基金及业绩基准周净值!A165)</f>
        <v/>
      </c>
      <c r="B134" s="1" t="str">
        <f>IF(A134="","",VLOOKUP($A134,子基金及业绩基准周净值!$A:$AV,14))</f>
        <v/>
      </c>
      <c r="C134" s="8" t="str">
        <f t="shared" si="8"/>
        <v/>
      </c>
      <c r="D134" s="9" t="str">
        <f>IF(A134="","",C134-(子基金及业绩基准周净值!AH165/子基金及业绩基准周净值!AH164-1))</f>
        <v/>
      </c>
      <c r="E134" s="12" t="str">
        <f>IF(A134="","",(MAX(B$3:B134)-B134)/MAX(B$3:B134))</f>
        <v/>
      </c>
      <c r="F134" s="12" t="str">
        <f>IF(A134="","",MAX(E$4:E134))</f>
        <v/>
      </c>
      <c r="G134" s="13"/>
      <c r="H134" s="14" t="str">
        <f t="shared" si="9"/>
        <v/>
      </c>
      <c r="I134" s="14" t="str">
        <f t="shared" si="10"/>
        <v/>
      </c>
      <c r="J134" s="15" t="str">
        <f t="shared" si="11"/>
        <v/>
      </c>
    </row>
    <row r="135" spans="1:10">
      <c r="A135" s="7" t="str">
        <f>IF(子基金及业绩基准周净值!A166="","",子基金及业绩基准周净值!A166)</f>
        <v/>
      </c>
      <c r="B135" s="1" t="str">
        <f>IF(A135="","",VLOOKUP($A135,子基金及业绩基准周净值!$A:$AV,14))</f>
        <v/>
      </c>
      <c r="C135" s="8" t="str">
        <f t="shared" si="8"/>
        <v/>
      </c>
      <c r="D135" s="9" t="str">
        <f>IF(A135="","",C135-(子基金及业绩基准周净值!AH166/子基金及业绩基准周净值!AH165-1))</f>
        <v/>
      </c>
      <c r="E135" s="12" t="str">
        <f>IF(A135="","",(MAX(B$3:B135)-B135)/MAX(B$3:B135))</f>
        <v/>
      </c>
      <c r="F135" s="12" t="str">
        <f>IF(A135="","",MAX(E$4:E135))</f>
        <v/>
      </c>
      <c r="G135" s="13"/>
      <c r="H135" s="14" t="str">
        <f t="shared" si="9"/>
        <v/>
      </c>
      <c r="I135" s="14" t="str">
        <f t="shared" si="10"/>
        <v/>
      </c>
      <c r="J135" s="15" t="str">
        <f t="shared" si="11"/>
        <v/>
      </c>
    </row>
    <row r="136" spans="1:10">
      <c r="A136" s="7" t="str">
        <f>IF(子基金及业绩基准周净值!A167="","",子基金及业绩基准周净值!A167)</f>
        <v/>
      </c>
      <c r="B136" s="1" t="str">
        <f>IF(A136="","",VLOOKUP($A136,子基金及业绩基准周净值!$A:$AV,14))</f>
        <v/>
      </c>
      <c r="C136" s="8" t="str">
        <f t="shared" si="8"/>
        <v/>
      </c>
      <c r="D136" s="9" t="str">
        <f>IF(A136="","",C136-(子基金及业绩基准周净值!AH167/子基金及业绩基准周净值!AH166-1))</f>
        <v/>
      </c>
      <c r="E136" s="12" t="str">
        <f>IF(A136="","",(MAX(B$3:B136)-B136)/MAX(B$3:B136))</f>
        <v/>
      </c>
      <c r="F136" s="12" t="str">
        <f>IF(A136="","",MAX(E$4:E136))</f>
        <v/>
      </c>
      <c r="G136" s="13"/>
      <c r="H136" s="14" t="str">
        <f t="shared" si="9"/>
        <v/>
      </c>
      <c r="I136" s="14" t="str">
        <f t="shared" si="10"/>
        <v/>
      </c>
      <c r="J136" s="15" t="str">
        <f t="shared" si="11"/>
        <v/>
      </c>
    </row>
    <row r="137" spans="1:10">
      <c r="A137" s="7" t="str">
        <f>IF(子基金及业绩基准周净值!A168="","",子基金及业绩基准周净值!A168)</f>
        <v/>
      </c>
      <c r="B137" s="1" t="str">
        <f>IF(A137="","",VLOOKUP($A137,子基金及业绩基准周净值!$A:$AV,14))</f>
        <v/>
      </c>
      <c r="C137" s="8" t="str">
        <f t="shared" si="8"/>
        <v/>
      </c>
      <c r="D137" s="9" t="str">
        <f>IF(A137="","",C137-(子基金及业绩基准周净值!AH168/子基金及业绩基准周净值!AH167-1))</f>
        <v/>
      </c>
      <c r="E137" s="12" t="str">
        <f>IF(A137="","",(MAX(B$3:B137)-B137)/MAX(B$3:B137))</f>
        <v/>
      </c>
      <c r="F137" s="12" t="str">
        <f>IF(A137="","",MAX(E$4:E137))</f>
        <v/>
      </c>
      <c r="G137" s="13"/>
      <c r="H137" s="14" t="str">
        <f t="shared" si="9"/>
        <v/>
      </c>
      <c r="I137" s="14" t="str">
        <f t="shared" si="10"/>
        <v/>
      </c>
      <c r="J137" s="15" t="str">
        <f t="shared" si="11"/>
        <v/>
      </c>
    </row>
    <row r="138" spans="1:10">
      <c r="A138" s="7" t="str">
        <f>IF(子基金及业绩基准周净值!A169="","",子基金及业绩基准周净值!A169)</f>
        <v/>
      </c>
      <c r="B138" s="1" t="str">
        <f>IF(A138="","",VLOOKUP($A138,子基金及业绩基准周净值!$A:$AV,14))</f>
        <v/>
      </c>
      <c r="C138" s="8" t="str">
        <f t="shared" si="8"/>
        <v/>
      </c>
      <c r="D138" s="9" t="str">
        <f>IF(A138="","",C138-(子基金及业绩基准周净值!AH169/子基金及业绩基准周净值!AH168-1))</f>
        <v/>
      </c>
      <c r="E138" s="12" t="str">
        <f>IF(A138="","",(MAX(B$3:B138)-B138)/MAX(B$3:B138))</f>
        <v/>
      </c>
      <c r="F138" s="12" t="str">
        <f>IF(A138="","",MAX(E$4:E138))</f>
        <v/>
      </c>
      <c r="G138" s="13"/>
      <c r="H138" s="14" t="str">
        <f t="shared" si="9"/>
        <v/>
      </c>
      <c r="I138" s="14" t="str">
        <f t="shared" si="10"/>
        <v/>
      </c>
      <c r="J138" s="15" t="str">
        <f t="shared" si="11"/>
        <v/>
      </c>
    </row>
    <row r="139" spans="1:10">
      <c r="A139" s="7" t="str">
        <f>IF(子基金及业绩基准周净值!A170="","",子基金及业绩基准周净值!A170)</f>
        <v/>
      </c>
      <c r="B139" s="1" t="str">
        <f>IF(A139="","",VLOOKUP($A139,子基金及业绩基准周净值!$A:$AV,14))</f>
        <v/>
      </c>
      <c r="C139" s="8" t="str">
        <f t="shared" si="8"/>
        <v/>
      </c>
      <c r="D139" s="9" t="str">
        <f>IF(A139="","",C139-(子基金及业绩基准周净值!AH170/子基金及业绩基准周净值!AH169-1))</f>
        <v/>
      </c>
      <c r="E139" s="12" t="str">
        <f>IF(A139="","",(MAX(B$3:B139)-B139)/MAX(B$3:B139))</f>
        <v/>
      </c>
      <c r="F139" s="12" t="str">
        <f>IF(A139="","",MAX(E$4:E139))</f>
        <v/>
      </c>
      <c r="G139" s="13"/>
      <c r="H139" s="14" t="str">
        <f t="shared" si="9"/>
        <v/>
      </c>
      <c r="I139" s="14" t="str">
        <f t="shared" si="10"/>
        <v/>
      </c>
      <c r="J139" s="15" t="str">
        <f t="shared" si="11"/>
        <v/>
      </c>
    </row>
    <row r="140" spans="1:10">
      <c r="A140" s="7" t="str">
        <f>IF(子基金及业绩基准周净值!A171="","",子基金及业绩基准周净值!A171)</f>
        <v/>
      </c>
      <c r="B140" s="1" t="str">
        <f>IF(A140="","",VLOOKUP($A140,子基金及业绩基准周净值!$A:$AV,14))</f>
        <v/>
      </c>
      <c r="C140" s="8" t="str">
        <f t="shared" si="8"/>
        <v/>
      </c>
      <c r="D140" s="9" t="str">
        <f>IF(A140="","",C140-(子基金及业绩基准周净值!AH171/子基金及业绩基准周净值!AH170-1))</f>
        <v/>
      </c>
      <c r="E140" s="12" t="str">
        <f>IF(A140="","",(MAX(B$3:B140)-B140)/MAX(B$3:B140))</f>
        <v/>
      </c>
      <c r="F140" s="12" t="str">
        <f>IF(A140="","",MAX(E$4:E140))</f>
        <v/>
      </c>
      <c r="G140" s="13"/>
      <c r="H140" s="14" t="str">
        <f t="shared" si="9"/>
        <v/>
      </c>
      <c r="I140" s="14" t="str">
        <f t="shared" si="10"/>
        <v/>
      </c>
      <c r="J140" s="15" t="str">
        <f t="shared" si="11"/>
        <v/>
      </c>
    </row>
    <row r="141" spans="1:10">
      <c r="A141" s="7" t="str">
        <f>IF(子基金及业绩基准周净值!A172="","",子基金及业绩基准周净值!A172)</f>
        <v/>
      </c>
      <c r="B141" s="1" t="str">
        <f>IF(A141="","",VLOOKUP($A141,子基金及业绩基准周净值!$A:$AV,14))</f>
        <v/>
      </c>
      <c r="C141" s="8" t="str">
        <f t="shared" si="8"/>
        <v/>
      </c>
      <c r="D141" s="9" t="str">
        <f>IF(A141="","",C141-(子基金及业绩基准周净值!AH172/子基金及业绩基准周净值!AH171-1))</f>
        <v/>
      </c>
      <c r="E141" s="12" t="str">
        <f>IF(A141="","",(MAX(B$3:B141)-B141)/MAX(B$3:B141))</f>
        <v/>
      </c>
      <c r="F141" s="12" t="str">
        <f>IF(A141="","",MAX(E$4:E141))</f>
        <v/>
      </c>
      <c r="G141" s="13"/>
      <c r="H141" s="14" t="str">
        <f t="shared" si="9"/>
        <v/>
      </c>
      <c r="I141" s="14" t="str">
        <f t="shared" si="10"/>
        <v/>
      </c>
      <c r="J141" s="15" t="str">
        <f t="shared" si="11"/>
        <v/>
      </c>
    </row>
    <row r="142" spans="1:10">
      <c r="A142" s="7" t="str">
        <f>IF(子基金及业绩基准周净值!A173="","",子基金及业绩基准周净值!A173)</f>
        <v/>
      </c>
      <c r="B142" s="1" t="str">
        <f>IF(A142="","",VLOOKUP($A142,子基金及业绩基准周净值!$A:$AV,14))</f>
        <v/>
      </c>
      <c r="C142" s="8" t="str">
        <f t="shared" si="8"/>
        <v/>
      </c>
      <c r="D142" s="9" t="str">
        <f>IF(A142="","",C142-(子基金及业绩基准周净值!AH173/子基金及业绩基准周净值!AH172-1))</f>
        <v/>
      </c>
      <c r="E142" s="12" t="str">
        <f>IF(A142="","",(MAX(B$3:B142)-B142)/MAX(B$3:B142))</f>
        <v/>
      </c>
      <c r="F142" s="12" t="str">
        <f>IF(A142="","",MAX(E$4:E142))</f>
        <v/>
      </c>
      <c r="G142" s="13"/>
      <c r="H142" s="14" t="str">
        <f t="shared" si="9"/>
        <v/>
      </c>
      <c r="I142" s="14" t="str">
        <f t="shared" si="10"/>
        <v/>
      </c>
      <c r="J142" s="15" t="str">
        <f t="shared" si="11"/>
        <v/>
      </c>
    </row>
    <row r="143" spans="1:10">
      <c r="A143" s="7" t="str">
        <f>IF(子基金及业绩基准周净值!A174="","",子基金及业绩基准周净值!A174)</f>
        <v/>
      </c>
      <c r="B143" s="1" t="str">
        <f>IF(A143="","",VLOOKUP($A143,子基金及业绩基准周净值!$A:$AV,14))</f>
        <v/>
      </c>
      <c r="C143" s="8" t="str">
        <f t="shared" si="8"/>
        <v/>
      </c>
      <c r="D143" s="9" t="str">
        <f>IF(A143="","",C143-(子基金及业绩基准周净值!AH174/子基金及业绩基准周净值!AH173-1))</f>
        <v/>
      </c>
      <c r="E143" s="12" t="str">
        <f>IF(A143="","",(MAX(B$3:B143)-B143)/MAX(B$3:B143))</f>
        <v/>
      </c>
      <c r="F143" s="12" t="str">
        <f>IF(A143="","",MAX(E$4:E143))</f>
        <v/>
      </c>
      <c r="G143" s="13"/>
      <c r="H143" s="14" t="str">
        <f t="shared" si="9"/>
        <v/>
      </c>
      <c r="I143" s="14" t="str">
        <f t="shared" si="10"/>
        <v/>
      </c>
      <c r="J143" s="15" t="str">
        <f t="shared" si="11"/>
        <v/>
      </c>
    </row>
    <row r="144" spans="1:10">
      <c r="A144" s="7" t="str">
        <f>IF(子基金及业绩基准周净值!A175="","",子基金及业绩基准周净值!A175)</f>
        <v/>
      </c>
      <c r="B144" s="1" t="str">
        <f>IF(A144="","",VLOOKUP($A144,子基金及业绩基准周净值!$A:$AV,14))</f>
        <v/>
      </c>
      <c r="C144" s="8" t="str">
        <f t="shared" si="8"/>
        <v/>
      </c>
      <c r="D144" s="9" t="str">
        <f>IF(A144="","",C144-(子基金及业绩基准周净值!AH175/子基金及业绩基准周净值!AH174-1))</f>
        <v/>
      </c>
      <c r="E144" s="12" t="str">
        <f>IF(A144="","",(MAX(B$3:B144)-B144)/MAX(B$3:B144))</f>
        <v/>
      </c>
      <c r="F144" s="12" t="str">
        <f>IF(A144="","",MAX(E$4:E144))</f>
        <v/>
      </c>
      <c r="G144" s="13"/>
      <c r="H144" s="14" t="str">
        <f t="shared" si="9"/>
        <v/>
      </c>
      <c r="I144" s="14" t="str">
        <f t="shared" si="10"/>
        <v/>
      </c>
      <c r="J144" s="15" t="str">
        <f t="shared" si="11"/>
        <v/>
      </c>
    </row>
    <row r="145" spans="1:10">
      <c r="A145" s="7" t="str">
        <f>IF(子基金及业绩基准周净值!A176="","",子基金及业绩基准周净值!A176)</f>
        <v/>
      </c>
      <c r="B145" s="1" t="str">
        <f>IF(A145="","",VLOOKUP($A145,子基金及业绩基准周净值!$A:$AV,14))</f>
        <v/>
      </c>
      <c r="C145" s="8" t="str">
        <f t="shared" si="8"/>
        <v/>
      </c>
      <c r="D145" s="9" t="str">
        <f>IF(A145="","",C145-(子基金及业绩基准周净值!AH176/子基金及业绩基准周净值!AH175-1))</f>
        <v/>
      </c>
      <c r="E145" s="12" t="str">
        <f>IF(A145="","",(MAX(B$3:B145)-B145)/MAX(B$3:B145))</f>
        <v/>
      </c>
      <c r="F145" s="12" t="str">
        <f>IF(A145="","",MAX(E$4:E145))</f>
        <v/>
      </c>
      <c r="G145" s="13"/>
      <c r="H145" s="14" t="str">
        <f t="shared" si="9"/>
        <v/>
      </c>
      <c r="I145" s="14" t="str">
        <f t="shared" si="10"/>
        <v/>
      </c>
      <c r="J145" s="15" t="str">
        <f t="shared" si="11"/>
        <v/>
      </c>
    </row>
    <row r="146" spans="1:10">
      <c r="A146" s="7" t="str">
        <f>IF(子基金及业绩基准周净值!A177="","",子基金及业绩基准周净值!A177)</f>
        <v/>
      </c>
      <c r="B146" s="1" t="str">
        <f>IF(A146="","",VLOOKUP($A146,子基金及业绩基准周净值!$A:$AV,14))</f>
        <v/>
      </c>
      <c r="C146" s="8" t="str">
        <f t="shared" si="8"/>
        <v/>
      </c>
      <c r="D146" s="9" t="str">
        <f>IF(A146="","",C146-(子基金及业绩基准周净值!AH177/子基金及业绩基准周净值!AH176-1))</f>
        <v/>
      </c>
      <c r="E146" s="12" t="str">
        <f>IF(A146="","",(MAX(B$3:B146)-B146)/MAX(B$3:B146))</f>
        <v/>
      </c>
      <c r="F146" s="12" t="str">
        <f>IF(A146="","",MAX(E$4:E146))</f>
        <v/>
      </c>
      <c r="G146" s="13"/>
      <c r="H146" s="14" t="str">
        <f t="shared" si="9"/>
        <v/>
      </c>
      <c r="I146" s="14" t="str">
        <f t="shared" si="10"/>
        <v/>
      </c>
      <c r="J146" s="15" t="str">
        <f t="shared" si="11"/>
        <v/>
      </c>
    </row>
    <row r="147" spans="1:10">
      <c r="A147" s="7" t="str">
        <f>IF(子基金及业绩基准周净值!A178="","",子基金及业绩基准周净值!A178)</f>
        <v/>
      </c>
      <c r="B147" s="1" t="str">
        <f>IF(A147="","",VLOOKUP($A147,子基金及业绩基准周净值!$A:$AV,14))</f>
        <v/>
      </c>
      <c r="C147" s="8" t="str">
        <f t="shared" si="8"/>
        <v/>
      </c>
      <c r="D147" s="9" t="str">
        <f>IF(A147="","",C147-(子基金及业绩基准周净值!AH178/子基金及业绩基准周净值!AH177-1))</f>
        <v/>
      </c>
      <c r="E147" s="12" t="str">
        <f>IF(A147="","",(MAX(B$3:B147)-B147)/MAX(B$3:B147))</f>
        <v/>
      </c>
      <c r="F147" s="12" t="str">
        <f>IF(A147="","",MAX(E$4:E147))</f>
        <v/>
      </c>
      <c r="G147" s="13"/>
      <c r="H147" s="14" t="str">
        <f t="shared" si="9"/>
        <v/>
      </c>
      <c r="I147" s="14" t="str">
        <f t="shared" si="10"/>
        <v/>
      </c>
      <c r="J147" s="15" t="str">
        <f t="shared" si="11"/>
        <v/>
      </c>
    </row>
    <row r="148" spans="1:10">
      <c r="A148" s="7" t="str">
        <f>IF(子基金及业绩基准周净值!A179="","",子基金及业绩基准周净值!A179)</f>
        <v/>
      </c>
      <c r="B148" s="1" t="str">
        <f>IF(A148="","",VLOOKUP($A148,子基金及业绩基准周净值!$A:$AV,14))</f>
        <v/>
      </c>
      <c r="C148" s="8" t="str">
        <f t="shared" si="8"/>
        <v/>
      </c>
      <c r="D148" s="9" t="str">
        <f>IF(A148="","",C148-(子基金及业绩基准周净值!AH179/子基金及业绩基准周净值!AH178-1))</f>
        <v/>
      </c>
      <c r="E148" s="12" t="str">
        <f>IF(A148="","",(MAX(B$3:B148)-B148)/MAX(B$3:B148))</f>
        <v/>
      </c>
      <c r="F148" s="12" t="str">
        <f>IF(A148="","",MAX(E$4:E148))</f>
        <v/>
      </c>
      <c r="H148" s="14" t="str">
        <f t="shared" si="9"/>
        <v/>
      </c>
      <c r="I148" s="14" t="str">
        <f t="shared" si="10"/>
        <v/>
      </c>
      <c r="J148" s="15" t="str">
        <f t="shared" si="11"/>
        <v/>
      </c>
    </row>
    <row r="149" spans="1:10">
      <c r="A149" s="7" t="str">
        <f>IF(子基金及业绩基准周净值!A180="","",子基金及业绩基准周净值!A180)</f>
        <v/>
      </c>
      <c r="B149" s="1" t="str">
        <f>IF(A149="","",VLOOKUP($A149,子基金及业绩基准周净值!$A:$AV,14))</f>
        <v/>
      </c>
      <c r="C149" s="8" t="str">
        <f t="shared" si="8"/>
        <v/>
      </c>
      <c r="D149" s="9" t="str">
        <f>IF(A149="","",C149-(子基金及业绩基准周净值!AH180/子基金及业绩基准周净值!AH179-1))</f>
        <v/>
      </c>
      <c r="E149" s="12" t="str">
        <f>IF(A149="","",(MAX(B$3:B149)-B149)/MAX(B$3:B149))</f>
        <v/>
      </c>
      <c r="F149" s="12" t="str">
        <f>IF(A149="","",MAX(E$4:E149))</f>
        <v/>
      </c>
      <c r="H149" s="14" t="str">
        <f t="shared" si="9"/>
        <v/>
      </c>
      <c r="I149" s="14" t="str">
        <f t="shared" si="10"/>
        <v/>
      </c>
      <c r="J149" s="15" t="str">
        <f t="shared" si="11"/>
        <v/>
      </c>
    </row>
    <row r="150" spans="1:10">
      <c r="A150" s="7" t="str">
        <f>IF(子基金及业绩基准周净值!A181="","",子基金及业绩基准周净值!A181)</f>
        <v/>
      </c>
      <c r="B150" s="1" t="str">
        <f>IF(A150="","",VLOOKUP($A150,子基金及业绩基准周净值!$A:$AV,14))</f>
        <v/>
      </c>
      <c r="C150" s="8" t="str">
        <f t="shared" si="8"/>
        <v/>
      </c>
      <c r="D150" s="9" t="str">
        <f>IF(A150="","",C150-(子基金及业绩基准周净值!AH181/子基金及业绩基准周净值!AH180-1))</f>
        <v/>
      </c>
      <c r="E150" s="12" t="str">
        <f>IF(A150="","",(MAX(B$3:B150)-B150)/MAX(B$3:B150))</f>
        <v/>
      </c>
      <c r="F150" s="12" t="str">
        <f>IF(A150="","",MAX(E$4:E150))</f>
        <v/>
      </c>
      <c r="H150" s="14" t="str">
        <f t="shared" si="9"/>
        <v/>
      </c>
      <c r="I150" s="14" t="str">
        <f t="shared" si="10"/>
        <v/>
      </c>
      <c r="J150" s="15" t="str">
        <f t="shared" si="11"/>
        <v/>
      </c>
    </row>
    <row r="151" spans="1:10">
      <c r="A151" s="7" t="str">
        <f>IF(子基金及业绩基准周净值!A182="","",子基金及业绩基准周净值!A182)</f>
        <v/>
      </c>
      <c r="B151" s="1" t="str">
        <f>IF(A151="","",VLOOKUP($A151,子基金及业绩基准周净值!$A:$AV,14))</f>
        <v/>
      </c>
      <c r="C151" s="8" t="str">
        <f t="shared" si="8"/>
        <v/>
      </c>
      <c r="D151" s="9" t="str">
        <f>IF(A151="","",C151-(子基金及业绩基准周净值!AH182/子基金及业绩基准周净值!AH181-1))</f>
        <v/>
      </c>
      <c r="E151" s="12" t="str">
        <f>IF(A151="","",(MAX(B$3:B151)-B151)/MAX(B$3:B151))</f>
        <v/>
      </c>
      <c r="F151" s="12" t="str">
        <f>IF(A151="","",MAX(E$4:E151))</f>
        <v/>
      </c>
      <c r="H151" s="14" t="str">
        <f t="shared" si="9"/>
        <v/>
      </c>
      <c r="I151" s="14" t="str">
        <f t="shared" si="10"/>
        <v/>
      </c>
      <c r="J151" s="15" t="str">
        <f t="shared" si="11"/>
        <v/>
      </c>
    </row>
    <row r="152" spans="1:10">
      <c r="A152" s="7" t="str">
        <f>IF(子基金及业绩基准周净值!A183="","",子基金及业绩基准周净值!A183)</f>
        <v/>
      </c>
      <c r="B152" s="1" t="str">
        <f>IF(A152="","",VLOOKUP($A152,子基金及业绩基准周净值!$A:$AV,14))</f>
        <v/>
      </c>
      <c r="C152" s="8" t="str">
        <f t="shared" si="8"/>
        <v/>
      </c>
      <c r="D152" s="9" t="str">
        <f>IF(A152="","",C152-(子基金及业绩基准周净值!AH183/子基金及业绩基准周净值!AH182-1))</f>
        <v/>
      </c>
      <c r="E152" s="12" t="str">
        <f>IF(A152="","",(MAX(B$3:B152)-B152)/MAX(B$3:B152))</f>
        <v/>
      </c>
      <c r="F152" s="12" t="str">
        <f>IF(A152="","",MAX(E$4:E152))</f>
        <v/>
      </c>
      <c r="H152" s="14" t="str">
        <f t="shared" si="9"/>
        <v/>
      </c>
      <c r="I152" s="14" t="str">
        <f t="shared" si="10"/>
        <v/>
      </c>
      <c r="J152" s="15" t="str">
        <f t="shared" si="11"/>
        <v/>
      </c>
    </row>
    <row r="153" spans="1:10">
      <c r="A153" s="7" t="str">
        <f>IF(子基金及业绩基准周净值!A184="","",子基金及业绩基准周净值!A184)</f>
        <v/>
      </c>
      <c r="B153" s="1" t="str">
        <f>IF(A153="","",VLOOKUP($A153,子基金及业绩基准周净值!$A:$AV,14))</f>
        <v/>
      </c>
      <c r="C153" s="8" t="str">
        <f t="shared" si="8"/>
        <v/>
      </c>
      <c r="D153" s="9" t="str">
        <f>IF(A153="","",C153-(子基金及业绩基准周净值!AH184/子基金及业绩基准周净值!AH183-1))</f>
        <v/>
      </c>
      <c r="E153" s="12" t="str">
        <f>IF(A153="","",(MAX(B$3:B153)-B153)/MAX(B$3:B153))</f>
        <v/>
      </c>
      <c r="F153" s="12" t="str">
        <f>IF(A153="","",MAX(E$4:E153))</f>
        <v/>
      </c>
      <c r="H153" s="14" t="str">
        <f t="shared" si="9"/>
        <v/>
      </c>
      <c r="I153" s="14" t="str">
        <f t="shared" si="10"/>
        <v/>
      </c>
      <c r="J153" s="15" t="str">
        <f t="shared" si="11"/>
        <v/>
      </c>
    </row>
    <row r="154" spans="1:10">
      <c r="A154" s="7" t="str">
        <f>IF(子基金及业绩基准周净值!A185="","",子基金及业绩基准周净值!A185)</f>
        <v/>
      </c>
      <c r="B154" s="1" t="str">
        <f>IF(A154="","",VLOOKUP($A154,子基金及业绩基准周净值!$A:$AV,14))</f>
        <v/>
      </c>
      <c r="C154" s="8" t="str">
        <f t="shared" si="8"/>
        <v/>
      </c>
      <c r="D154" s="9" t="str">
        <f>IF(A154="","",C154-(子基金及业绩基准周净值!AH185/子基金及业绩基准周净值!AH184-1))</f>
        <v/>
      </c>
      <c r="E154" s="12" t="str">
        <f>IF(A154="","",(MAX(B$3:B154)-B154)/MAX(B$3:B154))</f>
        <v/>
      </c>
      <c r="F154" s="12" t="str">
        <f>IF(A154="","",MAX(E$4:E154))</f>
        <v/>
      </c>
      <c r="H154" s="14" t="str">
        <f t="shared" si="9"/>
        <v/>
      </c>
      <c r="I154" s="14" t="str">
        <f t="shared" si="10"/>
        <v/>
      </c>
      <c r="J154" s="15" t="str">
        <f t="shared" si="11"/>
        <v/>
      </c>
    </row>
    <row r="155" spans="1:10">
      <c r="A155" s="7" t="str">
        <f>IF(子基金及业绩基准周净值!A186="","",子基金及业绩基准周净值!A186)</f>
        <v/>
      </c>
      <c r="B155" s="1" t="str">
        <f>IF(A155="","",VLOOKUP($A155,子基金及业绩基准周净值!$A:$AV,14))</f>
        <v/>
      </c>
      <c r="C155" s="8" t="str">
        <f t="shared" si="8"/>
        <v/>
      </c>
      <c r="D155" s="9" t="str">
        <f>IF(A155="","",C155-(子基金及业绩基准周净值!AH186/子基金及业绩基准周净值!AH185-1))</f>
        <v/>
      </c>
      <c r="E155" s="12" t="str">
        <f>IF(A155="","",(MAX(B$3:B155)-B155)/MAX(B$3:B155))</f>
        <v/>
      </c>
      <c r="F155" s="12" t="str">
        <f>IF(A155="","",MAX(E$4:E155))</f>
        <v/>
      </c>
      <c r="H155" s="14" t="str">
        <f t="shared" si="9"/>
        <v/>
      </c>
      <c r="I155" s="14" t="str">
        <f t="shared" si="10"/>
        <v/>
      </c>
      <c r="J155" s="15" t="str">
        <f t="shared" si="11"/>
        <v/>
      </c>
    </row>
    <row r="156" spans="1:10">
      <c r="A156" s="7" t="str">
        <f>IF(子基金及业绩基准周净值!A187="","",子基金及业绩基准周净值!A187)</f>
        <v/>
      </c>
      <c r="B156" s="1" t="str">
        <f>IF(A156="","",VLOOKUP($A156,子基金及业绩基准周净值!$A:$AV,14))</f>
        <v/>
      </c>
      <c r="C156" s="8" t="str">
        <f t="shared" si="8"/>
        <v/>
      </c>
      <c r="D156" s="9" t="str">
        <f>IF(A156="","",C156-(子基金及业绩基准周净值!AH187/子基金及业绩基准周净值!AH186-1))</f>
        <v/>
      </c>
      <c r="E156" s="12" t="str">
        <f>IF(A156="","",(MAX(B$3:B156)-B156)/MAX(B$3:B156))</f>
        <v/>
      </c>
      <c r="F156" s="12" t="str">
        <f>IF(A156="","",MAX(E$4:E156))</f>
        <v/>
      </c>
      <c r="H156" s="14" t="str">
        <f t="shared" si="9"/>
        <v/>
      </c>
      <c r="I156" s="14" t="str">
        <f t="shared" si="10"/>
        <v/>
      </c>
      <c r="J156" s="15" t="str">
        <f t="shared" si="11"/>
        <v/>
      </c>
    </row>
    <row r="157" spans="1:10">
      <c r="A157" s="7" t="str">
        <f>IF(子基金及业绩基准周净值!A188="","",子基金及业绩基准周净值!A188)</f>
        <v/>
      </c>
      <c r="B157" s="1" t="str">
        <f>IF(A157="","",VLOOKUP($A157,子基金及业绩基准周净值!$A:$AV,14))</f>
        <v/>
      </c>
      <c r="C157" s="8" t="str">
        <f t="shared" si="8"/>
        <v/>
      </c>
      <c r="D157" s="9" t="str">
        <f>IF(A157="","",C157-(子基金及业绩基准周净值!AH188/子基金及业绩基准周净值!AH187-1))</f>
        <v/>
      </c>
      <c r="E157" s="12" t="str">
        <f>IF(A157="","",(MAX(B$3:B157)-B157)/MAX(B$3:B157))</f>
        <v/>
      </c>
      <c r="F157" s="12" t="str">
        <f>IF(A157="","",MAX(E$4:E157))</f>
        <v/>
      </c>
      <c r="H157" s="14" t="str">
        <f t="shared" si="9"/>
        <v/>
      </c>
      <c r="I157" s="14" t="str">
        <f t="shared" si="10"/>
        <v/>
      </c>
      <c r="J157" s="15" t="str">
        <f t="shared" si="11"/>
        <v/>
      </c>
    </row>
    <row r="158" spans="1:10">
      <c r="A158" s="7" t="str">
        <f>IF(子基金及业绩基准周净值!A189="","",子基金及业绩基准周净值!A189)</f>
        <v/>
      </c>
      <c r="B158" s="1" t="str">
        <f>IF(A158="","",VLOOKUP($A158,子基金及业绩基准周净值!$A:$AV,14))</f>
        <v/>
      </c>
      <c r="C158" s="8" t="str">
        <f t="shared" si="8"/>
        <v/>
      </c>
      <c r="D158" s="9" t="str">
        <f>IF(A158="","",C158-(子基金及业绩基准周净值!AH189/子基金及业绩基准周净值!AH188-1))</f>
        <v/>
      </c>
      <c r="E158" s="12" t="str">
        <f>IF(A158="","",(MAX(B$3:B158)-B158)/MAX(B$3:B158))</f>
        <v/>
      </c>
      <c r="F158" s="12" t="str">
        <f>IF(A158="","",MAX(E$4:E158))</f>
        <v/>
      </c>
      <c r="H158" s="14" t="str">
        <f t="shared" si="9"/>
        <v/>
      </c>
      <c r="I158" s="14" t="str">
        <f t="shared" si="10"/>
        <v/>
      </c>
      <c r="J158" s="15" t="str">
        <f t="shared" si="11"/>
        <v/>
      </c>
    </row>
    <row r="159" spans="1:10">
      <c r="A159" s="7" t="str">
        <f>IF(子基金及业绩基准周净值!A190="","",子基金及业绩基准周净值!A190)</f>
        <v/>
      </c>
      <c r="B159" s="1" t="str">
        <f>IF(A159="","",VLOOKUP($A159,子基金及业绩基准周净值!$A:$AV,14))</f>
        <v/>
      </c>
      <c r="C159" s="8" t="str">
        <f t="shared" si="8"/>
        <v/>
      </c>
      <c r="D159" s="9" t="str">
        <f>IF(A159="","",C159-(子基金及业绩基准周净值!AH190/子基金及业绩基准周净值!AH189-1))</f>
        <v/>
      </c>
      <c r="E159" s="12" t="str">
        <f>IF(A159="","",(MAX(B$3:B159)-B159)/MAX(B$3:B159))</f>
        <v/>
      </c>
      <c r="F159" s="12" t="str">
        <f>IF(A159="","",MAX(E$4:E159))</f>
        <v/>
      </c>
      <c r="H159" s="14" t="str">
        <f t="shared" si="9"/>
        <v/>
      </c>
      <c r="I159" s="14" t="str">
        <f t="shared" si="10"/>
        <v/>
      </c>
      <c r="J159" s="15" t="str">
        <f t="shared" si="11"/>
        <v/>
      </c>
    </row>
    <row r="160" spans="1:10">
      <c r="A160" s="7" t="str">
        <f>IF(子基金及业绩基准周净值!A191="","",子基金及业绩基准周净值!A191)</f>
        <v/>
      </c>
      <c r="B160" s="1" t="str">
        <f>IF(A160="","",VLOOKUP($A160,子基金及业绩基准周净值!$A:$AV,14))</f>
        <v/>
      </c>
      <c r="C160" s="8" t="str">
        <f t="shared" si="8"/>
        <v/>
      </c>
      <c r="D160" s="9" t="str">
        <f>IF(A160="","",C160-(子基金及业绩基准周净值!AH191/子基金及业绩基准周净值!AH190-1))</f>
        <v/>
      </c>
      <c r="E160" s="12" t="str">
        <f>IF(A160="","",(MAX(B$3:B160)-B160)/MAX(B$3:B160))</f>
        <v/>
      </c>
      <c r="F160" s="12" t="str">
        <f>IF(A160="","",MAX(E$4:E160))</f>
        <v/>
      </c>
      <c r="H160" s="14" t="str">
        <f t="shared" si="9"/>
        <v/>
      </c>
      <c r="I160" s="14" t="str">
        <f t="shared" si="10"/>
        <v/>
      </c>
      <c r="J160" s="15" t="str">
        <f t="shared" si="11"/>
        <v/>
      </c>
    </row>
    <row r="161" spans="1:10">
      <c r="A161" s="7" t="str">
        <f>IF(子基金及业绩基准周净值!A192="","",子基金及业绩基准周净值!A192)</f>
        <v/>
      </c>
      <c r="B161" s="1" t="str">
        <f>IF(A161="","",VLOOKUP($A161,子基金及业绩基准周净值!$A:$AV,14))</f>
        <v/>
      </c>
      <c r="C161" s="8" t="str">
        <f t="shared" si="8"/>
        <v/>
      </c>
      <c r="D161" s="9" t="str">
        <f>IF(A161="","",C161-(子基金及业绩基准周净值!AH192/子基金及业绩基准周净值!AH191-1))</f>
        <v/>
      </c>
      <c r="E161" s="12" t="str">
        <f>IF(A161="","",(MAX(B$3:B161)-B161)/MAX(B$3:B161))</f>
        <v/>
      </c>
      <c r="F161" s="12" t="str">
        <f>IF(A161="","",MAX(E$4:E161))</f>
        <v/>
      </c>
      <c r="H161" s="14" t="str">
        <f t="shared" si="9"/>
        <v/>
      </c>
      <c r="I161" s="14" t="str">
        <f t="shared" si="10"/>
        <v/>
      </c>
      <c r="J161" s="15" t="str">
        <f t="shared" si="11"/>
        <v/>
      </c>
    </row>
    <row r="162" spans="1:10">
      <c r="A162" s="7" t="str">
        <f>IF(子基金及业绩基准周净值!A193="","",子基金及业绩基准周净值!A193)</f>
        <v/>
      </c>
      <c r="B162" s="1" t="str">
        <f>IF(A162="","",VLOOKUP($A162,子基金及业绩基准周净值!$A:$AV,14))</f>
        <v/>
      </c>
      <c r="C162" s="8" t="str">
        <f t="shared" si="8"/>
        <v/>
      </c>
      <c r="D162" s="9" t="str">
        <f>IF(A162="","",C162-(子基金及业绩基准周净值!AH193/子基金及业绩基准周净值!AH192-1))</f>
        <v/>
      </c>
      <c r="E162" s="12" t="str">
        <f>IF(A162="","",(MAX(B$3:B162)-B162)/MAX(B$3:B162))</f>
        <v/>
      </c>
      <c r="F162" s="12" t="str">
        <f>IF(A162="","",MAX(E$4:E162))</f>
        <v/>
      </c>
      <c r="H162" s="14" t="str">
        <f t="shared" si="9"/>
        <v/>
      </c>
      <c r="I162" s="14" t="str">
        <f t="shared" si="10"/>
        <v/>
      </c>
      <c r="J162" s="15" t="str">
        <f t="shared" si="11"/>
        <v/>
      </c>
    </row>
    <row r="163" spans="1:10">
      <c r="A163" s="7" t="str">
        <f>IF(子基金及业绩基准周净值!A194="","",子基金及业绩基准周净值!A194)</f>
        <v/>
      </c>
      <c r="B163" s="1" t="str">
        <f>IF(A163="","",VLOOKUP($A163,子基金及业绩基准周净值!$A:$AV,14))</f>
        <v/>
      </c>
      <c r="C163" s="8" t="str">
        <f t="shared" si="8"/>
        <v/>
      </c>
      <c r="D163" s="9" t="str">
        <f>IF(A163="","",C163-(子基金及业绩基准周净值!AH194/子基金及业绩基准周净值!AH193-1))</f>
        <v/>
      </c>
      <c r="E163" s="12" t="str">
        <f>IF(A163="","",(MAX(B$3:B163)-B163)/MAX(B$3:B163))</f>
        <v/>
      </c>
      <c r="F163" s="12" t="str">
        <f>IF(A163="","",MAX(E$4:E163))</f>
        <v/>
      </c>
      <c r="H163" s="14" t="str">
        <f t="shared" si="9"/>
        <v/>
      </c>
      <c r="I163" s="14" t="str">
        <f t="shared" si="10"/>
        <v/>
      </c>
      <c r="J163" s="15" t="str">
        <f t="shared" si="11"/>
        <v/>
      </c>
    </row>
    <row r="164" spans="1:10">
      <c r="A164" s="7" t="str">
        <f>IF(子基金及业绩基准周净值!A195="","",子基金及业绩基准周净值!A195)</f>
        <v/>
      </c>
      <c r="B164" s="1" t="str">
        <f>IF(A164="","",VLOOKUP($A164,子基金及业绩基准周净值!$A:$AV,14))</f>
        <v/>
      </c>
      <c r="C164" s="8" t="str">
        <f t="shared" si="8"/>
        <v/>
      </c>
      <c r="D164" s="9" t="str">
        <f>IF(A164="","",C164-(子基金及业绩基准周净值!AH195/子基金及业绩基准周净值!AH194-1))</f>
        <v/>
      </c>
      <c r="E164" s="12" t="str">
        <f>IF(A164="","",(MAX(B$3:B164)-B164)/MAX(B$3:B164))</f>
        <v/>
      </c>
      <c r="F164" s="12" t="str">
        <f>IF(A164="","",MAX(E$4:E164))</f>
        <v/>
      </c>
      <c r="H164" s="14" t="str">
        <f t="shared" si="9"/>
        <v/>
      </c>
      <c r="I164" s="14" t="str">
        <f t="shared" si="10"/>
        <v/>
      </c>
      <c r="J164" s="15" t="str">
        <f t="shared" si="11"/>
        <v/>
      </c>
    </row>
    <row r="165" spans="1:10">
      <c r="A165" s="7" t="str">
        <f>IF(子基金及业绩基准周净值!A196="","",子基金及业绩基准周净值!A196)</f>
        <v/>
      </c>
      <c r="B165" s="1" t="str">
        <f>IF(A165="","",VLOOKUP($A165,子基金及业绩基准周净值!$A:$AV,14))</f>
        <v/>
      </c>
      <c r="C165" s="8" t="str">
        <f t="shared" si="8"/>
        <v/>
      </c>
      <c r="D165" s="9" t="str">
        <f>IF(A165="","",C165-(子基金及业绩基准周净值!AH196/子基金及业绩基准周净值!AH195-1))</f>
        <v/>
      </c>
      <c r="E165" s="12" t="str">
        <f>IF(A165="","",(MAX(B$3:B165)-B165)/MAX(B$3:B165))</f>
        <v/>
      </c>
      <c r="F165" s="12" t="str">
        <f>IF(A165="","",MAX(E$4:E165))</f>
        <v/>
      </c>
      <c r="H165" s="14" t="str">
        <f t="shared" si="9"/>
        <v/>
      </c>
      <c r="I165" s="14" t="str">
        <f t="shared" si="10"/>
        <v/>
      </c>
      <c r="J165" s="15" t="str">
        <f t="shared" si="11"/>
        <v/>
      </c>
    </row>
    <row r="166" spans="1:10">
      <c r="A166" s="7" t="str">
        <f>IF(子基金及业绩基准周净值!A197="","",子基金及业绩基准周净值!A197)</f>
        <v/>
      </c>
      <c r="B166" s="1" t="str">
        <f>IF(A166="","",VLOOKUP($A166,子基金及业绩基准周净值!$A:$AV,14))</f>
        <v/>
      </c>
      <c r="C166" s="8" t="str">
        <f t="shared" si="8"/>
        <v/>
      </c>
      <c r="D166" s="9" t="str">
        <f>IF(A166="","",C166-(子基金及业绩基准周净值!AH197/子基金及业绩基准周净值!AH196-1))</f>
        <v/>
      </c>
      <c r="E166" s="12" t="str">
        <f>IF(A166="","",(MAX(B$3:B166)-B166)/MAX(B$3:B166))</f>
        <v/>
      </c>
      <c r="F166" s="12" t="str">
        <f>IF(A166="","",MAX(E$4:E166))</f>
        <v/>
      </c>
      <c r="H166" s="14" t="str">
        <f t="shared" si="9"/>
        <v/>
      </c>
      <c r="I166" s="14" t="str">
        <f t="shared" si="10"/>
        <v/>
      </c>
      <c r="J166" s="15" t="str">
        <f t="shared" si="11"/>
        <v/>
      </c>
    </row>
    <row r="167" spans="1:10">
      <c r="A167" s="7" t="str">
        <f>IF(子基金及业绩基准周净值!A198="","",子基金及业绩基准周净值!A198)</f>
        <v/>
      </c>
      <c r="B167" s="1" t="str">
        <f>IF(A167="","",VLOOKUP($A167,子基金及业绩基准周净值!$A:$AV,14))</f>
        <v/>
      </c>
      <c r="C167" s="8" t="str">
        <f t="shared" si="8"/>
        <v/>
      </c>
      <c r="D167" s="9" t="str">
        <f>IF(A167="","",C167-(子基金及业绩基准周净值!AH198/子基金及业绩基准周净值!AH197-1))</f>
        <v/>
      </c>
      <c r="E167" s="12" t="str">
        <f>IF(A167="","",(MAX(B$3:B167)-B167)/MAX(B$3:B167))</f>
        <v/>
      </c>
      <c r="F167" s="12" t="str">
        <f>IF(A167="","",MAX(E$4:E167))</f>
        <v/>
      </c>
      <c r="H167" s="14" t="str">
        <f t="shared" si="9"/>
        <v/>
      </c>
      <c r="I167" s="14" t="str">
        <f t="shared" si="10"/>
        <v/>
      </c>
      <c r="J167" s="15" t="str">
        <f t="shared" si="11"/>
        <v/>
      </c>
    </row>
    <row r="168" spans="1:10">
      <c r="A168" s="7" t="str">
        <f>IF(子基金及业绩基准周净值!A199="","",子基金及业绩基准周净值!A199)</f>
        <v/>
      </c>
      <c r="B168" s="1" t="str">
        <f>IF(A168="","",VLOOKUP($A168,子基金及业绩基准周净值!$A:$AV,14))</f>
        <v/>
      </c>
      <c r="C168" s="8" t="str">
        <f t="shared" si="8"/>
        <v/>
      </c>
      <c r="D168" s="9" t="str">
        <f>IF(A168="","",C168-(子基金及业绩基准周净值!AH199/子基金及业绩基准周净值!AH198-1))</f>
        <v/>
      </c>
      <c r="E168" s="12" t="str">
        <f>IF(A168="","",(MAX(B$3:B168)-B168)/MAX(B$3:B168))</f>
        <v/>
      </c>
      <c r="F168" s="12" t="str">
        <f>IF(A168="","",MAX(E$4:E168))</f>
        <v/>
      </c>
      <c r="H168" s="14" t="str">
        <f t="shared" si="9"/>
        <v/>
      </c>
      <c r="I168" s="14" t="str">
        <f t="shared" si="10"/>
        <v/>
      </c>
      <c r="J168" s="15" t="str">
        <f t="shared" si="11"/>
        <v/>
      </c>
    </row>
    <row r="169" spans="1:10">
      <c r="A169" s="7" t="str">
        <f>IF(子基金及业绩基准周净值!A200="","",子基金及业绩基准周净值!A200)</f>
        <v/>
      </c>
      <c r="B169" s="1" t="str">
        <f>IF(A169="","",VLOOKUP($A169,子基金及业绩基准周净值!$A:$AV,14))</f>
        <v/>
      </c>
      <c r="C169" s="8" t="str">
        <f t="shared" si="8"/>
        <v/>
      </c>
      <c r="D169" s="9" t="str">
        <f>IF(A169="","",C169-(子基金及业绩基准周净值!AH200/子基金及业绩基准周净值!AH199-1))</f>
        <v/>
      </c>
      <c r="E169" s="12" t="str">
        <f>IF(A169="","",(MAX(B$3:B169)-B169)/MAX(B$3:B169))</f>
        <v/>
      </c>
      <c r="F169" s="12" t="str">
        <f>IF(A169="","",MAX(E$4:E169))</f>
        <v/>
      </c>
      <c r="H169" s="14" t="str">
        <f t="shared" si="9"/>
        <v/>
      </c>
      <c r="I169" s="14" t="str">
        <f t="shared" si="10"/>
        <v/>
      </c>
      <c r="J169" s="15" t="str">
        <f t="shared" si="11"/>
        <v/>
      </c>
    </row>
    <row r="170" spans="1:10">
      <c r="A170" s="7" t="str">
        <f>IF(子基金及业绩基准周净值!A201="","",子基金及业绩基准周净值!A201)</f>
        <v/>
      </c>
      <c r="B170" s="1" t="str">
        <f>IF(A170="","",VLOOKUP($A170,子基金及业绩基准周净值!$A:$AV,14))</f>
        <v/>
      </c>
      <c r="C170" s="8" t="str">
        <f t="shared" si="8"/>
        <v/>
      </c>
      <c r="D170" s="9" t="str">
        <f>IF(A170="","",C170-(子基金及业绩基准周净值!AH201/子基金及业绩基准周净值!AH200-1))</f>
        <v/>
      </c>
      <c r="E170" s="12" t="str">
        <f>IF(A170="","",(MAX(B$3:B170)-B170)/MAX(B$3:B170))</f>
        <v/>
      </c>
      <c r="F170" s="12" t="str">
        <f>IF(A170="","",MAX(E$4:E170))</f>
        <v/>
      </c>
      <c r="H170" s="14" t="str">
        <f t="shared" si="9"/>
        <v/>
      </c>
      <c r="I170" s="14" t="str">
        <f t="shared" si="10"/>
        <v/>
      </c>
      <c r="J170" s="15" t="str">
        <f t="shared" si="11"/>
        <v/>
      </c>
    </row>
    <row r="171" spans="1:10">
      <c r="A171" s="7" t="str">
        <f>IF(子基金及业绩基准周净值!A202="","",子基金及业绩基准周净值!A202)</f>
        <v/>
      </c>
      <c r="B171" s="1" t="str">
        <f>IF(A171="","",VLOOKUP($A171,子基金及业绩基准周净值!$A:$AV,14))</f>
        <v/>
      </c>
      <c r="C171" s="8" t="str">
        <f t="shared" si="8"/>
        <v/>
      </c>
      <c r="D171" s="9" t="str">
        <f>IF(A171="","",C171-(子基金及业绩基准周净值!AH202/子基金及业绩基准周净值!AH201-1))</f>
        <v/>
      </c>
      <c r="E171" s="12" t="str">
        <f>IF(A171="","",(MAX(B$3:B171)-B171)/MAX(B$3:B171))</f>
        <v/>
      </c>
      <c r="F171" s="12" t="str">
        <f>IF(A171="","",MAX(E$4:E171))</f>
        <v/>
      </c>
      <c r="H171" s="14" t="str">
        <f t="shared" si="9"/>
        <v/>
      </c>
      <c r="I171" s="14" t="str">
        <f t="shared" si="10"/>
        <v/>
      </c>
      <c r="J171" s="15" t="str">
        <f t="shared" si="11"/>
        <v/>
      </c>
    </row>
    <row r="172" spans="1:10">
      <c r="A172" s="7" t="str">
        <f>IF(子基金及业绩基准周净值!A203="","",子基金及业绩基准周净值!A203)</f>
        <v/>
      </c>
      <c r="B172" s="1" t="str">
        <f>IF(A172="","",VLOOKUP($A172,子基金及业绩基准周净值!$A:$AV,14))</f>
        <v/>
      </c>
      <c r="C172" s="8" t="str">
        <f t="shared" si="8"/>
        <v/>
      </c>
      <c r="D172" s="9" t="str">
        <f>IF(A172="","",C172-(子基金及业绩基准周净值!AH203/子基金及业绩基准周净值!AH202-1))</f>
        <v/>
      </c>
      <c r="E172" s="12" t="str">
        <f>IF(A172="","",(MAX(B$3:B172)-B172)/MAX(B$3:B172))</f>
        <v/>
      </c>
      <c r="F172" s="12" t="str">
        <f>IF(A172="","",MAX(E$4:E172))</f>
        <v/>
      </c>
      <c r="H172" s="14" t="str">
        <f t="shared" si="9"/>
        <v/>
      </c>
      <c r="I172" s="14" t="str">
        <f t="shared" si="10"/>
        <v/>
      </c>
      <c r="J172" s="15" t="str">
        <f t="shared" si="11"/>
        <v/>
      </c>
    </row>
    <row r="173" spans="1:10">
      <c r="A173" s="7" t="str">
        <f>IF(子基金及业绩基准周净值!A204="","",子基金及业绩基准周净值!A204)</f>
        <v/>
      </c>
      <c r="B173" s="1" t="str">
        <f>IF(A173="","",VLOOKUP($A173,子基金及业绩基准周净值!$A:$AV,14))</f>
        <v/>
      </c>
      <c r="C173" s="8" t="str">
        <f t="shared" si="8"/>
        <v/>
      </c>
      <c r="D173" s="9" t="str">
        <f>IF(A173="","",C173-(子基金及业绩基准周净值!AH204/子基金及业绩基准周净值!AH203-1))</f>
        <v/>
      </c>
      <c r="E173" s="12" t="str">
        <f>IF(A173="","",(MAX(B$3:B173)-B173)/MAX(B$3:B173))</f>
        <v/>
      </c>
      <c r="F173" s="12" t="str">
        <f>IF(A173="","",MAX(E$4:E173))</f>
        <v/>
      </c>
      <c r="H173" s="14" t="str">
        <f t="shared" si="9"/>
        <v/>
      </c>
      <c r="I173" s="14" t="str">
        <f t="shared" si="10"/>
        <v/>
      </c>
      <c r="J173" s="15" t="str">
        <f t="shared" si="11"/>
        <v/>
      </c>
    </row>
    <row r="174" spans="1:10">
      <c r="A174" s="7" t="str">
        <f>IF(子基金及业绩基准周净值!A205="","",子基金及业绩基准周净值!A205)</f>
        <v/>
      </c>
      <c r="B174" s="1" t="str">
        <f>IF(A174="","",VLOOKUP($A174,子基金及业绩基准周净值!$A:$AV,14))</f>
        <v/>
      </c>
      <c r="C174" s="8" t="str">
        <f t="shared" si="8"/>
        <v/>
      </c>
      <c r="D174" s="9" t="str">
        <f>IF(A174="","",C174-(子基金及业绩基准周净值!AH205/子基金及业绩基准周净值!AH204-1))</f>
        <v/>
      </c>
      <c r="E174" s="12" t="str">
        <f>IF(A174="","",(MAX(B$3:B174)-B174)/MAX(B$3:B174))</f>
        <v/>
      </c>
      <c r="F174" s="12" t="str">
        <f>IF(A174="","",MAX(E$4:E174))</f>
        <v/>
      </c>
      <c r="H174" s="14" t="str">
        <f t="shared" si="9"/>
        <v/>
      </c>
      <c r="I174" s="14" t="str">
        <f t="shared" si="10"/>
        <v/>
      </c>
      <c r="J174" s="15" t="str">
        <f t="shared" si="11"/>
        <v/>
      </c>
    </row>
    <row r="175" spans="1:10">
      <c r="A175" s="7" t="str">
        <f>IF(子基金及业绩基准周净值!A206="","",子基金及业绩基准周净值!A206)</f>
        <v/>
      </c>
      <c r="B175" s="1" t="str">
        <f>IF(A175="","",VLOOKUP($A175,子基金及业绩基准周净值!$A:$AV,14))</f>
        <v/>
      </c>
      <c r="C175" s="8" t="str">
        <f t="shared" si="8"/>
        <v/>
      </c>
      <c r="D175" s="9" t="str">
        <f>IF(A175="","",C175-(子基金及业绩基准周净值!AH206/子基金及业绩基准周净值!AH205-1))</f>
        <v/>
      </c>
      <c r="E175" s="12" t="str">
        <f>IF(A175="","",(MAX(B$3:B175)-B175)/MAX(B$3:B175))</f>
        <v/>
      </c>
      <c r="F175" s="12" t="str">
        <f>IF(A175="","",MAX(E$4:E175))</f>
        <v/>
      </c>
      <c r="H175" s="14" t="str">
        <f t="shared" si="9"/>
        <v/>
      </c>
      <c r="I175" s="14" t="str">
        <f t="shared" si="10"/>
        <v/>
      </c>
      <c r="J175" s="15" t="str">
        <f t="shared" si="11"/>
        <v/>
      </c>
    </row>
    <row r="176" spans="1:10">
      <c r="A176" s="7" t="str">
        <f>IF(子基金及业绩基准周净值!A207="","",子基金及业绩基准周净值!A207)</f>
        <v/>
      </c>
      <c r="B176" s="1" t="str">
        <f>IF(A176="","",VLOOKUP($A176,子基金及业绩基准周净值!$A:$AV,14))</f>
        <v/>
      </c>
      <c r="C176" s="8" t="str">
        <f t="shared" si="8"/>
        <v/>
      </c>
      <c r="D176" s="9" t="str">
        <f>IF(A176="","",C176-(子基金及业绩基准周净值!AH207/子基金及业绩基准周净值!AH206-1))</f>
        <v/>
      </c>
      <c r="E176" s="12" t="str">
        <f>IF(A176="","",(MAX(B$3:B176)-B176)/MAX(B$3:B176))</f>
        <v/>
      </c>
      <c r="F176" s="12" t="str">
        <f>IF(A176="","",MAX(E$4:E176))</f>
        <v/>
      </c>
      <c r="H176" s="14" t="str">
        <f t="shared" si="9"/>
        <v/>
      </c>
      <c r="I176" s="14" t="str">
        <f t="shared" si="10"/>
        <v/>
      </c>
      <c r="J176" s="15" t="str">
        <f t="shared" si="11"/>
        <v/>
      </c>
    </row>
    <row r="177" spans="1:10">
      <c r="A177" s="7" t="str">
        <f>IF(子基金及业绩基准周净值!A208="","",子基金及业绩基准周净值!A208)</f>
        <v/>
      </c>
      <c r="B177" s="1" t="str">
        <f>IF(A177="","",VLOOKUP($A177,子基金及业绩基准周净值!$A:$AV,14))</f>
        <v/>
      </c>
      <c r="C177" s="8" t="str">
        <f t="shared" si="8"/>
        <v/>
      </c>
      <c r="D177" s="9" t="str">
        <f>IF(A177="","",C177-(子基金及业绩基准周净值!AH208/子基金及业绩基准周净值!AH207-1))</f>
        <v/>
      </c>
      <c r="E177" s="12" t="str">
        <f>IF(A177="","",(MAX(B$3:B177)-B177)/MAX(B$3:B177))</f>
        <v/>
      </c>
      <c r="F177" s="12" t="str">
        <f>IF(A177="","",MAX(E$4:E177))</f>
        <v/>
      </c>
      <c r="H177" s="14" t="str">
        <f t="shared" si="9"/>
        <v/>
      </c>
      <c r="I177" s="14" t="str">
        <f t="shared" si="10"/>
        <v/>
      </c>
      <c r="J177" s="15" t="str">
        <f t="shared" si="11"/>
        <v/>
      </c>
    </row>
    <row r="178" spans="1:10">
      <c r="A178" s="7" t="str">
        <f>IF(子基金及业绩基准周净值!A209="","",子基金及业绩基准周净值!A209)</f>
        <v/>
      </c>
      <c r="B178" s="1" t="str">
        <f>IF(A178="","",VLOOKUP($A178,子基金及业绩基准周净值!$A:$AV,14))</f>
        <v/>
      </c>
      <c r="C178" s="8" t="str">
        <f t="shared" si="8"/>
        <v/>
      </c>
      <c r="D178" s="9" t="str">
        <f>IF(A178="","",C178-(子基金及业绩基准周净值!AH209/子基金及业绩基准周净值!AH208-1))</f>
        <v/>
      </c>
      <c r="E178" s="12" t="str">
        <f>IF(A178="","",(MAX(B$3:B178)-B178)/MAX(B$3:B178))</f>
        <v/>
      </c>
      <c r="F178" s="12" t="str">
        <f>IF(A178="","",MAX(E$4:E178))</f>
        <v/>
      </c>
      <c r="H178" s="14" t="str">
        <f t="shared" si="9"/>
        <v/>
      </c>
      <c r="I178" s="14" t="str">
        <f t="shared" si="10"/>
        <v/>
      </c>
      <c r="J178" s="15" t="str">
        <f t="shared" si="11"/>
        <v/>
      </c>
    </row>
    <row r="179" spans="1:10">
      <c r="A179" s="7" t="str">
        <f>IF(子基金及业绩基准周净值!A210="","",子基金及业绩基准周净值!A210)</f>
        <v/>
      </c>
      <c r="B179" s="1" t="str">
        <f>IF(A179="","",VLOOKUP($A179,子基金及业绩基准周净值!$A:$AV,14))</f>
        <v/>
      </c>
      <c r="C179" s="8" t="str">
        <f t="shared" si="8"/>
        <v/>
      </c>
      <c r="D179" s="9" t="str">
        <f>IF(A179="","",C179-(子基金及业绩基准周净值!AH210/子基金及业绩基准周净值!AH209-1))</f>
        <v/>
      </c>
      <c r="E179" s="12" t="str">
        <f>IF(A179="","",(MAX(B$3:B179)-B179)/MAX(B$3:B179))</f>
        <v/>
      </c>
      <c r="F179" s="12" t="str">
        <f>IF(A179="","",MAX(E$4:E179))</f>
        <v/>
      </c>
      <c r="H179" s="14" t="str">
        <f t="shared" si="9"/>
        <v/>
      </c>
      <c r="I179" s="14" t="str">
        <f t="shared" si="10"/>
        <v/>
      </c>
      <c r="J179" s="15" t="str">
        <f t="shared" si="11"/>
        <v/>
      </c>
    </row>
    <row r="180" spans="1:10">
      <c r="A180" s="7" t="str">
        <f>IF(子基金及业绩基准周净值!A211="","",子基金及业绩基准周净值!A211)</f>
        <v/>
      </c>
      <c r="B180" s="1" t="str">
        <f>IF(A180="","",VLOOKUP($A180,子基金及业绩基准周净值!$A:$AV,14))</f>
        <v/>
      </c>
      <c r="C180" s="8" t="str">
        <f t="shared" si="8"/>
        <v/>
      </c>
      <c r="D180" s="9" t="str">
        <f>IF(A180="","",C180-(子基金及业绩基准周净值!AH211/子基金及业绩基准周净值!AH210-1))</f>
        <v/>
      </c>
      <c r="E180" s="12" t="str">
        <f>IF(A180="","",(MAX(B$3:B180)-B180)/MAX(B$3:B180))</f>
        <v/>
      </c>
      <c r="F180" s="12" t="str">
        <f>IF(A180="","",MAX(E$4:E180))</f>
        <v/>
      </c>
      <c r="H180" s="14" t="str">
        <f t="shared" si="9"/>
        <v/>
      </c>
      <c r="I180" s="14" t="str">
        <f t="shared" si="10"/>
        <v/>
      </c>
      <c r="J180" s="15" t="str">
        <f t="shared" si="11"/>
        <v/>
      </c>
    </row>
    <row r="181" spans="1:10">
      <c r="A181" s="7" t="str">
        <f>IF(子基金及业绩基准周净值!A212="","",子基金及业绩基准周净值!A212)</f>
        <v/>
      </c>
      <c r="B181" s="1" t="str">
        <f>IF(A181="","",VLOOKUP($A181,子基金及业绩基准周净值!$A:$AV,14))</f>
        <v/>
      </c>
      <c r="C181" s="8" t="str">
        <f t="shared" si="8"/>
        <v/>
      </c>
      <c r="D181" s="9" t="str">
        <f>IF(A181="","",C181-(子基金及业绩基准周净值!AH212/子基金及业绩基准周净值!AH211-1))</f>
        <v/>
      </c>
      <c r="E181" s="12" t="str">
        <f>IF(A181="","",(MAX(B$3:B181)-B181)/MAX(B$3:B181))</f>
        <v/>
      </c>
      <c r="F181" s="12" t="str">
        <f>IF(A181="","",MAX(E$4:E181))</f>
        <v/>
      </c>
      <c r="H181" s="14" t="str">
        <f t="shared" si="9"/>
        <v/>
      </c>
      <c r="I181" s="14" t="str">
        <f t="shared" si="10"/>
        <v/>
      </c>
      <c r="J181" s="15" t="str">
        <f t="shared" si="11"/>
        <v/>
      </c>
    </row>
    <row r="182" spans="1:10">
      <c r="A182" s="7" t="str">
        <f>IF(子基金及业绩基准周净值!A213="","",子基金及业绩基准周净值!A213)</f>
        <v/>
      </c>
      <c r="B182" s="1" t="str">
        <f>IF(A182="","",VLOOKUP($A182,子基金及业绩基准周净值!$A:$AV,14))</f>
        <v/>
      </c>
      <c r="C182" s="8" t="str">
        <f t="shared" si="8"/>
        <v/>
      </c>
      <c r="D182" s="9" t="str">
        <f>IF(A182="","",C182-(子基金及业绩基准周净值!AH213/子基金及业绩基准周净值!AH212-1))</f>
        <v/>
      </c>
      <c r="E182" s="12" t="str">
        <f>IF(A182="","",(MAX(B$3:B182)-B182)/MAX(B$3:B182))</f>
        <v/>
      </c>
      <c r="F182" s="12" t="str">
        <f>IF(A182="","",MAX(E$4:E182))</f>
        <v/>
      </c>
      <c r="H182" s="14" t="str">
        <f t="shared" si="9"/>
        <v/>
      </c>
      <c r="I182" s="14" t="str">
        <f t="shared" si="10"/>
        <v/>
      </c>
      <c r="J182" s="15" t="str">
        <f t="shared" si="11"/>
        <v/>
      </c>
    </row>
    <row r="183" spans="1:10">
      <c r="A183" s="7" t="str">
        <f>IF(子基金及业绩基准周净值!A214="","",子基金及业绩基准周净值!A214)</f>
        <v/>
      </c>
      <c r="B183" s="1" t="str">
        <f>IF(A183="","",VLOOKUP($A183,子基金及业绩基准周净值!$A:$AV,14))</f>
        <v/>
      </c>
      <c r="C183" s="8" t="str">
        <f t="shared" si="8"/>
        <v/>
      </c>
      <c r="D183" s="9" t="str">
        <f>IF(A183="","",C183-(子基金及业绩基准周净值!AH214/子基金及业绩基准周净值!AH213-1))</f>
        <v/>
      </c>
      <c r="E183" s="12" t="str">
        <f>IF(A183="","",(MAX(B$3:B183)-B183)/MAX(B$3:B183))</f>
        <v/>
      </c>
      <c r="F183" s="12" t="str">
        <f>IF(A183="","",MAX(E$4:E183))</f>
        <v/>
      </c>
      <c r="H183" s="14" t="str">
        <f t="shared" si="9"/>
        <v/>
      </c>
      <c r="I183" s="14" t="str">
        <f t="shared" si="10"/>
        <v/>
      </c>
      <c r="J183" s="15" t="str">
        <f t="shared" si="11"/>
        <v/>
      </c>
    </row>
    <row r="184" spans="1:10">
      <c r="A184" s="7" t="str">
        <f>IF(子基金及业绩基准周净值!A215="","",子基金及业绩基准周净值!A215)</f>
        <v/>
      </c>
      <c r="B184" s="1" t="str">
        <f>IF(A184="","",VLOOKUP($A184,子基金及业绩基准周净值!$A:$AV,14))</f>
        <v/>
      </c>
      <c r="C184" s="8" t="str">
        <f t="shared" si="8"/>
        <v/>
      </c>
      <c r="D184" s="9" t="str">
        <f>IF(A184="","",C184-(子基金及业绩基准周净值!AH215/子基金及业绩基准周净值!AH214-1))</f>
        <v/>
      </c>
      <c r="E184" s="12" t="str">
        <f>IF(A184="","",(MAX(B$3:B184)-B184)/MAX(B$3:B184))</f>
        <v/>
      </c>
      <c r="F184" s="12" t="str">
        <f>IF(A184="","",MAX(E$4:E184))</f>
        <v/>
      </c>
      <c r="H184" s="14" t="str">
        <f t="shared" si="9"/>
        <v/>
      </c>
      <c r="I184" s="14" t="str">
        <f t="shared" si="10"/>
        <v/>
      </c>
      <c r="J184" s="15" t="str">
        <f t="shared" si="11"/>
        <v/>
      </c>
    </row>
    <row r="185" spans="1:10">
      <c r="A185" s="7" t="str">
        <f>IF(子基金及业绩基准周净值!A216="","",子基金及业绩基准周净值!A216)</f>
        <v/>
      </c>
      <c r="B185" s="1" t="str">
        <f>IF(A185="","",VLOOKUP($A185,子基金及业绩基准周净值!$A:$AV,14))</f>
        <v/>
      </c>
      <c r="C185" s="8" t="str">
        <f t="shared" si="8"/>
        <v/>
      </c>
      <c r="D185" s="9" t="str">
        <f>IF(A185="","",C185-(子基金及业绩基准周净值!AH216/子基金及业绩基准周净值!AH215-1))</f>
        <v/>
      </c>
      <c r="E185" s="12" t="str">
        <f>IF(A185="","",(MAX(B$3:B185)-B185)/MAX(B$3:B185))</f>
        <v/>
      </c>
      <c r="F185" s="12" t="str">
        <f>IF(A185="","",MAX(E$4:E185))</f>
        <v/>
      </c>
      <c r="H185" s="14" t="str">
        <f t="shared" si="9"/>
        <v/>
      </c>
      <c r="I185" s="14" t="str">
        <f t="shared" si="10"/>
        <v/>
      </c>
      <c r="J185" s="15" t="str">
        <f t="shared" si="11"/>
        <v/>
      </c>
    </row>
    <row r="186" spans="1:10">
      <c r="A186" s="7" t="str">
        <f>IF(子基金及业绩基准周净值!A217="","",子基金及业绩基准周净值!A217)</f>
        <v/>
      </c>
      <c r="B186" s="1" t="str">
        <f>IF(A186="","",VLOOKUP($A186,子基金及业绩基准周净值!$A:$AV,14))</f>
        <v/>
      </c>
      <c r="C186" s="8" t="str">
        <f t="shared" si="8"/>
        <v/>
      </c>
      <c r="D186" s="9" t="str">
        <f>IF(A186="","",C186-(子基金及业绩基准周净值!AH217/子基金及业绩基准周净值!AH216-1))</f>
        <v/>
      </c>
      <c r="E186" s="12" t="str">
        <f>IF(A186="","",(MAX(B$3:B186)-B186)/MAX(B$3:B186))</f>
        <v/>
      </c>
      <c r="F186" s="12" t="str">
        <f>IF(A186="","",MAX(E$4:E186))</f>
        <v/>
      </c>
      <c r="H186" s="14" t="str">
        <f t="shared" si="9"/>
        <v/>
      </c>
      <c r="I186" s="14" t="str">
        <f t="shared" si="10"/>
        <v/>
      </c>
      <c r="J186" s="15" t="str">
        <f t="shared" si="11"/>
        <v/>
      </c>
    </row>
    <row r="187" spans="1:10">
      <c r="A187" s="7" t="str">
        <f>IF(子基金及业绩基准周净值!A218="","",子基金及业绩基准周净值!A218)</f>
        <v/>
      </c>
      <c r="B187" s="1" t="str">
        <f>IF(A187="","",VLOOKUP($A187,子基金及业绩基准周净值!$A:$AV,14))</f>
        <v/>
      </c>
      <c r="C187" s="8" t="str">
        <f t="shared" si="8"/>
        <v/>
      </c>
      <c r="D187" s="9" t="str">
        <f>IF(A187="","",C187-(子基金及业绩基准周净值!AH218/子基金及业绩基准周净值!AH217-1))</f>
        <v/>
      </c>
      <c r="E187" s="12" t="str">
        <f>IF(A187="","",(MAX(B$3:B187)-B187)/MAX(B$3:B187))</f>
        <v/>
      </c>
      <c r="F187" s="12" t="str">
        <f>IF(A187="","",MAX(E$4:E187))</f>
        <v/>
      </c>
      <c r="H187" s="14" t="str">
        <f t="shared" si="9"/>
        <v/>
      </c>
      <c r="I187" s="14" t="str">
        <f t="shared" si="10"/>
        <v/>
      </c>
      <c r="J187" s="15" t="str">
        <f t="shared" si="11"/>
        <v/>
      </c>
    </row>
    <row r="188" spans="1:10">
      <c r="A188" s="7" t="str">
        <f>IF(子基金及业绩基准周净值!A219="","",子基金及业绩基准周净值!A219)</f>
        <v/>
      </c>
      <c r="B188" s="1" t="str">
        <f>IF(A188="","",VLOOKUP($A188,子基金及业绩基准周净值!$A:$AV,14))</f>
        <v/>
      </c>
      <c r="C188" s="8" t="str">
        <f t="shared" si="8"/>
        <v/>
      </c>
      <c r="D188" s="9" t="str">
        <f>IF(A188="","",C188-(子基金及业绩基准周净值!AH219/子基金及业绩基准周净值!AH218-1))</f>
        <v/>
      </c>
      <c r="E188" s="12" t="str">
        <f>IF(A188="","",(MAX(B$3:B188)-B188)/MAX(B$3:B188))</f>
        <v/>
      </c>
      <c r="F188" s="12" t="str">
        <f>IF(A188="","",MAX(E$4:E188))</f>
        <v/>
      </c>
      <c r="H188" s="14" t="str">
        <f t="shared" si="9"/>
        <v/>
      </c>
      <c r="I188" s="14" t="str">
        <f t="shared" si="10"/>
        <v/>
      </c>
      <c r="J188" s="15" t="str">
        <f t="shared" si="11"/>
        <v/>
      </c>
    </row>
    <row r="189" spans="1:10">
      <c r="A189" s="7" t="str">
        <f>IF(子基金及业绩基准周净值!A220="","",子基金及业绩基准周净值!A220)</f>
        <v/>
      </c>
      <c r="B189" s="1" t="str">
        <f>IF(A189="","",VLOOKUP($A189,子基金及业绩基准周净值!$A:$AV,14))</f>
        <v/>
      </c>
      <c r="C189" s="8" t="str">
        <f t="shared" si="8"/>
        <v/>
      </c>
      <c r="D189" s="9" t="str">
        <f>IF(A189="","",C189-(子基金及业绩基准周净值!AH220/子基金及业绩基准周净值!AH219-1))</f>
        <v/>
      </c>
      <c r="E189" s="12" t="str">
        <f>IF(A189="","",(MAX(B$3:B189)-B189)/MAX(B$3:B189))</f>
        <v/>
      </c>
      <c r="F189" s="12" t="str">
        <f>IF(A189="","",MAX(E$4:E189))</f>
        <v/>
      </c>
      <c r="H189" s="14" t="str">
        <f t="shared" si="9"/>
        <v/>
      </c>
      <c r="I189" s="14" t="str">
        <f t="shared" si="10"/>
        <v/>
      </c>
      <c r="J189" s="15" t="str">
        <f t="shared" si="11"/>
        <v/>
      </c>
    </row>
    <row r="190" spans="1:10">
      <c r="A190" s="7" t="str">
        <f>IF(子基金及业绩基准周净值!A221="","",子基金及业绩基准周净值!A221)</f>
        <v/>
      </c>
      <c r="B190" s="1" t="str">
        <f>IF(A190="","",VLOOKUP($A190,子基金及业绩基准周净值!$A:$AV,14))</f>
        <v/>
      </c>
      <c r="C190" s="8" t="str">
        <f t="shared" si="8"/>
        <v/>
      </c>
      <c r="D190" s="9" t="str">
        <f>IF(A190="","",C190-(子基金及业绩基准周净值!AH221/子基金及业绩基准周净值!AH220-1))</f>
        <v/>
      </c>
      <c r="E190" s="12" t="str">
        <f>IF(A190="","",(MAX(B$3:B190)-B190)/MAX(B$3:B190))</f>
        <v/>
      </c>
      <c r="F190" s="12" t="str">
        <f>IF(A190="","",MAX(E$4:E190))</f>
        <v/>
      </c>
      <c r="H190" s="14" t="str">
        <f t="shared" si="9"/>
        <v/>
      </c>
      <c r="I190" s="14" t="str">
        <f t="shared" si="10"/>
        <v/>
      </c>
      <c r="J190" s="15" t="str">
        <f t="shared" si="11"/>
        <v/>
      </c>
    </row>
    <row r="191" spans="1:10">
      <c r="A191" s="7" t="str">
        <f>IF(子基金及业绩基准周净值!A222="","",子基金及业绩基准周净值!A222)</f>
        <v/>
      </c>
      <c r="B191" s="1" t="str">
        <f>IF(A191="","",VLOOKUP($A191,子基金及业绩基准周净值!$A:$AV,14))</f>
        <v/>
      </c>
      <c r="C191" s="8" t="str">
        <f t="shared" si="8"/>
        <v/>
      </c>
      <c r="D191" s="9" t="str">
        <f>IF(A191="","",C191-(子基金及业绩基准周净值!AH222/子基金及业绩基准周净值!AH221-1))</f>
        <v/>
      </c>
      <c r="E191" s="12" t="str">
        <f>IF(A191="","",(MAX(B$3:B191)-B191)/MAX(B$3:B191))</f>
        <v/>
      </c>
      <c r="F191" s="12" t="str">
        <f>IF(A191="","",MAX(E$4:E191))</f>
        <v/>
      </c>
      <c r="H191" s="14" t="str">
        <f t="shared" si="9"/>
        <v/>
      </c>
      <c r="I191" s="14" t="str">
        <f t="shared" si="10"/>
        <v/>
      </c>
      <c r="J191" s="15" t="str">
        <f t="shared" si="11"/>
        <v/>
      </c>
    </row>
    <row r="192" spans="1:10">
      <c r="A192" s="7" t="str">
        <f>IF(子基金及业绩基准周净值!A223="","",子基金及业绩基准周净值!A223)</f>
        <v/>
      </c>
      <c r="B192" s="1" t="str">
        <f>IF(A192="","",VLOOKUP($A192,子基金及业绩基准周净值!$A:$AV,14))</f>
        <v/>
      </c>
      <c r="C192" s="8" t="str">
        <f t="shared" si="8"/>
        <v/>
      </c>
      <c r="D192" s="9" t="str">
        <f>IF(A192="","",C192-(子基金及业绩基准周净值!AH223/子基金及业绩基准周净值!AH222-1))</f>
        <v/>
      </c>
      <c r="E192" s="12" t="str">
        <f>IF(A192="","",(MAX(B$3:B192)-B192)/MAX(B$3:B192))</f>
        <v/>
      </c>
      <c r="F192" s="12" t="str">
        <f>IF(A192="","",MAX(E$4:E192))</f>
        <v/>
      </c>
      <c r="H192" s="14" t="str">
        <f t="shared" si="9"/>
        <v/>
      </c>
      <c r="I192" s="14" t="str">
        <f t="shared" si="10"/>
        <v/>
      </c>
      <c r="J192" s="15" t="str">
        <f t="shared" si="11"/>
        <v/>
      </c>
    </row>
    <row r="193" spans="1:10">
      <c r="A193" s="7" t="str">
        <f>IF(子基金及业绩基准周净值!A224="","",子基金及业绩基准周净值!A224)</f>
        <v/>
      </c>
      <c r="B193" s="1" t="str">
        <f>IF(A193="","",VLOOKUP($A193,子基金及业绩基准周净值!$A:$AV,14))</f>
        <v/>
      </c>
      <c r="C193" s="8" t="str">
        <f t="shared" si="8"/>
        <v/>
      </c>
      <c r="D193" s="9" t="str">
        <f>IF(A193="","",C193-(子基金及业绩基准周净值!AH224/子基金及业绩基准周净值!AH223-1))</f>
        <v/>
      </c>
      <c r="E193" s="12" t="str">
        <f>IF(A193="","",(MAX(B$3:B193)-B193)/MAX(B$3:B193))</f>
        <v/>
      </c>
      <c r="F193" s="12" t="str">
        <f>IF(A193="","",MAX(E$4:E193))</f>
        <v/>
      </c>
      <c r="H193" s="14" t="str">
        <f t="shared" si="9"/>
        <v/>
      </c>
      <c r="I193" s="14" t="str">
        <f t="shared" si="10"/>
        <v/>
      </c>
      <c r="J193" s="15" t="str">
        <f t="shared" si="11"/>
        <v/>
      </c>
    </row>
    <row r="194" spans="1:10">
      <c r="A194" s="7" t="str">
        <f>IF(子基金及业绩基准周净值!A225="","",子基金及业绩基准周净值!A225)</f>
        <v/>
      </c>
      <c r="B194" s="1" t="str">
        <f>IF(A194="","",VLOOKUP($A194,子基金及业绩基准周净值!$A:$AV,14))</f>
        <v/>
      </c>
      <c r="C194" s="8" t="str">
        <f t="shared" si="8"/>
        <v/>
      </c>
      <c r="D194" s="9" t="str">
        <f>IF(A194="","",C194-(子基金及业绩基准周净值!AH225/子基金及业绩基准周净值!AH224-1))</f>
        <v/>
      </c>
      <c r="E194" s="12" t="str">
        <f>IF(A194="","",(MAX(B$3:B194)-B194)/MAX(B$3:B194))</f>
        <v/>
      </c>
      <c r="F194" s="12" t="str">
        <f>IF(A194="","",MAX(E$4:E194))</f>
        <v/>
      </c>
      <c r="H194" s="14" t="str">
        <f t="shared" si="9"/>
        <v/>
      </c>
      <c r="I194" s="14" t="str">
        <f t="shared" si="10"/>
        <v/>
      </c>
      <c r="J194" s="15" t="str">
        <f t="shared" si="11"/>
        <v/>
      </c>
    </row>
    <row r="195" spans="1:10">
      <c r="A195" s="7" t="str">
        <f>IF(子基金及业绩基准周净值!A226="","",子基金及业绩基准周净值!A226)</f>
        <v/>
      </c>
      <c r="B195" s="1" t="str">
        <f>IF(A195="","",VLOOKUP($A195,子基金及业绩基准周净值!$A:$AV,14))</f>
        <v/>
      </c>
      <c r="C195" s="8" t="str">
        <f t="shared" si="8"/>
        <v/>
      </c>
      <c r="D195" s="9" t="str">
        <f>IF(A195="","",C195-(子基金及业绩基准周净值!AH226/子基金及业绩基准周净值!AH225-1))</f>
        <v/>
      </c>
      <c r="E195" s="12" t="str">
        <f>IF(A195="","",(MAX(B$3:B195)-B195)/MAX(B$3:B195))</f>
        <v/>
      </c>
      <c r="F195" s="12" t="str">
        <f>IF(A195="","",MAX(E$4:E195))</f>
        <v/>
      </c>
      <c r="H195" s="14" t="str">
        <f t="shared" si="9"/>
        <v/>
      </c>
      <c r="I195" s="14" t="str">
        <f t="shared" si="10"/>
        <v/>
      </c>
      <c r="J195" s="15" t="str">
        <f t="shared" si="11"/>
        <v/>
      </c>
    </row>
    <row r="196" spans="1:10">
      <c r="A196" s="7" t="str">
        <f>IF(子基金及业绩基准周净值!A227="","",子基金及业绩基准周净值!A227)</f>
        <v/>
      </c>
      <c r="B196" s="1" t="str">
        <f>IF(A196="","",VLOOKUP($A196,子基金及业绩基准周净值!$A:$AV,14))</f>
        <v/>
      </c>
      <c r="C196" s="8" t="str">
        <f t="shared" si="8"/>
        <v/>
      </c>
      <c r="D196" s="9" t="str">
        <f>IF(A196="","",C196-(子基金及业绩基准周净值!AH227/子基金及业绩基准周净值!AH226-1))</f>
        <v/>
      </c>
      <c r="E196" s="12" t="str">
        <f>IF(A196="","",(MAX(B$3:B196)-B196)/MAX(B$3:B196))</f>
        <v/>
      </c>
      <c r="F196" s="12" t="str">
        <f>IF(A196="","",MAX(E$4:E196))</f>
        <v/>
      </c>
      <c r="H196" s="14" t="str">
        <f t="shared" si="9"/>
        <v/>
      </c>
      <c r="I196" s="14" t="str">
        <f t="shared" si="10"/>
        <v/>
      </c>
      <c r="J196" s="15" t="str">
        <f t="shared" si="11"/>
        <v/>
      </c>
    </row>
    <row r="197" spans="1:10">
      <c r="A197" s="7" t="str">
        <f>IF(子基金及业绩基准周净值!A228="","",子基金及业绩基准周净值!A228)</f>
        <v/>
      </c>
      <c r="B197" s="1" t="str">
        <f>IF(A197="","",VLOOKUP($A197,子基金及业绩基准周净值!$A:$AV,14))</f>
        <v/>
      </c>
      <c r="C197" s="8" t="str">
        <f t="shared" ref="C197:C260" si="12">IF(A197="","",(B197-B196)/B196)</f>
        <v/>
      </c>
      <c r="D197" s="9" t="str">
        <f>IF(A197="","",C197-(子基金及业绩基准周净值!AH228/子基金及业绩基准周净值!AH227-1))</f>
        <v/>
      </c>
      <c r="E197" s="12" t="str">
        <f>IF(A197="","",(MAX(B$3:B197)-B197)/MAX(B$3:B197))</f>
        <v/>
      </c>
      <c r="F197" s="12" t="str">
        <f>IF(A197="","",MAX(E$4:E197))</f>
        <v/>
      </c>
      <c r="H197" s="14" t="str">
        <f t="shared" ref="H197:H260" si="13">IF(B197="","",IF(C197&lt;-3%,"是","否"))</f>
        <v/>
      </c>
      <c r="I197" s="14" t="str">
        <f t="shared" ref="I197:I260" si="14">IF(A197="","",IF(F197&gt;5%,"是","否"))</f>
        <v/>
      </c>
      <c r="J197" s="15" t="str">
        <f t="shared" ref="J197:J260" si="15">IF(A197="","",IF(G197&gt;=4,"是","否"))</f>
        <v/>
      </c>
    </row>
    <row r="198" spans="1:10">
      <c r="A198" s="7" t="str">
        <f>IF(子基金及业绩基准周净值!A229="","",子基金及业绩基准周净值!A229)</f>
        <v/>
      </c>
      <c r="B198" s="1" t="str">
        <f>IF(A198="","",VLOOKUP($A198,子基金及业绩基准周净值!$A:$AV,14))</f>
        <v/>
      </c>
      <c r="C198" s="8" t="str">
        <f t="shared" si="12"/>
        <v/>
      </c>
      <c r="D198" s="9" t="str">
        <f>IF(A198="","",C198-(子基金及业绩基准周净值!AH229/子基金及业绩基准周净值!AH228-1))</f>
        <v/>
      </c>
      <c r="E198" s="12" t="str">
        <f>IF(A198="","",(MAX(B$3:B198)-B198)/MAX(B$3:B198))</f>
        <v/>
      </c>
      <c r="F198" s="12" t="str">
        <f>IF(A198="","",MAX(E$4:E198))</f>
        <v/>
      </c>
      <c r="H198" s="14" t="str">
        <f t="shared" si="13"/>
        <v/>
      </c>
      <c r="I198" s="14" t="str">
        <f t="shared" si="14"/>
        <v/>
      </c>
      <c r="J198" s="15" t="str">
        <f t="shared" si="15"/>
        <v/>
      </c>
    </row>
    <row r="199" spans="1:10">
      <c r="A199" s="7" t="str">
        <f>IF(子基金及业绩基准周净值!A230="","",子基金及业绩基准周净值!A230)</f>
        <v/>
      </c>
      <c r="B199" s="1" t="str">
        <f>IF(A199="","",VLOOKUP($A199,子基金及业绩基准周净值!$A:$AV,14))</f>
        <v/>
      </c>
      <c r="C199" s="8" t="str">
        <f t="shared" si="12"/>
        <v/>
      </c>
      <c r="D199" s="9" t="str">
        <f>IF(A199="","",C199-(子基金及业绩基准周净值!AH230/子基金及业绩基准周净值!AH229-1))</f>
        <v/>
      </c>
      <c r="E199" s="12" t="str">
        <f>IF(A199="","",(MAX(B$3:B199)-B199)/MAX(B$3:B199))</f>
        <v/>
      </c>
      <c r="F199" s="12" t="str">
        <f>IF(A199="","",MAX(E$4:E199))</f>
        <v/>
      </c>
      <c r="H199" s="14" t="str">
        <f t="shared" si="13"/>
        <v/>
      </c>
      <c r="I199" s="14" t="str">
        <f t="shared" si="14"/>
        <v/>
      </c>
      <c r="J199" s="15" t="str">
        <f t="shared" si="15"/>
        <v/>
      </c>
    </row>
    <row r="200" spans="1:10">
      <c r="A200" s="7" t="str">
        <f>IF(子基金及业绩基准周净值!A231="","",子基金及业绩基准周净值!A231)</f>
        <v/>
      </c>
      <c r="B200" s="1" t="str">
        <f>IF(A200="","",VLOOKUP($A200,子基金及业绩基准周净值!$A:$AV,14))</f>
        <v/>
      </c>
      <c r="C200" s="8" t="str">
        <f t="shared" si="12"/>
        <v/>
      </c>
      <c r="D200" s="9" t="str">
        <f>IF(A200="","",C200-(子基金及业绩基准周净值!AH231/子基金及业绩基准周净值!AH230-1))</f>
        <v/>
      </c>
      <c r="E200" s="12" t="str">
        <f>IF(A200="","",(MAX(B$3:B200)-B200)/MAX(B$3:B200))</f>
        <v/>
      </c>
      <c r="F200" s="12" t="str">
        <f>IF(A200="","",MAX(E$4:E200))</f>
        <v/>
      </c>
      <c r="H200" s="14" t="str">
        <f t="shared" si="13"/>
        <v/>
      </c>
      <c r="I200" s="14" t="str">
        <f t="shared" si="14"/>
        <v/>
      </c>
      <c r="J200" s="15" t="str">
        <f t="shared" si="15"/>
        <v/>
      </c>
    </row>
    <row r="201" spans="1:10">
      <c r="A201" s="7" t="str">
        <f>IF(子基金及业绩基准周净值!A232="","",子基金及业绩基准周净值!A232)</f>
        <v/>
      </c>
      <c r="B201" s="1" t="str">
        <f>IF(A201="","",VLOOKUP($A201,子基金及业绩基准周净值!$A:$AV,14))</f>
        <v/>
      </c>
      <c r="C201" s="8" t="str">
        <f t="shared" si="12"/>
        <v/>
      </c>
      <c r="D201" s="9" t="str">
        <f>IF(A201="","",C201-(子基金及业绩基准周净值!AH232/子基金及业绩基准周净值!AH231-1))</f>
        <v/>
      </c>
      <c r="E201" s="12" t="str">
        <f>IF(A201="","",(MAX(B$3:B201)-B201)/MAX(B$3:B201))</f>
        <v/>
      </c>
      <c r="F201" s="12" t="str">
        <f>IF(A201="","",MAX(E$4:E201))</f>
        <v/>
      </c>
      <c r="H201" s="14" t="str">
        <f t="shared" si="13"/>
        <v/>
      </c>
      <c r="I201" s="14" t="str">
        <f t="shared" si="14"/>
        <v/>
      </c>
      <c r="J201" s="15" t="str">
        <f t="shared" si="15"/>
        <v/>
      </c>
    </row>
    <row r="202" spans="1:10">
      <c r="A202" s="7" t="str">
        <f>IF(子基金及业绩基准周净值!A233="","",子基金及业绩基准周净值!A233)</f>
        <v/>
      </c>
      <c r="B202" s="1" t="str">
        <f>IF(A202="","",VLOOKUP($A202,子基金及业绩基准周净值!$A:$AV,14))</f>
        <v/>
      </c>
      <c r="C202" s="8" t="str">
        <f t="shared" si="12"/>
        <v/>
      </c>
      <c r="D202" s="9" t="str">
        <f>IF(A202="","",C202-(子基金及业绩基准周净值!AH233/子基金及业绩基准周净值!AH232-1))</f>
        <v/>
      </c>
      <c r="E202" s="12" t="str">
        <f>IF(A202="","",(MAX(B$3:B202)-B202)/MAX(B$3:B202))</f>
        <v/>
      </c>
      <c r="F202" s="12" t="str">
        <f>IF(A202="","",MAX(E$4:E202))</f>
        <v/>
      </c>
      <c r="H202" s="14" t="str">
        <f t="shared" si="13"/>
        <v/>
      </c>
      <c r="I202" s="14" t="str">
        <f t="shared" si="14"/>
        <v/>
      </c>
      <c r="J202" s="15" t="str">
        <f t="shared" si="15"/>
        <v/>
      </c>
    </row>
    <row r="203" spans="1:10">
      <c r="A203" s="7" t="str">
        <f>IF(子基金及业绩基准周净值!A234="","",子基金及业绩基准周净值!A234)</f>
        <v/>
      </c>
      <c r="B203" s="1" t="str">
        <f>IF(A203="","",VLOOKUP($A203,子基金及业绩基准周净值!$A:$AV,14))</f>
        <v/>
      </c>
      <c r="C203" s="8" t="str">
        <f t="shared" si="12"/>
        <v/>
      </c>
      <c r="D203" s="9" t="str">
        <f>IF(A203="","",C203-(子基金及业绩基准周净值!AH234/子基金及业绩基准周净值!AH233-1))</f>
        <v/>
      </c>
      <c r="E203" s="12" t="str">
        <f>IF(A203="","",(MAX(B$3:B203)-B203)/MAX(B$3:B203))</f>
        <v/>
      </c>
      <c r="F203" s="12" t="str">
        <f>IF(A203="","",MAX(E$4:E203))</f>
        <v/>
      </c>
      <c r="H203" s="14" t="str">
        <f t="shared" si="13"/>
        <v/>
      </c>
      <c r="I203" s="14" t="str">
        <f t="shared" si="14"/>
        <v/>
      </c>
      <c r="J203" s="15" t="str">
        <f t="shared" si="15"/>
        <v/>
      </c>
    </row>
    <row r="204" spans="1:10">
      <c r="A204" s="7" t="str">
        <f>IF(子基金及业绩基准周净值!A235="","",子基金及业绩基准周净值!A235)</f>
        <v/>
      </c>
      <c r="B204" s="1" t="str">
        <f>IF(A204="","",VLOOKUP($A204,子基金及业绩基准周净值!$A:$AV,14))</f>
        <v/>
      </c>
      <c r="C204" s="8" t="str">
        <f t="shared" si="12"/>
        <v/>
      </c>
      <c r="D204" s="9" t="str">
        <f>IF(A204="","",C204-(子基金及业绩基准周净值!AH235/子基金及业绩基准周净值!AH234-1))</f>
        <v/>
      </c>
      <c r="E204" s="12" t="str">
        <f>IF(A204="","",(MAX(B$3:B204)-B204)/MAX(B$3:B204))</f>
        <v/>
      </c>
      <c r="F204" s="12" t="str">
        <f>IF(A204="","",MAX(E$4:E204))</f>
        <v/>
      </c>
      <c r="H204" s="14" t="str">
        <f t="shared" si="13"/>
        <v/>
      </c>
      <c r="I204" s="14" t="str">
        <f t="shared" si="14"/>
        <v/>
      </c>
      <c r="J204" s="15" t="str">
        <f t="shared" si="15"/>
        <v/>
      </c>
    </row>
    <row r="205" spans="1:10">
      <c r="A205" s="7" t="str">
        <f>IF(子基金及业绩基准周净值!A236="","",子基金及业绩基准周净值!A236)</f>
        <v/>
      </c>
      <c r="B205" s="1" t="str">
        <f>IF(A205="","",VLOOKUP($A205,子基金及业绩基准周净值!$A:$AV,14))</f>
        <v/>
      </c>
      <c r="C205" s="8" t="str">
        <f t="shared" si="12"/>
        <v/>
      </c>
      <c r="D205" s="9" t="str">
        <f>IF(A205="","",C205-(子基金及业绩基准周净值!AH236/子基金及业绩基准周净值!AH235-1))</f>
        <v/>
      </c>
      <c r="E205" s="12" t="str">
        <f>IF(A205="","",(MAX(B$3:B205)-B205)/MAX(B$3:B205))</f>
        <v/>
      </c>
      <c r="F205" s="12" t="str">
        <f>IF(A205="","",MAX(E$4:E205))</f>
        <v/>
      </c>
      <c r="H205" s="14" t="str">
        <f t="shared" si="13"/>
        <v/>
      </c>
      <c r="I205" s="14" t="str">
        <f t="shared" si="14"/>
        <v/>
      </c>
      <c r="J205" s="15" t="str">
        <f t="shared" si="15"/>
        <v/>
      </c>
    </row>
    <row r="206" spans="1:10">
      <c r="A206" s="7" t="str">
        <f>IF(子基金及业绩基准周净值!A237="","",子基金及业绩基准周净值!A237)</f>
        <v/>
      </c>
      <c r="B206" s="1" t="str">
        <f>IF(A206="","",VLOOKUP($A206,子基金及业绩基准周净值!$A:$AV,14))</f>
        <v/>
      </c>
      <c r="C206" s="8" t="str">
        <f t="shared" si="12"/>
        <v/>
      </c>
      <c r="D206" s="9" t="str">
        <f>IF(A206="","",C206-(子基金及业绩基准周净值!AH237/子基金及业绩基准周净值!AH236-1))</f>
        <v/>
      </c>
      <c r="E206" s="12" t="str">
        <f>IF(A206="","",(MAX(B$3:B206)-B206)/MAX(B$3:B206))</f>
        <v/>
      </c>
      <c r="F206" s="12" t="str">
        <f>IF(A206="","",MAX(E$4:E206))</f>
        <v/>
      </c>
      <c r="H206" s="14" t="str">
        <f t="shared" si="13"/>
        <v/>
      </c>
      <c r="I206" s="14" t="str">
        <f t="shared" si="14"/>
        <v/>
      </c>
      <c r="J206" s="15" t="str">
        <f t="shared" si="15"/>
        <v/>
      </c>
    </row>
    <row r="207" spans="1:10">
      <c r="A207" s="7" t="str">
        <f>IF(子基金及业绩基准周净值!A238="","",子基金及业绩基准周净值!A238)</f>
        <v/>
      </c>
      <c r="B207" s="1" t="str">
        <f>IF(A207="","",VLOOKUP($A207,子基金及业绩基准周净值!$A:$AV,14))</f>
        <v/>
      </c>
      <c r="C207" s="8" t="str">
        <f t="shared" si="12"/>
        <v/>
      </c>
      <c r="D207" s="9" t="str">
        <f>IF(A207="","",C207-(子基金及业绩基准周净值!AH238/子基金及业绩基准周净值!AH237-1))</f>
        <v/>
      </c>
      <c r="E207" s="12" t="str">
        <f>IF(A207="","",(MAX(B$3:B207)-B207)/MAX(B$3:B207))</f>
        <v/>
      </c>
      <c r="F207" s="12" t="str">
        <f>IF(A207="","",MAX(E$4:E207))</f>
        <v/>
      </c>
      <c r="H207" s="14" t="str">
        <f t="shared" si="13"/>
        <v/>
      </c>
      <c r="I207" s="14" t="str">
        <f t="shared" si="14"/>
        <v/>
      </c>
      <c r="J207" s="15" t="str">
        <f t="shared" si="15"/>
        <v/>
      </c>
    </row>
    <row r="208" spans="1:10">
      <c r="A208" s="7" t="str">
        <f>IF(子基金及业绩基准周净值!A239="","",子基金及业绩基准周净值!A239)</f>
        <v/>
      </c>
      <c r="B208" s="1" t="str">
        <f>IF(A208="","",VLOOKUP($A208,子基金及业绩基准周净值!$A:$AV,14))</f>
        <v/>
      </c>
      <c r="C208" s="8" t="str">
        <f t="shared" si="12"/>
        <v/>
      </c>
      <c r="D208" s="9" t="str">
        <f>IF(A208="","",C208-(子基金及业绩基准周净值!AH239/子基金及业绩基准周净值!AH238-1))</f>
        <v/>
      </c>
      <c r="E208" s="12" t="str">
        <f>IF(A208="","",(MAX(B$3:B208)-B208)/MAX(B$3:B208))</f>
        <v/>
      </c>
      <c r="F208" s="12" t="str">
        <f>IF(A208="","",MAX(E$4:E208))</f>
        <v/>
      </c>
      <c r="H208" s="14" t="str">
        <f t="shared" si="13"/>
        <v/>
      </c>
      <c r="I208" s="14" t="str">
        <f t="shared" si="14"/>
        <v/>
      </c>
      <c r="J208" s="15" t="str">
        <f t="shared" si="15"/>
        <v/>
      </c>
    </row>
    <row r="209" spans="1:10">
      <c r="A209" s="7" t="str">
        <f>IF(子基金及业绩基准周净值!A240="","",子基金及业绩基准周净值!A240)</f>
        <v/>
      </c>
      <c r="B209" s="1" t="str">
        <f>IF(A209="","",VLOOKUP($A209,子基金及业绩基准周净值!$A:$AV,14))</f>
        <v/>
      </c>
      <c r="C209" s="8" t="str">
        <f t="shared" si="12"/>
        <v/>
      </c>
      <c r="D209" s="9" t="str">
        <f>IF(A209="","",C209-(子基金及业绩基准周净值!AH240/子基金及业绩基准周净值!AH239-1))</f>
        <v/>
      </c>
      <c r="E209" s="12" t="str">
        <f>IF(A209="","",(MAX(B$3:B209)-B209)/MAX(B$3:B209))</f>
        <v/>
      </c>
      <c r="F209" s="12" t="str">
        <f>IF(A209="","",MAX(E$4:E209))</f>
        <v/>
      </c>
      <c r="H209" s="14" t="str">
        <f t="shared" si="13"/>
        <v/>
      </c>
      <c r="I209" s="14" t="str">
        <f t="shared" si="14"/>
        <v/>
      </c>
      <c r="J209" s="15" t="str">
        <f t="shared" si="15"/>
        <v/>
      </c>
    </row>
    <row r="210" spans="1:10">
      <c r="A210" s="7" t="str">
        <f>IF(子基金及业绩基准周净值!A241="","",子基金及业绩基准周净值!A241)</f>
        <v/>
      </c>
      <c r="B210" s="1" t="str">
        <f>IF(A210="","",VLOOKUP($A210,子基金及业绩基准周净值!$A:$AV,14))</f>
        <v/>
      </c>
      <c r="C210" s="8" t="str">
        <f t="shared" si="12"/>
        <v/>
      </c>
      <c r="D210" s="9" t="str">
        <f>IF(A210="","",C210-(子基金及业绩基准周净值!AH241/子基金及业绩基准周净值!AH240-1))</f>
        <v/>
      </c>
      <c r="E210" s="12" t="str">
        <f>IF(A210="","",(MAX(B$3:B210)-B210)/MAX(B$3:B210))</f>
        <v/>
      </c>
      <c r="F210" s="12" t="str">
        <f>IF(A210="","",MAX(E$4:E210))</f>
        <v/>
      </c>
      <c r="H210" s="14" t="str">
        <f t="shared" si="13"/>
        <v/>
      </c>
      <c r="I210" s="14" t="str">
        <f t="shared" si="14"/>
        <v/>
      </c>
      <c r="J210" s="15" t="str">
        <f t="shared" si="15"/>
        <v/>
      </c>
    </row>
    <row r="211" spans="1:10">
      <c r="A211" s="7" t="str">
        <f>IF(子基金及业绩基准周净值!A242="","",子基金及业绩基准周净值!A242)</f>
        <v/>
      </c>
      <c r="B211" s="1" t="str">
        <f>IF(A211="","",VLOOKUP($A211,子基金及业绩基准周净值!$A:$AV,14))</f>
        <v/>
      </c>
      <c r="C211" s="8" t="str">
        <f t="shared" si="12"/>
        <v/>
      </c>
      <c r="D211" s="9" t="str">
        <f>IF(A211="","",C211-(子基金及业绩基准周净值!AH242/子基金及业绩基准周净值!AH241-1))</f>
        <v/>
      </c>
      <c r="E211" s="12" t="str">
        <f>IF(A211="","",(MAX(B$3:B211)-B211)/MAX(B$3:B211))</f>
        <v/>
      </c>
      <c r="F211" s="12" t="str">
        <f>IF(A211="","",MAX(E$4:E211))</f>
        <v/>
      </c>
      <c r="H211" s="14" t="str">
        <f t="shared" si="13"/>
        <v/>
      </c>
      <c r="I211" s="14" t="str">
        <f t="shared" si="14"/>
        <v/>
      </c>
      <c r="J211" s="15" t="str">
        <f t="shared" si="15"/>
        <v/>
      </c>
    </row>
    <row r="212" spans="1:10">
      <c r="A212" s="7" t="str">
        <f>IF(子基金及业绩基准周净值!A243="","",子基金及业绩基准周净值!A243)</f>
        <v/>
      </c>
      <c r="B212" s="1" t="str">
        <f>IF(A212="","",VLOOKUP($A212,子基金及业绩基准周净值!$A:$AV,14))</f>
        <v/>
      </c>
      <c r="C212" s="8" t="str">
        <f t="shared" si="12"/>
        <v/>
      </c>
      <c r="D212" s="9" t="str">
        <f>IF(A212="","",C212-(子基金及业绩基准周净值!AH243/子基金及业绩基准周净值!AH242-1))</f>
        <v/>
      </c>
      <c r="E212" s="12" t="str">
        <f>IF(A212="","",(MAX(B$3:B212)-B212)/MAX(B$3:B212))</f>
        <v/>
      </c>
      <c r="F212" s="12" t="str">
        <f>IF(A212="","",MAX(E$4:E212))</f>
        <v/>
      </c>
      <c r="H212" s="14" t="str">
        <f t="shared" si="13"/>
        <v/>
      </c>
      <c r="I212" s="14" t="str">
        <f t="shared" si="14"/>
        <v/>
      </c>
      <c r="J212" s="15" t="str">
        <f t="shared" si="15"/>
        <v/>
      </c>
    </row>
    <row r="213" spans="1:10">
      <c r="A213" s="7" t="str">
        <f>IF(子基金及业绩基准周净值!A244="","",子基金及业绩基准周净值!A244)</f>
        <v/>
      </c>
      <c r="B213" s="1" t="str">
        <f>IF(A213="","",VLOOKUP($A213,子基金及业绩基准周净值!$A:$AV,14))</f>
        <v/>
      </c>
      <c r="C213" s="8" t="str">
        <f t="shared" si="12"/>
        <v/>
      </c>
      <c r="D213" s="9" t="str">
        <f>IF(A213="","",C213-(子基金及业绩基准周净值!AH244/子基金及业绩基准周净值!AH243-1))</f>
        <v/>
      </c>
      <c r="E213" s="12" t="str">
        <f>IF(A213="","",(MAX(B$3:B213)-B213)/MAX(B$3:B213))</f>
        <v/>
      </c>
      <c r="F213" s="12" t="str">
        <f>IF(A213="","",MAX(E$4:E213))</f>
        <v/>
      </c>
      <c r="H213" s="14" t="str">
        <f t="shared" si="13"/>
        <v/>
      </c>
      <c r="I213" s="14" t="str">
        <f t="shared" si="14"/>
        <v/>
      </c>
      <c r="J213" s="15" t="str">
        <f t="shared" si="15"/>
        <v/>
      </c>
    </row>
    <row r="214" spans="1:10">
      <c r="A214" s="7" t="str">
        <f>IF(子基金及业绩基准周净值!A245="","",子基金及业绩基准周净值!A245)</f>
        <v/>
      </c>
      <c r="B214" s="1" t="str">
        <f>IF(A214="","",VLOOKUP($A214,子基金及业绩基准周净值!$A:$AV,14))</f>
        <v/>
      </c>
      <c r="C214" s="8" t="str">
        <f t="shared" si="12"/>
        <v/>
      </c>
      <c r="D214" s="9" t="str">
        <f>IF(A214="","",C214-(子基金及业绩基准周净值!AH245/子基金及业绩基准周净值!AH244-1))</f>
        <v/>
      </c>
      <c r="E214" s="12" t="str">
        <f>IF(A214="","",(MAX(B$3:B214)-B214)/MAX(B$3:B214))</f>
        <v/>
      </c>
      <c r="F214" s="12" t="str">
        <f>IF(A214="","",MAX(E$4:E214))</f>
        <v/>
      </c>
      <c r="H214" s="14" t="str">
        <f t="shared" si="13"/>
        <v/>
      </c>
      <c r="I214" s="14" t="str">
        <f t="shared" si="14"/>
        <v/>
      </c>
      <c r="J214" s="15" t="str">
        <f t="shared" si="15"/>
        <v/>
      </c>
    </row>
    <row r="215" spans="1:10">
      <c r="A215" s="7" t="str">
        <f>IF(子基金及业绩基准周净值!A246="","",子基金及业绩基准周净值!A246)</f>
        <v/>
      </c>
      <c r="B215" s="1" t="str">
        <f>IF(A215="","",VLOOKUP($A215,子基金及业绩基准周净值!$A:$AV,14))</f>
        <v/>
      </c>
      <c r="C215" s="8" t="str">
        <f t="shared" si="12"/>
        <v/>
      </c>
      <c r="D215" s="9" t="str">
        <f>IF(A215="","",C215-(子基金及业绩基准周净值!AH246/子基金及业绩基准周净值!AH245-1))</f>
        <v/>
      </c>
      <c r="E215" s="12" t="str">
        <f>IF(A215="","",(MAX(B$3:B215)-B215)/MAX(B$3:B215))</f>
        <v/>
      </c>
      <c r="F215" s="12" t="str">
        <f>IF(A215="","",MAX(E$4:E215))</f>
        <v/>
      </c>
      <c r="H215" s="14" t="str">
        <f t="shared" si="13"/>
        <v/>
      </c>
      <c r="I215" s="14" t="str">
        <f t="shared" si="14"/>
        <v/>
      </c>
      <c r="J215" s="15" t="str">
        <f t="shared" si="15"/>
        <v/>
      </c>
    </row>
    <row r="216" spans="1:10">
      <c r="A216" s="7" t="str">
        <f>IF(子基金及业绩基准周净值!A247="","",子基金及业绩基准周净值!A247)</f>
        <v/>
      </c>
      <c r="B216" s="1" t="str">
        <f>IF(A216="","",VLOOKUP($A216,子基金及业绩基准周净值!$A:$AV,14))</f>
        <v/>
      </c>
      <c r="C216" s="8" t="str">
        <f t="shared" si="12"/>
        <v/>
      </c>
      <c r="D216" s="9" t="str">
        <f>IF(A216="","",C216-(子基金及业绩基准周净值!AH247/子基金及业绩基准周净值!AH246-1))</f>
        <v/>
      </c>
      <c r="E216" s="12" t="str">
        <f>IF(A216="","",(MAX(B$3:B216)-B216)/MAX(B$3:B216))</f>
        <v/>
      </c>
      <c r="F216" s="12" t="str">
        <f>IF(A216="","",MAX(E$4:E216))</f>
        <v/>
      </c>
      <c r="H216" s="14" t="str">
        <f t="shared" si="13"/>
        <v/>
      </c>
      <c r="I216" s="14" t="str">
        <f t="shared" si="14"/>
        <v/>
      </c>
      <c r="J216" s="15" t="str">
        <f t="shared" si="15"/>
        <v/>
      </c>
    </row>
    <row r="217" spans="1:10">
      <c r="A217" s="7" t="str">
        <f>IF(子基金及业绩基准周净值!A248="","",子基金及业绩基准周净值!A248)</f>
        <v/>
      </c>
      <c r="B217" s="1" t="str">
        <f>IF(A217="","",VLOOKUP($A217,子基金及业绩基准周净值!$A:$AV,14))</f>
        <v/>
      </c>
      <c r="C217" s="8" t="str">
        <f t="shared" si="12"/>
        <v/>
      </c>
      <c r="D217" s="9" t="str">
        <f>IF(A217="","",C217-(子基金及业绩基准周净值!AH248/子基金及业绩基准周净值!AH247-1))</f>
        <v/>
      </c>
      <c r="E217" s="12" t="str">
        <f>IF(A217="","",(MAX(B$3:B217)-B217)/MAX(B$3:B217))</f>
        <v/>
      </c>
      <c r="F217" s="12" t="str">
        <f>IF(A217="","",MAX(E$4:E217))</f>
        <v/>
      </c>
      <c r="H217" s="14" t="str">
        <f t="shared" si="13"/>
        <v/>
      </c>
      <c r="I217" s="14" t="str">
        <f t="shared" si="14"/>
        <v/>
      </c>
      <c r="J217" s="15" t="str">
        <f t="shared" si="15"/>
        <v/>
      </c>
    </row>
    <row r="218" spans="1:10">
      <c r="A218" s="7" t="str">
        <f>IF(子基金及业绩基准周净值!A249="","",子基金及业绩基准周净值!A249)</f>
        <v/>
      </c>
      <c r="B218" s="1" t="str">
        <f>IF(A218="","",VLOOKUP($A218,子基金及业绩基准周净值!$A:$AV,14))</f>
        <v/>
      </c>
      <c r="C218" s="8" t="str">
        <f t="shared" si="12"/>
        <v/>
      </c>
      <c r="D218" s="9" t="str">
        <f>IF(A218="","",C218-(子基金及业绩基准周净值!AH249/子基金及业绩基准周净值!AH248-1))</f>
        <v/>
      </c>
      <c r="E218" s="12" t="str">
        <f>IF(A218="","",(MAX(B$3:B218)-B218)/MAX(B$3:B218))</f>
        <v/>
      </c>
      <c r="F218" s="12" t="str">
        <f>IF(A218="","",MAX(E$4:E218))</f>
        <v/>
      </c>
      <c r="H218" s="14" t="str">
        <f t="shared" si="13"/>
        <v/>
      </c>
      <c r="I218" s="14" t="str">
        <f t="shared" si="14"/>
        <v/>
      </c>
      <c r="J218" s="15" t="str">
        <f t="shared" si="15"/>
        <v/>
      </c>
    </row>
    <row r="219" spans="1:10">
      <c r="A219" s="7" t="str">
        <f>IF(子基金及业绩基准周净值!A250="","",子基金及业绩基准周净值!A250)</f>
        <v/>
      </c>
      <c r="B219" s="1" t="str">
        <f>IF(A219="","",VLOOKUP($A219,子基金及业绩基准周净值!$A:$AV,14))</f>
        <v/>
      </c>
      <c r="C219" s="8" t="str">
        <f t="shared" si="12"/>
        <v/>
      </c>
      <c r="D219" s="9" t="str">
        <f>IF(A219="","",C219-(子基金及业绩基准周净值!AH250/子基金及业绩基准周净值!AH249-1))</f>
        <v/>
      </c>
      <c r="E219" s="12" t="str">
        <f>IF(A219="","",(MAX(B$3:B219)-B219)/MAX(B$3:B219))</f>
        <v/>
      </c>
      <c r="F219" s="12" t="str">
        <f>IF(A219="","",MAX(E$4:E219))</f>
        <v/>
      </c>
      <c r="H219" s="14" t="str">
        <f t="shared" si="13"/>
        <v/>
      </c>
      <c r="I219" s="14" t="str">
        <f t="shared" si="14"/>
        <v/>
      </c>
      <c r="J219" s="15" t="str">
        <f t="shared" si="15"/>
        <v/>
      </c>
    </row>
    <row r="220" spans="1:10">
      <c r="A220" s="7" t="str">
        <f>IF(子基金及业绩基准周净值!A251="","",子基金及业绩基准周净值!A251)</f>
        <v/>
      </c>
      <c r="B220" s="1" t="str">
        <f>IF(A220="","",VLOOKUP($A220,子基金及业绩基准周净值!$A:$AV,14))</f>
        <v/>
      </c>
      <c r="C220" s="8" t="str">
        <f t="shared" si="12"/>
        <v/>
      </c>
      <c r="D220" s="9" t="str">
        <f>IF(A220="","",C220-(子基金及业绩基准周净值!AH251/子基金及业绩基准周净值!AH250-1))</f>
        <v/>
      </c>
      <c r="E220" s="12" t="str">
        <f>IF(A220="","",(MAX(B$3:B220)-B220)/MAX(B$3:B220))</f>
        <v/>
      </c>
      <c r="F220" s="12" t="str">
        <f>IF(A220="","",MAX(E$4:E220))</f>
        <v/>
      </c>
      <c r="H220" s="14" t="str">
        <f t="shared" si="13"/>
        <v/>
      </c>
      <c r="I220" s="14" t="str">
        <f t="shared" si="14"/>
        <v/>
      </c>
      <c r="J220" s="15" t="str">
        <f t="shared" si="15"/>
        <v/>
      </c>
    </row>
    <row r="221" spans="1:10">
      <c r="A221" s="7" t="str">
        <f>IF(子基金及业绩基准周净值!A252="","",子基金及业绩基准周净值!A252)</f>
        <v/>
      </c>
      <c r="B221" s="1" t="str">
        <f>IF(A221="","",VLOOKUP($A221,子基金及业绩基准周净值!$A:$AV,14))</f>
        <v/>
      </c>
      <c r="C221" s="8" t="str">
        <f t="shared" si="12"/>
        <v/>
      </c>
      <c r="D221" s="9" t="str">
        <f>IF(A221="","",C221-(子基金及业绩基准周净值!AH252/子基金及业绩基准周净值!AH251-1))</f>
        <v/>
      </c>
      <c r="E221" s="12" t="str">
        <f>IF(A221="","",(MAX(B$3:B221)-B221)/MAX(B$3:B221))</f>
        <v/>
      </c>
      <c r="F221" s="12" t="str">
        <f>IF(A221="","",MAX(E$4:E221))</f>
        <v/>
      </c>
      <c r="H221" s="14" t="str">
        <f t="shared" si="13"/>
        <v/>
      </c>
      <c r="I221" s="14" t="str">
        <f t="shared" si="14"/>
        <v/>
      </c>
      <c r="J221" s="15" t="str">
        <f t="shared" si="15"/>
        <v/>
      </c>
    </row>
    <row r="222" spans="1:10">
      <c r="A222" s="7" t="str">
        <f>IF(子基金及业绩基准周净值!A253="","",子基金及业绩基准周净值!A253)</f>
        <v/>
      </c>
      <c r="B222" s="1" t="str">
        <f>IF(A222="","",VLOOKUP($A222,子基金及业绩基准周净值!$A:$AV,14))</f>
        <v/>
      </c>
      <c r="C222" s="8" t="str">
        <f t="shared" si="12"/>
        <v/>
      </c>
      <c r="D222" s="9" t="str">
        <f>IF(A222="","",C222-(子基金及业绩基准周净值!AH253/子基金及业绩基准周净值!AH252-1))</f>
        <v/>
      </c>
      <c r="E222" s="12" t="str">
        <f>IF(A222="","",(MAX(B$3:B222)-B222)/MAX(B$3:B222))</f>
        <v/>
      </c>
      <c r="F222" s="12" t="str">
        <f>IF(A222="","",MAX(E$4:E222))</f>
        <v/>
      </c>
      <c r="H222" s="14" t="str">
        <f t="shared" si="13"/>
        <v/>
      </c>
      <c r="I222" s="14" t="str">
        <f t="shared" si="14"/>
        <v/>
      </c>
      <c r="J222" s="15" t="str">
        <f t="shared" si="15"/>
        <v/>
      </c>
    </row>
    <row r="223" spans="1:10">
      <c r="A223" s="7" t="str">
        <f>IF(子基金及业绩基准周净值!A254="","",子基金及业绩基准周净值!A254)</f>
        <v/>
      </c>
      <c r="B223" s="1" t="str">
        <f>IF(A223="","",VLOOKUP($A223,子基金及业绩基准周净值!$A:$AV,14))</f>
        <v/>
      </c>
      <c r="C223" s="8" t="str">
        <f t="shared" si="12"/>
        <v/>
      </c>
      <c r="D223" s="9" t="str">
        <f>IF(A223="","",C223-(子基金及业绩基准周净值!AH254/子基金及业绩基准周净值!AH253-1))</f>
        <v/>
      </c>
      <c r="E223" s="12" t="str">
        <f>IF(A223="","",(MAX(B$3:B223)-B223)/MAX(B$3:B223))</f>
        <v/>
      </c>
      <c r="F223" s="12" t="str">
        <f>IF(A223="","",MAX(E$4:E223))</f>
        <v/>
      </c>
      <c r="H223" s="14" t="str">
        <f t="shared" si="13"/>
        <v/>
      </c>
      <c r="I223" s="14" t="str">
        <f t="shared" si="14"/>
        <v/>
      </c>
      <c r="J223" s="15" t="str">
        <f t="shared" si="15"/>
        <v/>
      </c>
    </row>
    <row r="224" spans="1:10">
      <c r="A224" s="7" t="str">
        <f>IF(子基金及业绩基准周净值!A255="","",子基金及业绩基准周净值!A255)</f>
        <v/>
      </c>
      <c r="B224" s="1" t="str">
        <f>IF(A224="","",VLOOKUP($A224,子基金及业绩基准周净值!$A:$AV,14))</f>
        <v/>
      </c>
      <c r="C224" s="8" t="str">
        <f t="shared" si="12"/>
        <v/>
      </c>
      <c r="D224" s="9" t="str">
        <f>IF(A224="","",C224-(子基金及业绩基准周净值!AH255/子基金及业绩基准周净值!AH254-1))</f>
        <v/>
      </c>
      <c r="E224" s="12" t="str">
        <f>IF(A224="","",(MAX(B$3:B224)-B224)/MAX(B$3:B224))</f>
        <v/>
      </c>
      <c r="F224" s="12" t="str">
        <f>IF(A224="","",MAX(E$4:E224))</f>
        <v/>
      </c>
      <c r="H224" s="14" t="str">
        <f t="shared" si="13"/>
        <v/>
      </c>
      <c r="I224" s="14" t="str">
        <f t="shared" si="14"/>
        <v/>
      </c>
      <c r="J224" s="15" t="str">
        <f t="shared" si="15"/>
        <v/>
      </c>
    </row>
    <row r="225" spans="1:10">
      <c r="A225" s="7" t="str">
        <f>IF(子基金及业绩基准周净值!A256="","",子基金及业绩基准周净值!A256)</f>
        <v/>
      </c>
      <c r="B225" s="1" t="str">
        <f>IF(A225="","",VLOOKUP($A225,子基金及业绩基准周净值!$A:$AV,14))</f>
        <v/>
      </c>
      <c r="C225" s="8" t="str">
        <f t="shared" si="12"/>
        <v/>
      </c>
      <c r="D225" s="9" t="str">
        <f>IF(A225="","",C225-(子基金及业绩基准周净值!AH256/子基金及业绩基准周净值!AH255-1))</f>
        <v/>
      </c>
      <c r="E225" s="12" t="str">
        <f>IF(A225="","",(MAX(B$3:B225)-B225)/MAX(B$3:B225))</f>
        <v/>
      </c>
      <c r="F225" s="12" t="str">
        <f>IF(A225="","",MAX(E$4:E225))</f>
        <v/>
      </c>
      <c r="H225" s="14" t="str">
        <f t="shared" si="13"/>
        <v/>
      </c>
      <c r="I225" s="14" t="str">
        <f t="shared" si="14"/>
        <v/>
      </c>
      <c r="J225" s="15" t="str">
        <f t="shared" si="15"/>
        <v/>
      </c>
    </row>
    <row r="226" spans="1:10">
      <c r="A226" s="7" t="str">
        <f>IF(子基金及业绩基准周净值!A257="","",子基金及业绩基准周净值!A257)</f>
        <v/>
      </c>
      <c r="B226" s="1" t="str">
        <f>IF(A226="","",VLOOKUP($A226,子基金及业绩基准周净值!$A:$AV,14))</f>
        <v/>
      </c>
      <c r="C226" s="8" t="str">
        <f t="shared" si="12"/>
        <v/>
      </c>
      <c r="D226" s="9" t="str">
        <f>IF(A226="","",C226-(子基金及业绩基准周净值!AH257/子基金及业绩基准周净值!AH256-1))</f>
        <v/>
      </c>
      <c r="E226" s="12" t="str">
        <f>IF(A226="","",(MAX(B$3:B226)-B226)/MAX(B$3:B226))</f>
        <v/>
      </c>
      <c r="F226" s="12" t="str">
        <f>IF(A226="","",MAX(E$4:E226))</f>
        <v/>
      </c>
      <c r="H226" s="14" t="str">
        <f t="shared" si="13"/>
        <v/>
      </c>
      <c r="I226" s="14" t="str">
        <f t="shared" si="14"/>
        <v/>
      </c>
      <c r="J226" s="15" t="str">
        <f t="shared" si="15"/>
        <v/>
      </c>
    </row>
    <row r="227" spans="1:10">
      <c r="A227" s="7" t="str">
        <f>IF(子基金及业绩基准周净值!A258="","",子基金及业绩基准周净值!A258)</f>
        <v/>
      </c>
      <c r="B227" s="1" t="str">
        <f>IF(A227="","",VLOOKUP($A227,子基金及业绩基准周净值!$A:$AV,14))</f>
        <v/>
      </c>
      <c r="C227" s="8" t="str">
        <f t="shared" si="12"/>
        <v/>
      </c>
      <c r="D227" s="9" t="str">
        <f>IF(A227="","",C227-(子基金及业绩基准周净值!AH258/子基金及业绩基准周净值!AH257-1))</f>
        <v/>
      </c>
      <c r="E227" s="12" t="str">
        <f>IF(A227="","",(MAX(B$3:B227)-B227)/MAX(B$3:B227))</f>
        <v/>
      </c>
      <c r="F227" s="12" t="str">
        <f>IF(A227="","",MAX(E$4:E227))</f>
        <v/>
      </c>
      <c r="H227" s="14" t="str">
        <f t="shared" si="13"/>
        <v/>
      </c>
      <c r="I227" s="14" t="str">
        <f t="shared" si="14"/>
        <v/>
      </c>
      <c r="J227" s="15" t="str">
        <f t="shared" si="15"/>
        <v/>
      </c>
    </row>
    <row r="228" spans="1:10">
      <c r="A228" s="7" t="str">
        <f>IF(子基金及业绩基准周净值!A259="","",子基金及业绩基准周净值!A259)</f>
        <v/>
      </c>
      <c r="B228" s="1" t="str">
        <f>IF(A228="","",VLOOKUP($A228,子基金及业绩基准周净值!$A:$AV,14))</f>
        <v/>
      </c>
      <c r="C228" s="8" t="str">
        <f t="shared" si="12"/>
        <v/>
      </c>
      <c r="D228" s="9" t="str">
        <f>IF(A228="","",C228-(子基金及业绩基准周净值!AH259/子基金及业绩基准周净值!AH258-1))</f>
        <v/>
      </c>
      <c r="E228" s="12" t="str">
        <f>IF(A228="","",(MAX(B$3:B228)-B228)/MAX(B$3:B228))</f>
        <v/>
      </c>
      <c r="F228" s="12" t="str">
        <f>IF(A228="","",MAX(E$4:E228))</f>
        <v/>
      </c>
      <c r="H228" s="14" t="str">
        <f t="shared" si="13"/>
        <v/>
      </c>
      <c r="I228" s="14" t="str">
        <f t="shared" si="14"/>
        <v/>
      </c>
      <c r="J228" s="15" t="str">
        <f t="shared" si="15"/>
        <v/>
      </c>
    </row>
    <row r="229" spans="1:10">
      <c r="A229" s="7" t="str">
        <f>IF(子基金及业绩基准周净值!A260="","",子基金及业绩基准周净值!A260)</f>
        <v/>
      </c>
      <c r="B229" s="1" t="str">
        <f>IF(A229="","",VLOOKUP($A229,子基金及业绩基准周净值!$A:$AV,14))</f>
        <v/>
      </c>
      <c r="C229" s="8" t="str">
        <f t="shared" si="12"/>
        <v/>
      </c>
      <c r="D229" s="9" t="str">
        <f>IF(A229="","",C229-(子基金及业绩基准周净值!AH260/子基金及业绩基准周净值!AH259-1))</f>
        <v/>
      </c>
      <c r="E229" s="12" t="str">
        <f>IF(A229="","",(MAX(B$3:B229)-B229)/MAX(B$3:B229))</f>
        <v/>
      </c>
      <c r="F229" s="12" t="str">
        <f>IF(A229="","",MAX(E$4:E229))</f>
        <v/>
      </c>
      <c r="H229" s="14" t="str">
        <f t="shared" si="13"/>
        <v/>
      </c>
      <c r="I229" s="14" t="str">
        <f t="shared" si="14"/>
        <v/>
      </c>
      <c r="J229" s="15" t="str">
        <f t="shared" si="15"/>
        <v/>
      </c>
    </row>
    <row r="230" spans="1:10">
      <c r="A230" s="7" t="str">
        <f>IF(子基金及业绩基准周净值!A261="","",子基金及业绩基准周净值!A261)</f>
        <v/>
      </c>
      <c r="B230" s="1" t="str">
        <f>IF(A230="","",VLOOKUP($A230,子基金及业绩基准周净值!$A:$AV,14))</f>
        <v/>
      </c>
      <c r="C230" s="8" t="str">
        <f t="shared" si="12"/>
        <v/>
      </c>
      <c r="D230" s="9" t="str">
        <f>IF(A230="","",C230-(子基金及业绩基准周净值!AH261/子基金及业绩基准周净值!AH260-1))</f>
        <v/>
      </c>
      <c r="E230" s="12" t="str">
        <f>IF(A230="","",(MAX(B$3:B230)-B230)/MAX(B$3:B230))</f>
        <v/>
      </c>
      <c r="F230" s="12" t="str">
        <f>IF(A230="","",MAX(E$4:E230))</f>
        <v/>
      </c>
      <c r="H230" s="14" t="str">
        <f t="shared" si="13"/>
        <v/>
      </c>
      <c r="I230" s="14" t="str">
        <f t="shared" si="14"/>
        <v/>
      </c>
      <c r="J230" s="15" t="str">
        <f t="shared" si="15"/>
        <v/>
      </c>
    </row>
    <row r="231" spans="1:10">
      <c r="A231" s="7" t="str">
        <f>IF(子基金及业绩基准周净值!A262="","",子基金及业绩基准周净值!A262)</f>
        <v/>
      </c>
      <c r="B231" s="1" t="str">
        <f>IF(A231="","",VLOOKUP($A231,子基金及业绩基准周净值!$A:$AV,14))</f>
        <v/>
      </c>
      <c r="C231" s="8" t="str">
        <f t="shared" si="12"/>
        <v/>
      </c>
      <c r="D231" s="9" t="str">
        <f>IF(A231="","",C231-(子基金及业绩基准周净值!AH262/子基金及业绩基准周净值!AH261-1))</f>
        <v/>
      </c>
      <c r="E231" s="12" t="str">
        <f>IF(A231="","",(MAX(B$3:B231)-B231)/MAX(B$3:B231))</f>
        <v/>
      </c>
      <c r="F231" s="12" t="str">
        <f>IF(A231="","",MAX(E$4:E231))</f>
        <v/>
      </c>
      <c r="H231" s="14" t="str">
        <f t="shared" si="13"/>
        <v/>
      </c>
      <c r="I231" s="14" t="str">
        <f t="shared" si="14"/>
        <v/>
      </c>
      <c r="J231" s="15" t="str">
        <f t="shared" si="15"/>
        <v/>
      </c>
    </row>
    <row r="232" spans="1:10">
      <c r="A232" s="7" t="str">
        <f>IF(子基金及业绩基准周净值!A263="","",子基金及业绩基准周净值!A263)</f>
        <v/>
      </c>
      <c r="B232" s="1" t="str">
        <f>IF(A232="","",VLOOKUP($A232,子基金及业绩基准周净值!$A:$AV,14))</f>
        <v/>
      </c>
      <c r="C232" s="8" t="str">
        <f t="shared" si="12"/>
        <v/>
      </c>
      <c r="D232" s="9" t="str">
        <f>IF(A232="","",C232-(子基金及业绩基准周净值!AH263/子基金及业绩基准周净值!AH262-1))</f>
        <v/>
      </c>
      <c r="E232" s="12" t="str">
        <f>IF(A232="","",(MAX(B$3:B232)-B232)/MAX(B$3:B232))</f>
        <v/>
      </c>
      <c r="F232" s="12" t="str">
        <f>IF(A232="","",MAX(E$4:E232))</f>
        <v/>
      </c>
      <c r="H232" s="14" t="str">
        <f t="shared" si="13"/>
        <v/>
      </c>
      <c r="I232" s="14" t="str">
        <f t="shared" si="14"/>
        <v/>
      </c>
      <c r="J232" s="15" t="str">
        <f t="shared" si="15"/>
        <v/>
      </c>
    </row>
    <row r="233" spans="1:10">
      <c r="A233" s="7" t="str">
        <f>IF(子基金及业绩基准周净值!A264="","",子基金及业绩基准周净值!A264)</f>
        <v/>
      </c>
      <c r="B233" s="1" t="str">
        <f>IF(A233="","",VLOOKUP($A233,子基金及业绩基准周净值!$A:$AV,14))</f>
        <v/>
      </c>
      <c r="C233" s="8" t="str">
        <f t="shared" si="12"/>
        <v/>
      </c>
      <c r="D233" s="9" t="str">
        <f>IF(A233="","",C233-(子基金及业绩基准周净值!AH264/子基金及业绩基准周净值!AH263-1))</f>
        <v/>
      </c>
      <c r="E233" s="12" t="str">
        <f>IF(A233="","",(MAX(B$3:B233)-B233)/MAX(B$3:B233))</f>
        <v/>
      </c>
      <c r="F233" s="12" t="str">
        <f>IF(A233="","",MAX(E$4:E233))</f>
        <v/>
      </c>
      <c r="H233" s="14" t="str">
        <f t="shared" si="13"/>
        <v/>
      </c>
      <c r="I233" s="14" t="str">
        <f t="shared" si="14"/>
        <v/>
      </c>
      <c r="J233" s="15" t="str">
        <f t="shared" si="15"/>
        <v/>
      </c>
    </row>
    <row r="234" spans="1:10">
      <c r="A234" s="7" t="str">
        <f>IF(子基金及业绩基准周净值!A265="","",子基金及业绩基准周净值!A265)</f>
        <v/>
      </c>
      <c r="B234" s="1" t="str">
        <f>IF(A234="","",VLOOKUP($A234,子基金及业绩基准周净值!$A:$AV,14))</f>
        <v/>
      </c>
      <c r="C234" s="8" t="str">
        <f t="shared" si="12"/>
        <v/>
      </c>
      <c r="D234" s="9" t="str">
        <f>IF(A234="","",C234-(子基金及业绩基准周净值!AH265/子基金及业绩基准周净值!AH264-1))</f>
        <v/>
      </c>
      <c r="E234" s="12" t="str">
        <f>IF(A234="","",(MAX(B$3:B234)-B234)/MAX(B$3:B234))</f>
        <v/>
      </c>
      <c r="F234" s="12" t="str">
        <f>IF(A234="","",MAX(E$4:E234))</f>
        <v/>
      </c>
      <c r="H234" s="14" t="str">
        <f t="shared" si="13"/>
        <v/>
      </c>
      <c r="I234" s="14" t="str">
        <f t="shared" si="14"/>
        <v/>
      </c>
      <c r="J234" s="15" t="str">
        <f t="shared" si="15"/>
        <v/>
      </c>
    </row>
    <row r="235" spans="1:10">
      <c r="A235" s="7" t="str">
        <f>IF(子基金及业绩基准周净值!A266="","",子基金及业绩基准周净值!A266)</f>
        <v/>
      </c>
      <c r="B235" s="1" t="str">
        <f>IF(A235="","",VLOOKUP($A235,子基金及业绩基准周净值!$A:$AV,14))</f>
        <v/>
      </c>
      <c r="C235" s="8" t="str">
        <f t="shared" si="12"/>
        <v/>
      </c>
      <c r="D235" s="9" t="str">
        <f>IF(A235="","",C235-(子基金及业绩基准周净值!AH266/子基金及业绩基准周净值!AH265-1))</f>
        <v/>
      </c>
      <c r="E235" s="12" t="str">
        <f>IF(A235="","",(MAX(B$3:B235)-B235)/MAX(B$3:B235))</f>
        <v/>
      </c>
      <c r="F235" s="12" t="str">
        <f>IF(A235="","",MAX(E$4:E235))</f>
        <v/>
      </c>
      <c r="H235" s="14" t="str">
        <f t="shared" si="13"/>
        <v/>
      </c>
      <c r="I235" s="14" t="str">
        <f t="shared" si="14"/>
        <v/>
      </c>
      <c r="J235" s="15" t="str">
        <f t="shared" si="15"/>
        <v/>
      </c>
    </row>
    <row r="236" spans="1:10">
      <c r="A236" s="7" t="str">
        <f>IF(子基金及业绩基准周净值!A267="","",子基金及业绩基准周净值!A267)</f>
        <v/>
      </c>
      <c r="B236" s="1" t="str">
        <f>IF(A236="","",VLOOKUP($A236,子基金及业绩基准周净值!$A:$AV,14))</f>
        <v/>
      </c>
      <c r="C236" s="8" t="str">
        <f t="shared" si="12"/>
        <v/>
      </c>
      <c r="D236" s="9" t="str">
        <f>IF(A236="","",C236-(子基金及业绩基准周净值!AH267/子基金及业绩基准周净值!AH266-1))</f>
        <v/>
      </c>
      <c r="E236" s="12" t="str">
        <f>IF(A236="","",(MAX(B$3:B236)-B236)/MAX(B$3:B236))</f>
        <v/>
      </c>
      <c r="F236" s="12" t="str">
        <f>IF(A236="","",MAX(E$4:E236))</f>
        <v/>
      </c>
      <c r="H236" s="14" t="str">
        <f t="shared" si="13"/>
        <v/>
      </c>
      <c r="I236" s="14" t="str">
        <f t="shared" si="14"/>
        <v/>
      </c>
      <c r="J236" s="15" t="str">
        <f t="shared" si="15"/>
        <v/>
      </c>
    </row>
    <row r="237" spans="1:10">
      <c r="A237" s="7" t="str">
        <f>IF(子基金及业绩基准周净值!A268="","",子基金及业绩基准周净值!A268)</f>
        <v/>
      </c>
      <c r="B237" s="1" t="str">
        <f>IF(A237="","",VLOOKUP($A237,子基金及业绩基准周净值!$A:$AV,14))</f>
        <v/>
      </c>
      <c r="C237" s="8" t="str">
        <f t="shared" si="12"/>
        <v/>
      </c>
      <c r="D237" s="9" t="str">
        <f>IF(A237="","",C237-(子基金及业绩基准周净值!AH268/子基金及业绩基准周净值!AH267-1))</f>
        <v/>
      </c>
      <c r="E237" s="12" t="str">
        <f>IF(A237="","",(MAX(B$3:B237)-B237)/MAX(B$3:B237))</f>
        <v/>
      </c>
      <c r="F237" s="12" t="str">
        <f>IF(A237="","",MAX(E$4:E237))</f>
        <v/>
      </c>
      <c r="H237" s="14" t="str">
        <f t="shared" si="13"/>
        <v/>
      </c>
      <c r="I237" s="14" t="str">
        <f t="shared" si="14"/>
        <v/>
      </c>
      <c r="J237" s="15" t="str">
        <f t="shared" si="15"/>
        <v/>
      </c>
    </row>
    <row r="238" spans="1:10">
      <c r="A238" s="7" t="str">
        <f>IF(子基金及业绩基准周净值!A269="","",子基金及业绩基准周净值!A269)</f>
        <v/>
      </c>
      <c r="B238" s="1" t="str">
        <f>IF(A238="","",VLOOKUP($A238,子基金及业绩基准周净值!$A:$AV,14))</f>
        <v/>
      </c>
      <c r="C238" s="8" t="str">
        <f t="shared" si="12"/>
        <v/>
      </c>
      <c r="D238" s="9" t="str">
        <f>IF(A238="","",C238-(子基金及业绩基准周净值!AH269/子基金及业绩基准周净值!AH268-1))</f>
        <v/>
      </c>
      <c r="E238" s="12" t="str">
        <f>IF(A238="","",(MAX(B$3:B238)-B238)/MAX(B$3:B238))</f>
        <v/>
      </c>
      <c r="F238" s="12" t="str">
        <f>IF(A238="","",MAX(E$4:E238))</f>
        <v/>
      </c>
      <c r="H238" s="14" t="str">
        <f t="shared" si="13"/>
        <v/>
      </c>
      <c r="I238" s="14" t="str">
        <f t="shared" si="14"/>
        <v/>
      </c>
      <c r="J238" s="15" t="str">
        <f t="shared" si="15"/>
        <v/>
      </c>
    </row>
    <row r="239" spans="1:10">
      <c r="A239" s="7" t="str">
        <f>IF(子基金及业绩基准周净值!A270="","",子基金及业绩基准周净值!A270)</f>
        <v/>
      </c>
      <c r="B239" s="1" t="str">
        <f>IF(A239="","",VLOOKUP($A239,子基金及业绩基准周净值!$A:$AV,14))</f>
        <v/>
      </c>
      <c r="C239" s="8" t="str">
        <f t="shared" si="12"/>
        <v/>
      </c>
      <c r="D239" s="9" t="str">
        <f>IF(A239="","",C239-(子基金及业绩基准周净值!AH270/子基金及业绩基准周净值!AH269-1))</f>
        <v/>
      </c>
      <c r="E239" s="12" t="str">
        <f>IF(A239="","",(MAX(B$3:B239)-B239)/MAX(B$3:B239))</f>
        <v/>
      </c>
      <c r="F239" s="12" t="str">
        <f>IF(A239="","",MAX(E$4:E239))</f>
        <v/>
      </c>
      <c r="H239" s="14" t="str">
        <f t="shared" si="13"/>
        <v/>
      </c>
      <c r="I239" s="14" t="str">
        <f t="shared" si="14"/>
        <v/>
      </c>
      <c r="J239" s="15" t="str">
        <f t="shared" si="15"/>
        <v/>
      </c>
    </row>
    <row r="240" spans="1:10">
      <c r="A240" s="7" t="str">
        <f>IF(子基金及业绩基准周净值!A271="","",子基金及业绩基准周净值!A271)</f>
        <v/>
      </c>
      <c r="B240" s="1" t="str">
        <f>IF(A240="","",VLOOKUP($A240,子基金及业绩基准周净值!$A:$AV,14))</f>
        <v/>
      </c>
      <c r="C240" s="8" t="str">
        <f t="shared" si="12"/>
        <v/>
      </c>
      <c r="D240" s="9" t="str">
        <f>IF(A240="","",C240-(子基金及业绩基准周净值!AH271/子基金及业绩基准周净值!AH270-1))</f>
        <v/>
      </c>
      <c r="E240" s="12" t="str">
        <f>IF(A240="","",(MAX(B$3:B240)-B240)/MAX(B$3:B240))</f>
        <v/>
      </c>
      <c r="F240" s="12" t="str">
        <f>IF(A240="","",MAX(E$4:E240))</f>
        <v/>
      </c>
      <c r="H240" s="14" t="str">
        <f t="shared" si="13"/>
        <v/>
      </c>
      <c r="I240" s="14" t="str">
        <f t="shared" si="14"/>
        <v/>
      </c>
      <c r="J240" s="15" t="str">
        <f t="shared" si="15"/>
        <v/>
      </c>
    </row>
    <row r="241" spans="1:10">
      <c r="A241" s="7" t="str">
        <f>IF(子基金及业绩基准周净值!A272="","",子基金及业绩基准周净值!A272)</f>
        <v/>
      </c>
      <c r="B241" s="1" t="str">
        <f>IF(A241="","",VLOOKUP($A241,子基金及业绩基准周净值!$A:$AV,14))</f>
        <v/>
      </c>
      <c r="C241" s="8" t="str">
        <f t="shared" si="12"/>
        <v/>
      </c>
      <c r="D241" s="9" t="str">
        <f>IF(A241="","",C241-(子基金及业绩基准周净值!AH272/子基金及业绩基准周净值!AH271-1))</f>
        <v/>
      </c>
      <c r="E241" s="12" t="str">
        <f>IF(A241="","",(MAX(B$3:B241)-B241)/MAX(B$3:B241))</f>
        <v/>
      </c>
      <c r="F241" s="12" t="str">
        <f>IF(A241="","",MAX(E$4:E241))</f>
        <v/>
      </c>
      <c r="H241" s="14" t="str">
        <f t="shared" si="13"/>
        <v/>
      </c>
      <c r="I241" s="14" t="str">
        <f t="shared" si="14"/>
        <v/>
      </c>
      <c r="J241" s="15" t="str">
        <f t="shared" si="15"/>
        <v/>
      </c>
    </row>
    <row r="242" spans="1:10">
      <c r="A242" s="7" t="str">
        <f>IF(子基金及业绩基准周净值!A273="","",子基金及业绩基准周净值!A273)</f>
        <v/>
      </c>
      <c r="B242" s="1" t="str">
        <f>IF(A242="","",VLOOKUP($A242,子基金及业绩基准周净值!$A:$AV,14))</f>
        <v/>
      </c>
      <c r="C242" s="8" t="str">
        <f t="shared" si="12"/>
        <v/>
      </c>
      <c r="D242" s="9" t="str">
        <f>IF(A242="","",C242-(子基金及业绩基准周净值!AH273/子基金及业绩基准周净值!AH272-1))</f>
        <v/>
      </c>
      <c r="E242" s="12" t="str">
        <f>IF(A242="","",(MAX(B$3:B242)-B242)/MAX(B$3:B242))</f>
        <v/>
      </c>
      <c r="F242" s="12" t="str">
        <f>IF(A242="","",MAX(E$4:E242))</f>
        <v/>
      </c>
      <c r="H242" s="14" t="str">
        <f t="shared" si="13"/>
        <v/>
      </c>
      <c r="I242" s="14" t="str">
        <f t="shared" si="14"/>
        <v/>
      </c>
      <c r="J242" s="15" t="str">
        <f t="shared" si="15"/>
        <v/>
      </c>
    </row>
    <row r="243" spans="1:10">
      <c r="A243" s="7" t="str">
        <f>IF(子基金及业绩基准周净值!A274="","",子基金及业绩基准周净值!A274)</f>
        <v/>
      </c>
      <c r="B243" s="1" t="str">
        <f>IF(A243="","",VLOOKUP($A243,子基金及业绩基准周净值!$A:$AV,14))</f>
        <v/>
      </c>
      <c r="C243" s="8" t="str">
        <f t="shared" si="12"/>
        <v/>
      </c>
      <c r="D243" s="9" t="str">
        <f>IF(A243="","",C243-(子基金及业绩基准周净值!AH274/子基金及业绩基准周净值!AH273-1))</f>
        <v/>
      </c>
      <c r="E243" s="12" t="str">
        <f>IF(A243="","",(MAX(B$3:B243)-B243)/MAX(B$3:B243))</f>
        <v/>
      </c>
      <c r="F243" s="12" t="str">
        <f>IF(A243="","",MAX(E$4:E243))</f>
        <v/>
      </c>
      <c r="H243" s="14" t="str">
        <f t="shared" si="13"/>
        <v/>
      </c>
      <c r="I243" s="14" t="str">
        <f t="shared" si="14"/>
        <v/>
      </c>
      <c r="J243" s="15" t="str">
        <f t="shared" si="15"/>
        <v/>
      </c>
    </row>
    <row r="244" spans="1:10">
      <c r="A244" s="7" t="str">
        <f>IF(子基金及业绩基准周净值!A275="","",子基金及业绩基准周净值!A275)</f>
        <v/>
      </c>
      <c r="B244" s="1" t="str">
        <f>IF(A244="","",VLOOKUP($A244,子基金及业绩基准周净值!$A:$AV,14))</f>
        <v/>
      </c>
      <c r="C244" s="8" t="str">
        <f t="shared" si="12"/>
        <v/>
      </c>
      <c r="D244" s="9" t="str">
        <f>IF(A244="","",C244-(子基金及业绩基准周净值!AH275/子基金及业绩基准周净值!AH274-1))</f>
        <v/>
      </c>
      <c r="E244" s="12" t="str">
        <f>IF(A244="","",(MAX(B$3:B244)-B244)/MAX(B$3:B244))</f>
        <v/>
      </c>
      <c r="F244" s="12" t="str">
        <f>IF(A244="","",MAX(E$4:E244))</f>
        <v/>
      </c>
      <c r="H244" s="14" t="str">
        <f t="shared" si="13"/>
        <v/>
      </c>
      <c r="I244" s="14" t="str">
        <f t="shared" si="14"/>
        <v/>
      </c>
      <c r="J244" s="15" t="str">
        <f t="shared" si="15"/>
        <v/>
      </c>
    </row>
    <row r="245" spans="1:10">
      <c r="A245" s="7" t="str">
        <f>IF(子基金及业绩基准周净值!A276="","",子基金及业绩基准周净值!A276)</f>
        <v/>
      </c>
      <c r="B245" s="1" t="str">
        <f>IF(A245="","",VLOOKUP($A245,子基金及业绩基准周净值!$A:$AV,14))</f>
        <v/>
      </c>
      <c r="C245" s="8" t="str">
        <f t="shared" si="12"/>
        <v/>
      </c>
      <c r="D245" s="9" t="str">
        <f>IF(A245="","",C245-(子基金及业绩基准周净值!AH276/子基金及业绩基准周净值!AH275-1))</f>
        <v/>
      </c>
      <c r="E245" s="12" t="str">
        <f>IF(A245="","",(MAX(B$3:B245)-B245)/MAX(B$3:B245))</f>
        <v/>
      </c>
      <c r="F245" s="12" t="str">
        <f>IF(A245="","",MAX(E$4:E245))</f>
        <v/>
      </c>
      <c r="H245" s="14" t="str">
        <f t="shared" si="13"/>
        <v/>
      </c>
      <c r="I245" s="14" t="str">
        <f t="shared" si="14"/>
        <v/>
      </c>
      <c r="J245" s="15" t="str">
        <f t="shared" si="15"/>
        <v/>
      </c>
    </row>
    <row r="246" spans="1:10">
      <c r="A246" s="7" t="str">
        <f>IF(子基金及业绩基准周净值!A277="","",子基金及业绩基准周净值!A277)</f>
        <v/>
      </c>
      <c r="B246" s="1" t="str">
        <f>IF(A246="","",VLOOKUP($A246,子基金及业绩基准周净值!$A:$AV,14))</f>
        <v/>
      </c>
      <c r="C246" s="8" t="str">
        <f t="shared" si="12"/>
        <v/>
      </c>
      <c r="D246" s="9" t="str">
        <f>IF(A246="","",C246-(子基金及业绩基准周净值!AH277/子基金及业绩基准周净值!AH276-1))</f>
        <v/>
      </c>
      <c r="E246" s="12" t="str">
        <f>IF(A246="","",(MAX(B$3:B246)-B246)/MAX(B$3:B246))</f>
        <v/>
      </c>
      <c r="F246" s="12" t="str">
        <f>IF(A246="","",MAX(E$4:E246))</f>
        <v/>
      </c>
      <c r="H246" s="14" t="str">
        <f t="shared" si="13"/>
        <v/>
      </c>
      <c r="I246" s="14" t="str">
        <f t="shared" si="14"/>
        <v/>
      </c>
      <c r="J246" s="15" t="str">
        <f t="shared" si="15"/>
        <v/>
      </c>
    </row>
    <row r="247" spans="1:10">
      <c r="A247" s="7" t="str">
        <f>IF(子基金及业绩基准周净值!A278="","",子基金及业绩基准周净值!A278)</f>
        <v/>
      </c>
      <c r="B247" s="1" t="str">
        <f>IF(A247="","",VLOOKUP($A247,子基金及业绩基准周净值!$A:$AV,14))</f>
        <v/>
      </c>
      <c r="C247" s="8" t="str">
        <f t="shared" si="12"/>
        <v/>
      </c>
      <c r="D247" s="9" t="str">
        <f>IF(A247="","",C247-(子基金及业绩基准周净值!AH278/子基金及业绩基准周净值!AH277-1))</f>
        <v/>
      </c>
      <c r="E247" s="12" t="str">
        <f>IF(A247="","",(MAX(B$3:B247)-B247)/MAX(B$3:B247))</f>
        <v/>
      </c>
      <c r="F247" s="12" t="str">
        <f>IF(A247="","",MAX(E$4:E247))</f>
        <v/>
      </c>
      <c r="H247" s="14" t="str">
        <f t="shared" si="13"/>
        <v/>
      </c>
      <c r="I247" s="14" t="str">
        <f t="shared" si="14"/>
        <v/>
      </c>
      <c r="J247" s="15" t="str">
        <f t="shared" si="15"/>
        <v/>
      </c>
    </row>
    <row r="248" spans="1:10">
      <c r="A248" s="7" t="str">
        <f>IF(子基金及业绩基准周净值!A279="","",子基金及业绩基准周净值!A279)</f>
        <v/>
      </c>
      <c r="B248" s="1" t="str">
        <f>IF(A248="","",VLOOKUP($A248,子基金及业绩基准周净值!$A:$AV,14))</f>
        <v/>
      </c>
      <c r="C248" s="8" t="str">
        <f t="shared" si="12"/>
        <v/>
      </c>
      <c r="D248" s="9" t="str">
        <f>IF(A248="","",C248-(子基金及业绩基准周净值!AH279/子基金及业绩基准周净值!AH278-1))</f>
        <v/>
      </c>
      <c r="E248" s="12" t="str">
        <f>IF(A248="","",(MAX(B$3:B248)-B248)/MAX(B$3:B248))</f>
        <v/>
      </c>
      <c r="F248" s="12" t="str">
        <f>IF(A248="","",MAX(E$4:E248))</f>
        <v/>
      </c>
      <c r="H248" s="14" t="str">
        <f t="shared" si="13"/>
        <v/>
      </c>
      <c r="I248" s="14" t="str">
        <f t="shared" si="14"/>
        <v/>
      </c>
      <c r="J248" s="15" t="str">
        <f t="shared" si="15"/>
        <v/>
      </c>
    </row>
    <row r="249" spans="1:10">
      <c r="A249" s="7" t="str">
        <f>IF(子基金及业绩基准周净值!A280="","",子基金及业绩基准周净值!A280)</f>
        <v/>
      </c>
      <c r="B249" s="1" t="str">
        <f>IF(A249="","",VLOOKUP($A249,子基金及业绩基准周净值!$A:$AV,14))</f>
        <v/>
      </c>
      <c r="C249" s="8" t="str">
        <f t="shared" si="12"/>
        <v/>
      </c>
      <c r="D249" s="9" t="str">
        <f>IF(A249="","",C249-(子基金及业绩基准周净值!AH280/子基金及业绩基准周净值!AH279-1))</f>
        <v/>
      </c>
      <c r="E249" s="12" t="str">
        <f>IF(A249="","",(MAX(B$3:B249)-B249)/MAX(B$3:B249))</f>
        <v/>
      </c>
      <c r="F249" s="12" t="str">
        <f>IF(A249="","",MAX(E$4:E249))</f>
        <v/>
      </c>
      <c r="H249" s="14" t="str">
        <f t="shared" si="13"/>
        <v/>
      </c>
      <c r="I249" s="14" t="str">
        <f t="shared" si="14"/>
        <v/>
      </c>
      <c r="J249" s="15" t="str">
        <f t="shared" si="15"/>
        <v/>
      </c>
    </row>
    <row r="250" spans="1:10">
      <c r="A250" s="7" t="str">
        <f>IF(子基金及业绩基准周净值!A281="","",子基金及业绩基准周净值!A281)</f>
        <v/>
      </c>
      <c r="B250" s="1" t="str">
        <f>IF(A250="","",VLOOKUP($A250,子基金及业绩基准周净值!$A:$AV,14))</f>
        <v/>
      </c>
      <c r="C250" s="8" t="str">
        <f t="shared" si="12"/>
        <v/>
      </c>
      <c r="D250" s="9" t="str">
        <f>IF(A250="","",C250-(子基金及业绩基准周净值!AH281/子基金及业绩基准周净值!AH280-1))</f>
        <v/>
      </c>
      <c r="E250" s="12" t="str">
        <f>IF(A250="","",(MAX(B$3:B250)-B250)/MAX(B$3:B250))</f>
        <v/>
      </c>
      <c r="F250" s="12" t="str">
        <f>IF(A250="","",MAX(E$4:E250))</f>
        <v/>
      </c>
      <c r="H250" s="14" t="str">
        <f t="shared" si="13"/>
        <v/>
      </c>
      <c r="I250" s="14" t="str">
        <f t="shared" si="14"/>
        <v/>
      </c>
      <c r="J250" s="15" t="str">
        <f t="shared" si="15"/>
        <v/>
      </c>
    </row>
    <row r="251" spans="1:10">
      <c r="A251" s="7" t="str">
        <f>IF(子基金及业绩基准周净值!A282="","",子基金及业绩基准周净值!A282)</f>
        <v/>
      </c>
      <c r="B251" s="1" t="str">
        <f>IF(A251="","",VLOOKUP($A251,子基金及业绩基准周净值!$A:$AV,14))</f>
        <v/>
      </c>
      <c r="C251" s="8" t="str">
        <f t="shared" si="12"/>
        <v/>
      </c>
      <c r="D251" s="9" t="str">
        <f>IF(A251="","",C251-(子基金及业绩基准周净值!AH282/子基金及业绩基准周净值!AH281-1))</f>
        <v/>
      </c>
      <c r="E251" s="12" t="str">
        <f>IF(A251="","",(MAX(B$3:B251)-B251)/MAX(B$3:B251))</f>
        <v/>
      </c>
      <c r="F251" s="12" t="str">
        <f>IF(A251="","",MAX(E$4:E251))</f>
        <v/>
      </c>
      <c r="H251" s="14" t="str">
        <f t="shared" si="13"/>
        <v/>
      </c>
      <c r="I251" s="14" t="str">
        <f t="shared" si="14"/>
        <v/>
      </c>
      <c r="J251" s="15" t="str">
        <f t="shared" si="15"/>
        <v/>
      </c>
    </row>
    <row r="252" spans="1:10">
      <c r="A252" s="7" t="str">
        <f>IF(子基金及业绩基准周净值!A283="","",子基金及业绩基准周净值!A283)</f>
        <v/>
      </c>
      <c r="B252" s="1" t="str">
        <f>IF(A252="","",VLOOKUP($A252,子基金及业绩基准周净值!$A:$AV,14))</f>
        <v/>
      </c>
      <c r="C252" s="8" t="str">
        <f t="shared" si="12"/>
        <v/>
      </c>
      <c r="D252" s="9" t="str">
        <f>IF(A252="","",C252-(子基金及业绩基准周净值!AH283/子基金及业绩基准周净值!AH282-1))</f>
        <v/>
      </c>
      <c r="E252" s="12" t="str">
        <f>IF(A252="","",(MAX(B$3:B252)-B252)/MAX(B$3:B252))</f>
        <v/>
      </c>
      <c r="F252" s="12" t="str">
        <f>IF(A252="","",MAX(E$4:E252))</f>
        <v/>
      </c>
      <c r="H252" s="14" t="str">
        <f t="shared" si="13"/>
        <v/>
      </c>
      <c r="I252" s="14" t="str">
        <f t="shared" si="14"/>
        <v/>
      </c>
      <c r="J252" s="15" t="str">
        <f t="shared" si="15"/>
        <v/>
      </c>
    </row>
    <row r="253" spans="1:10">
      <c r="A253" s="7" t="str">
        <f>IF(子基金及业绩基准周净值!A284="","",子基金及业绩基准周净值!A284)</f>
        <v/>
      </c>
      <c r="B253" s="1" t="str">
        <f>IF(A253="","",VLOOKUP($A253,子基金及业绩基准周净值!$A:$AV,14))</f>
        <v/>
      </c>
      <c r="C253" s="8" t="str">
        <f t="shared" si="12"/>
        <v/>
      </c>
      <c r="D253" s="9" t="str">
        <f>IF(A253="","",C253-(子基金及业绩基准周净值!AH284/子基金及业绩基准周净值!AH283-1))</f>
        <v/>
      </c>
      <c r="E253" s="12" t="str">
        <f>IF(A253="","",(MAX(B$3:B253)-B253)/MAX(B$3:B253))</f>
        <v/>
      </c>
      <c r="F253" s="12" t="str">
        <f>IF(A253="","",MAX(E$4:E253))</f>
        <v/>
      </c>
      <c r="H253" s="14" t="str">
        <f t="shared" si="13"/>
        <v/>
      </c>
      <c r="I253" s="14" t="str">
        <f t="shared" si="14"/>
        <v/>
      </c>
      <c r="J253" s="15" t="str">
        <f t="shared" si="15"/>
        <v/>
      </c>
    </row>
    <row r="254" spans="1:10">
      <c r="A254" s="7" t="str">
        <f>IF(子基金及业绩基准周净值!A285="","",子基金及业绩基准周净值!A285)</f>
        <v/>
      </c>
      <c r="B254" s="1" t="str">
        <f>IF(A254="","",VLOOKUP($A254,子基金及业绩基准周净值!$A:$AV,14))</f>
        <v/>
      </c>
      <c r="C254" s="8" t="str">
        <f t="shared" si="12"/>
        <v/>
      </c>
      <c r="D254" s="9" t="str">
        <f>IF(A254="","",C254-(子基金及业绩基准周净值!AH285/子基金及业绩基准周净值!AH284-1))</f>
        <v/>
      </c>
      <c r="E254" s="12" t="str">
        <f>IF(A254="","",(MAX(B$3:B254)-B254)/MAX(B$3:B254))</f>
        <v/>
      </c>
      <c r="F254" s="12" t="str">
        <f>IF(A254="","",MAX(E$4:E254))</f>
        <v/>
      </c>
      <c r="H254" s="14" t="str">
        <f t="shared" si="13"/>
        <v/>
      </c>
      <c r="I254" s="14" t="str">
        <f t="shared" si="14"/>
        <v/>
      </c>
      <c r="J254" s="15" t="str">
        <f t="shared" si="15"/>
        <v/>
      </c>
    </row>
    <row r="255" spans="1:10">
      <c r="A255" s="7" t="str">
        <f>IF(子基金及业绩基准周净值!A286="","",子基金及业绩基准周净值!A286)</f>
        <v/>
      </c>
      <c r="B255" s="1" t="str">
        <f>IF(A255="","",VLOOKUP($A255,子基金及业绩基准周净值!$A:$AV,14))</f>
        <v/>
      </c>
      <c r="C255" s="8" t="str">
        <f t="shared" si="12"/>
        <v/>
      </c>
      <c r="D255" s="9" t="str">
        <f>IF(A255="","",C255-(子基金及业绩基准周净值!AH286/子基金及业绩基准周净值!AH285-1))</f>
        <v/>
      </c>
      <c r="E255" s="12" t="str">
        <f>IF(A255="","",(MAX(B$3:B255)-B255)/MAX(B$3:B255))</f>
        <v/>
      </c>
      <c r="F255" s="12" t="str">
        <f>IF(A255="","",MAX(E$4:E255))</f>
        <v/>
      </c>
      <c r="H255" s="14" t="str">
        <f t="shared" si="13"/>
        <v/>
      </c>
      <c r="I255" s="14" t="str">
        <f t="shared" si="14"/>
        <v/>
      </c>
      <c r="J255" s="15" t="str">
        <f t="shared" si="15"/>
        <v/>
      </c>
    </row>
    <row r="256" spans="1:10">
      <c r="A256" s="7" t="str">
        <f>IF(子基金及业绩基准周净值!A287="","",子基金及业绩基准周净值!A287)</f>
        <v/>
      </c>
      <c r="B256" s="1" t="str">
        <f>IF(A256="","",VLOOKUP($A256,子基金及业绩基准周净值!$A:$AV,14))</f>
        <v/>
      </c>
      <c r="C256" s="8" t="str">
        <f t="shared" si="12"/>
        <v/>
      </c>
      <c r="D256" s="9" t="str">
        <f>IF(A256="","",C256-(子基金及业绩基准周净值!AH287/子基金及业绩基准周净值!AH286-1))</f>
        <v/>
      </c>
      <c r="E256" s="12" t="str">
        <f>IF(A256="","",(MAX(B$3:B256)-B256)/MAX(B$3:B256))</f>
        <v/>
      </c>
      <c r="F256" s="12" t="str">
        <f>IF(A256="","",MAX(E$4:E256))</f>
        <v/>
      </c>
      <c r="H256" s="14" t="str">
        <f t="shared" si="13"/>
        <v/>
      </c>
      <c r="I256" s="14" t="str">
        <f t="shared" si="14"/>
        <v/>
      </c>
      <c r="J256" s="15" t="str">
        <f t="shared" si="15"/>
        <v/>
      </c>
    </row>
    <row r="257" spans="1:10">
      <c r="A257" s="7" t="str">
        <f>IF(子基金及业绩基准周净值!A288="","",子基金及业绩基准周净值!A288)</f>
        <v/>
      </c>
      <c r="B257" s="1" t="str">
        <f>IF(A257="","",VLOOKUP($A257,子基金及业绩基准周净值!$A:$AV,14))</f>
        <v/>
      </c>
      <c r="C257" s="8" t="str">
        <f t="shared" si="12"/>
        <v/>
      </c>
      <c r="D257" s="9" t="str">
        <f>IF(A257="","",C257-(子基金及业绩基准周净值!AH288/子基金及业绩基准周净值!AH287-1))</f>
        <v/>
      </c>
      <c r="E257" s="12" t="str">
        <f>IF(A257="","",(MAX(B$3:B257)-B257)/MAX(B$3:B257))</f>
        <v/>
      </c>
      <c r="F257" s="12" t="str">
        <f>IF(A257="","",MAX(E$4:E257))</f>
        <v/>
      </c>
      <c r="H257" s="14" t="str">
        <f t="shared" si="13"/>
        <v/>
      </c>
      <c r="I257" s="14" t="str">
        <f t="shared" si="14"/>
        <v/>
      </c>
      <c r="J257" s="15" t="str">
        <f t="shared" si="15"/>
        <v/>
      </c>
    </row>
    <row r="258" spans="1:10">
      <c r="A258" s="7" t="str">
        <f>IF(子基金及业绩基准周净值!A289="","",子基金及业绩基准周净值!A289)</f>
        <v/>
      </c>
      <c r="B258" s="1" t="str">
        <f>IF(A258="","",VLOOKUP($A258,子基金及业绩基准周净值!$A:$AV,14))</f>
        <v/>
      </c>
      <c r="C258" s="8" t="str">
        <f t="shared" si="12"/>
        <v/>
      </c>
      <c r="D258" s="9" t="str">
        <f>IF(A258="","",C258-(子基金及业绩基准周净值!AH289/子基金及业绩基准周净值!AH288-1))</f>
        <v/>
      </c>
      <c r="E258" s="12" t="str">
        <f>IF(A258="","",(MAX(B$3:B258)-B258)/MAX(B$3:B258))</f>
        <v/>
      </c>
      <c r="F258" s="12" t="str">
        <f>IF(A258="","",MAX(E$4:E258))</f>
        <v/>
      </c>
      <c r="H258" s="14" t="str">
        <f t="shared" si="13"/>
        <v/>
      </c>
      <c r="I258" s="14" t="str">
        <f t="shared" si="14"/>
        <v/>
      </c>
      <c r="J258" s="15" t="str">
        <f t="shared" si="15"/>
        <v/>
      </c>
    </row>
    <row r="259" spans="1:10">
      <c r="A259" s="7" t="str">
        <f>IF(子基金及业绩基准周净值!A290="","",子基金及业绩基准周净值!A290)</f>
        <v/>
      </c>
      <c r="B259" s="1" t="str">
        <f>IF(A259="","",VLOOKUP($A259,子基金及业绩基准周净值!$A:$AV,14))</f>
        <v/>
      </c>
      <c r="C259" s="8" t="str">
        <f t="shared" si="12"/>
        <v/>
      </c>
      <c r="D259" s="9" t="str">
        <f>IF(A259="","",C259-(子基金及业绩基准周净值!AH290/子基金及业绩基准周净值!AH289-1))</f>
        <v/>
      </c>
      <c r="E259" s="12" t="str">
        <f>IF(A259="","",(MAX(B$3:B259)-B259)/MAX(B$3:B259))</f>
        <v/>
      </c>
      <c r="F259" s="12" t="str">
        <f>IF(A259="","",MAX(E$4:E259))</f>
        <v/>
      </c>
      <c r="H259" s="14" t="str">
        <f t="shared" si="13"/>
        <v/>
      </c>
      <c r="I259" s="14" t="str">
        <f t="shared" si="14"/>
        <v/>
      </c>
      <c r="J259" s="15" t="str">
        <f t="shared" si="15"/>
        <v/>
      </c>
    </row>
    <row r="260" spans="1:10">
      <c r="A260" s="7" t="str">
        <f>IF(子基金及业绩基准周净值!A291="","",子基金及业绩基准周净值!A291)</f>
        <v/>
      </c>
      <c r="B260" s="1" t="str">
        <f>IF(A260="","",VLOOKUP($A260,子基金及业绩基准周净值!$A:$AV,14))</f>
        <v/>
      </c>
      <c r="C260" s="8" t="str">
        <f t="shared" si="12"/>
        <v/>
      </c>
      <c r="D260" s="9" t="str">
        <f>IF(A260="","",C260-(子基金及业绩基准周净值!AH291/子基金及业绩基准周净值!AH290-1))</f>
        <v/>
      </c>
      <c r="E260" s="12" t="str">
        <f>IF(A260="","",(MAX(B$3:B260)-B260)/MAX(B$3:B260))</f>
        <v/>
      </c>
      <c r="F260" s="12" t="str">
        <f>IF(A260="","",MAX(E$4:E260))</f>
        <v/>
      </c>
      <c r="H260" s="14" t="str">
        <f t="shared" si="13"/>
        <v/>
      </c>
      <c r="I260" s="14" t="str">
        <f t="shared" si="14"/>
        <v/>
      </c>
      <c r="J260" s="15" t="str">
        <f t="shared" si="15"/>
        <v/>
      </c>
    </row>
    <row r="261" spans="1:10">
      <c r="A261" s="7" t="str">
        <f>IF(子基金及业绩基准周净值!A292="","",子基金及业绩基准周净值!A292)</f>
        <v/>
      </c>
      <c r="B261" s="1" t="str">
        <f>IF(A261="","",VLOOKUP($A261,子基金及业绩基准周净值!$A:$AV,14))</f>
        <v/>
      </c>
      <c r="C261" s="8" t="str">
        <f t="shared" ref="C261:C308" si="16">IF(A261="","",(B261-B260)/B260)</f>
        <v/>
      </c>
      <c r="D261" s="9" t="str">
        <f>IF(A261="","",C261-(子基金及业绩基准周净值!AH292/子基金及业绩基准周净值!AH291-1))</f>
        <v/>
      </c>
      <c r="E261" s="12" t="str">
        <f>IF(A261="","",(MAX(B$3:B261)-B261)/MAX(B$3:B261))</f>
        <v/>
      </c>
      <c r="F261" s="12" t="str">
        <f>IF(A261="","",MAX(E$4:E261))</f>
        <v/>
      </c>
      <c r="H261" s="14" t="str">
        <f t="shared" ref="H261:H308" si="17">IF(B261="","",IF(C261&lt;-3%,"是","否"))</f>
        <v/>
      </c>
      <c r="I261" s="14" t="str">
        <f t="shared" ref="I261:I308" si="18">IF(A261="","",IF(F261&gt;5%,"是","否"))</f>
        <v/>
      </c>
      <c r="J261" s="15" t="str">
        <f t="shared" ref="J261:J308" si="19">IF(A261="","",IF(G261&gt;=4,"是","否"))</f>
        <v/>
      </c>
    </row>
    <row r="262" spans="1:10">
      <c r="A262" s="7" t="str">
        <f>IF(子基金及业绩基准周净值!A293="","",子基金及业绩基准周净值!A293)</f>
        <v/>
      </c>
      <c r="B262" s="1" t="str">
        <f>IF(A262="","",VLOOKUP($A262,子基金及业绩基准周净值!$A:$AV,14))</f>
        <v/>
      </c>
      <c r="C262" s="8" t="str">
        <f t="shared" si="16"/>
        <v/>
      </c>
      <c r="D262" s="9" t="str">
        <f>IF(A262="","",C262-(子基金及业绩基准周净值!AH293/子基金及业绩基准周净值!AH292-1))</f>
        <v/>
      </c>
      <c r="E262" s="12" t="str">
        <f>IF(A262="","",(MAX(B$3:B262)-B262)/MAX(B$3:B262))</f>
        <v/>
      </c>
      <c r="F262" s="12" t="str">
        <f>IF(A262="","",MAX(E$4:E262))</f>
        <v/>
      </c>
      <c r="H262" s="14" t="str">
        <f t="shared" si="17"/>
        <v/>
      </c>
      <c r="I262" s="14" t="str">
        <f t="shared" si="18"/>
        <v/>
      </c>
      <c r="J262" s="15" t="str">
        <f t="shared" si="19"/>
        <v/>
      </c>
    </row>
    <row r="263" spans="1:10">
      <c r="A263" s="7" t="str">
        <f>IF(子基金及业绩基准周净值!A294="","",子基金及业绩基准周净值!A294)</f>
        <v/>
      </c>
      <c r="B263" s="1" t="str">
        <f>IF(A263="","",VLOOKUP($A263,子基金及业绩基准周净值!$A:$AV,14))</f>
        <v/>
      </c>
      <c r="C263" s="8" t="str">
        <f t="shared" si="16"/>
        <v/>
      </c>
      <c r="D263" s="9" t="str">
        <f>IF(A263="","",C263-(子基金及业绩基准周净值!AH294/子基金及业绩基准周净值!AH293-1))</f>
        <v/>
      </c>
      <c r="E263" s="12" t="str">
        <f>IF(A263="","",(MAX(B$3:B263)-B263)/MAX(B$3:B263))</f>
        <v/>
      </c>
      <c r="F263" s="12" t="str">
        <f>IF(A263="","",MAX(E$4:E263))</f>
        <v/>
      </c>
      <c r="H263" s="14" t="str">
        <f t="shared" si="17"/>
        <v/>
      </c>
      <c r="I263" s="14" t="str">
        <f t="shared" si="18"/>
        <v/>
      </c>
      <c r="J263" s="15" t="str">
        <f t="shared" si="19"/>
        <v/>
      </c>
    </row>
    <row r="264" spans="1:10">
      <c r="A264" s="7" t="str">
        <f>IF(子基金及业绩基准周净值!A295="","",子基金及业绩基准周净值!A295)</f>
        <v/>
      </c>
      <c r="B264" s="1" t="str">
        <f>IF(A264="","",VLOOKUP($A264,子基金及业绩基准周净值!$A:$AV,14))</f>
        <v/>
      </c>
      <c r="C264" s="8" t="str">
        <f t="shared" si="16"/>
        <v/>
      </c>
      <c r="D264" s="9" t="str">
        <f>IF(A264="","",C264-(子基金及业绩基准周净值!AH295/子基金及业绩基准周净值!AH294-1))</f>
        <v/>
      </c>
      <c r="E264" s="12" t="str">
        <f>IF(A264="","",(MAX(B$3:B264)-B264)/MAX(B$3:B264))</f>
        <v/>
      </c>
      <c r="F264" s="12" t="str">
        <f>IF(A264="","",MAX(E$4:E264))</f>
        <v/>
      </c>
      <c r="H264" s="14" t="str">
        <f t="shared" si="17"/>
        <v/>
      </c>
      <c r="I264" s="14" t="str">
        <f t="shared" si="18"/>
        <v/>
      </c>
      <c r="J264" s="15" t="str">
        <f t="shared" si="19"/>
        <v/>
      </c>
    </row>
    <row r="265" spans="1:10">
      <c r="A265" s="7" t="str">
        <f>IF(子基金及业绩基准周净值!A296="","",子基金及业绩基准周净值!A296)</f>
        <v/>
      </c>
      <c r="B265" s="1" t="str">
        <f>IF(A265="","",VLOOKUP($A265,子基金及业绩基准周净值!$A:$AV,14))</f>
        <v/>
      </c>
      <c r="C265" s="8" t="str">
        <f t="shared" si="16"/>
        <v/>
      </c>
      <c r="D265" s="9" t="str">
        <f>IF(A265="","",C265-(子基金及业绩基准周净值!AH296/子基金及业绩基准周净值!AH295-1))</f>
        <v/>
      </c>
      <c r="E265" s="12" t="str">
        <f>IF(A265="","",(MAX(B$3:B265)-B265)/MAX(B$3:B265))</f>
        <v/>
      </c>
      <c r="F265" s="12" t="str">
        <f>IF(A265="","",MAX(E$4:E265))</f>
        <v/>
      </c>
      <c r="H265" s="14" t="str">
        <f t="shared" si="17"/>
        <v/>
      </c>
      <c r="I265" s="14" t="str">
        <f t="shared" si="18"/>
        <v/>
      </c>
      <c r="J265" s="15" t="str">
        <f t="shared" si="19"/>
        <v/>
      </c>
    </row>
    <row r="266" spans="1:10">
      <c r="A266" s="7" t="str">
        <f>IF(子基金及业绩基准周净值!A297="","",子基金及业绩基准周净值!A297)</f>
        <v/>
      </c>
      <c r="B266" s="1" t="str">
        <f>IF(A266="","",VLOOKUP($A266,子基金及业绩基准周净值!$A:$AV,14))</f>
        <v/>
      </c>
      <c r="C266" s="8" t="str">
        <f t="shared" si="16"/>
        <v/>
      </c>
      <c r="D266" s="9" t="str">
        <f>IF(A266="","",C266-(子基金及业绩基准周净值!AH297/子基金及业绩基准周净值!AH296-1))</f>
        <v/>
      </c>
      <c r="E266" s="12" t="str">
        <f>IF(A266="","",(MAX(B$3:B266)-B266)/MAX(B$3:B266))</f>
        <v/>
      </c>
      <c r="F266" s="12" t="str">
        <f>IF(A266="","",MAX(E$4:E266))</f>
        <v/>
      </c>
      <c r="H266" s="14" t="str">
        <f t="shared" si="17"/>
        <v/>
      </c>
      <c r="I266" s="14" t="str">
        <f t="shared" si="18"/>
        <v/>
      </c>
      <c r="J266" s="15" t="str">
        <f t="shared" si="19"/>
        <v/>
      </c>
    </row>
    <row r="267" spans="1:10">
      <c r="A267" s="7" t="str">
        <f>IF(子基金及业绩基准周净值!A298="","",子基金及业绩基准周净值!A298)</f>
        <v/>
      </c>
      <c r="B267" s="1" t="str">
        <f>IF(A267="","",VLOOKUP($A267,子基金及业绩基准周净值!$A:$AV,14))</f>
        <v/>
      </c>
      <c r="C267" s="8" t="str">
        <f t="shared" si="16"/>
        <v/>
      </c>
      <c r="D267" s="9" t="str">
        <f>IF(A267="","",C267-(子基金及业绩基准周净值!AH298/子基金及业绩基准周净值!AH297-1))</f>
        <v/>
      </c>
      <c r="E267" s="12" t="str">
        <f>IF(A267="","",(MAX(B$3:B267)-B267)/MAX(B$3:B267))</f>
        <v/>
      </c>
      <c r="F267" s="12" t="str">
        <f>IF(A267="","",MAX(E$4:E267))</f>
        <v/>
      </c>
      <c r="H267" s="14" t="str">
        <f t="shared" si="17"/>
        <v/>
      </c>
      <c r="I267" s="14" t="str">
        <f t="shared" si="18"/>
        <v/>
      </c>
      <c r="J267" s="15" t="str">
        <f t="shared" si="19"/>
        <v/>
      </c>
    </row>
    <row r="268" spans="1:10">
      <c r="A268" s="7" t="str">
        <f>IF(子基金及业绩基准周净值!A299="","",子基金及业绩基准周净值!A299)</f>
        <v/>
      </c>
      <c r="B268" s="1" t="str">
        <f>IF(A268="","",VLOOKUP($A268,子基金及业绩基准周净值!$A:$AV,14))</f>
        <v/>
      </c>
      <c r="C268" s="8" t="str">
        <f t="shared" si="16"/>
        <v/>
      </c>
      <c r="D268" s="9" t="str">
        <f>IF(A268="","",C268-(子基金及业绩基准周净值!AH299/子基金及业绩基准周净值!AH298-1))</f>
        <v/>
      </c>
      <c r="E268" s="12" t="str">
        <f>IF(A268="","",(MAX(B$3:B268)-B268)/MAX(B$3:B268))</f>
        <v/>
      </c>
      <c r="F268" s="12" t="str">
        <f>IF(A268="","",MAX(E$4:E268))</f>
        <v/>
      </c>
      <c r="H268" s="14" t="str">
        <f t="shared" si="17"/>
        <v/>
      </c>
      <c r="I268" s="14" t="str">
        <f t="shared" si="18"/>
        <v/>
      </c>
      <c r="J268" s="15" t="str">
        <f t="shared" si="19"/>
        <v/>
      </c>
    </row>
    <row r="269" spans="1:10">
      <c r="A269" s="7" t="str">
        <f>IF(子基金及业绩基准周净值!A300="","",子基金及业绩基准周净值!A300)</f>
        <v/>
      </c>
      <c r="B269" s="1" t="str">
        <f>IF(A269="","",VLOOKUP($A269,子基金及业绩基准周净值!$A:$AV,14))</f>
        <v/>
      </c>
      <c r="C269" s="8" t="str">
        <f t="shared" si="16"/>
        <v/>
      </c>
      <c r="D269" s="9" t="str">
        <f>IF(A269="","",C269-(子基金及业绩基准周净值!AH300/子基金及业绩基准周净值!AH299-1))</f>
        <v/>
      </c>
      <c r="E269" s="12" t="str">
        <f>IF(A269="","",(MAX(B$3:B269)-B269)/MAX(B$3:B269))</f>
        <v/>
      </c>
      <c r="F269" s="12" t="str">
        <f>IF(A269="","",MAX(E$4:E269))</f>
        <v/>
      </c>
      <c r="H269" s="14" t="str">
        <f t="shared" si="17"/>
        <v/>
      </c>
      <c r="I269" s="14" t="str">
        <f t="shared" si="18"/>
        <v/>
      </c>
      <c r="J269" s="15" t="str">
        <f t="shared" si="19"/>
        <v/>
      </c>
    </row>
    <row r="270" spans="1:10">
      <c r="A270" s="7" t="str">
        <f>IF(子基金及业绩基准周净值!A301="","",子基金及业绩基准周净值!A301)</f>
        <v/>
      </c>
      <c r="B270" s="1" t="str">
        <f>IF(A270="","",VLOOKUP($A270,子基金及业绩基准周净值!$A:$AV,14))</f>
        <v/>
      </c>
      <c r="C270" s="8" t="str">
        <f t="shared" si="16"/>
        <v/>
      </c>
      <c r="D270" s="9" t="str">
        <f>IF(A270="","",C270-(子基金及业绩基准周净值!AH301/子基金及业绩基准周净值!AH300-1))</f>
        <v/>
      </c>
      <c r="E270" s="12" t="str">
        <f>IF(A270="","",(MAX(B$3:B270)-B270)/MAX(B$3:B270))</f>
        <v/>
      </c>
      <c r="F270" s="12" t="str">
        <f>IF(A270="","",MAX(E$4:E270))</f>
        <v/>
      </c>
      <c r="H270" s="14" t="str">
        <f t="shared" si="17"/>
        <v/>
      </c>
      <c r="I270" s="14" t="str">
        <f t="shared" si="18"/>
        <v/>
      </c>
      <c r="J270" s="15" t="str">
        <f t="shared" si="19"/>
        <v/>
      </c>
    </row>
    <row r="271" spans="1:10">
      <c r="A271" s="7" t="str">
        <f>IF(子基金及业绩基准周净值!A302="","",子基金及业绩基准周净值!A302)</f>
        <v/>
      </c>
      <c r="B271" s="1" t="str">
        <f>IF(A271="","",VLOOKUP($A271,子基金及业绩基准周净值!$A:$AV,14))</f>
        <v/>
      </c>
      <c r="C271" s="8" t="str">
        <f t="shared" si="16"/>
        <v/>
      </c>
      <c r="D271" s="9" t="str">
        <f>IF(A271="","",C271-(子基金及业绩基准周净值!AH302/子基金及业绩基准周净值!AH301-1))</f>
        <v/>
      </c>
      <c r="E271" s="12" t="str">
        <f>IF(A271="","",(MAX(B$3:B271)-B271)/MAX(B$3:B271))</f>
        <v/>
      </c>
      <c r="F271" s="12" t="str">
        <f>IF(A271="","",MAX(E$4:E271))</f>
        <v/>
      </c>
      <c r="H271" s="14" t="str">
        <f t="shared" si="17"/>
        <v/>
      </c>
      <c r="I271" s="14" t="str">
        <f t="shared" si="18"/>
        <v/>
      </c>
      <c r="J271" s="15" t="str">
        <f t="shared" si="19"/>
        <v/>
      </c>
    </row>
    <row r="272" spans="1:10">
      <c r="A272" s="7" t="str">
        <f>IF(子基金及业绩基准周净值!A303="","",子基金及业绩基准周净值!A303)</f>
        <v/>
      </c>
      <c r="B272" s="1" t="str">
        <f>IF(A272="","",VLOOKUP($A272,子基金及业绩基准周净值!$A:$AV,14))</f>
        <v/>
      </c>
      <c r="C272" s="8" t="str">
        <f t="shared" si="16"/>
        <v/>
      </c>
      <c r="D272" s="9" t="str">
        <f>IF(A272="","",C272-(子基金及业绩基准周净值!AH303/子基金及业绩基准周净值!AH302-1))</f>
        <v/>
      </c>
      <c r="E272" s="12" t="str">
        <f>IF(A272="","",(MAX(B$3:B272)-B272)/MAX(B$3:B272))</f>
        <v/>
      </c>
      <c r="F272" s="12" t="str">
        <f>IF(A272="","",MAX(E$4:E272))</f>
        <v/>
      </c>
      <c r="H272" s="14" t="str">
        <f t="shared" si="17"/>
        <v/>
      </c>
      <c r="I272" s="14" t="str">
        <f t="shared" si="18"/>
        <v/>
      </c>
      <c r="J272" s="15" t="str">
        <f t="shared" si="19"/>
        <v/>
      </c>
    </row>
    <row r="273" spans="1:10">
      <c r="A273" s="7" t="str">
        <f>IF(子基金及业绩基准周净值!A304="","",子基金及业绩基准周净值!A304)</f>
        <v/>
      </c>
      <c r="B273" s="1" t="str">
        <f>IF(A273="","",VLOOKUP($A273,子基金及业绩基准周净值!$A:$AV,14))</f>
        <v/>
      </c>
      <c r="C273" s="8" t="str">
        <f t="shared" si="16"/>
        <v/>
      </c>
      <c r="D273" s="9" t="str">
        <f>IF(A273="","",C273-(子基金及业绩基准周净值!AH304/子基金及业绩基准周净值!AH303-1))</f>
        <v/>
      </c>
      <c r="E273" s="12" t="str">
        <f>IF(A273="","",(MAX(B$3:B273)-B273)/MAX(B$3:B273))</f>
        <v/>
      </c>
      <c r="F273" s="12" t="str">
        <f>IF(A273="","",MAX(E$4:E273))</f>
        <v/>
      </c>
      <c r="H273" s="14" t="str">
        <f t="shared" si="17"/>
        <v/>
      </c>
      <c r="I273" s="14" t="str">
        <f t="shared" si="18"/>
        <v/>
      </c>
      <c r="J273" s="15" t="str">
        <f t="shared" si="19"/>
        <v/>
      </c>
    </row>
    <row r="274" spans="1:10">
      <c r="A274" s="7" t="str">
        <f>IF(子基金及业绩基准周净值!A305="","",子基金及业绩基准周净值!A305)</f>
        <v/>
      </c>
      <c r="B274" s="1" t="str">
        <f>IF(A274="","",VLOOKUP($A274,子基金及业绩基准周净值!$A:$AV,14))</f>
        <v/>
      </c>
      <c r="C274" s="8" t="str">
        <f t="shared" si="16"/>
        <v/>
      </c>
      <c r="D274" s="9" t="str">
        <f>IF(A274="","",C274-(子基金及业绩基准周净值!AH305/子基金及业绩基准周净值!AH304-1))</f>
        <v/>
      </c>
      <c r="E274" s="12" t="str">
        <f>IF(A274="","",(MAX(B$3:B274)-B274)/MAX(B$3:B274))</f>
        <v/>
      </c>
      <c r="F274" s="12" t="str">
        <f>IF(A274="","",MAX(E$4:E274))</f>
        <v/>
      </c>
      <c r="H274" s="14" t="str">
        <f t="shared" si="17"/>
        <v/>
      </c>
      <c r="I274" s="14" t="str">
        <f t="shared" si="18"/>
        <v/>
      </c>
      <c r="J274" s="15" t="str">
        <f t="shared" si="19"/>
        <v/>
      </c>
    </row>
    <row r="275" spans="1:10">
      <c r="A275" s="7" t="str">
        <f>IF(子基金及业绩基准周净值!A306="","",子基金及业绩基准周净值!A306)</f>
        <v/>
      </c>
      <c r="B275" s="1" t="str">
        <f>IF(A275="","",VLOOKUP($A275,子基金及业绩基准周净值!$A:$AV,14))</f>
        <v/>
      </c>
      <c r="C275" s="8" t="str">
        <f t="shared" si="16"/>
        <v/>
      </c>
      <c r="D275" s="9" t="str">
        <f>IF(A275="","",C275-(子基金及业绩基准周净值!AH306/子基金及业绩基准周净值!AH305-1))</f>
        <v/>
      </c>
      <c r="E275" s="12" t="str">
        <f>IF(A275="","",(MAX(B$3:B275)-B275)/MAX(B$3:B275))</f>
        <v/>
      </c>
      <c r="F275" s="12" t="str">
        <f>IF(A275="","",MAX(E$4:E275))</f>
        <v/>
      </c>
      <c r="H275" s="14" t="str">
        <f t="shared" si="17"/>
        <v/>
      </c>
      <c r="I275" s="14" t="str">
        <f t="shared" si="18"/>
        <v/>
      </c>
      <c r="J275" s="15" t="str">
        <f t="shared" si="19"/>
        <v/>
      </c>
    </row>
    <row r="276" spans="1:10">
      <c r="A276" s="7" t="str">
        <f>IF(子基金及业绩基准周净值!A307="","",子基金及业绩基准周净值!A307)</f>
        <v/>
      </c>
      <c r="B276" s="1" t="str">
        <f>IF(A276="","",VLOOKUP($A276,子基金及业绩基准周净值!$A:$AV,14))</f>
        <v/>
      </c>
      <c r="C276" s="8" t="str">
        <f t="shared" si="16"/>
        <v/>
      </c>
      <c r="D276" s="9" t="str">
        <f>IF(A276="","",C276-(子基金及业绩基准周净值!AH307/子基金及业绩基准周净值!AH306-1))</f>
        <v/>
      </c>
      <c r="E276" s="12" t="str">
        <f>IF(A276="","",(MAX(B$3:B276)-B276)/MAX(B$3:B276))</f>
        <v/>
      </c>
      <c r="F276" s="12" t="str">
        <f>IF(A276="","",MAX(E$4:E276))</f>
        <v/>
      </c>
      <c r="H276" s="14" t="str">
        <f t="shared" si="17"/>
        <v/>
      </c>
      <c r="I276" s="14" t="str">
        <f t="shared" si="18"/>
        <v/>
      </c>
      <c r="J276" s="15" t="str">
        <f t="shared" si="19"/>
        <v/>
      </c>
    </row>
    <row r="277" spans="1:10">
      <c r="A277" s="7" t="str">
        <f>IF(子基金及业绩基准周净值!A308="","",子基金及业绩基准周净值!A308)</f>
        <v/>
      </c>
      <c r="B277" s="1" t="str">
        <f>IF(A277="","",VLOOKUP($A277,子基金及业绩基准周净值!$A:$AV,14))</f>
        <v/>
      </c>
      <c r="C277" s="8" t="str">
        <f t="shared" si="16"/>
        <v/>
      </c>
      <c r="D277" s="9" t="str">
        <f>IF(A277="","",C277-(子基金及业绩基准周净值!AH308/子基金及业绩基准周净值!AH307-1))</f>
        <v/>
      </c>
      <c r="E277" s="12" t="str">
        <f>IF(A277="","",(MAX(B$3:B277)-B277)/MAX(B$3:B277))</f>
        <v/>
      </c>
      <c r="F277" s="12" t="str">
        <f>IF(A277="","",MAX(E$4:E277))</f>
        <v/>
      </c>
      <c r="H277" s="14" t="str">
        <f t="shared" si="17"/>
        <v/>
      </c>
      <c r="I277" s="14" t="str">
        <f t="shared" si="18"/>
        <v/>
      </c>
      <c r="J277" s="15" t="str">
        <f t="shared" si="19"/>
        <v/>
      </c>
    </row>
    <row r="278" spans="1:10">
      <c r="A278" s="7" t="str">
        <f>IF(子基金及业绩基准周净值!A309="","",子基金及业绩基准周净值!A309)</f>
        <v/>
      </c>
      <c r="B278" s="1" t="str">
        <f>IF(A278="","",VLOOKUP($A278,子基金及业绩基准周净值!$A:$AV,14))</f>
        <v/>
      </c>
      <c r="C278" s="8" t="str">
        <f t="shared" si="16"/>
        <v/>
      </c>
      <c r="D278" s="9" t="str">
        <f>IF(A278="","",C278-(子基金及业绩基准周净值!AH309/子基金及业绩基准周净值!AH308-1))</f>
        <v/>
      </c>
      <c r="E278" s="12" t="str">
        <f>IF(A278="","",(MAX(B$3:B278)-B278)/MAX(B$3:B278))</f>
        <v/>
      </c>
      <c r="F278" s="12" t="str">
        <f>IF(A278="","",MAX(E$4:E278))</f>
        <v/>
      </c>
      <c r="H278" s="14" t="str">
        <f t="shared" si="17"/>
        <v/>
      </c>
      <c r="I278" s="14" t="str">
        <f t="shared" si="18"/>
        <v/>
      </c>
      <c r="J278" s="15" t="str">
        <f t="shared" si="19"/>
        <v/>
      </c>
    </row>
    <row r="279" spans="1:10">
      <c r="A279" s="7" t="str">
        <f>IF(子基金及业绩基准周净值!A310="","",子基金及业绩基准周净值!A310)</f>
        <v/>
      </c>
      <c r="B279" s="1" t="str">
        <f>IF(A279="","",VLOOKUP($A279,子基金及业绩基准周净值!$A:$AV,14))</f>
        <v/>
      </c>
      <c r="C279" s="8" t="str">
        <f t="shared" si="16"/>
        <v/>
      </c>
      <c r="D279" s="9" t="str">
        <f>IF(A279="","",C279-(子基金及业绩基准周净值!AH310/子基金及业绩基准周净值!AH309-1))</f>
        <v/>
      </c>
      <c r="E279" s="12" t="str">
        <f>IF(A279="","",(MAX(B$3:B279)-B279)/MAX(B$3:B279))</f>
        <v/>
      </c>
      <c r="F279" s="12" t="str">
        <f>IF(A279="","",MAX(E$4:E279))</f>
        <v/>
      </c>
      <c r="H279" s="14" t="str">
        <f t="shared" si="17"/>
        <v/>
      </c>
      <c r="I279" s="14" t="str">
        <f t="shared" si="18"/>
        <v/>
      </c>
      <c r="J279" s="15" t="str">
        <f t="shared" si="19"/>
        <v/>
      </c>
    </row>
    <row r="280" spans="1:10">
      <c r="A280" s="7" t="str">
        <f>IF(子基金及业绩基准周净值!A311="","",子基金及业绩基准周净值!A311)</f>
        <v/>
      </c>
      <c r="B280" s="1" t="str">
        <f>IF(A280="","",VLOOKUP($A280,子基金及业绩基准周净值!$A:$AV,14))</f>
        <v/>
      </c>
      <c r="C280" s="8" t="str">
        <f t="shared" si="16"/>
        <v/>
      </c>
      <c r="D280" s="9" t="str">
        <f>IF(A280="","",C280-(子基金及业绩基准周净值!AH311/子基金及业绩基准周净值!AH310-1))</f>
        <v/>
      </c>
      <c r="E280" s="12" t="str">
        <f>IF(A280="","",(MAX(B$3:B280)-B280)/MAX(B$3:B280))</f>
        <v/>
      </c>
      <c r="F280" s="12" t="str">
        <f>IF(A280="","",MAX(E$4:E280))</f>
        <v/>
      </c>
      <c r="H280" s="14" t="str">
        <f t="shared" si="17"/>
        <v/>
      </c>
      <c r="I280" s="14" t="str">
        <f t="shared" si="18"/>
        <v/>
      </c>
      <c r="J280" s="15" t="str">
        <f t="shared" si="19"/>
        <v/>
      </c>
    </row>
    <row r="281" spans="1:10">
      <c r="A281" s="7" t="str">
        <f>IF(子基金及业绩基准周净值!A312="","",子基金及业绩基准周净值!A312)</f>
        <v/>
      </c>
      <c r="B281" s="1" t="str">
        <f>IF(A281="","",VLOOKUP($A281,子基金及业绩基准周净值!$A:$AV,14))</f>
        <v/>
      </c>
      <c r="C281" s="8" t="str">
        <f t="shared" si="16"/>
        <v/>
      </c>
      <c r="D281" s="9" t="str">
        <f>IF(A281="","",C281-(子基金及业绩基准周净值!AH312/子基金及业绩基准周净值!AH311-1))</f>
        <v/>
      </c>
      <c r="E281" s="12" t="str">
        <f>IF(A281="","",(MAX(B$3:B281)-B281)/MAX(B$3:B281))</f>
        <v/>
      </c>
      <c r="F281" s="12" t="str">
        <f>IF(A281="","",MAX(E$4:E281))</f>
        <v/>
      </c>
      <c r="H281" s="14" t="str">
        <f t="shared" si="17"/>
        <v/>
      </c>
      <c r="I281" s="14" t="str">
        <f t="shared" si="18"/>
        <v/>
      </c>
      <c r="J281" s="15" t="str">
        <f t="shared" si="19"/>
        <v/>
      </c>
    </row>
    <row r="282" spans="1:10">
      <c r="A282" s="7" t="str">
        <f>IF(子基金及业绩基准周净值!A313="","",子基金及业绩基准周净值!A313)</f>
        <v/>
      </c>
      <c r="B282" s="1" t="str">
        <f>IF(A282="","",VLOOKUP($A282,子基金及业绩基准周净值!$A:$AV,14))</f>
        <v/>
      </c>
      <c r="C282" s="8" t="str">
        <f t="shared" si="16"/>
        <v/>
      </c>
      <c r="D282" s="9" t="str">
        <f>IF(A282="","",C282-(子基金及业绩基准周净值!AH313/子基金及业绩基准周净值!AH312-1))</f>
        <v/>
      </c>
      <c r="E282" s="12" t="str">
        <f>IF(A282="","",(MAX(B$3:B282)-B282)/MAX(B$3:B282))</f>
        <v/>
      </c>
      <c r="F282" s="12" t="str">
        <f>IF(A282="","",MAX(E$4:E282))</f>
        <v/>
      </c>
      <c r="H282" s="14" t="str">
        <f t="shared" si="17"/>
        <v/>
      </c>
      <c r="I282" s="14" t="str">
        <f t="shared" si="18"/>
        <v/>
      </c>
      <c r="J282" s="15" t="str">
        <f t="shared" si="19"/>
        <v/>
      </c>
    </row>
    <row r="283" spans="1:10">
      <c r="A283" s="7" t="str">
        <f>IF(子基金及业绩基准周净值!A314="","",子基金及业绩基准周净值!A314)</f>
        <v/>
      </c>
      <c r="B283" s="1" t="str">
        <f>IF(A283="","",VLOOKUP($A283,子基金及业绩基准周净值!$A:$AV,14))</f>
        <v/>
      </c>
      <c r="C283" s="8" t="str">
        <f t="shared" si="16"/>
        <v/>
      </c>
      <c r="D283" s="9" t="str">
        <f>IF(A283="","",C283-(子基金及业绩基准周净值!AH314/子基金及业绩基准周净值!AH313-1))</f>
        <v/>
      </c>
      <c r="E283" s="12" t="str">
        <f>IF(A283="","",(MAX(B$3:B283)-B283)/MAX(B$3:B283))</f>
        <v/>
      </c>
      <c r="F283" s="12" t="str">
        <f>IF(A283="","",MAX(E$4:E283))</f>
        <v/>
      </c>
      <c r="H283" s="14" t="str">
        <f t="shared" si="17"/>
        <v/>
      </c>
      <c r="I283" s="14" t="str">
        <f t="shared" si="18"/>
        <v/>
      </c>
      <c r="J283" s="15" t="str">
        <f t="shared" si="19"/>
        <v/>
      </c>
    </row>
    <row r="284" spans="1:10">
      <c r="A284" s="7" t="str">
        <f>IF(子基金及业绩基准周净值!A315="","",子基金及业绩基准周净值!A315)</f>
        <v/>
      </c>
      <c r="B284" s="1" t="str">
        <f>IF(A284="","",VLOOKUP($A284,子基金及业绩基准周净值!$A:$AV,14))</f>
        <v/>
      </c>
      <c r="C284" s="8" t="str">
        <f t="shared" si="16"/>
        <v/>
      </c>
      <c r="D284" s="9" t="str">
        <f>IF(A284="","",C284-(子基金及业绩基准周净值!AH315/子基金及业绩基准周净值!AH314-1))</f>
        <v/>
      </c>
      <c r="E284" s="12" t="str">
        <f>IF(A284="","",(MAX(B$3:B284)-B284)/MAX(B$3:B284))</f>
        <v/>
      </c>
      <c r="F284" s="12" t="str">
        <f>IF(A284="","",MAX(E$4:E284))</f>
        <v/>
      </c>
      <c r="H284" s="14" t="str">
        <f t="shared" si="17"/>
        <v/>
      </c>
      <c r="I284" s="14" t="str">
        <f t="shared" si="18"/>
        <v/>
      </c>
      <c r="J284" s="15" t="str">
        <f t="shared" si="19"/>
        <v/>
      </c>
    </row>
    <row r="285" spans="1:10">
      <c r="A285" s="7" t="str">
        <f>IF(子基金及业绩基准周净值!A316="","",子基金及业绩基准周净值!A316)</f>
        <v/>
      </c>
      <c r="B285" s="1" t="str">
        <f>IF(A285="","",VLOOKUP($A285,子基金及业绩基准周净值!$A:$AV,14))</f>
        <v/>
      </c>
      <c r="C285" s="8" t="str">
        <f t="shared" si="16"/>
        <v/>
      </c>
      <c r="D285" s="9" t="str">
        <f>IF(A285="","",C285-(子基金及业绩基准周净值!AH316/子基金及业绩基准周净值!AH315-1))</f>
        <v/>
      </c>
      <c r="E285" s="12" t="str">
        <f>IF(A285="","",(MAX(B$3:B285)-B285)/MAX(B$3:B285))</f>
        <v/>
      </c>
      <c r="F285" s="12" t="str">
        <f>IF(A285="","",MAX(E$4:E285))</f>
        <v/>
      </c>
      <c r="H285" s="14" t="str">
        <f t="shared" si="17"/>
        <v/>
      </c>
      <c r="I285" s="14" t="str">
        <f t="shared" si="18"/>
        <v/>
      </c>
      <c r="J285" s="15" t="str">
        <f t="shared" si="19"/>
        <v/>
      </c>
    </row>
    <row r="286" spans="1:10">
      <c r="A286" s="7" t="str">
        <f>IF(子基金及业绩基准周净值!A317="","",子基金及业绩基准周净值!A317)</f>
        <v/>
      </c>
      <c r="B286" s="1" t="str">
        <f>IF(A286="","",VLOOKUP($A286,子基金及业绩基准周净值!$A:$AV,14))</f>
        <v/>
      </c>
      <c r="C286" s="8" t="str">
        <f t="shared" si="16"/>
        <v/>
      </c>
      <c r="D286" s="9" t="str">
        <f>IF(A286="","",C286-(子基金及业绩基准周净值!AH317/子基金及业绩基准周净值!AH316-1))</f>
        <v/>
      </c>
      <c r="E286" s="12" t="str">
        <f>IF(A286="","",(MAX(B$3:B286)-B286)/MAX(B$3:B286))</f>
        <v/>
      </c>
      <c r="F286" s="12" t="str">
        <f>IF(A286="","",MAX(E$4:E286))</f>
        <v/>
      </c>
      <c r="H286" s="14" t="str">
        <f t="shared" si="17"/>
        <v/>
      </c>
      <c r="I286" s="14" t="str">
        <f t="shared" si="18"/>
        <v/>
      </c>
      <c r="J286" s="15" t="str">
        <f t="shared" si="19"/>
        <v/>
      </c>
    </row>
    <row r="287" spans="1:10">
      <c r="A287" s="7" t="str">
        <f>IF(子基金及业绩基准周净值!A318="","",子基金及业绩基准周净值!A318)</f>
        <v/>
      </c>
      <c r="B287" s="1" t="str">
        <f>IF(A287="","",VLOOKUP($A287,子基金及业绩基准周净值!$A:$AV,14))</f>
        <v/>
      </c>
      <c r="C287" s="8" t="str">
        <f t="shared" si="16"/>
        <v/>
      </c>
      <c r="D287" s="9" t="str">
        <f>IF(A287="","",C287-(子基金及业绩基准周净值!AH318/子基金及业绩基准周净值!AH317-1))</f>
        <v/>
      </c>
      <c r="E287" s="12" t="str">
        <f>IF(A287="","",(MAX(B$3:B287)-B287)/MAX(B$3:B287))</f>
        <v/>
      </c>
      <c r="F287" s="12" t="str">
        <f>IF(A287="","",MAX(E$4:E287))</f>
        <v/>
      </c>
      <c r="H287" s="14" t="str">
        <f t="shared" si="17"/>
        <v/>
      </c>
      <c r="I287" s="14" t="str">
        <f t="shared" si="18"/>
        <v/>
      </c>
      <c r="J287" s="15" t="str">
        <f t="shared" si="19"/>
        <v/>
      </c>
    </row>
    <row r="288" spans="1:10">
      <c r="A288" s="7" t="str">
        <f>IF(子基金及业绩基准周净值!A319="","",子基金及业绩基准周净值!A319)</f>
        <v/>
      </c>
      <c r="B288" s="1" t="str">
        <f>IF(A288="","",VLOOKUP($A288,子基金及业绩基准周净值!$A:$AV,14))</f>
        <v/>
      </c>
      <c r="C288" s="8" t="str">
        <f t="shared" si="16"/>
        <v/>
      </c>
      <c r="D288" s="9" t="str">
        <f>IF(A288="","",C288-(子基金及业绩基准周净值!AH319/子基金及业绩基准周净值!AH318-1))</f>
        <v/>
      </c>
      <c r="E288" s="12" t="str">
        <f>IF(A288="","",(MAX(B$3:B288)-B288)/MAX(B$3:B288))</f>
        <v/>
      </c>
      <c r="F288" s="12" t="str">
        <f>IF(A288="","",MAX(E$4:E288))</f>
        <v/>
      </c>
      <c r="H288" s="14" t="str">
        <f t="shared" si="17"/>
        <v/>
      </c>
      <c r="I288" s="14" t="str">
        <f t="shared" si="18"/>
        <v/>
      </c>
      <c r="J288" s="15" t="str">
        <f t="shared" si="19"/>
        <v/>
      </c>
    </row>
    <row r="289" spans="1:10">
      <c r="A289" s="7" t="str">
        <f>IF(子基金及业绩基准周净值!A320="","",子基金及业绩基准周净值!A320)</f>
        <v/>
      </c>
      <c r="B289" s="1" t="str">
        <f>IF(A289="","",VLOOKUP($A289,子基金及业绩基准周净值!$A:$AV,14))</f>
        <v/>
      </c>
      <c r="C289" s="8" t="str">
        <f t="shared" si="16"/>
        <v/>
      </c>
      <c r="D289" s="9" t="str">
        <f>IF(A289="","",C289-(子基金及业绩基准周净值!AH320/子基金及业绩基准周净值!AH319-1))</f>
        <v/>
      </c>
      <c r="E289" s="12" t="str">
        <f>IF(A289="","",(MAX(B$3:B289)-B289)/MAX(B$3:B289))</f>
        <v/>
      </c>
      <c r="F289" s="12" t="str">
        <f>IF(A289="","",MAX(E$4:E289))</f>
        <v/>
      </c>
      <c r="H289" s="14" t="str">
        <f t="shared" si="17"/>
        <v/>
      </c>
      <c r="I289" s="14" t="str">
        <f t="shared" si="18"/>
        <v/>
      </c>
      <c r="J289" s="15" t="str">
        <f t="shared" si="19"/>
        <v/>
      </c>
    </row>
    <row r="290" spans="1:10">
      <c r="A290" s="7" t="str">
        <f>IF(子基金及业绩基准周净值!A321="","",子基金及业绩基准周净值!A321)</f>
        <v/>
      </c>
      <c r="B290" s="1" t="str">
        <f>IF(A290="","",VLOOKUP($A290,子基金及业绩基准周净值!$A:$AV,14))</f>
        <v/>
      </c>
      <c r="C290" s="8" t="str">
        <f t="shared" si="16"/>
        <v/>
      </c>
      <c r="D290" s="9" t="str">
        <f>IF(A290="","",C290-(子基金及业绩基准周净值!AH321/子基金及业绩基准周净值!AH320-1))</f>
        <v/>
      </c>
      <c r="E290" s="12" t="str">
        <f>IF(A290="","",(MAX(B$3:B290)-B290)/MAX(B$3:B290))</f>
        <v/>
      </c>
      <c r="F290" s="12" t="str">
        <f>IF(A290="","",MAX(E$4:E290))</f>
        <v/>
      </c>
      <c r="H290" s="14" t="str">
        <f t="shared" si="17"/>
        <v/>
      </c>
      <c r="I290" s="14" t="str">
        <f t="shared" si="18"/>
        <v/>
      </c>
      <c r="J290" s="15" t="str">
        <f t="shared" si="19"/>
        <v/>
      </c>
    </row>
    <row r="291" spans="1:10">
      <c r="A291" s="7" t="str">
        <f>IF(子基金及业绩基准周净值!A322="","",子基金及业绩基准周净值!A322)</f>
        <v/>
      </c>
      <c r="B291" s="1" t="str">
        <f>IF(A291="","",VLOOKUP($A291,子基金及业绩基准周净值!$A:$AV,14))</f>
        <v/>
      </c>
      <c r="C291" s="8" t="str">
        <f t="shared" si="16"/>
        <v/>
      </c>
      <c r="D291" s="9" t="str">
        <f>IF(A291="","",C291-(子基金及业绩基准周净值!AH322/子基金及业绩基准周净值!AH321-1))</f>
        <v/>
      </c>
      <c r="E291" s="12" t="str">
        <f>IF(A291="","",(MAX(B$3:B291)-B291)/MAX(B$3:B291))</f>
        <v/>
      </c>
      <c r="F291" s="12" t="str">
        <f>IF(A291="","",MAX(E$4:E291))</f>
        <v/>
      </c>
      <c r="H291" s="14" t="str">
        <f t="shared" si="17"/>
        <v/>
      </c>
      <c r="I291" s="14" t="str">
        <f t="shared" si="18"/>
        <v/>
      </c>
      <c r="J291" s="15" t="str">
        <f t="shared" si="19"/>
        <v/>
      </c>
    </row>
    <row r="292" spans="1:10">
      <c r="A292" s="7" t="str">
        <f>IF(子基金及业绩基准周净值!A323="","",子基金及业绩基准周净值!A323)</f>
        <v/>
      </c>
      <c r="B292" s="1" t="str">
        <f>IF(A292="","",VLOOKUP($A292,子基金及业绩基准周净值!$A:$AV,14))</f>
        <v/>
      </c>
      <c r="C292" s="8" t="str">
        <f t="shared" si="16"/>
        <v/>
      </c>
      <c r="D292" s="9" t="str">
        <f>IF(A292="","",C292-(子基金及业绩基准周净值!AH323/子基金及业绩基准周净值!AH322-1))</f>
        <v/>
      </c>
      <c r="E292" s="12" t="str">
        <f>IF(A292="","",(MAX(B$3:B292)-B292)/MAX(B$3:B292))</f>
        <v/>
      </c>
      <c r="F292" s="12" t="str">
        <f>IF(A292="","",MAX(E$4:E292))</f>
        <v/>
      </c>
      <c r="H292" s="14" t="str">
        <f t="shared" si="17"/>
        <v/>
      </c>
      <c r="I292" s="14" t="str">
        <f t="shared" si="18"/>
        <v/>
      </c>
      <c r="J292" s="15" t="str">
        <f t="shared" si="19"/>
        <v/>
      </c>
    </row>
    <row r="293" spans="1:10">
      <c r="A293" s="7" t="str">
        <f>IF(子基金及业绩基准周净值!A324="","",子基金及业绩基准周净值!A324)</f>
        <v/>
      </c>
      <c r="B293" s="1" t="str">
        <f>IF(A293="","",VLOOKUP($A293,子基金及业绩基准周净值!$A:$AV,14))</f>
        <v/>
      </c>
      <c r="C293" s="8" t="str">
        <f t="shared" si="16"/>
        <v/>
      </c>
      <c r="D293" s="9" t="str">
        <f>IF(A293="","",C293-(子基金及业绩基准周净值!AH324/子基金及业绩基准周净值!AH323-1))</f>
        <v/>
      </c>
      <c r="E293" s="12" t="str">
        <f>IF(A293="","",(MAX(B$3:B293)-B293)/MAX(B$3:B293))</f>
        <v/>
      </c>
      <c r="F293" s="12" t="str">
        <f>IF(A293="","",MAX(E$4:E293))</f>
        <v/>
      </c>
      <c r="H293" s="14" t="str">
        <f t="shared" si="17"/>
        <v/>
      </c>
      <c r="I293" s="14" t="str">
        <f t="shared" si="18"/>
        <v/>
      </c>
      <c r="J293" s="15" t="str">
        <f t="shared" si="19"/>
        <v/>
      </c>
    </row>
    <row r="294" spans="1:10">
      <c r="A294" s="7" t="str">
        <f>IF(子基金及业绩基准周净值!A325="","",子基金及业绩基准周净值!A325)</f>
        <v/>
      </c>
      <c r="B294" s="1" t="str">
        <f>IF(A294="","",VLOOKUP($A294,子基金及业绩基准周净值!$A:$AV,14))</f>
        <v/>
      </c>
      <c r="C294" s="8" t="str">
        <f t="shared" si="16"/>
        <v/>
      </c>
      <c r="D294" s="9" t="str">
        <f>IF(A294="","",C294-(子基金及业绩基准周净值!AH325/子基金及业绩基准周净值!AH324-1))</f>
        <v/>
      </c>
      <c r="E294" s="12" t="str">
        <f>IF(A294="","",(MAX(B$3:B294)-B294)/MAX(B$3:B294))</f>
        <v/>
      </c>
      <c r="F294" s="12" t="str">
        <f>IF(A294="","",MAX(E$4:E294))</f>
        <v/>
      </c>
      <c r="H294" s="14" t="str">
        <f t="shared" si="17"/>
        <v/>
      </c>
      <c r="I294" s="14" t="str">
        <f t="shared" si="18"/>
        <v/>
      </c>
      <c r="J294" s="15" t="str">
        <f t="shared" si="19"/>
        <v/>
      </c>
    </row>
    <row r="295" spans="1:10">
      <c r="A295" s="7" t="str">
        <f>IF(子基金及业绩基准周净值!A326="","",子基金及业绩基准周净值!A326)</f>
        <v/>
      </c>
      <c r="B295" s="1" t="str">
        <f>IF(A295="","",VLOOKUP($A295,子基金及业绩基准周净值!$A:$AV,14))</f>
        <v/>
      </c>
      <c r="C295" s="8" t="str">
        <f t="shared" si="16"/>
        <v/>
      </c>
      <c r="D295" s="9" t="str">
        <f>IF(A295="","",C295-(子基金及业绩基准周净值!AH326/子基金及业绩基准周净值!AH325-1))</f>
        <v/>
      </c>
      <c r="E295" s="12" t="str">
        <f>IF(A295="","",(MAX(B$3:B295)-B295)/MAX(B$3:B295))</f>
        <v/>
      </c>
      <c r="F295" s="12" t="str">
        <f>IF(A295="","",MAX(E$4:E295))</f>
        <v/>
      </c>
      <c r="H295" s="14" t="str">
        <f t="shared" si="17"/>
        <v/>
      </c>
      <c r="I295" s="14" t="str">
        <f t="shared" si="18"/>
        <v/>
      </c>
      <c r="J295" s="15" t="str">
        <f t="shared" si="19"/>
        <v/>
      </c>
    </row>
    <row r="296" spans="1:10">
      <c r="A296" s="7" t="str">
        <f>IF(子基金及业绩基准周净值!A327="","",子基金及业绩基准周净值!A327)</f>
        <v/>
      </c>
      <c r="B296" s="1" t="str">
        <f>IF(A296="","",VLOOKUP($A296,子基金及业绩基准周净值!$A:$AV,14))</f>
        <v/>
      </c>
      <c r="C296" s="8" t="str">
        <f t="shared" si="16"/>
        <v/>
      </c>
      <c r="D296" s="9" t="str">
        <f>IF(A296="","",C296-(子基金及业绩基准周净值!AH327/子基金及业绩基准周净值!AH326-1))</f>
        <v/>
      </c>
      <c r="E296" s="12" t="str">
        <f>IF(A296="","",(MAX(B$3:B296)-B296)/MAX(B$3:B296))</f>
        <v/>
      </c>
      <c r="F296" s="12" t="str">
        <f>IF(A296="","",MAX(E$4:E296))</f>
        <v/>
      </c>
      <c r="H296" s="14" t="str">
        <f t="shared" si="17"/>
        <v/>
      </c>
      <c r="I296" s="14" t="str">
        <f t="shared" si="18"/>
        <v/>
      </c>
      <c r="J296" s="15" t="str">
        <f t="shared" si="19"/>
        <v/>
      </c>
    </row>
    <row r="297" spans="1:10">
      <c r="A297" s="7" t="str">
        <f>IF(子基金及业绩基准周净值!A328="","",子基金及业绩基准周净值!A328)</f>
        <v/>
      </c>
      <c r="B297" s="1" t="str">
        <f>IF(A297="","",VLOOKUP($A297,子基金及业绩基准周净值!$A:$AV,14))</f>
        <v/>
      </c>
      <c r="C297" s="8" t="str">
        <f t="shared" si="16"/>
        <v/>
      </c>
      <c r="D297" s="9" t="str">
        <f>IF(A297="","",C297-(子基金及业绩基准周净值!AH328/子基金及业绩基准周净值!AH327-1))</f>
        <v/>
      </c>
      <c r="E297" s="12" t="str">
        <f>IF(A297="","",(MAX(B$3:B297)-B297)/MAX(B$3:B297))</f>
        <v/>
      </c>
      <c r="F297" s="12" t="str">
        <f>IF(A297="","",MAX(E$4:E297))</f>
        <v/>
      </c>
      <c r="H297" s="14" t="str">
        <f t="shared" si="17"/>
        <v/>
      </c>
      <c r="I297" s="14" t="str">
        <f t="shared" si="18"/>
        <v/>
      </c>
      <c r="J297" s="15" t="str">
        <f t="shared" si="19"/>
        <v/>
      </c>
    </row>
    <row r="298" spans="1:10">
      <c r="A298" s="7" t="str">
        <f>IF(子基金及业绩基准周净值!A329="","",子基金及业绩基准周净值!A329)</f>
        <v/>
      </c>
      <c r="B298" s="1" t="str">
        <f>IF(A298="","",VLOOKUP($A298,子基金及业绩基准周净值!$A:$AV,14))</f>
        <v/>
      </c>
      <c r="C298" s="8" t="str">
        <f t="shared" si="16"/>
        <v/>
      </c>
      <c r="D298" s="9" t="str">
        <f>IF(A298="","",C298-(子基金及业绩基准周净值!AH329/子基金及业绩基准周净值!AH328-1))</f>
        <v/>
      </c>
      <c r="E298" s="12" t="str">
        <f>IF(A298="","",(MAX(B$3:B298)-B298)/MAX(B$3:B298))</f>
        <v/>
      </c>
      <c r="F298" s="12" t="str">
        <f>IF(A298="","",MAX(E$4:E298))</f>
        <v/>
      </c>
      <c r="H298" s="14" t="str">
        <f t="shared" si="17"/>
        <v/>
      </c>
      <c r="I298" s="14" t="str">
        <f t="shared" si="18"/>
        <v/>
      </c>
      <c r="J298" s="15" t="str">
        <f t="shared" si="19"/>
        <v/>
      </c>
    </row>
    <row r="299" spans="1:10">
      <c r="A299" s="7" t="str">
        <f>IF(子基金及业绩基准周净值!A330="","",子基金及业绩基准周净值!A330)</f>
        <v/>
      </c>
      <c r="B299" s="1" t="str">
        <f>IF(A299="","",VLOOKUP($A299,子基金及业绩基准周净值!$A:$AV,14))</f>
        <v/>
      </c>
      <c r="C299" s="8" t="str">
        <f t="shared" si="16"/>
        <v/>
      </c>
      <c r="D299" s="9" t="str">
        <f>IF(A299="","",C299-(子基金及业绩基准周净值!AH330/子基金及业绩基准周净值!AH329-1))</f>
        <v/>
      </c>
      <c r="E299" s="12" t="str">
        <f>IF(A299="","",(MAX(B$3:B299)-B299)/MAX(B$3:B299))</f>
        <v/>
      </c>
      <c r="F299" s="12" t="str">
        <f>IF(A299="","",MAX(E$4:E299))</f>
        <v/>
      </c>
      <c r="H299" s="14" t="str">
        <f t="shared" si="17"/>
        <v/>
      </c>
      <c r="I299" s="14" t="str">
        <f t="shared" si="18"/>
        <v/>
      </c>
      <c r="J299" s="15" t="str">
        <f t="shared" si="19"/>
        <v/>
      </c>
    </row>
    <row r="300" spans="1:10">
      <c r="A300" s="7" t="str">
        <f>IF(子基金及业绩基准周净值!A331="","",子基金及业绩基准周净值!A331)</f>
        <v/>
      </c>
      <c r="B300" s="1" t="str">
        <f>IF(A300="","",VLOOKUP($A300,子基金及业绩基准周净值!$A:$AV,14))</f>
        <v/>
      </c>
      <c r="C300" s="8" t="str">
        <f t="shared" si="16"/>
        <v/>
      </c>
      <c r="D300" s="9" t="str">
        <f>IF(A300="","",C300-(子基金及业绩基准周净值!AH331/子基金及业绩基准周净值!AH330-1))</f>
        <v/>
      </c>
      <c r="E300" s="12" t="str">
        <f>IF(A300="","",(MAX(B$3:B300)-B300)/MAX(B$3:B300))</f>
        <v/>
      </c>
      <c r="F300" s="12" t="str">
        <f>IF(A300="","",MAX(E$4:E300))</f>
        <v/>
      </c>
      <c r="H300" s="14" t="str">
        <f t="shared" si="17"/>
        <v/>
      </c>
      <c r="I300" s="14" t="str">
        <f t="shared" si="18"/>
        <v/>
      </c>
      <c r="J300" s="15" t="str">
        <f t="shared" si="19"/>
        <v/>
      </c>
    </row>
    <row r="301" spans="1:10">
      <c r="A301" s="7" t="str">
        <f>IF(子基金及业绩基准周净值!A332="","",子基金及业绩基准周净值!A332)</f>
        <v/>
      </c>
      <c r="B301" s="1" t="str">
        <f>IF(A301="","",VLOOKUP($A301,子基金及业绩基准周净值!$A:$AV,14))</f>
        <v/>
      </c>
      <c r="C301" s="8" t="str">
        <f t="shared" si="16"/>
        <v/>
      </c>
      <c r="D301" s="9" t="str">
        <f>IF(A301="","",C301-(子基金及业绩基准周净值!AH332/子基金及业绩基准周净值!AH331-1))</f>
        <v/>
      </c>
      <c r="E301" s="12" t="str">
        <f>IF(A301="","",(MAX(B$3:B301)-B301)/MAX(B$3:B301))</f>
        <v/>
      </c>
      <c r="F301" s="12" t="str">
        <f>IF(A301="","",MAX(E$4:E301))</f>
        <v/>
      </c>
      <c r="H301" s="14" t="str">
        <f t="shared" si="17"/>
        <v/>
      </c>
      <c r="I301" s="14" t="str">
        <f t="shared" si="18"/>
        <v/>
      </c>
      <c r="J301" s="15" t="str">
        <f t="shared" si="19"/>
        <v/>
      </c>
    </row>
    <row r="302" spans="1:10">
      <c r="A302" s="7" t="str">
        <f>IF(子基金及业绩基准周净值!A333="","",子基金及业绩基准周净值!A333)</f>
        <v/>
      </c>
      <c r="B302" s="1" t="str">
        <f>IF(A302="","",VLOOKUP($A302,子基金及业绩基准周净值!$A:$AV,14))</f>
        <v/>
      </c>
      <c r="C302" s="8" t="str">
        <f t="shared" si="16"/>
        <v/>
      </c>
      <c r="D302" s="9" t="str">
        <f>IF(A302="","",C302-(子基金及业绩基准周净值!AH333/子基金及业绩基准周净值!AH332-1))</f>
        <v/>
      </c>
      <c r="E302" s="12" t="str">
        <f>IF(A302="","",(MAX(B$3:B302)-B302)/MAX(B$3:B302))</f>
        <v/>
      </c>
      <c r="F302" s="12" t="str">
        <f>IF(A302="","",MAX(E$4:E302))</f>
        <v/>
      </c>
      <c r="H302" s="14" t="str">
        <f t="shared" si="17"/>
        <v/>
      </c>
      <c r="I302" s="14" t="str">
        <f t="shared" si="18"/>
        <v/>
      </c>
      <c r="J302" s="15" t="str">
        <f t="shared" si="19"/>
        <v/>
      </c>
    </row>
    <row r="303" spans="1:10">
      <c r="A303" s="7" t="str">
        <f>IF(子基金及业绩基准周净值!A334="","",子基金及业绩基准周净值!A334)</f>
        <v/>
      </c>
      <c r="B303" s="1" t="str">
        <f>IF(A303="","",VLOOKUP($A303,子基金及业绩基准周净值!$A:$AV,14))</f>
        <v/>
      </c>
      <c r="C303" s="8" t="str">
        <f t="shared" si="16"/>
        <v/>
      </c>
      <c r="D303" s="9" t="str">
        <f>IF(A303="","",C303-(子基金及业绩基准周净值!AH334/子基金及业绩基准周净值!AH333-1))</f>
        <v/>
      </c>
      <c r="E303" s="12" t="str">
        <f>IF(A303="","",(MAX(B$3:B303)-B303)/MAX(B$3:B303))</f>
        <v/>
      </c>
      <c r="F303" s="12" t="str">
        <f>IF(A303="","",MAX(E$4:E303))</f>
        <v/>
      </c>
      <c r="H303" s="14" t="str">
        <f t="shared" si="17"/>
        <v/>
      </c>
      <c r="I303" s="14" t="str">
        <f t="shared" si="18"/>
        <v/>
      </c>
      <c r="J303" s="15" t="str">
        <f t="shared" si="19"/>
        <v/>
      </c>
    </row>
    <row r="304" spans="1:10">
      <c r="A304" s="7" t="str">
        <f>IF(子基金及业绩基准周净值!A335="","",子基金及业绩基准周净值!A335)</f>
        <v/>
      </c>
      <c r="B304" s="1" t="str">
        <f>IF(A304="","",VLOOKUP($A304,子基金及业绩基准周净值!$A:$AV,14))</f>
        <v/>
      </c>
      <c r="C304" s="8" t="str">
        <f t="shared" si="16"/>
        <v/>
      </c>
      <c r="D304" s="9" t="str">
        <f>IF(A304="","",C304-(子基金及业绩基准周净值!AH335/子基金及业绩基准周净值!AH334-1))</f>
        <v/>
      </c>
      <c r="E304" s="12" t="str">
        <f>IF(A304="","",(MAX(B$3:B304)-B304)/MAX(B$3:B304))</f>
        <v/>
      </c>
      <c r="F304" s="12" t="str">
        <f>IF(A304="","",MAX(E$4:E304))</f>
        <v/>
      </c>
      <c r="H304" s="14" t="str">
        <f t="shared" si="17"/>
        <v/>
      </c>
      <c r="I304" s="14" t="str">
        <f t="shared" si="18"/>
        <v/>
      </c>
      <c r="J304" s="15" t="str">
        <f t="shared" si="19"/>
        <v/>
      </c>
    </row>
    <row r="305" spans="1:10">
      <c r="A305" s="7" t="str">
        <f>IF(子基金及业绩基准周净值!A336="","",子基金及业绩基准周净值!A336)</f>
        <v/>
      </c>
      <c r="B305" s="1" t="str">
        <f>IF(A305="","",VLOOKUP($A305,子基金及业绩基准周净值!$A:$AV,14))</f>
        <v/>
      </c>
      <c r="C305" s="8" t="str">
        <f t="shared" si="16"/>
        <v/>
      </c>
      <c r="D305" s="9" t="str">
        <f>IF(A305="","",C305-(子基金及业绩基准周净值!AH336/子基金及业绩基准周净值!AH335-1))</f>
        <v/>
      </c>
      <c r="E305" s="12" t="str">
        <f>IF(A305="","",(MAX(B$3:B305)-B305)/MAX(B$3:B305))</f>
        <v/>
      </c>
      <c r="F305" s="12" t="str">
        <f>IF(A305="","",MAX(E$4:E305))</f>
        <v/>
      </c>
      <c r="H305" s="14" t="str">
        <f t="shared" si="17"/>
        <v/>
      </c>
      <c r="I305" s="14" t="str">
        <f t="shared" si="18"/>
        <v/>
      </c>
      <c r="J305" s="15" t="str">
        <f t="shared" si="19"/>
        <v/>
      </c>
    </row>
    <row r="306" spans="1:10">
      <c r="A306" s="7" t="str">
        <f>IF(子基金及业绩基准周净值!A337="","",子基金及业绩基准周净值!A337)</f>
        <v/>
      </c>
      <c r="B306" s="1" t="str">
        <f>IF(A306="","",VLOOKUP($A306,子基金及业绩基准周净值!$A:$AV,14))</f>
        <v/>
      </c>
      <c r="C306" s="8" t="str">
        <f t="shared" si="16"/>
        <v/>
      </c>
      <c r="D306" s="9" t="str">
        <f>IF(A306="","",C306-(子基金及业绩基准周净值!AH337/子基金及业绩基准周净值!AH336-1))</f>
        <v/>
      </c>
      <c r="E306" s="12" t="str">
        <f>IF(A306="","",(MAX(B$3:B306)-B306)/MAX(B$3:B306))</f>
        <v/>
      </c>
      <c r="F306" s="12" t="str">
        <f>IF(A306="","",MAX(E$4:E306))</f>
        <v/>
      </c>
      <c r="H306" s="14" t="str">
        <f t="shared" si="17"/>
        <v/>
      </c>
      <c r="I306" s="14" t="str">
        <f t="shared" si="18"/>
        <v/>
      </c>
      <c r="J306" s="15" t="str">
        <f t="shared" si="19"/>
        <v/>
      </c>
    </row>
    <row r="307" spans="1:10">
      <c r="A307" s="7" t="str">
        <f>IF(子基金及业绩基准周净值!A338="","",子基金及业绩基准周净值!A338)</f>
        <v/>
      </c>
      <c r="B307" s="1" t="str">
        <f>IF(A307="","",VLOOKUP($A307,子基金及业绩基准周净值!$A:$AV,14))</f>
        <v/>
      </c>
      <c r="C307" s="8" t="str">
        <f t="shared" si="16"/>
        <v/>
      </c>
      <c r="D307" s="9" t="str">
        <f>IF(A307="","",C307-(子基金及业绩基准周净值!AH338/子基金及业绩基准周净值!AH337-1))</f>
        <v/>
      </c>
      <c r="E307" s="12" t="str">
        <f>IF(A307="","",(MAX(B$3:B307)-B307)/MAX(B$3:B307))</f>
        <v/>
      </c>
      <c r="F307" s="12" t="str">
        <f>IF(A307="","",MAX(E$4:E307))</f>
        <v/>
      </c>
      <c r="H307" s="14" t="str">
        <f t="shared" si="17"/>
        <v/>
      </c>
      <c r="I307" s="14" t="str">
        <f t="shared" si="18"/>
        <v/>
      </c>
      <c r="J307" s="15" t="str">
        <f t="shared" si="19"/>
        <v/>
      </c>
    </row>
    <row r="308" spans="1:10">
      <c r="A308" s="7" t="str">
        <f>IF(子基金及业绩基准周净值!A339="","",子基金及业绩基准周净值!A339)</f>
        <v/>
      </c>
      <c r="B308" s="1" t="str">
        <f>IF(A308="","",VLOOKUP($A308,子基金及业绩基准周净值!$A:$AV,14))</f>
        <v/>
      </c>
      <c r="C308" s="8" t="str">
        <f t="shared" si="16"/>
        <v/>
      </c>
      <c r="D308" s="9" t="str">
        <f>IF(A308="","",C308-(子基金及业绩基准周净值!AH339/子基金及业绩基准周净值!AH338-1))</f>
        <v/>
      </c>
      <c r="E308" s="12" t="str">
        <f>IF(A308="","",(MAX(B$3:B308)-B308)/MAX(B$3:B308))</f>
        <v/>
      </c>
      <c r="F308" s="12" t="str">
        <f>IF(A308="","",MAX(E$4:E308))</f>
        <v/>
      </c>
      <c r="H308" s="14" t="str">
        <f t="shared" si="17"/>
        <v/>
      </c>
      <c r="I308" s="14" t="str">
        <f t="shared" si="18"/>
        <v/>
      </c>
      <c r="J308" s="15" t="str">
        <f t="shared" si="19"/>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308"/>
  <sheetViews>
    <sheetView topLeftCell="A11" workbookViewId="0">
      <selection activeCell="G42" sqref="G42"/>
    </sheetView>
  </sheetViews>
  <sheetFormatPr defaultColWidth="9" defaultRowHeight="16.8"/>
  <cols>
    <col min="1" max="1" width="11.125" customWidth="1"/>
    <col min="2" max="2" width="17"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53</v>
      </c>
      <c r="C2" s="5" t="s">
        <v>310</v>
      </c>
      <c r="D2" s="6" t="s">
        <v>311</v>
      </c>
      <c r="F2" s="5" t="s">
        <v>22</v>
      </c>
      <c r="G2" s="10" t="s">
        <v>312</v>
      </c>
      <c r="H2" s="11" t="s">
        <v>313</v>
      </c>
      <c r="I2" s="11" t="s">
        <v>314</v>
      </c>
      <c r="J2" s="11" t="s">
        <v>315</v>
      </c>
      <c r="K2" s="5" t="s">
        <v>316</v>
      </c>
    </row>
    <row r="3" spans="1:2">
      <c r="A3" s="7">
        <f>IF(子基金及业绩基准周净值!A34="","",子基金及业绩基准周净值!A34)</f>
        <v>45681</v>
      </c>
      <c r="B3" s="1">
        <f>IF(A3="","",VLOOKUP($A3,子基金及业绩基准周净值!$A:$AV,16))</f>
        <v>1.0234</v>
      </c>
    </row>
    <row r="4" spans="1:10">
      <c r="A4" s="7">
        <f>IF(子基金及业绩基准周净值!A35="","",子基金及业绩基准周净值!A35)</f>
        <v>45684</v>
      </c>
      <c r="B4" s="1">
        <f>IF(A4="","",VLOOKUP($A4,子基金及业绩基准周净值!$A:$AV,16))</f>
        <v>1.0325</v>
      </c>
      <c r="C4" s="8">
        <f>IF(A4="","",(B4-B3)/B3)</f>
        <v>0.00889192886456897</v>
      </c>
      <c r="D4" s="9">
        <f>IF(A4="","",C4-子基金及业绩基准周净值!AI35)</f>
        <v>0.013591928864569</v>
      </c>
      <c r="E4" s="12">
        <f>IF(A4="","",(MAX(B$3:B4)-B4)/MAX(B$3:B4))</f>
        <v>0</v>
      </c>
      <c r="F4" s="12">
        <f>IF(A4="","",MAX(E$4:E4))</f>
        <v>0</v>
      </c>
      <c r="G4" s="13">
        <v>0</v>
      </c>
      <c r="H4" s="14" t="str">
        <f>IF(B4="","",IF(C4&lt;-3%,"是","否"))</f>
        <v>否</v>
      </c>
      <c r="I4" s="14" t="str">
        <f>IF(A4="","",IF(F4&gt;5%,"是","否"))</f>
        <v>否</v>
      </c>
      <c r="J4" s="15" t="str">
        <f>IF(A4="","",IF(G4&gt;=4,"是","否"))</f>
        <v>否</v>
      </c>
    </row>
    <row r="5" spans="1:10">
      <c r="A5" s="7">
        <f>IF(子基金及业绩基准周净值!A36="","",子基金及业绩基准周净值!A36)</f>
        <v>45695</v>
      </c>
      <c r="B5" s="1">
        <f>IF(A5="","",VLOOKUP($A5,子基金及业绩基准周净值!$A:$AV,16))</f>
        <v>1.0335</v>
      </c>
      <c r="C5" s="8">
        <f t="shared" ref="C5:C68" si="0">IF(A5="","",(B5-B4)/B4)</f>
        <v>0.000968523002421416</v>
      </c>
      <c r="D5" s="9">
        <f>IF(A5="","",C5-子基金及业绩基准周净值!AI36)</f>
        <v>-0.0163314769975786</v>
      </c>
      <c r="E5" s="12">
        <f>IF(A5="","",(MAX(B$3:B5)-B5)/MAX(B$3:B5))</f>
        <v>0</v>
      </c>
      <c r="F5" s="12">
        <f>IF(A5="","",MAX(E$4:E5))</f>
        <v>0</v>
      </c>
      <c r="G5" s="13">
        <v>1</v>
      </c>
      <c r="H5" s="14" t="str">
        <f t="shared" ref="H5:H68" si="1">IF(B5="","",IF(C5&lt;-3%,"是","否"))</f>
        <v>否</v>
      </c>
      <c r="I5" s="14" t="str">
        <f t="shared" ref="I5:I68" si="2">IF(A5="","",IF(F5&gt;5%,"是","否"))</f>
        <v>否</v>
      </c>
      <c r="J5" s="15" t="str">
        <f t="shared" ref="J5:J68" si="3">IF(A5="","",IF(G5&gt;=4,"是","否"))</f>
        <v>否</v>
      </c>
    </row>
    <row r="6" spans="1:10">
      <c r="A6" s="7">
        <f>IF(子基金及业绩基准周净值!A37="","",子基金及业绩基准周净值!A37)</f>
        <v>45702</v>
      </c>
      <c r="B6" s="1">
        <f>IF(A6="","",VLOOKUP($A6,子基金及业绩基准周净值!$A:$AV,16))</f>
        <v>1.0499</v>
      </c>
      <c r="C6" s="8">
        <f t="shared" si="0"/>
        <v>0.0158684083212385</v>
      </c>
      <c r="D6" s="9">
        <f>IF(A6="","",C6-子基金及业绩基准周净值!AI37)</f>
        <v>0.00136840832123848</v>
      </c>
      <c r="E6" s="12">
        <f>IF(A6="","",(MAX(B$3:B6)-B6)/MAX(B$3:B6))</f>
        <v>0</v>
      </c>
      <c r="F6" s="12">
        <f>IF(A6="","",MAX(E$4:E6))</f>
        <v>0</v>
      </c>
      <c r="G6" s="13">
        <v>0</v>
      </c>
      <c r="H6" s="14" t="str">
        <f t="shared" si="1"/>
        <v>否</v>
      </c>
      <c r="I6" s="14" t="str">
        <f t="shared" si="2"/>
        <v>否</v>
      </c>
      <c r="J6" s="15" t="str">
        <f t="shared" si="3"/>
        <v>否</v>
      </c>
    </row>
    <row r="7" spans="1:10">
      <c r="A7" s="7">
        <f>IF(子基金及业绩基准周净值!A38="","",子基金及业绩基准周净值!A38)</f>
        <v>45709</v>
      </c>
      <c r="B7" s="1">
        <f>IF(A7="","",VLOOKUP($A7,子基金及业绩基准周净值!$A:$AV,16))</f>
        <v>1.0521</v>
      </c>
      <c r="C7" s="8">
        <f t="shared" si="0"/>
        <v>0.00209543766072957</v>
      </c>
      <c r="D7" s="9">
        <f>IF(A7="","",C7-子基金及业绩基准周净值!AI38)</f>
        <v>-0.0173045623392704</v>
      </c>
      <c r="E7" s="12">
        <f>IF(A7="","",(MAX(B$3:B7)-B7)/MAX(B$3:B7))</f>
        <v>0</v>
      </c>
      <c r="F7" s="12">
        <f>IF(A7="","",MAX(E$4:E7))</f>
        <v>0</v>
      </c>
      <c r="G7" s="13">
        <v>1</v>
      </c>
      <c r="H7" s="14" t="str">
        <f t="shared" si="1"/>
        <v>否</v>
      </c>
      <c r="I7" s="14" t="str">
        <f t="shared" si="2"/>
        <v>否</v>
      </c>
      <c r="J7" s="15" t="str">
        <f t="shared" si="3"/>
        <v>否</v>
      </c>
    </row>
    <row r="8" spans="1:10">
      <c r="A8" s="7">
        <f>IF(子基金及业绩基准周净值!A39="","",子基金及业绩基准周净值!A39)</f>
        <v>45716</v>
      </c>
      <c r="B8" s="1">
        <f>IF(A8="","",VLOOKUP($A8,子基金及业绩基准周净值!$A:$AV,16))</f>
        <v>1.0573</v>
      </c>
      <c r="C8" s="8">
        <f t="shared" si="0"/>
        <v>0.00494249596045991</v>
      </c>
      <c r="D8" s="9">
        <f>IF(A8="","",C8-子基金及业绩基准周净值!AI39)</f>
        <v>0.00134249596045991</v>
      </c>
      <c r="E8" s="12">
        <f>IF(A8="","",(MAX(B$3:B8)-B8)/MAX(B$3:B8))</f>
        <v>0</v>
      </c>
      <c r="F8" s="12">
        <f>IF(A8="","",MAX(E$4:E8))</f>
        <v>0</v>
      </c>
      <c r="G8" s="13">
        <v>0</v>
      </c>
      <c r="H8" s="14" t="str">
        <f t="shared" si="1"/>
        <v>否</v>
      </c>
      <c r="I8" s="14" t="str">
        <f t="shared" si="2"/>
        <v>否</v>
      </c>
      <c r="J8" s="15" t="str">
        <f t="shared" si="3"/>
        <v>否</v>
      </c>
    </row>
    <row r="9" spans="1:10">
      <c r="A9" s="7">
        <f>IF(子基金及业绩基准周净值!A40="","",子基金及业绩基准周净值!A40)</f>
        <v>45723</v>
      </c>
      <c r="B9" s="1">
        <f>IF(A9="","",VLOOKUP($A9,子基金及业绩基准周净值!$A:$AV,16))</f>
        <v>1.0706</v>
      </c>
      <c r="C9" s="8">
        <f t="shared" si="0"/>
        <v>0.0125792111983355</v>
      </c>
      <c r="D9" s="9">
        <f>IF(A9="","",C9-子基金及业绩基准周净值!AI40)</f>
        <v>0.00267921119833547</v>
      </c>
      <c r="E9" s="12">
        <f>IF(A9="","",(MAX(B$3:B9)-B9)/MAX(B$3:B9))</f>
        <v>0</v>
      </c>
      <c r="F9" s="12">
        <f>IF(A9="","",MAX(E$4:E9))</f>
        <v>0</v>
      </c>
      <c r="G9" s="13">
        <v>0</v>
      </c>
      <c r="H9" s="14" t="str">
        <f t="shared" si="1"/>
        <v>否</v>
      </c>
      <c r="I9" s="14" t="str">
        <f t="shared" si="2"/>
        <v>否</v>
      </c>
      <c r="J9" s="15" t="str">
        <f t="shared" si="3"/>
        <v>否</v>
      </c>
    </row>
    <row r="10" spans="1:10">
      <c r="A10" s="7">
        <f>IF(子基金及业绩基准周净值!A41="","",子基金及业绩基准周净值!A41)</f>
        <v>45730</v>
      </c>
      <c r="B10" s="1">
        <f>IF(A10="","",VLOOKUP($A10,子基金及业绩基准周净值!$A:$AV,16))</f>
        <v>1.0716</v>
      </c>
      <c r="C10" s="8">
        <f t="shared" si="0"/>
        <v>0.00093405566971802</v>
      </c>
      <c r="D10" s="9">
        <f>IF(A10="","",C10-子基金及业绩基准周净值!AI41)</f>
        <v>-0.00496594433028198</v>
      </c>
      <c r="E10" s="12">
        <f>IF(A10="","",(MAX(B$3:B10)-B10)/MAX(B$3:B10))</f>
        <v>0</v>
      </c>
      <c r="F10" s="12">
        <f>IF(A10="","",MAX(E$4:E10))</f>
        <v>0</v>
      </c>
      <c r="G10" s="13">
        <v>1</v>
      </c>
      <c r="H10" s="14" t="str">
        <f t="shared" si="1"/>
        <v>否</v>
      </c>
      <c r="I10" s="14" t="str">
        <f t="shared" si="2"/>
        <v>否</v>
      </c>
      <c r="J10" s="15" t="str">
        <f t="shared" si="3"/>
        <v>否</v>
      </c>
    </row>
    <row r="11" spans="1:10">
      <c r="A11" s="7">
        <f>IF(子基金及业绩基准周净值!A42="","",子基金及业绩基准周净值!A42)</f>
        <v>45737</v>
      </c>
      <c r="B11" s="1">
        <f>IF(A11="","",VLOOKUP($A11,子基金及业绩基准周净值!$A:$AV,16))</f>
        <v>1.0701</v>
      </c>
      <c r="C11" s="8">
        <f t="shared" si="0"/>
        <v>-0.00139977603583432</v>
      </c>
      <c r="D11" s="9">
        <f>IF(A11="","",C11-子基金及业绩基准周净值!AI42)</f>
        <v>-0.00149977603583432</v>
      </c>
      <c r="E11" s="12">
        <f>IF(A11="","",(MAX(B$3:B11)-B11)/MAX(B$3:B11))</f>
        <v>0.00139977603583432</v>
      </c>
      <c r="F11" s="12">
        <f>IF(A11="","",MAX(E$4:E11))</f>
        <v>0.00139977603583432</v>
      </c>
      <c r="G11" s="13">
        <v>2</v>
      </c>
      <c r="H11" s="14" t="str">
        <f t="shared" si="1"/>
        <v>否</v>
      </c>
      <c r="I11" s="14" t="str">
        <f t="shared" si="2"/>
        <v>否</v>
      </c>
      <c r="J11" s="15" t="str">
        <f t="shared" si="3"/>
        <v>否</v>
      </c>
    </row>
    <row r="12" spans="1:10">
      <c r="A12" s="7">
        <f>IF(子基金及业绩基准周净值!A43="","",子基金及业绩基准周净值!A43)</f>
        <v>45744</v>
      </c>
      <c r="B12" s="1">
        <f>IF(A12="","",VLOOKUP($A12,子基金及业绩基准周净值!$A:$AV,16))</f>
        <v>1.0714</v>
      </c>
      <c r="C12" s="8">
        <f t="shared" si="0"/>
        <v>0.00121483973460411</v>
      </c>
      <c r="D12" s="9">
        <f>IF(A12="","",C12-子基金及业绩基准周净值!AI43)</f>
        <v>0.0113148397346041</v>
      </c>
      <c r="E12" s="12">
        <f>IF(A12="","",(MAX(B$3:B12)-B12)/MAX(B$3:B12))</f>
        <v>0.000186636804778089</v>
      </c>
      <c r="F12" s="12">
        <f>IF(A12="","",MAX(E$4:E12))</f>
        <v>0.00139977603583432</v>
      </c>
      <c r="G12" s="13">
        <v>0</v>
      </c>
      <c r="H12" s="14" t="str">
        <f t="shared" si="1"/>
        <v>否</v>
      </c>
      <c r="I12" s="14" t="str">
        <f t="shared" si="2"/>
        <v>否</v>
      </c>
      <c r="J12" s="15" t="str">
        <f t="shared" si="3"/>
        <v>否</v>
      </c>
    </row>
    <row r="13" spans="1:10">
      <c r="A13" s="7">
        <f>IF(子基金及业绩基准周净值!A44="","",子基金及业绩基准周净值!A44)</f>
        <v>45750</v>
      </c>
      <c r="B13" s="1">
        <f>IF(A13="","",VLOOKUP($A13,子基金及业绩基准周净值!$A:$AV,16))</f>
        <v>1.0739</v>
      </c>
      <c r="C13" s="8">
        <f t="shared" si="0"/>
        <v>0.00233339555721502</v>
      </c>
      <c r="D13" s="9">
        <f>IF(A13="","",C13-子基金及业绩基准周净值!AI44)</f>
        <v>0.000833395557215017</v>
      </c>
      <c r="E13" s="12">
        <f>IF(A13="","",(MAX(B$3:B13)-B13)/MAX(B$3:B13))</f>
        <v>0</v>
      </c>
      <c r="F13" s="12">
        <f>IF(A13="","",MAX(E$4:E13))</f>
        <v>0.00139977603583432</v>
      </c>
      <c r="G13" s="13">
        <v>0</v>
      </c>
      <c r="H13" s="14" t="str">
        <f t="shared" si="1"/>
        <v>否</v>
      </c>
      <c r="I13" s="14" t="str">
        <f t="shared" si="2"/>
        <v>否</v>
      </c>
      <c r="J13" s="15" t="str">
        <f t="shared" si="3"/>
        <v>否</v>
      </c>
    </row>
    <row r="14" spans="1:10">
      <c r="A14" s="7">
        <f>IF(子基金及业绩基准周净值!A45="","",子基金及业绩基准周净值!A45)</f>
        <v>45758</v>
      </c>
      <c r="B14" s="1">
        <f>IF(A14="","",VLOOKUP($A14,子基金及业绩基准周净值!$A:$AV,16))</f>
        <v>1.0767</v>
      </c>
      <c r="C14" s="8">
        <f t="shared" si="0"/>
        <v>0.00260731911723616</v>
      </c>
      <c r="D14" s="9">
        <f>IF(A14="","",C14-子基金及业绩基准周净值!AI45)</f>
        <v>-0.0270926808827638</v>
      </c>
      <c r="E14" s="12">
        <f>IF(A14="","",(MAX(B$3:B14)-B14)/MAX(B$3:B14))</f>
        <v>0</v>
      </c>
      <c r="F14" s="12">
        <f>IF(A14="","",MAX(E$4:E14))</f>
        <v>0.00139977603583432</v>
      </c>
      <c r="G14" s="13">
        <v>1</v>
      </c>
      <c r="H14" s="14" t="str">
        <f t="shared" si="1"/>
        <v>否</v>
      </c>
      <c r="I14" s="14" t="str">
        <f t="shared" si="2"/>
        <v>否</v>
      </c>
      <c r="J14" s="15" t="str">
        <f t="shared" si="3"/>
        <v>否</v>
      </c>
    </row>
    <row r="15" spans="1:10">
      <c r="A15" s="7">
        <f>IF(子基金及业绩基准周净值!A46="","",子基金及业绩基准周净值!A46)</f>
        <v>45765</v>
      </c>
      <c r="B15" s="1">
        <f>IF(A15="","",VLOOKUP($A15,子基金及业绩基准周净值!$A:$AV,16))</f>
        <v>1.0762</v>
      </c>
      <c r="C15" s="8">
        <f t="shared" si="0"/>
        <v>-0.000464381907680826</v>
      </c>
      <c r="D15" s="9">
        <f>IF(A15="","",C15-子基金及业绩基准周净值!AI46)</f>
        <v>-0.00316438190768083</v>
      </c>
      <c r="E15" s="12">
        <f>IF(A15="","",(MAX(B$3:B15)-B15)/MAX(B$3:B15))</f>
        <v>0.000464381907680826</v>
      </c>
      <c r="F15" s="12">
        <f>IF(A15="","",MAX(E$4:E15))</f>
        <v>0.00139977603583432</v>
      </c>
      <c r="G15" s="13">
        <v>2</v>
      </c>
      <c r="H15" s="14" t="str">
        <f t="shared" si="1"/>
        <v>否</v>
      </c>
      <c r="I15" s="14" t="str">
        <f t="shared" si="2"/>
        <v>否</v>
      </c>
      <c r="J15" s="15" t="str">
        <f t="shared" si="3"/>
        <v>否</v>
      </c>
    </row>
    <row r="16" spans="1:10">
      <c r="A16" s="7">
        <f>IF(子基金及业绩基准周净值!A47="","",子基金及业绩基准周净值!A47)</f>
        <v>45772</v>
      </c>
      <c r="B16" s="1">
        <f>IF(A16="","",VLOOKUP($A16,子基金及业绩基准周净值!$A:$AV,16))</f>
        <v>1.0775</v>
      </c>
      <c r="C16" s="8">
        <f t="shared" si="0"/>
        <v>0.00120795391191215</v>
      </c>
      <c r="D16" s="9">
        <f>IF(A16="","",C16-子基金及业绩基准周净值!AI47)</f>
        <v>0.00830795391191215</v>
      </c>
      <c r="E16" s="12">
        <f>IF(A16="","",(MAX(B$3:B16)-B16)/MAX(B$3:B16))</f>
        <v>0</v>
      </c>
      <c r="F16" s="12">
        <f>IF(A16="","",MAX(E$4:E16))</f>
        <v>0.00139977603583432</v>
      </c>
      <c r="G16" s="13">
        <v>0</v>
      </c>
      <c r="H16" s="14" t="str">
        <f t="shared" si="1"/>
        <v>否</v>
      </c>
      <c r="I16" s="14" t="str">
        <f t="shared" si="2"/>
        <v>否</v>
      </c>
      <c r="J16" s="15" t="str">
        <f t="shared" si="3"/>
        <v>否</v>
      </c>
    </row>
    <row r="17" spans="1:10">
      <c r="A17" s="7">
        <f>IF(子基金及业绩基准周净值!A48="","",子基金及业绩基准周净值!A48)</f>
        <v>45786</v>
      </c>
      <c r="B17" s="1">
        <f>IF(A17="","",VLOOKUP($A17,子基金及业绩基准周净值!$A:$AV,16))</f>
        <v>1.0826</v>
      </c>
      <c r="C17" s="8">
        <f t="shared" si="0"/>
        <v>0.00473317865429244</v>
      </c>
      <c r="D17" s="9">
        <f>IF(A17="","",C17-子基金及业绩基准周净值!AI48)</f>
        <v>-0.0118668213457076</v>
      </c>
      <c r="E17" s="12">
        <f>IF(A17="","",(MAX(B$3:B17)-B17)/MAX(B$3:B17))</f>
        <v>0</v>
      </c>
      <c r="F17" s="12">
        <f>IF(A17="","",MAX(E$4:E17))</f>
        <v>0.00139977603583432</v>
      </c>
      <c r="G17" s="13">
        <v>1</v>
      </c>
      <c r="H17" s="14" t="str">
        <f t="shared" si="1"/>
        <v>否</v>
      </c>
      <c r="I17" s="14" t="str">
        <f t="shared" si="2"/>
        <v>否</v>
      </c>
      <c r="J17" s="15" t="str">
        <f t="shared" si="3"/>
        <v>否</v>
      </c>
    </row>
    <row r="18" spans="1:10">
      <c r="A18" s="7">
        <f>IF(子基金及业绩基准周净值!A49="","",子基金及业绩基准周净值!A49)</f>
        <v>45793</v>
      </c>
      <c r="B18" s="1">
        <f>IF(A18="","",VLOOKUP($A18,子基金及业绩基准周净值!$A:$AV,16))</f>
        <v>1.0848</v>
      </c>
      <c r="C18" s="8">
        <f t="shared" si="0"/>
        <v>0.00203214483650469</v>
      </c>
      <c r="D18" s="9">
        <f>IF(A18="","",C18-子基金及业绩基准周净值!AI49)</f>
        <v>-0.00746785516349531</v>
      </c>
      <c r="E18" s="12">
        <f>IF(A18="","",(MAX(B$3:B18)-B18)/MAX(B$3:B18))</f>
        <v>0</v>
      </c>
      <c r="F18" s="12">
        <f>IF(A18="","",MAX(E$4:E18))</f>
        <v>0.00139977603583432</v>
      </c>
      <c r="G18" s="13">
        <v>2</v>
      </c>
      <c r="H18" s="14" t="str">
        <f t="shared" si="1"/>
        <v>否</v>
      </c>
      <c r="I18" s="14" t="str">
        <f t="shared" si="2"/>
        <v>否</v>
      </c>
      <c r="J18" s="15" t="str">
        <f t="shared" si="3"/>
        <v>否</v>
      </c>
    </row>
    <row r="19" spans="1:10">
      <c r="A19" s="7">
        <f>IF(子基金及业绩基准周净值!A50="","",子基金及业绩基准周净值!A50)</f>
        <v>45800</v>
      </c>
      <c r="B19" s="1">
        <f>IF(A19="","",VLOOKUP($A19,子基金及业绩基准周净值!$A:$AV,16))</f>
        <v>1.0852</v>
      </c>
      <c r="C19" s="8">
        <f t="shared" si="0"/>
        <v>0.000368731563421788</v>
      </c>
      <c r="D19" s="9">
        <f>IF(A19="","",C19-子基金及业绩基准周净值!AI50)</f>
        <v>-0.00233126843657821</v>
      </c>
      <c r="E19" s="12">
        <f>IF(A19="","",(MAX(B$3:B19)-B19)/MAX(B$3:B19))</f>
        <v>0</v>
      </c>
      <c r="F19" s="12">
        <f>IF(A19="","",MAX(E$4:E19))</f>
        <v>0.00139977603583432</v>
      </c>
      <c r="G19" s="13">
        <v>3</v>
      </c>
      <c r="H19" s="14" t="str">
        <f t="shared" si="1"/>
        <v>否</v>
      </c>
      <c r="I19" s="14" t="str">
        <f t="shared" si="2"/>
        <v>否</v>
      </c>
      <c r="J19" s="15" t="str">
        <f t="shared" si="3"/>
        <v>否</v>
      </c>
    </row>
    <row r="20" spans="1:10">
      <c r="A20" s="7">
        <f>IF(子基金及业绩基准周净值!A51="","",子基金及业绩基准周净值!A51)</f>
        <v>45807</v>
      </c>
      <c r="B20" s="1">
        <f>IF(A20="","",VLOOKUP($A20,子基金及业绩基准周净值!$A:$AV,16))</f>
        <v>1.0864</v>
      </c>
      <c r="C20" s="8">
        <f t="shared" si="0"/>
        <v>0.00110578695171405</v>
      </c>
      <c r="D20" s="9">
        <f>IF(A20="","",C20-子基金及业绩基准周净值!AI51)</f>
        <v>-0.0128942130482859</v>
      </c>
      <c r="E20" s="12">
        <f>IF(A20="","",(MAX(B$3:B20)-B20)/MAX(B$3:B20))</f>
        <v>0</v>
      </c>
      <c r="F20" s="12">
        <f>IF(A20="","",MAX(E$4:E20))</f>
        <v>0.00139977603583432</v>
      </c>
      <c r="G20" s="13">
        <v>4</v>
      </c>
      <c r="H20" s="14" t="str">
        <f t="shared" si="1"/>
        <v>否</v>
      </c>
      <c r="I20" s="14" t="str">
        <f t="shared" si="2"/>
        <v>否</v>
      </c>
      <c r="J20" s="15" t="str">
        <f t="shared" si="3"/>
        <v>是</v>
      </c>
    </row>
    <row r="21" spans="1:10">
      <c r="A21" s="7">
        <f>IF(子基金及业绩基准周净值!A52="","",子基金及业绩基准周净值!A52)</f>
        <v>45814</v>
      </c>
      <c r="B21" s="1">
        <f>IF(A21="","",VLOOKUP($A21,子基金及业绩基准周净值!$A:$AV,16))</f>
        <v>1.0873</v>
      </c>
      <c r="C21" s="8">
        <f t="shared" si="0"/>
        <v>0.00082842415316633</v>
      </c>
      <c r="D21" s="9">
        <f>IF(A21="","",C21-子基金及业绩基准周净值!AI52)</f>
        <v>-0.00367157584683367</v>
      </c>
      <c r="E21" s="12">
        <f>IF(A21="","",(MAX(B$3:B21)-B21)/MAX(B$3:B21))</f>
        <v>0</v>
      </c>
      <c r="F21" s="12">
        <f>IF(A21="","",MAX(E$4:E21))</f>
        <v>0.00139977603583432</v>
      </c>
      <c r="G21" s="13">
        <v>5</v>
      </c>
      <c r="H21" s="14" t="str">
        <f t="shared" si="1"/>
        <v>否</v>
      </c>
      <c r="I21" s="14" t="str">
        <f t="shared" si="2"/>
        <v>否</v>
      </c>
      <c r="J21" s="15" t="str">
        <f t="shared" si="3"/>
        <v>是</v>
      </c>
    </row>
    <row r="22" spans="1:10">
      <c r="A22" s="7">
        <f>IF(子基金及业绩基准周净值!A53="","",子基金及业绩基准周净值!A53)</f>
        <v>45821</v>
      </c>
      <c r="B22" s="1">
        <f>IF(A22="","",VLOOKUP($A22,子基金及业绩基准周净值!$A:$AV,16))</f>
        <v>1.0875</v>
      </c>
      <c r="C22" s="8">
        <f t="shared" si="0"/>
        <v>0.00018394187436768</v>
      </c>
      <c r="D22" s="9">
        <f>IF(A22="","",C22-子基金及业绩基准周净值!AI53)</f>
        <v>-0.00351605812563232</v>
      </c>
      <c r="E22" s="12">
        <f>IF(A22="","",(MAX(B$3:B22)-B22)/MAX(B$3:B22))</f>
        <v>0</v>
      </c>
      <c r="F22" s="12">
        <f>IF(A22="","",MAX(E$4:E22))</f>
        <v>0.00139977603583432</v>
      </c>
      <c r="G22" s="13">
        <v>6</v>
      </c>
      <c r="H22" s="14" t="str">
        <f t="shared" si="1"/>
        <v>否</v>
      </c>
      <c r="I22" s="14" t="str">
        <f t="shared" si="2"/>
        <v>否</v>
      </c>
      <c r="J22" s="15" t="str">
        <f t="shared" si="3"/>
        <v>是</v>
      </c>
    </row>
    <row r="23" spans="1:10">
      <c r="A23" s="7">
        <f>IF(子基金及业绩基准周净值!A54="","",子基金及业绩基准周净值!A54)</f>
        <v>45828</v>
      </c>
      <c r="B23" s="1">
        <f>IF(A23="","",VLOOKUP($A23,子基金及业绩基准周净值!$A:$AV,16))</f>
        <v>1.0877</v>
      </c>
      <c r="C23" s="8">
        <f t="shared" si="0"/>
        <v>0.000183908045976991</v>
      </c>
      <c r="D23" s="9">
        <f>IF(A23="","",C23-子基金及业绩基准周净值!AI54)</f>
        <v>-0.00451609195402301</v>
      </c>
      <c r="E23" s="12">
        <f>IF(A23="","",(MAX(B$3:B23)-B23)/MAX(B$3:B23))</f>
        <v>0</v>
      </c>
      <c r="F23" s="12">
        <f>IF(A23="","",MAX(E$4:E23))</f>
        <v>0.00139977603583432</v>
      </c>
      <c r="G23" s="13">
        <v>7</v>
      </c>
      <c r="H23" s="14" t="str">
        <f t="shared" si="1"/>
        <v>否</v>
      </c>
      <c r="I23" s="14" t="str">
        <f t="shared" si="2"/>
        <v>否</v>
      </c>
      <c r="J23" s="15" t="str">
        <f t="shared" si="3"/>
        <v>是</v>
      </c>
    </row>
    <row r="24" spans="1:10">
      <c r="A24" s="7">
        <f>IF(子基金及业绩基准周净值!A55="","",子基金及业绩基准周净值!A55)</f>
        <v>45835</v>
      </c>
      <c r="B24" s="1">
        <f>IF(A24="","",VLOOKUP($A24,子基金及业绩基准周净值!$A:$AV,16))</f>
        <v>1.0878</v>
      </c>
      <c r="C24" s="8">
        <f t="shared" si="0"/>
        <v>9.19371150135249e-5</v>
      </c>
      <c r="D24" s="9">
        <f>IF(A24="","",C24-子基金及业绩基准周净值!AI55)</f>
        <v>-0.0169080628849865</v>
      </c>
      <c r="E24" s="12">
        <f>IF(A24="","",(MAX(B$3:B24)-B24)/MAX(B$3:B24))</f>
        <v>0</v>
      </c>
      <c r="F24" s="12">
        <f>IF(A24="","",MAX(E$4:E24))</f>
        <v>0.00139977603583432</v>
      </c>
      <c r="G24" s="13">
        <v>8</v>
      </c>
      <c r="H24" s="14" t="str">
        <f t="shared" si="1"/>
        <v>否</v>
      </c>
      <c r="I24" s="14" t="str">
        <f t="shared" si="2"/>
        <v>否</v>
      </c>
      <c r="J24" s="15" t="str">
        <f t="shared" si="3"/>
        <v>是</v>
      </c>
    </row>
    <row r="25" spans="1:10">
      <c r="A25" s="7">
        <f>IF(子基金及业绩基准周净值!A56="","",子基金及业绩基准周净值!A56)</f>
        <v>45842</v>
      </c>
      <c r="B25" s="1">
        <f>IF(A25="","",VLOOKUP($A25,子基金及业绩基准周净值!$A:$AV,16))</f>
        <v>1.088</v>
      </c>
      <c r="C25" s="8">
        <f t="shared" si="0"/>
        <v>0.000183857326714449</v>
      </c>
      <c r="D25" s="9">
        <f>IF(A25="","",C25-子基金及业绩基准周净值!AI56)</f>
        <v>-0.00191614267328555</v>
      </c>
      <c r="E25" s="12">
        <f>IF(A25="","",(MAX(B$3:B25)-B25)/MAX(B$3:B25))</f>
        <v>0</v>
      </c>
      <c r="F25" s="12">
        <f>IF(A25="","",MAX(E$4:E25))</f>
        <v>0.00139977603583432</v>
      </c>
      <c r="G25" s="13">
        <v>9</v>
      </c>
      <c r="H25" s="14" t="str">
        <f t="shared" si="1"/>
        <v>否</v>
      </c>
      <c r="I25" s="14" t="str">
        <f t="shared" si="2"/>
        <v>否</v>
      </c>
      <c r="J25" s="15" t="str">
        <f t="shared" si="3"/>
        <v>是</v>
      </c>
    </row>
    <row r="26" spans="1:10">
      <c r="A26" s="7">
        <f>IF(子基金及业绩基准周净值!A57="","",子基金及业绩基准周净值!A57)</f>
        <v>45849</v>
      </c>
      <c r="B26" s="1">
        <f>IF(A26="","",VLOOKUP($A26,子基金及业绩基准周净值!$A:$AV,16))</f>
        <v>1.0885</v>
      </c>
      <c r="C26" s="8">
        <f t="shared" si="0"/>
        <v>0.000459558823529361</v>
      </c>
      <c r="D26" s="9">
        <f>IF(A26="","",C26-子基金及业绩基准周净值!AI57)</f>
        <v>-0.0116404411764706</v>
      </c>
      <c r="E26" s="12">
        <f>IF(A26="","",(MAX(B$3:B26)-B26)/MAX(B$3:B26))</f>
        <v>0</v>
      </c>
      <c r="F26" s="12">
        <f>IF(A26="","",MAX(E$4:E26))</f>
        <v>0.00139977603583432</v>
      </c>
      <c r="G26" s="13">
        <v>10</v>
      </c>
      <c r="H26" s="14" t="str">
        <f t="shared" si="1"/>
        <v>否</v>
      </c>
      <c r="I26" s="14" t="str">
        <f t="shared" si="2"/>
        <v>否</v>
      </c>
      <c r="J26" s="15" t="str">
        <f t="shared" si="3"/>
        <v>是</v>
      </c>
    </row>
    <row r="27" spans="1:10">
      <c r="A27" s="7">
        <f>IF(子基金及业绩基准周净值!A58="","",子基金及业绩基准周净值!A58)</f>
        <v>45856</v>
      </c>
      <c r="B27" s="1">
        <f>IF(A27="","",VLOOKUP($A27,子基金及业绩基准周净值!$A:$AV,16))</f>
        <v>1.1037</v>
      </c>
      <c r="C27" s="8">
        <f t="shared" si="0"/>
        <v>0.013964170877354</v>
      </c>
      <c r="D27" s="9">
        <f>IF(A27="","",C27-子基金及业绩基准周净值!AI58)</f>
        <v>0.00856417087735405</v>
      </c>
      <c r="E27" s="12">
        <f>IF(A27="","",(MAX(B$3:B27)-B27)/MAX(B$3:B27))</f>
        <v>0</v>
      </c>
      <c r="F27" s="12">
        <f>IF(A27="","",MAX(E$4:E27))</f>
        <v>0.00139977603583432</v>
      </c>
      <c r="G27" s="13">
        <v>0</v>
      </c>
      <c r="H27" s="14" t="str">
        <f t="shared" si="1"/>
        <v>否</v>
      </c>
      <c r="I27" s="14" t="str">
        <f t="shared" si="2"/>
        <v>否</v>
      </c>
      <c r="J27" s="15" t="str">
        <f t="shared" si="3"/>
        <v>否</v>
      </c>
    </row>
    <row r="28" spans="1:10">
      <c r="A28" s="7">
        <f>IF(子基金及业绩基准周净值!A59="","",子基金及业绩基准周净值!A59)</f>
        <v>45863</v>
      </c>
      <c r="B28" s="1">
        <f>IF(A28="","",VLOOKUP($A28,子基金及业绩基准周净值!$A:$AV,16))</f>
        <v>1.1436</v>
      </c>
      <c r="C28" s="8">
        <f t="shared" si="0"/>
        <v>0.0361511280239196</v>
      </c>
      <c r="D28" s="9">
        <f>IF(A28="","",C28-子基金及业绩基准周净值!AI59)</f>
        <v>0.0295511280239196</v>
      </c>
      <c r="E28" s="12">
        <f>IF(A28="","",(MAX(B$3:B28)-B28)/MAX(B$3:B28))</f>
        <v>0</v>
      </c>
      <c r="F28" s="12">
        <f>IF(A28="","",MAX(E$4:E28))</f>
        <v>0.00139977603583432</v>
      </c>
      <c r="G28" s="13">
        <v>0</v>
      </c>
      <c r="H28" s="14" t="str">
        <f t="shared" si="1"/>
        <v>否</v>
      </c>
      <c r="I28" s="14" t="str">
        <f t="shared" si="2"/>
        <v>否</v>
      </c>
      <c r="J28" s="15" t="str">
        <f t="shared" si="3"/>
        <v>否</v>
      </c>
    </row>
    <row r="29" spans="1:10">
      <c r="A29" s="7">
        <f>IF(子基金及业绩基准周净值!A60="","",子基金及业绩基准周净值!A60)</f>
        <v>45870</v>
      </c>
      <c r="B29" s="1">
        <f>IF(A29="","",VLOOKUP($A29,子基金及业绩基准周净值!$A:$AV,16))</f>
        <v>1.1437</v>
      </c>
      <c r="C29" s="8">
        <f t="shared" si="0"/>
        <v>8.74431619447263e-5</v>
      </c>
      <c r="D29" s="9">
        <f>IF(A29="","",C29-子基金及业绩基准周净值!AI60)</f>
        <v>-0.00691255683805527</v>
      </c>
      <c r="E29" s="12">
        <f>IF(A29="","",(MAX(B$3:B29)-B29)/MAX(B$3:B29))</f>
        <v>0</v>
      </c>
      <c r="F29" s="12">
        <f>IF(A29="","",MAX(E$4:E29))</f>
        <v>0.00139977603583432</v>
      </c>
      <c r="G29" s="13">
        <v>1</v>
      </c>
      <c r="H29" s="14" t="str">
        <f t="shared" si="1"/>
        <v>否</v>
      </c>
      <c r="I29" s="14" t="str">
        <f t="shared" si="2"/>
        <v>否</v>
      </c>
      <c r="J29" s="15" t="str">
        <f t="shared" si="3"/>
        <v>否</v>
      </c>
    </row>
    <row r="30" spans="1:10">
      <c r="A30" s="7">
        <f>IF(子基金及业绩基准周净值!A61="","",子基金及业绩基准周净值!A61)</f>
        <v>45877</v>
      </c>
      <c r="B30" s="1">
        <f>IF(A30="","",VLOOKUP($A30,子基金及业绩基准周净值!$A:$AV,16))</f>
        <v>1.144</v>
      </c>
      <c r="C30" s="8">
        <f t="shared" si="0"/>
        <v>0.000262306548920142</v>
      </c>
      <c r="D30" s="9">
        <f>IF(A30="","",C30-子基金及业绩基准周净值!AI61)</f>
        <v>-0.0182376934510799</v>
      </c>
      <c r="E30" s="12">
        <f>IF(A30="","",(MAX(B$3:B30)-B30)/MAX(B$3:B30))</f>
        <v>0</v>
      </c>
      <c r="F30" s="12">
        <f>IF(A30="","",MAX(E$4:E30))</f>
        <v>0.00139977603583432</v>
      </c>
      <c r="G30" s="13">
        <v>2</v>
      </c>
      <c r="H30" s="14" t="str">
        <f t="shared" si="1"/>
        <v>否</v>
      </c>
      <c r="I30" s="14" t="str">
        <f t="shared" si="2"/>
        <v>否</v>
      </c>
      <c r="J30" s="15" t="str">
        <f t="shared" si="3"/>
        <v>否</v>
      </c>
    </row>
    <row r="31" spans="1:10">
      <c r="A31" s="7">
        <f>IF(子基金及业绩基准周净值!A62="","",子基金及业绩基准周净值!A62)</f>
        <v>45884</v>
      </c>
      <c r="B31" s="1">
        <f>IF(A31="","",VLOOKUP($A31,子基金及业绩基准周净值!$A:$AV,16))</f>
        <v>1.1479</v>
      </c>
      <c r="C31" s="8">
        <f t="shared" si="0"/>
        <v>0.00340909090909092</v>
      </c>
      <c r="D31" s="9">
        <f>IF(A31="","",C31-子基金及业绩基准周净值!AI62)</f>
        <v>-0.0227909090909091</v>
      </c>
      <c r="E31" s="12">
        <f>IF(A31="","",(MAX(B$3:B31)-B31)/MAX(B$3:B31))</f>
        <v>0</v>
      </c>
      <c r="F31" s="12">
        <f>IF(A31="","",MAX(E$4:E31))</f>
        <v>0.00139977603583432</v>
      </c>
      <c r="G31" s="13">
        <v>3</v>
      </c>
      <c r="H31" s="14" t="str">
        <f t="shared" si="1"/>
        <v>否</v>
      </c>
      <c r="I31" s="14" t="str">
        <f t="shared" si="2"/>
        <v>否</v>
      </c>
      <c r="J31" s="15" t="str">
        <f t="shared" si="3"/>
        <v>否</v>
      </c>
    </row>
    <row r="32" spans="1:10">
      <c r="A32" s="7">
        <f>IF(子基金及业绩基准周净值!A63="","",子基金及业绩基准周净值!A63)</f>
        <v>45891</v>
      </c>
      <c r="B32" s="1">
        <f>IF(A32="","",VLOOKUP($A32,子基金及业绩基准周净值!$A:$AV,16))</f>
        <v>1.1506</v>
      </c>
      <c r="C32" s="8">
        <f t="shared" si="0"/>
        <v>0.00235212126491868</v>
      </c>
      <c r="D32" s="9">
        <f>IF(A32="","",C32-子基金及业绩基准周净值!AI63)</f>
        <v>-0.0157478787350813</v>
      </c>
      <c r="E32" s="12">
        <f>IF(A32="","",(MAX(B$3:B32)-B32)/MAX(B$3:B32))</f>
        <v>0</v>
      </c>
      <c r="F32" s="12">
        <f>IF(A32="","",MAX(E$4:E32))</f>
        <v>0.00139977603583432</v>
      </c>
      <c r="G32" s="13">
        <v>4</v>
      </c>
      <c r="H32" s="14" t="str">
        <f t="shared" si="1"/>
        <v>否</v>
      </c>
      <c r="I32" s="14" t="str">
        <f t="shared" si="2"/>
        <v>否</v>
      </c>
      <c r="J32" s="15" t="str">
        <f t="shared" si="3"/>
        <v>是</v>
      </c>
    </row>
    <row r="33" spans="1:10">
      <c r="A33" s="7">
        <f>IF(子基金及业绩基准周净值!A64="","",子基金及业绩基准周净值!A64)</f>
        <v>45898</v>
      </c>
      <c r="B33" s="1">
        <f>IF(A33="","",VLOOKUP($A33,子基金及业绩基准周净值!$A:$AV,16))</f>
        <v>1.1506</v>
      </c>
      <c r="C33" s="8">
        <f t="shared" si="0"/>
        <v>0</v>
      </c>
      <c r="D33" s="9">
        <f>IF(A33="","",C33-子基金及业绩基准周净值!AI64)</f>
        <v>-0.0044</v>
      </c>
      <c r="E33" s="12">
        <f>IF(A33="","",(MAX(B$3:B33)-B33)/MAX(B$3:B33))</f>
        <v>0</v>
      </c>
      <c r="F33" s="12">
        <f>IF(A33="","",MAX(E$4:E33))</f>
        <v>0.00139977603583432</v>
      </c>
      <c r="G33" s="13">
        <v>5</v>
      </c>
      <c r="H33" s="14" t="str">
        <f t="shared" si="1"/>
        <v>否</v>
      </c>
      <c r="I33" s="14" t="str">
        <f t="shared" si="2"/>
        <v>否</v>
      </c>
      <c r="J33" s="15" t="str">
        <f t="shared" si="3"/>
        <v>是</v>
      </c>
    </row>
    <row r="34" spans="1:10">
      <c r="A34" s="7">
        <f>IF(子基金及业绩基准周净值!A65="","",子基金及业绩基准周净值!A65)</f>
        <v>45905</v>
      </c>
      <c r="B34" s="1">
        <f>IF(A34="","",VLOOKUP($A34,子基金及业绩基准周净值!$A:$AV,16))</f>
        <v>1.1511</v>
      </c>
      <c r="C34" s="8">
        <f t="shared" si="0"/>
        <v>0.00043455588388662</v>
      </c>
      <c r="D34" s="9">
        <f>IF(A34="","",C34-子基金及业绩基准周净值!AI65)</f>
        <v>0.00453455588388662</v>
      </c>
      <c r="E34" s="12">
        <f>IF(A34="","",(MAX(B$3:B34)-B34)/MAX(B$3:B34))</f>
        <v>0</v>
      </c>
      <c r="F34" s="12">
        <f>IF(A34="","",MAX(E$4:E34))</f>
        <v>0.00139977603583432</v>
      </c>
      <c r="G34" s="13">
        <v>0</v>
      </c>
      <c r="H34" s="14" t="str">
        <f t="shared" si="1"/>
        <v>否</v>
      </c>
      <c r="I34" s="14" t="str">
        <f t="shared" si="2"/>
        <v>否</v>
      </c>
      <c r="J34" s="15" t="str">
        <f t="shared" si="3"/>
        <v>否</v>
      </c>
    </row>
    <row r="35" spans="1:10">
      <c r="A35" s="7">
        <f>IF(子基金及业绩基准周净值!A66="","",子基金及业绩基准周净值!A66)</f>
        <v>45912</v>
      </c>
      <c r="B35" s="1">
        <f>IF(A35="","",VLOOKUP($A35,子基金及业绩基准周净值!$A:$AV,16))</f>
        <v>1.1536</v>
      </c>
      <c r="C35" s="8">
        <f t="shared" si="0"/>
        <v>0.00217183563547906</v>
      </c>
      <c r="D35" s="9">
        <f>IF(A35="","",C35-子基金及业绩基准周净值!AI66)</f>
        <v>-0.0153281643645209</v>
      </c>
      <c r="E35" s="12">
        <f>IF(A35="","",(MAX(B$3:B35)-B35)/MAX(B$3:B35))</f>
        <v>0</v>
      </c>
      <c r="F35" s="12">
        <f>IF(A35="","",MAX(E$4:E35))</f>
        <v>0.00139977603583432</v>
      </c>
      <c r="G35" s="13">
        <v>1</v>
      </c>
      <c r="H35" s="14" t="str">
        <f t="shared" si="1"/>
        <v>否</v>
      </c>
      <c r="I35" s="14" t="str">
        <f t="shared" si="2"/>
        <v>否</v>
      </c>
      <c r="J35" s="15" t="str">
        <f t="shared" si="3"/>
        <v>否</v>
      </c>
    </row>
    <row r="36" spans="1:10">
      <c r="A36" s="7">
        <f>IF(子基金及业绩基准周净值!A67="","",子基金及业绩基准周净值!A67)</f>
        <v>45919</v>
      </c>
      <c r="B36" s="1">
        <f>IF(A36="","",VLOOKUP($A36,子基金及业绩基准周净值!$A:$AV,16))</f>
        <v>1.1536</v>
      </c>
      <c r="C36" s="8">
        <f t="shared" si="0"/>
        <v>0</v>
      </c>
      <c r="D36" s="9">
        <f>IF(A36="","",C36-子基金及业绩基准周净值!AI67)</f>
        <v>-0.0049</v>
      </c>
      <c r="E36" s="12">
        <f>IF(A36="","",(MAX(B$3:B36)-B36)/MAX(B$3:B36))</f>
        <v>0</v>
      </c>
      <c r="F36" s="12">
        <f>IF(A36="","",MAX(E$4:E36))</f>
        <v>0.00139977603583432</v>
      </c>
      <c r="G36" s="13">
        <v>2</v>
      </c>
      <c r="H36" s="14" t="str">
        <f t="shared" si="1"/>
        <v>否</v>
      </c>
      <c r="I36" s="14" t="str">
        <f t="shared" si="2"/>
        <v>否</v>
      </c>
      <c r="J36" s="15" t="str">
        <f t="shared" si="3"/>
        <v>否</v>
      </c>
    </row>
    <row r="37" spans="1:10">
      <c r="A37" s="7">
        <f>IF(子基金及业绩基准周净值!A68="","",子基金及业绩基准周净值!A68)</f>
        <v>45926</v>
      </c>
      <c r="B37" s="1">
        <f>IF(A37="","",VLOOKUP($A37,子基金及业绩基准周净值!$A:$AV,16))</f>
        <v>1.1541</v>
      </c>
      <c r="C37" s="8">
        <f t="shared" si="0"/>
        <v>0.00043342579750342</v>
      </c>
      <c r="D37" s="9">
        <f>IF(A37="","",C37-子基金及业绩基准周净值!AI68)</f>
        <v>-0.00456657420249658</v>
      </c>
      <c r="E37" s="12">
        <f>IF(A37="","",(MAX(B$3:B37)-B37)/MAX(B$3:B37))</f>
        <v>0</v>
      </c>
      <c r="F37" s="12">
        <f>IF(A37="","",MAX(E$4:E37))</f>
        <v>0.00139977603583432</v>
      </c>
      <c r="G37" s="13">
        <v>3</v>
      </c>
      <c r="H37" s="14" t="str">
        <f t="shared" si="1"/>
        <v>否</v>
      </c>
      <c r="I37" s="14" t="str">
        <f t="shared" si="2"/>
        <v>否</v>
      </c>
      <c r="J37" s="15" t="str">
        <f t="shared" si="3"/>
        <v>否</v>
      </c>
    </row>
    <row r="38" spans="1:10">
      <c r="A38" s="7">
        <f>IF(子基金及业绩基准周净值!A69="","",子基金及业绩基准周净值!A69)</f>
        <v>45940</v>
      </c>
      <c r="B38" s="1">
        <f>IF(A38="","",VLOOKUP($A38,子基金及业绩基准周净值!$A:$AV,16))</f>
        <v>1.1547</v>
      </c>
      <c r="C38" s="8">
        <f t="shared" si="0"/>
        <v>0.000519885625162599</v>
      </c>
      <c r="D38" s="9">
        <f>IF(A38="","",C38-子基金及业绩基准周净值!AI69)</f>
        <v>-0.0040801143748374</v>
      </c>
      <c r="E38" s="12">
        <f>IF(A38="","",(MAX(B$3:B38)-B38)/MAX(B$3:B38))</f>
        <v>0</v>
      </c>
      <c r="F38" s="12">
        <f>IF(A38="","",MAX(E$4:E38))</f>
        <v>0.00139977603583432</v>
      </c>
      <c r="G38" s="13">
        <v>4</v>
      </c>
      <c r="H38" s="14" t="str">
        <f t="shared" si="1"/>
        <v>否</v>
      </c>
      <c r="I38" s="14" t="str">
        <f t="shared" si="2"/>
        <v>否</v>
      </c>
      <c r="J38" s="15" t="str">
        <f t="shared" si="3"/>
        <v>是</v>
      </c>
    </row>
    <row r="39" spans="1:10">
      <c r="A39" s="7">
        <f>IF(子基金及业绩基准周净值!A70="","",子基金及业绩基准周净值!A70)</f>
        <v>45947</v>
      </c>
      <c r="B39" s="1">
        <f>IF(A39="","",VLOOKUP($A39,子基金及业绩基准周净值!$A:$AV,16))</f>
        <v>1.1553</v>
      </c>
      <c r="C39" s="8">
        <f t="shared" si="0"/>
        <v>0.000519615484541382</v>
      </c>
      <c r="D39" s="9">
        <f>IF(A39="","",C39-子基金及业绩基准周净值!AI70)</f>
        <v>-0.00408038451545862</v>
      </c>
      <c r="E39" s="12">
        <f>IF(A39="","",(MAX(B$3:B39)-B39)/MAX(B$3:B39))</f>
        <v>0</v>
      </c>
      <c r="F39" s="12">
        <f>IF(A39="","",MAX(E$4:E39))</f>
        <v>0.00139977603583432</v>
      </c>
      <c r="G39" s="13">
        <v>5</v>
      </c>
      <c r="H39" s="14" t="str">
        <f t="shared" si="1"/>
        <v>否</v>
      </c>
      <c r="I39" s="14" t="str">
        <f t="shared" si="2"/>
        <v>否</v>
      </c>
      <c r="J39" s="15" t="str">
        <f t="shared" si="3"/>
        <v>是</v>
      </c>
    </row>
    <row r="40" spans="1:10">
      <c r="A40" s="7">
        <f>IF(子基金及业绩基准周净值!A71="","",子基金及业绩基准周净值!A71)</f>
        <v>45954</v>
      </c>
      <c r="B40" s="1">
        <f>IF(A40="","",VLOOKUP($A40,子基金及业绩基准周净值!$A:$AV,16))</f>
        <v>1.1555</v>
      </c>
      <c r="C40" s="8">
        <f t="shared" si="0"/>
        <v>0.000173115208171019</v>
      </c>
      <c r="D40" s="9">
        <f>IF(A40="","",C40-子基金及业绩基准周净值!AI71)</f>
        <v>-0.00322688479182898</v>
      </c>
      <c r="E40" s="12">
        <f>IF(A40="","",(MAX(B$3:B40)-B40)/MAX(B$3:B40))</f>
        <v>0</v>
      </c>
      <c r="F40" s="12">
        <f>IF(A40="","",MAX(E$4:E40))</f>
        <v>0.00139977603583432</v>
      </c>
      <c r="G40" s="13">
        <v>6</v>
      </c>
      <c r="H40" s="14" t="str">
        <f t="shared" si="1"/>
        <v>否</v>
      </c>
      <c r="I40" s="14" t="str">
        <f t="shared" si="2"/>
        <v>否</v>
      </c>
      <c r="J40" s="15" t="str">
        <f t="shared" si="3"/>
        <v>是</v>
      </c>
    </row>
    <row r="41" spans="1:10">
      <c r="A41" s="7">
        <f>IF(子基金及业绩基准周净值!A72="","",子基金及业绩基准周净值!A72)</f>
        <v>45961</v>
      </c>
      <c r="B41" s="1">
        <f>IF(A41="","",VLOOKUP($A41,子基金及业绩基准周净值!$A:$AV,16))</f>
        <v>1.1573</v>
      </c>
      <c r="C41" s="8">
        <f t="shared" si="0"/>
        <v>0.00155776720034619</v>
      </c>
      <c r="D41" s="9">
        <f>IF(A41="","",C41-子基金及业绩基准周净值!AI72)</f>
        <v>-0.0101422327996538</v>
      </c>
      <c r="E41" s="12">
        <f>IF(A41="","",(MAX(B$3:B41)-B41)/MAX(B$3:B41))</f>
        <v>0</v>
      </c>
      <c r="F41" s="12">
        <f>IF(A41="","",MAX(E$4:E41))</f>
        <v>0.00139977603583432</v>
      </c>
      <c r="G41" s="13">
        <v>7</v>
      </c>
      <c r="H41" s="14" t="str">
        <f t="shared" si="1"/>
        <v>否</v>
      </c>
      <c r="I41" s="14" t="str">
        <f t="shared" si="2"/>
        <v>否</v>
      </c>
      <c r="J41" s="15" t="str">
        <f t="shared" si="3"/>
        <v>是</v>
      </c>
    </row>
    <row r="42" spans="1:10">
      <c r="A42" s="7" t="str">
        <f>IF(子基金及业绩基准周净值!A73="","",子基金及业绩基准周净值!A73)</f>
        <v/>
      </c>
      <c r="B42" s="1" t="str">
        <f>IF(A42="","",VLOOKUP($A42,子基金及业绩基准周净值!$A:$AV,16))</f>
        <v/>
      </c>
      <c r="C42" s="8" t="str">
        <f t="shared" si="0"/>
        <v/>
      </c>
      <c r="D42" s="9" t="str">
        <f>IF(A42="","",C42-子基金及业绩基准周净值!AI73)</f>
        <v/>
      </c>
      <c r="E42" s="12" t="str">
        <f>IF(A42="","",(MAX(B$3:B42)-B42)/MAX(B$3:B42))</f>
        <v/>
      </c>
      <c r="F42" s="12" t="str">
        <f>IF(A42="","",MAX(E$4:E42))</f>
        <v/>
      </c>
      <c r="G42" s="13"/>
      <c r="H42" s="14" t="str">
        <f t="shared" si="1"/>
        <v/>
      </c>
      <c r="I42" s="14" t="str">
        <f t="shared" si="2"/>
        <v/>
      </c>
      <c r="J42" s="15" t="str">
        <f t="shared" si="3"/>
        <v/>
      </c>
    </row>
    <row r="43" spans="1:10">
      <c r="A43" s="7" t="str">
        <f>IF(子基金及业绩基准周净值!A74="","",子基金及业绩基准周净值!A74)</f>
        <v/>
      </c>
      <c r="B43" s="1" t="str">
        <f>IF(A43="","",VLOOKUP($A43,子基金及业绩基准周净值!$A:$AV,16))</f>
        <v/>
      </c>
      <c r="C43" s="8" t="str">
        <f t="shared" si="0"/>
        <v/>
      </c>
      <c r="D43" s="9" t="str">
        <f>IF(A43="","",C43-子基金及业绩基准周净值!AI74)</f>
        <v/>
      </c>
      <c r="E43" s="12" t="str">
        <f>IF(A43="","",(MAX(B$3:B43)-B43)/MAX(B$3:B43))</f>
        <v/>
      </c>
      <c r="F43" s="12" t="str">
        <f>IF(A43="","",MAX(E$4:E43))</f>
        <v/>
      </c>
      <c r="G43" s="13"/>
      <c r="H43" s="14" t="str">
        <f t="shared" si="1"/>
        <v/>
      </c>
      <c r="I43" s="14" t="str">
        <f t="shared" si="2"/>
        <v/>
      </c>
      <c r="J43" s="15" t="str">
        <f t="shared" si="3"/>
        <v/>
      </c>
    </row>
    <row r="44" spans="1:10">
      <c r="A44" s="7" t="str">
        <f>IF(子基金及业绩基准周净值!A75="","",子基金及业绩基准周净值!A75)</f>
        <v/>
      </c>
      <c r="B44" s="1" t="str">
        <f>IF(A44="","",VLOOKUP($A44,子基金及业绩基准周净值!$A:$AV,16))</f>
        <v/>
      </c>
      <c r="C44" s="8" t="str">
        <f t="shared" si="0"/>
        <v/>
      </c>
      <c r="D44" s="9" t="str">
        <f>IF(A44="","",C44-子基金及业绩基准周净值!AI75)</f>
        <v/>
      </c>
      <c r="E44" s="12" t="str">
        <f>IF(A44="","",(MAX(B$3:B44)-B44)/MAX(B$3:B44))</f>
        <v/>
      </c>
      <c r="F44" s="12" t="str">
        <f>IF(A44="","",MAX(E$4:E44))</f>
        <v/>
      </c>
      <c r="G44" s="13"/>
      <c r="H44" s="14" t="str">
        <f t="shared" si="1"/>
        <v/>
      </c>
      <c r="I44" s="14" t="str">
        <f t="shared" si="2"/>
        <v/>
      </c>
      <c r="J44" s="15" t="str">
        <f t="shared" si="3"/>
        <v/>
      </c>
    </row>
    <row r="45" spans="1:10">
      <c r="A45" s="7" t="str">
        <f>IF(子基金及业绩基准周净值!A76="","",子基金及业绩基准周净值!A76)</f>
        <v/>
      </c>
      <c r="B45" s="1" t="str">
        <f>IF(A45="","",VLOOKUP($A45,子基金及业绩基准周净值!$A:$AV,16))</f>
        <v/>
      </c>
      <c r="C45" s="8" t="str">
        <f t="shared" si="0"/>
        <v/>
      </c>
      <c r="D45" s="9" t="str">
        <f>IF(A45="","",C45-子基金及业绩基准周净值!AI76)</f>
        <v/>
      </c>
      <c r="E45" s="12" t="str">
        <f>IF(A45="","",(MAX(B$3:B45)-B45)/MAX(B$3:B45))</f>
        <v/>
      </c>
      <c r="F45" s="12" t="str">
        <f>IF(A45="","",MAX(E$4:E45))</f>
        <v/>
      </c>
      <c r="G45" s="13"/>
      <c r="H45" s="14" t="str">
        <f t="shared" si="1"/>
        <v/>
      </c>
      <c r="I45" s="14" t="str">
        <f t="shared" si="2"/>
        <v/>
      </c>
      <c r="J45" s="15" t="str">
        <f t="shared" si="3"/>
        <v/>
      </c>
    </row>
    <row r="46" spans="1:10">
      <c r="A46" s="7" t="str">
        <f>IF(子基金及业绩基准周净值!A77="","",子基金及业绩基准周净值!A77)</f>
        <v/>
      </c>
      <c r="B46" s="1" t="str">
        <f>IF(A46="","",VLOOKUP($A46,子基金及业绩基准周净值!$A:$AV,16))</f>
        <v/>
      </c>
      <c r="C46" s="8" t="str">
        <f t="shared" si="0"/>
        <v/>
      </c>
      <c r="D46" s="9" t="str">
        <f>IF(A46="","",C46-子基金及业绩基准周净值!AI77)</f>
        <v/>
      </c>
      <c r="E46" s="12" t="str">
        <f>IF(A46="","",(MAX(B$3:B46)-B46)/MAX(B$3:B46))</f>
        <v/>
      </c>
      <c r="F46" s="12" t="str">
        <f>IF(A46="","",MAX(E$4:E46))</f>
        <v/>
      </c>
      <c r="G46" s="13"/>
      <c r="H46" s="14" t="str">
        <f t="shared" si="1"/>
        <v/>
      </c>
      <c r="I46" s="14" t="str">
        <f t="shared" si="2"/>
        <v/>
      </c>
      <c r="J46" s="15" t="str">
        <f t="shared" si="3"/>
        <v/>
      </c>
    </row>
    <row r="47" spans="1:10">
      <c r="A47" s="7" t="str">
        <f>IF(子基金及业绩基准周净值!A78="","",子基金及业绩基准周净值!A78)</f>
        <v/>
      </c>
      <c r="B47" s="1" t="str">
        <f>IF(A47="","",VLOOKUP($A47,子基金及业绩基准周净值!$A:$AV,16))</f>
        <v/>
      </c>
      <c r="C47" s="8" t="str">
        <f t="shared" si="0"/>
        <v/>
      </c>
      <c r="D47" s="9" t="str">
        <f>IF(A47="","",C47-子基金及业绩基准周净值!AI78)</f>
        <v/>
      </c>
      <c r="E47" s="12" t="str">
        <f>IF(A47="","",(MAX(B$3:B47)-B47)/MAX(B$3:B47))</f>
        <v/>
      </c>
      <c r="F47" s="12" t="str">
        <f>IF(A47="","",MAX(E$4:E47))</f>
        <v/>
      </c>
      <c r="G47" s="13"/>
      <c r="H47" s="14" t="str">
        <f t="shared" si="1"/>
        <v/>
      </c>
      <c r="I47" s="14" t="str">
        <f t="shared" si="2"/>
        <v/>
      </c>
      <c r="J47" s="15" t="str">
        <f t="shared" si="3"/>
        <v/>
      </c>
    </row>
    <row r="48" spans="1:10">
      <c r="A48" s="7" t="str">
        <f>IF(子基金及业绩基准周净值!A79="","",子基金及业绩基准周净值!A79)</f>
        <v/>
      </c>
      <c r="B48" s="1" t="str">
        <f>IF(A48="","",VLOOKUP($A48,子基金及业绩基准周净值!$A:$AV,16))</f>
        <v/>
      </c>
      <c r="C48" s="8" t="str">
        <f t="shared" si="0"/>
        <v/>
      </c>
      <c r="D48" s="9" t="str">
        <f>IF(A48="","",C48-子基金及业绩基准周净值!AI79)</f>
        <v/>
      </c>
      <c r="E48" s="12" t="str">
        <f>IF(A48="","",(MAX(B$3:B48)-B48)/MAX(B$3:B48))</f>
        <v/>
      </c>
      <c r="F48" s="12" t="str">
        <f>IF(A48="","",MAX(E$4:E48))</f>
        <v/>
      </c>
      <c r="G48" s="13"/>
      <c r="H48" s="14" t="str">
        <f t="shared" si="1"/>
        <v/>
      </c>
      <c r="I48" s="14" t="str">
        <f t="shared" si="2"/>
        <v/>
      </c>
      <c r="J48" s="15" t="str">
        <f t="shared" si="3"/>
        <v/>
      </c>
    </row>
    <row r="49" spans="1:10">
      <c r="A49" s="7" t="str">
        <f>IF(子基金及业绩基准周净值!A80="","",子基金及业绩基准周净值!A80)</f>
        <v/>
      </c>
      <c r="B49" s="1" t="str">
        <f>IF(A49="","",VLOOKUP($A49,子基金及业绩基准周净值!$A:$AV,16))</f>
        <v/>
      </c>
      <c r="C49" s="8" t="str">
        <f t="shared" si="0"/>
        <v/>
      </c>
      <c r="D49" s="9" t="str">
        <f>IF(A49="","",C49-子基金及业绩基准周净值!AI80)</f>
        <v/>
      </c>
      <c r="E49" s="12" t="str">
        <f>IF(A49="","",(MAX(B$3:B49)-B49)/MAX(B$3:B49))</f>
        <v/>
      </c>
      <c r="F49" s="12" t="str">
        <f>IF(A49="","",MAX(E$4:E49))</f>
        <v/>
      </c>
      <c r="G49" s="13"/>
      <c r="H49" s="14" t="str">
        <f t="shared" si="1"/>
        <v/>
      </c>
      <c r="I49" s="14" t="str">
        <f t="shared" si="2"/>
        <v/>
      </c>
      <c r="J49" s="15" t="str">
        <f t="shared" si="3"/>
        <v/>
      </c>
    </row>
    <row r="50" spans="1:10">
      <c r="A50" s="7" t="str">
        <f>IF(子基金及业绩基准周净值!A81="","",子基金及业绩基准周净值!A81)</f>
        <v/>
      </c>
      <c r="B50" s="1" t="str">
        <f>IF(A50="","",VLOOKUP($A50,子基金及业绩基准周净值!$A:$AV,16))</f>
        <v/>
      </c>
      <c r="C50" s="8" t="str">
        <f t="shared" si="0"/>
        <v/>
      </c>
      <c r="D50" s="9" t="str">
        <f>IF(A50="","",C50-子基金及业绩基准周净值!AI81)</f>
        <v/>
      </c>
      <c r="E50" s="12" t="str">
        <f>IF(A50="","",(MAX(B$3:B50)-B50)/MAX(B$3:B50))</f>
        <v/>
      </c>
      <c r="F50" s="12" t="str">
        <f>IF(A50="","",MAX(E$4:E50))</f>
        <v/>
      </c>
      <c r="G50" s="13"/>
      <c r="H50" s="14" t="str">
        <f t="shared" si="1"/>
        <v/>
      </c>
      <c r="I50" s="14" t="str">
        <f t="shared" si="2"/>
        <v/>
      </c>
      <c r="J50" s="15" t="str">
        <f t="shared" si="3"/>
        <v/>
      </c>
    </row>
    <row r="51" spans="1:10">
      <c r="A51" s="7" t="str">
        <f>IF(子基金及业绩基准周净值!A82="","",子基金及业绩基准周净值!A82)</f>
        <v/>
      </c>
      <c r="B51" s="1" t="str">
        <f>IF(A51="","",VLOOKUP($A51,子基金及业绩基准周净值!$A:$AV,16))</f>
        <v/>
      </c>
      <c r="C51" s="8" t="str">
        <f t="shared" si="0"/>
        <v/>
      </c>
      <c r="D51" s="9" t="str">
        <f>IF(A51="","",C51-子基金及业绩基准周净值!AI82)</f>
        <v/>
      </c>
      <c r="E51" s="12" t="str">
        <f>IF(A51="","",(MAX(B$3:B51)-B51)/MAX(B$3:B51))</f>
        <v/>
      </c>
      <c r="F51" s="12" t="str">
        <f>IF(A51="","",MAX(E$4:E51))</f>
        <v/>
      </c>
      <c r="G51" s="13"/>
      <c r="H51" s="14" t="str">
        <f t="shared" si="1"/>
        <v/>
      </c>
      <c r="I51" s="14" t="str">
        <f t="shared" si="2"/>
        <v/>
      </c>
      <c r="J51" s="15" t="str">
        <f t="shared" si="3"/>
        <v/>
      </c>
    </row>
    <row r="52" spans="1:10">
      <c r="A52" s="7" t="str">
        <f>IF(子基金及业绩基准周净值!A83="","",子基金及业绩基准周净值!A83)</f>
        <v/>
      </c>
      <c r="B52" s="1" t="str">
        <f>IF(A52="","",VLOOKUP($A52,子基金及业绩基准周净值!$A:$AV,16))</f>
        <v/>
      </c>
      <c r="C52" s="8" t="str">
        <f t="shared" si="0"/>
        <v/>
      </c>
      <c r="D52" s="9" t="str">
        <f>IF(A52="","",C52-子基金及业绩基准周净值!AI83)</f>
        <v/>
      </c>
      <c r="E52" s="12" t="str">
        <f>IF(A52="","",(MAX(B$3:B52)-B52)/MAX(B$3:B52))</f>
        <v/>
      </c>
      <c r="F52" s="12" t="str">
        <f>IF(A52="","",MAX(E$4:E52))</f>
        <v/>
      </c>
      <c r="G52" s="13"/>
      <c r="H52" s="14" t="str">
        <f t="shared" si="1"/>
        <v/>
      </c>
      <c r="I52" s="14" t="str">
        <f t="shared" si="2"/>
        <v/>
      </c>
      <c r="J52" s="15" t="str">
        <f t="shared" si="3"/>
        <v/>
      </c>
    </row>
    <row r="53" spans="1:10">
      <c r="A53" s="7" t="str">
        <f>IF(子基金及业绩基准周净值!A84="","",子基金及业绩基准周净值!A84)</f>
        <v/>
      </c>
      <c r="B53" s="1" t="str">
        <f>IF(A53="","",VLOOKUP($A53,子基金及业绩基准周净值!$A:$AV,16))</f>
        <v/>
      </c>
      <c r="C53" s="8" t="str">
        <f t="shared" si="0"/>
        <v/>
      </c>
      <c r="D53" s="9" t="str">
        <f>IF(A53="","",C53-子基金及业绩基准周净值!AI84)</f>
        <v/>
      </c>
      <c r="E53" s="12" t="str">
        <f>IF(A53="","",(MAX(B$3:B53)-B53)/MAX(B$3:B53))</f>
        <v/>
      </c>
      <c r="F53" s="12" t="str">
        <f>IF(A53="","",MAX(E$4:E53))</f>
        <v/>
      </c>
      <c r="G53" s="13"/>
      <c r="H53" s="14" t="str">
        <f t="shared" si="1"/>
        <v/>
      </c>
      <c r="I53" s="14" t="str">
        <f t="shared" si="2"/>
        <v/>
      </c>
      <c r="J53" s="15" t="str">
        <f t="shared" si="3"/>
        <v/>
      </c>
    </row>
    <row r="54" spans="1:10">
      <c r="A54" s="7" t="str">
        <f>IF(子基金及业绩基准周净值!A85="","",子基金及业绩基准周净值!A85)</f>
        <v/>
      </c>
      <c r="B54" s="1" t="str">
        <f>IF(A54="","",VLOOKUP($A54,子基金及业绩基准周净值!$A:$AV,16))</f>
        <v/>
      </c>
      <c r="C54" s="8" t="str">
        <f t="shared" si="0"/>
        <v/>
      </c>
      <c r="D54" s="9" t="str">
        <f>IF(A54="","",C54-子基金及业绩基准周净值!AI85)</f>
        <v/>
      </c>
      <c r="E54" s="12" t="str">
        <f>IF(A54="","",(MAX(B$3:B54)-B54)/MAX(B$3:B54))</f>
        <v/>
      </c>
      <c r="F54" s="12" t="str">
        <f>IF(A54="","",MAX(E$4:E54))</f>
        <v/>
      </c>
      <c r="G54" s="13"/>
      <c r="H54" s="14" t="str">
        <f t="shared" si="1"/>
        <v/>
      </c>
      <c r="I54" s="14" t="str">
        <f t="shared" si="2"/>
        <v/>
      </c>
      <c r="J54" s="15" t="str">
        <f t="shared" si="3"/>
        <v/>
      </c>
    </row>
    <row r="55" spans="1:10">
      <c r="A55" s="7" t="str">
        <f>IF(子基金及业绩基准周净值!A86="","",子基金及业绩基准周净值!A86)</f>
        <v/>
      </c>
      <c r="B55" s="1" t="str">
        <f>IF(A55="","",VLOOKUP($A55,子基金及业绩基准周净值!$A:$AV,16))</f>
        <v/>
      </c>
      <c r="C55" s="8" t="str">
        <f t="shared" si="0"/>
        <v/>
      </c>
      <c r="D55" s="9" t="str">
        <f>IF(A55="","",C55-子基金及业绩基准周净值!AI86)</f>
        <v/>
      </c>
      <c r="E55" s="12" t="str">
        <f>IF(A55="","",(MAX(B$3:B55)-B55)/MAX(B$3:B55))</f>
        <v/>
      </c>
      <c r="F55" s="12" t="str">
        <f>IF(A55="","",MAX(E$4:E55))</f>
        <v/>
      </c>
      <c r="G55" s="13"/>
      <c r="H55" s="14" t="str">
        <f t="shared" si="1"/>
        <v/>
      </c>
      <c r="I55" s="14" t="str">
        <f t="shared" si="2"/>
        <v/>
      </c>
      <c r="J55" s="15" t="str">
        <f t="shared" si="3"/>
        <v/>
      </c>
    </row>
    <row r="56" spans="1:10">
      <c r="A56" s="7" t="str">
        <f>IF(子基金及业绩基准周净值!A87="","",子基金及业绩基准周净值!A87)</f>
        <v/>
      </c>
      <c r="B56" s="1" t="str">
        <f>IF(A56="","",VLOOKUP($A56,子基金及业绩基准周净值!$A:$AV,16))</f>
        <v/>
      </c>
      <c r="C56" s="8" t="str">
        <f t="shared" si="0"/>
        <v/>
      </c>
      <c r="D56" s="9" t="str">
        <f>IF(A56="","",C56-子基金及业绩基准周净值!AI87)</f>
        <v/>
      </c>
      <c r="E56" s="12" t="str">
        <f>IF(A56="","",(MAX(B$3:B56)-B56)/MAX(B$3:B56))</f>
        <v/>
      </c>
      <c r="F56" s="12" t="str">
        <f>IF(A56="","",MAX(E$4:E56))</f>
        <v/>
      </c>
      <c r="G56" s="13"/>
      <c r="H56" s="14" t="str">
        <f t="shared" si="1"/>
        <v/>
      </c>
      <c r="I56" s="14" t="str">
        <f t="shared" si="2"/>
        <v/>
      </c>
      <c r="J56" s="15" t="str">
        <f t="shared" si="3"/>
        <v/>
      </c>
    </row>
    <row r="57" spans="1:10">
      <c r="A57" s="7" t="str">
        <f>IF(子基金及业绩基准周净值!A88="","",子基金及业绩基准周净值!A88)</f>
        <v/>
      </c>
      <c r="B57" s="1" t="str">
        <f>IF(A57="","",VLOOKUP($A57,子基金及业绩基准周净值!$A:$AV,16))</f>
        <v/>
      </c>
      <c r="C57" s="8" t="str">
        <f t="shared" si="0"/>
        <v/>
      </c>
      <c r="D57" s="9" t="str">
        <f>IF(A57="","",C57-子基金及业绩基准周净值!AI88)</f>
        <v/>
      </c>
      <c r="E57" s="12" t="str">
        <f>IF(A57="","",(MAX(B$3:B57)-B57)/MAX(B$3:B57))</f>
        <v/>
      </c>
      <c r="F57" s="12" t="str">
        <f>IF(A57="","",MAX(E$4:E57))</f>
        <v/>
      </c>
      <c r="G57" s="13"/>
      <c r="H57" s="14" t="str">
        <f t="shared" si="1"/>
        <v/>
      </c>
      <c r="I57" s="14" t="str">
        <f t="shared" si="2"/>
        <v/>
      </c>
      <c r="J57" s="15" t="str">
        <f t="shared" si="3"/>
        <v/>
      </c>
    </row>
    <row r="58" spans="1:10">
      <c r="A58" s="7" t="str">
        <f>IF(子基金及业绩基准周净值!A89="","",子基金及业绩基准周净值!A89)</f>
        <v/>
      </c>
      <c r="B58" s="1" t="str">
        <f>IF(A58="","",VLOOKUP($A58,子基金及业绩基准周净值!$A:$AV,16))</f>
        <v/>
      </c>
      <c r="C58" s="8" t="str">
        <f t="shared" si="0"/>
        <v/>
      </c>
      <c r="D58" s="9" t="str">
        <f>IF(A58="","",C58-子基金及业绩基准周净值!AI89)</f>
        <v/>
      </c>
      <c r="E58" s="12" t="str">
        <f>IF(A58="","",(MAX(B$3:B58)-B58)/MAX(B$3:B58))</f>
        <v/>
      </c>
      <c r="F58" s="12" t="str">
        <f>IF(A58="","",MAX(E$4:E58))</f>
        <v/>
      </c>
      <c r="G58" s="13"/>
      <c r="H58" s="14" t="str">
        <f t="shared" si="1"/>
        <v/>
      </c>
      <c r="I58" s="14" t="str">
        <f t="shared" si="2"/>
        <v/>
      </c>
      <c r="J58" s="15" t="str">
        <f t="shared" si="3"/>
        <v/>
      </c>
    </row>
    <row r="59" spans="1:10">
      <c r="A59" s="7" t="str">
        <f>IF(子基金及业绩基准周净值!A90="","",子基金及业绩基准周净值!A90)</f>
        <v/>
      </c>
      <c r="B59" s="1" t="str">
        <f>IF(A59="","",VLOOKUP($A59,子基金及业绩基准周净值!$A:$AV,16))</f>
        <v/>
      </c>
      <c r="C59" s="8" t="str">
        <f t="shared" si="0"/>
        <v/>
      </c>
      <c r="D59" s="9" t="str">
        <f>IF(A59="","",C59-子基金及业绩基准周净值!AI90)</f>
        <v/>
      </c>
      <c r="E59" s="12" t="str">
        <f>IF(A59="","",(MAX(B$3:B59)-B59)/MAX(B$3:B59))</f>
        <v/>
      </c>
      <c r="F59" s="12" t="str">
        <f>IF(A59="","",MAX(E$4:E59))</f>
        <v/>
      </c>
      <c r="G59" s="13"/>
      <c r="H59" s="14" t="str">
        <f t="shared" si="1"/>
        <v/>
      </c>
      <c r="I59" s="14" t="str">
        <f t="shared" si="2"/>
        <v/>
      </c>
      <c r="J59" s="15" t="str">
        <f t="shared" si="3"/>
        <v/>
      </c>
    </row>
    <row r="60" spans="1:10">
      <c r="A60" s="7" t="str">
        <f>IF(子基金及业绩基准周净值!A91="","",子基金及业绩基准周净值!A91)</f>
        <v/>
      </c>
      <c r="B60" s="1" t="str">
        <f>IF(A60="","",VLOOKUP($A60,子基金及业绩基准周净值!$A:$AV,16))</f>
        <v/>
      </c>
      <c r="C60" s="8" t="str">
        <f t="shared" si="0"/>
        <v/>
      </c>
      <c r="D60" s="9" t="str">
        <f>IF(A60="","",C60-子基金及业绩基准周净值!AI91)</f>
        <v/>
      </c>
      <c r="E60" s="12" t="str">
        <f>IF(A60="","",(MAX(B$3:B60)-B60)/MAX(B$3:B60))</f>
        <v/>
      </c>
      <c r="F60" s="12" t="str">
        <f>IF(A60="","",MAX(E$4:E60))</f>
        <v/>
      </c>
      <c r="G60" s="13"/>
      <c r="H60" s="14" t="str">
        <f t="shared" si="1"/>
        <v/>
      </c>
      <c r="I60" s="14" t="str">
        <f t="shared" si="2"/>
        <v/>
      </c>
      <c r="J60" s="15" t="str">
        <f t="shared" si="3"/>
        <v/>
      </c>
    </row>
    <row r="61" spans="1:10">
      <c r="A61" s="7" t="str">
        <f>IF(子基金及业绩基准周净值!A92="","",子基金及业绩基准周净值!A92)</f>
        <v/>
      </c>
      <c r="B61" s="1" t="str">
        <f>IF(A61="","",VLOOKUP($A61,子基金及业绩基准周净值!$A:$AV,16))</f>
        <v/>
      </c>
      <c r="C61" s="8" t="str">
        <f t="shared" si="0"/>
        <v/>
      </c>
      <c r="D61" s="9" t="str">
        <f>IF(A61="","",C61-子基金及业绩基准周净值!AI92)</f>
        <v/>
      </c>
      <c r="E61" s="12" t="str">
        <f>IF(A61="","",(MAX(B$3:B61)-B61)/MAX(B$3:B61))</f>
        <v/>
      </c>
      <c r="F61" s="12" t="str">
        <f>IF(A61="","",MAX(E$4:E61))</f>
        <v/>
      </c>
      <c r="G61" s="13"/>
      <c r="H61" s="14" t="str">
        <f t="shared" si="1"/>
        <v/>
      </c>
      <c r="I61" s="14" t="str">
        <f t="shared" si="2"/>
        <v/>
      </c>
      <c r="J61" s="15" t="str">
        <f t="shared" si="3"/>
        <v/>
      </c>
    </row>
    <row r="62" spans="1:10">
      <c r="A62" s="7" t="str">
        <f>IF(子基金及业绩基准周净值!A93="","",子基金及业绩基准周净值!A93)</f>
        <v/>
      </c>
      <c r="B62" s="1" t="str">
        <f>IF(A62="","",VLOOKUP($A62,子基金及业绩基准周净值!$A:$AV,16))</f>
        <v/>
      </c>
      <c r="C62" s="8" t="str">
        <f t="shared" si="0"/>
        <v/>
      </c>
      <c r="D62" s="9" t="str">
        <f>IF(A62="","",C62-子基金及业绩基准周净值!AI93)</f>
        <v/>
      </c>
      <c r="E62" s="12" t="str">
        <f>IF(A62="","",(MAX(B$3:B62)-B62)/MAX(B$3:B62))</f>
        <v/>
      </c>
      <c r="F62" s="12" t="str">
        <f>IF(A62="","",MAX(E$4:E62))</f>
        <v/>
      </c>
      <c r="G62" s="13"/>
      <c r="H62" s="14" t="str">
        <f t="shared" si="1"/>
        <v/>
      </c>
      <c r="I62" s="14" t="str">
        <f t="shared" si="2"/>
        <v/>
      </c>
      <c r="J62" s="15" t="str">
        <f t="shared" si="3"/>
        <v/>
      </c>
    </row>
    <row r="63" spans="1:10">
      <c r="A63" s="7" t="str">
        <f>IF(子基金及业绩基准周净值!A94="","",子基金及业绩基准周净值!A94)</f>
        <v/>
      </c>
      <c r="B63" s="1" t="str">
        <f>IF(A63="","",VLOOKUP($A63,子基金及业绩基准周净值!$A:$AV,16))</f>
        <v/>
      </c>
      <c r="C63" s="8" t="str">
        <f t="shared" si="0"/>
        <v/>
      </c>
      <c r="D63" s="9" t="str">
        <f>IF(A63="","",C63-子基金及业绩基准周净值!AI94)</f>
        <v/>
      </c>
      <c r="E63" s="12" t="str">
        <f>IF(A63="","",(MAX(B$3:B63)-B63)/MAX(B$3:B63))</f>
        <v/>
      </c>
      <c r="F63" s="12" t="str">
        <f>IF(A63="","",MAX(E$4:E63))</f>
        <v/>
      </c>
      <c r="G63" s="13"/>
      <c r="H63" s="14" t="str">
        <f t="shared" si="1"/>
        <v/>
      </c>
      <c r="I63" s="14" t="str">
        <f t="shared" si="2"/>
        <v/>
      </c>
      <c r="J63" s="15" t="str">
        <f t="shared" si="3"/>
        <v/>
      </c>
    </row>
    <row r="64" spans="1:10">
      <c r="A64" s="7" t="str">
        <f>IF(子基金及业绩基准周净值!A95="","",子基金及业绩基准周净值!A95)</f>
        <v/>
      </c>
      <c r="B64" s="1" t="str">
        <f>IF(A64="","",VLOOKUP($A64,子基金及业绩基准周净值!$A:$AV,16))</f>
        <v/>
      </c>
      <c r="C64" s="8" t="str">
        <f t="shared" si="0"/>
        <v/>
      </c>
      <c r="D64" s="9" t="str">
        <f>IF(A64="","",C64-子基金及业绩基准周净值!AI95)</f>
        <v/>
      </c>
      <c r="E64" s="12" t="str">
        <f>IF(A64="","",(MAX(B$3:B64)-B64)/MAX(B$3:B64))</f>
        <v/>
      </c>
      <c r="F64" s="12" t="str">
        <f>IF(A64="","",MAX(E$4:E64))</f>
        <v/>
      </c>
      <c r="G64" s="13"/>
      <c r="H64" s="14" t="str">
        <f t="shared" si="1"/>
        <v/>
      </c>
      <c r="I64" s="14" t="str">
        <f t="shared" si="2"/>
        <v/>
      </c>
      <c r="J64" s="15" t="str">
        <f t="shared" si="3"/>
        <v/>
      </c>
    </row>
    <row r="65" spans="1:10">
      <c r="A65" s="7" t="str">
        <f>IF(子基金及业绩基准周净值!A96="","",子基金及业绩基准周净值!A96)</f>
        <v/>
      </c>
      <c r="B65" s="1" t="str">
        <f>IF(A65="","",VLOOKUP($A65,子基金及业绩基准周净值!$A:$AV,16))</f>
        <v/>
      </c>
      <c r="C65" s="8" t="str">
        <f t="shared" si="0"/>
        <v/>
      </c>
      <c r="D65" s="9" t="str">
        <f>IF(A65="","",C65-子基金及业绩基准周净值!AI96)</f>
        <v/>
      </c>
      <c r="E65" s="12" t="str">
        <f>IF(A65="","",(MAX(B$3:B65)-B65)/MAX(B$3:B65))</f>
        <v/>
      </c>
      <c r="F65" s="12" t="str">
        <f>IF(A65="","",MAX(E$4:E65))</f>
        <v/>
      </c>
      <c r="G65" s="13"/>
      <c r="H65" s="14" t="str">
        <f t="shared" si="1"/>
        <v/>
      </c>
      <c r="I65" s="14" t="str">
        <f t="shared" si="2"/>
        <v/>
      </c>
      <c r="J65" s="15" t="str">
        <f t="shared" si="3"/>
        <v/>
      </c>
    </row>
    <row r="66" spans="1:10">
      <c r="A66" s="7" t="str">
        <f>IF(子基金及业绩基准周净值!A97="","",子基金及业绩基准周净值!A97)</f>
        <v/>
      </c>
      <c r="B66" s="1" t="str">
        <f>IF(A66="","",VLOOKUP($A66,子基金及业绩基准周净值!$A:$AV,16))</f>
        <v/>
      </c>
      <c r="C66" s="8" t="str">
        <f t="shared" si="0"/>
        <v/>
      </c>
      <c r="D66" s="9" t="str">
        <f>IF(A66="","",C66-子基金及业绩基准周净值!AI97)</f>
        <v/>
      </c>
      <c r="E66" s="12" t="str">
        <f>IF(A66="","",(MAX(B$3:B66)-B66)/MAX(B$3:B66))</f>
        <v/>
      </c>
      <c r="F66" s="12" t="str">
        <f>IF(A66="","",MAX(E$4:E66))</f>
        <v/>
      </c>
      <c r="G66" s="13"/>
      <c r="H66" s="14" t="str">
        <f t="shared" si="1"/>
        <v/>
      </c>
      <c r="I66" s="14" t="str">
        <f t="shared" si="2"/>
        <v/>
      </c>
      <c r="J66" s="15" t="str">
        <f t="shared" si="3"/>
        <v/>
      </c>
    </row>
    <row r="67" spans="1:10">
      <c r="A67" s="7" t="str">
        <f>IF(子基金及业绩基准周净值!A98="","",子基金及业绩基准周净值!A98)</f>
        <v/>
      </c>
      <c r="B67" s="1" t="str">
        <f>IF(A67="","",VLOOKUP($A67,子基金及业绩基准周净值!$A:$AV,16))</f>
        <v/>
      </c>
      <c r="C67" s="8" t="str">
        <f t="shared" si="0"/>
        <v/>
      </c>
      <c r="D67" s="9" t="str">
        <f>IF(A67="","",C67-子基金及业绩基准周净值!AI98)</f>
        <v/>
      </c>
      <c r="E67" s="12" t="str">
        <f>IF(A67="","",(MAX(B$3:B67)-B67)/MAX(B$3:B67))</f>
        <v/>
      </c>
      <c r="F67" s="12" t="str">
        <f>IF(A67="","",MAX(E$4:E67))</f>
        <v/>
      </c>
      <c r="G67" s="13"/>
      <c r="H67" s="14" t="str">
        <f t="shared" si="1"/>
        <v/>
      </c>
      <c r="I67" s="14" t="str">
        <f t="shared" si="2"/>
        <v/>
      </c>
      <c r="J67" s="15" t="str">
        <f t="shared" si="3"/>
        <v/>
      </c>
    </row>
    <row r="68" spans="1:10">
      <c r="A68" s="7" t="str">
        <f>IF(子基金及业绩基准周净值!A99="","",子基金及业绩基准周净值!A99)</f>
        <v/>
      </c>
      <c r="B68" s="1" t="str">
        <f>IF(A68="","",VLOOKUP($A68,子基金及业绩基准周净值!$A:$AV,16))</f>
        <v/>
      </c>
      <c r="C68" s="8" t="str">
        <f t="shared" si="0"/>
        <v/>
      </c>
      <c r="D68" s="9" t="str">
        <f>IF(A68="","",C68-子基金及业绩基准周净值!AI99)</f>
        <v/>
      </c>
      <c r="E68" s="12" t="str">
        <f>IF(A68="","",(MAX(B$3:B68)-B68)/MAX(B$3:B68))</f>
        <v/>
      </c>
      <c r="F68" s="12" t="str">
        <f>IF(A68="","",MAX(E$4:E68))</f>
        <v/>
      </c>
      <c r="G68" s="13"/>
      <c r="H68" s="14" t="str">
        <f t="shared" si="1"/>
        <v/>
      </c>
      <c r="I68" s="14" t="str">
        <f t="shared" si="2"/>
        <v/>
      </c>
      <c r="J68" s="15" t="str">
        <f t="shared" si="3"/>
        <v/>
      </c>
    </row>
    <row r="69" spans="1:10">
      <c r="A69" s="7" t="str">
        <f>IF(子基金及业绩基准周净值!A100="","",子基金及业绩基准周净值!A100)</f>
        <v/>
      </c>
      <c r="B69" s="1" t="str">
        <f>IF(A69="","",VLOOKUP($A69,子基金及业绩基准周净值!$A:$AV,16))</f>
        <v/>
      </c>
      <c r="C69" s="8" t="str">
        <f t="shared" ref="C69:C132" si="4">IF(A69="","",(B69-B68)/B68)</f>
        <v/>
      </c>
      <c r="D69" s="9" t="str">
        <f>IF(A69="","",C69-子基金及业绩基准周净值!AI100)</f>
        <v/>
      </c>
      <c r="E69" s="12" t="str">
        <f>IF(A69="","",(MAX(B$3:B69)-B69)/MAX(B$3:B69))</f>
        <v/>
      </c>
      <c r="F69" s="12" t="str">
        <f>IF(A69="","",MAX(E$4:E69))</f>
        <v/>
      </c>
      <c r="G69" s="13"/>
      <c r="H69" s="14" t="str">
        <f t="shared" ref="H69:H132" si="5">IF(B69="","",IF(C69&lt;-3%,"是","否"))</f>
        <v/>
      </c>
      <c r="I69" s="14" t="str">
        <f t="shared" ref="I69:I132" si="6">IF(A69="","",IF(F69&gt;5%,"是","否"))</f>
        <v/>
      </c>
      <c r="J69" s="15" t="str">
        <f t="shared" ref="J69:J132" si="7">IF(A69="","",IF(G69&gt;=4,"是","否"))</f>
        <v/>
      </c>
    </row>
    <row r="70" spans="1:10">
      <c r="A70" s="7" t="str">
        <f>IF(子基金及业绩基准周净值!A101="","",子基金及业绩基准周净值!A101)</f>
        <v/>
      </c>
      <c r="B70" s="1" t="str">
        <f>IF(A70="","",VLOOKUP($A70,子基金及业绩基准周净值!$A:$AV,16))</f>
        <v/>
      </c>
      <c r="C70" s="8" t="str">
        <f t="shared" si="4"/>
        <v/>
      </c>
      <c r="D70" s="9" t="str">
        <f>IF(A70="","",C70-子基金及业绩基准周净值!AI101)</f>
        <v/>
      </c>
      <c r="E70" s="12" t="str">
        <f>IF(A70="","",(MAX(B$3:B70)-B70)/MAX(B$3:B70))</f>
        <v/>
      </c>
      <c r="F70" s="12" t="str">
        <f>IF(A70="","",MAX(E$4:E70))</f>
        <v/>
      </c>
      <c r="G70" s="13"/>
      <c r="H70" s="14" t="str">
        <f t="shared" si="5"/>
        <v/>
      </c>
      <c r="I70" s="14" t="str">
        <f t="shared" si="6"/>
        <v/>
      </c>
      <c r="J70" s="15" t="str">
        <f t="shared" si="7"/>
        <v/>
      </c>
    </row>
    <row r="71" spans="1:10">
      <c r="A71" s="7" t="str">
        <f>IF(子基金及业绩基准周净值!A102="","",子基金及业绩基准周净值!A102)</f>
        <v/>
      </c>
      <c r="B71" s="1" t="str">
        <f>IF(A71="","",VLOOKUP($A71,子基金及业绩基准周净值!$A:$AV,16))</f>
        <v/>
      </c>
      <c r="C71" s="8" t="str">
        <f t="shared" si="4"/>
        <v/>
      </c>
      <c r="D71" s="9" t="str">
        <f>IF(A71="","",C71-子基金及业绩基准周净值!AI102)</f>
        <v/>
      </c>
      <c r="E71" s="12" t="str">
        <f>IF(A71="","",(MAX(B$3:B71)-B71)/MAX(B$3:B71))</f>
        <v/>
      </c>
      <c r="F71" s="12" t="str">
        <f>IF(A71="","",MAX(E$4:E71))</f>
        <v/>
      </c>
      <c r="G71" s="13"/>
      <c r="H71" s="14" t="str">
        <f t="shared" si="5"/>
        <v/>
      </c>
      <c r="I71" s="14" t="str">
        <f t="shared" si="6"/>
        <v/>
      </c>
      <c r="J71" s="15" t="str">
        <f t="shared" si="7"/>
        <v/>
      </c>
    </row>
    <row r="72" spans="1:10">
      <c r="A72" s="7" t="str">
        <f>IF(子基金及业绩基准周净值!A103="","",子基金及业绩基准周净值!A103)</f>
        <v/>
      </c>
      <c r="B72" s="1" t="str">
        <f>IF(A72="","",VLOOKUP($A72,子基金及业绩基准周净值!$A:$AV,16))</f>
        <v/>
      </c>
      <c r="C72" s="8" t="str">
        <f t="shared" si="4"/>
        <v/>
      </c>
      <c r="D72" s="9" t="str">
        <f>IF(A72="","",C72-子基金及业绩基准周净值!AI103)</f>
        <v/>
      </c>
      <c r="E72" s="12" t="str">
        <f>IF(A72="","",(MAX(B$3:B72)-B72)/MAX(B$3:B72))</f>
        <v/>
      </c>
      <c r="F72" s="12" t="str">
        <f>IF(A72="","",MAX(E$4:E72))</f>
        <v/>
      </c>
      <c r="G72" s="13"/>
      <c r="H72" s="14" t="str">
        <f t="shared" si="5"/>
        <v/>
      </c>
      <c r="I72" s="14" t="str">
        <f t="shared" si="6"/>
        <v/>
      </c>
      <c r="J72" s="15" t="str">
        <f t="shared" si="7"/>
        <v/>
      </c>
    </row>
    <row r="73" spans="1:10">
      <c r="A73" s="7" t="str">
        <f>IF(子基金及业绩基准周净值!A104="","",子基金及业绩基准周净值!A104)</f>
        <v/>
      </c>
      <c r="B73" s="1" t="str">
        <f>IF(A73="","",VLOOKUP($A73,子基金及业绩基准周净值!$A:$AV,16))</f>
        <v/>
      </c>
      <c r="C73" s="8" t="str">
        <f t="shared" si="4"/>
        <v/>
      </c>
      <c r="D73" s="9" t="str">
        <f>IF(A73="","",C73-子基金及业绩基准周净值!AI104)</f>
        <v/>
      </c>
      <c r="E73" s="12" t="str">
        <f>IF(A73="","",(MAX(B$3:B73)-B73)/MAX(B$3:B73))</f>
        <v/>
      </c>
      <c r="F73" s="12" t="str">
        <f>IF(A73="","",MAX(E$4:E73))</f>
        <v/>
      </c>
      <c r="G73" s="13"/>
      <c r="H73" s="14" t="str">
        <f t="shared" si="5"/>
        <v/>
      </c>
      <c r="I73" s="14" t="str">
        <f t="shared" si="6"/>
        <v/>
      </c>
      <c r="J73" s="15" t="str">
        <f t="shared" si="7"/>
        <v/>
      </c>
    </row>
    <row r="74" spans="1:10">
      <c r="A74" s="7" t="str">
        <f>IF(子基金及业绩基准周净值!A105="","",子基金及业绩基准周净值!A105)</f>
        <v/>
      </c>
      <c r="B74" s="1" t="str">
        <f>IF(A74="","",VLOOKUP($A74,子基金及业绩基准周净值!$A:$AV,16))</f>
        <v/>
      </c>
      <c r="C74" s="8" t="str">
        <f t="shared" si="4"/>
        <v/>
      </c>
      <c r="D74" s="9" t="str">
        <f>IF(A74="","",C74-子基金及业绩基准周净值!AI105)</f>
        <v/>
      </c>
      <c r="E74" s="12" t="str">
        <f>IF(A74="","",(MAX(B$3:B74)-B74)/MAX(B$3:B74))</f>
        <v/>
      </c>
      <c r="F74" s="12" t="str">
        <f>IF(A74="","",MAX(E$4:E74))</f>
        <v/>
      </c>
      <c r="G74" s="13"/>
      <c r="H74" s="14" t="str">
        <f t="shared" si="5"/>
        <v/>
      </c>
      <c r="I74" s="14" t="str">
        <f t="shared" si="6"/>
        <v/>
      </c>
      <c r="J74" s="15" t="str">
        <f t="shared" si="7"/>
        <v/>
      </c>
    </row>
    <row r="75" spans="1:10">
      <c r="A75" s="7" t="str">
        <f>IF(子基金及业绩基准周净值!A106="","",子基金及业绩基准周净值!A106)</f>
        <v/>
      </c>
      <c r="B75" s="1" t="str">
        <f>IF(A75="","",VLOOKUP($A75,子基金及业绩基准周净值!$A:$AV,16))</f>
        <v/>
      </c>
      <c r="C75" s="8" t="str">
        <f t="shared" si="4"/>
        <v/>
      </c>
      <c r="D75" s="9" t="str">
        <f>IF(A75="","",C75-子基金及业绩基准周净值!AI106)</f>
        <v/>
      </c>
      <c r="E75" s="12" t="str">
        <f>IF(A75="","",(MAX(B$3:B75)-B75)/MAX(B$3:B75))</f>
        <v/>
      </c>
      <c r="F75" s="12" t="str">
        <f>IF(A75="","",MAX(E$4:E75))</f>
        <v/>
      </c>
      <c r="G75" s="13"/>
      <c r="H75" s="14" t="str">
        <f t="shared" si="5"/>
        <v/>
      </c>
      <c r="I75" s="14" t="str">
        <f t="shared" si="6"/>
        <v/>
      </c>
      <c r="J75" s="15" t="str">
        <f t="shared" si="7"/>
        <v/>
      </c>
    </row>
    <row r="76" spans="1:10">
      <c r="A76" s="7" t="str">
        <f>IF(子基金及业绩基准周净值!A107="","",子基金及业绩基准周净值!A107)</f>
        <v/>
      </c>
      <c r="B76" s="1" t="str">
        <f>IF(A76="","",VLOOKUP($A76,子基金及业绩基准周净值!$A:$AV,16))</f>
        <v/>
      </c>
      <c r="C76" s="8" t="str">
        <f t="shared" si="4"/>
        <v/>
      </c>
      <c r="D76" s="9" t="str">
        <f>IF(A76="","",C76-子基金及业绩基准周净值!AI107)</f>
        <v/>
      </c>
      <c r="E76" s="12" t="str">
        <f>IF(A76="","",(MAX(B$3:B76)-B76)/MAX(B$3:B76))</f>
        <v/>
      </c>
      <c r="F76" s="12" t="str">
        <f>IF(A76="","",MAX(E$4:E76))</f>
        <v/>
      </c>
      <c r="G76" s="13"/>
      <c r="H76" s="14" t="str">
        <f t="shared" si="5"/>
        <v/>
      </c>
      <c r="I76" s="14" t="str">
        <f t="shared" si="6"/>
        <v/>
      </c>
      <c r="J76" s="15" t="str">
        <f t="shared" si="7"/>
        <v/>
      </c>
    </row>
    <row r="77" spans="1:10">
      <c r="A77" s="7" t="str">
        <f>IF(子基金及业绩基准周净值!A108="","",子基金及业绩基准周净值!A108)</f>
        <v/>
      </c>
      <c r="B77" s="1" t="str">
        <f>IF(A77="","",VLOOKUP($A77,子基金及业绩基准周净值!$A:$AV,16))</f>
        <v/>
      </c>
      <c r="C77" s="8" t="str">
        <f t="shared" si="4"/>
        <v/>
      </c>
      <c r="D77" s="9" t="str">
        <f>IF(A77="","",C77-子基金及业绩基准周净值!AI108)</f>
        <v/>
      </c>
      <c r="E77" s="12" t="str">
        <f>IF(A77="","",(MAX(B$3:B77)-B77)/MAX(B$3:B77))</f>
        <v/>
      </c>
      <c r="F77" s="12" t="str">
        <f>IF(A77="","",MAX(E$4:E77))</f>
        <v/>
      </c>
      <c r="G77" s="13"/>
      <c r="H77" s="14" t="str">
        <f t="shared" si="5"/>
        <v/>
      </c>
      <c r="I77" s="14" t="str">
        <f t="shared" si="6"/>
        <v/>
      </c>
      <c r="J77" s="15" t="str">
        <f t="shared" si="7"/>
        <v/>
      </c>
    </row>
    <row r="78" spans="1:10">
      <c r="A78" s="7" t="str">
        <f>IF(子基金及业绩基准周净值!A109="","",子基金及业绩基准周净值!A109)</f>
        <v/>
      </c>
      <c r="B78" s="1" t="str">
        <f>IF(A78="","",VLOOKUP($A78,子基金及业绩基准周净值!$A:$AV,16))</f>
        <v/>
      </c>
      <c r="C78" s="8" t="str">
        <f t="shared" si="4"/>
        <v/>
      </c>
      <c r="D78" s="9" t="str">
        <f>IF(A78="","",C78-子基金及业绩基准周净值!AI109)</f>
        <v/>
      </c>
      <c r="E78" s="12" t="str">
        <f>IF(A78="","",(MAX(B$3:B78)-B78)/MAX(B$3:B78))</f>
        <v/>
      </c>
      <c r="F78" s="12" t="str">
        <f>IF(A78="","",MAX(E$4:E78))</f>
        <v/>
      </c>
      <c r="G78" s="13"/>
      <c r="H78" s="14" t="str">
        <f t="shared" si="5"/>
        <v/>
      </c>
      <c r="I78" s="14" t="str">
        <f t="shared" si="6"/>
        <v/>
      </c>
      <c r="J78" s="15" t="str">
        <f t="shared" si="7"/>
        <v/>
      </c>
    </row>
    <row r="79" spans="1:10">
      <c r="A79" s="7" t="str">
        <f>IF(子基金及业绩基准周净值!A110="","",子基金及业绩基准周净值!A110)</f>
        <v/>
      </c>
      <c r="B79" s="1" t="str">
        <f>IF(A79="","",VLOOKUP($A79,子基金及业绩基准周净值!$A:$AV,16))</f>
        <v/>
      </c>
      <c r="C79" s="8" t="str">
        <f t="shared" si="4"/>
        <v/>
      </c>
      <c r="D79" s="9" t="str">
        <f>IF(A79="","",C79-子基金及业绩基准周净值!AI110)</f>
        <v/>
      </c>
      <c r="E79" s="12" t="str">
        <f>IF(A79="","",(MAX(B$3:B79)-B79)/MAX(B$3:B79))</f>
        <v/>
      </c>
      <c r="F79" s="12" t="str">
        <f>IF(A79="","",MAX(E$4:E79))</f>
        <v/>
      </c>
      <c r="G79" s="13"/>
      <c r="H79" s="14" t="str">
        <f t="shared" si="5"/>
        <v/>
      </c>
      <c r="I79" s="14" t="str">
        <f t="shared" si="6"/>
        <v/>
      </c>
      <c r="J79" s="15" t="str">
        <f t="shared" si="7"/>
        <v/>
      </c>
    </row>
    <row r="80" spans="1:10">
      <c r="A80" s="7" t="str">
        <f>IF(子基金及业绩基准周净值!A111="","",子基金及业绩基准周净值!A111)</f>
        <v/>
      </c>
      <c r="B80" s="1" t="str">
        <f>IF(A80="","",VLOOKUP($A80,子基金及业绩基准周净值!$A:$AV,16))</f>
        <v/>
      </c>
      <c r="C80" s="8" t="str">
        <f t="shared" si="4"/>
        <v/>
      </c>
      <c r="D80" s="9" t="str">
        <f>IF(A80="","",C80-子基金及业绩基准周净值!AI111)</f>
        <v/>
      </c>
      <c r="E80" s="12" t="str">
        <f>IF(A80="","",(MAX(B$3:B80)-B80)/MAX(B$3:B80))</f>
        <v/>
      </c>
      <c r="F80" s="12" t="str">
        <f>IF(A80="","",MAX(E$4:E80))</f>
        <v/>
      </c>
      <c r="G80" s="13"/>
      <c r="H80" s="14" t="str">
        <f t="shared" si="5"/>
        <v/>
      </c>
      <c r="I80" s="14" t="str">
        <f t="shared" si="6"/>
        <v/>
      </c>
      <c r="J80" s="15" t="str">
        <f t="shared" si="7"/>
        <v/>
      </c>
    </row>
    <row r="81" spans="1:10">
      <c r="A81" s="7" t="str">
        <f>IF(子基金及业绩基准周净值!A112="","",子基金及业绩基准周净值!A112)</f>
        <v/>
      </c>
      <c r="B81" s="1" t="str">
        <f>IF(A81="","",VLOOKUP($A81,子基金及业绩基准周净值!$A:$AV,16))</f>
        <v/>
      </c>
      <c r="C81" s="8" t="str">
        <f t="shared" si="4"/>
        <v/>
      </c>
      <c r="D81" s="9" t="str">
        <f>IF(A81="","",C81-子基金及业绩基准周净值!AI112)</f>
        <v/>
      </c>
      <c r="E81" s="12" t="str">
        <f>IF(A81="","",(MAX(B$3:B81)-B81)/MAX(B$3:B81))</f>
        <v/>
      </c>
      <c r="F81" s="12" t="str">
        <f>IF(A81="","",MAX(E$4:E81))</f>
        <v/>
      </c>
      <c r="G81" s="13"/>
      <c r="H81" s="14" t="str">
        <f t="shared" si="5"/>
        <v/>
      </c>
      <c r="I81" s="14" t="str">
        <f t="shared" si="6"/>
        <v/>
      </c>
      <c r="J81" s="15" t="str">
        <f t="shared" si="7"/>
        <v/>
      </c>
    </row>
    <row r="82" spans="1:10">
      <c r="A82" s="7" t="str">
        <f>IF(子基金及业绩基准周净值!A113="","",子基金及业绩基准周净值!A113)</f>
        <v/>
      </c>
      <c r="B82" s="1" t="str">
        <f>IF(A82="","",VLOOKUP($A82,子基金及业绩基准周净值!$A:$AV,16))</f>
        <v/>
      </c>
      <c r="C82" s="8" t="str">
        <f t="shared" si="4"/>
        <v/>
      </c>
      <c r="D82" s="9" t="str">
        <f>IF(A82="","",C82-子基金及业绩基准周净值!AI113)</f>
        <v/>
      </c>
      <c r="E82" s="12" t="str">
        <f>IF(A82="","",(MAX(B$3:B82)-B82)/MAX(B$3:B82))</f>
        <v/>
      </c>
      <c r="F82" s="12" t="str">
        <f>IF(A82="","",MAX(E$4:E82))</f>
        <v/>
      </c>
      <c r="G82" s="13"/>
      <c r="H82" s="14" t="str">
        <f t="shared" si="5"/>
        <v/>
      </c>
      <c r="I82" s="14" t="str">
        <f t="shared" si="6"/>
        <v/>
      </c>
      <c r="J82" s="15" t="str">
        <f t="shared" si="7"/>
        <v/>
      </c>
    </row>
    <row r="83" spans="1:10">
      <c r="A83" s="7" t="str">
        <f>IF(子基金及业绩基准周净值!A114="","",子基金及业绩基准周净值!A114)</f>
        <v/>
      </c>
      <c r="B83" s="1" t="str">
        <f>IF(A83="","",VLOOKUP($A83,子基金及业绩基准周净值!$A:$AV,16))</f>
        <v/>
      </c>
      <c r="C83" s="8" t="str">
        <f t="shared" si="4"/>
        <v/>
      </c>
      <c r="D83" s="9" t="str">
        <f>IF(A83="","",C83-子基金及业绩基准周净值!AI114)</f>
        <v/>
      </c>
      <c r="E83" s="12" t="str">
        <f>IF(A83="","",(MAX(B$3:B83)-B83)/MAX(B$3:B83))</f>
        <v/>
      </c>
      <c r="F83" s="12" t="str">
        <f>IF(A83="","",MAX(E$4:E83))</f>
        <v/>
      </c>
      <c r="G83" s="13"/>
      <c r="H83" s="14" t="str">
        <f t="shared" si="5"/>
        <v/>
      </c>
      <c r="I83" s="14" t="str">
        <f t="shared" si="6"/>
        <v/>
      </c>
      <c r="J83" s="15" t="str">
        <f t="shared" si="7"/>
        <v/>
      </c>
    </row>
    <row r="84" spans="1:10">
      <c r="A84" s="7" t="str">
        <f>IF(子基金及业绩基准周净值!A115="","",子基金及业绩基准周净值!A115)</f>
        <v/>
      </c>
      <c r="B84" s="1" t="str">
        <f>IF(A84="","",VLOOKUP($A84,子基金及业绩基准周净值!$A:$AV,16))</f>
        <v/>
      </c>
      <c r="C84" s="8" t="str">
        <f t="shared" si="4"/>
        <v/>
      </c>
      <c r="D84" s="9" t="str">
        <f>IF(A84="","",C84-子基金及业绩基准周净值!AI115)</f>
        <v/>
      </c>
      <c r="E84" s="12" t="str">
        <f>IF(A84="","",(MAX(B$3:B84)-B84)/MAX(B$3:B84))</f>
        <v/>
      </c>
      <c r="F84" s="12" t="str">
        <f>IF(A84="","",MAX(E$4:E84))</f>
        <v/>
      </c>
      <c r="G84" s="13"/>
      <c r="H84" s="14" t="str">
        <f t="shared" si="5"/>
        <v/>
      </c>
      <c r="I84" s="14" t="str">
        <f t="shared" si="6"/>
        <v/>
      </c>
      <c r="J84" s="15" t="str">
        <f t="shared" si="7"/>
        <v/>
      </c>
    </row>
    <row r="85" spans="1:10">
      <c r="A85" s="7" t="str">
        <f>IF(子基金及业绩基准周净值!A116="","",子基金及业绩基准周净值!A116)</f>
        <v/>
      </c>
      <c r="B85" s="1" t="str">
        <f>IF(A85="","",VLOOKUP($A85,子基金及业绩基准周净值!$A:$AV,16))</f>
        <v/>
      </c>
      <c r="C85" s="8" t="str">
        <f t="shared" si="4"/>
        <v/>
      </c>
      <c r="D85" s="9" t="str">
        <f>IF(A85="","",C85-子基金及业绩基准周净值!AI116)</f>
        <v/>
      </c>
      <c r="E85" s="12" t="str">
        <f>IF(A85="","",(MAX(B$3:B85)-B85)/MAX(B$3:B85))</f>
        <v/>
      </c>
      <c r="F85" s="12" t="str">
        <f>IF(A85="","",MAX(E$4:E85))</f>
        <v/>
      </c>
      <c r="G85" s="13"/>
      <c r="H85" s="14" t="str">
        <f t="shared" si="5"/>
        <v/>
      </c>
      <c r="I85" s="14" t="str">
        <f t="shared" si="6"/>
        <v/>
      </c>
      <c r="J85" s="15" t="str">
        <f t="shared" si="7"/>
        <v/>
      </c>
    </row>
    <row r="86" spans="1:10">
      <c r="A86" s="7" t="str">
        <f>IF(子基金及业绩基准周净值!A117="","",子基金及业绩基准周净值!A117)</f>
        <v/>
      </c>
      <c r="B86" s="1" t="str">
        <f>IF(A86="","",VLOOKUP($A86,子基金及业绩基准周净值!$A:$AV,16))</f>
        <v/>
      </c>
      <c r="C86" s="8" t="str">
        <f t="shared" si="4"/>
        <v/>
      </c>
      <c r="D86" s="9" t="str">
        <f>IF(A86="","",C86-子基金及业绩基准周净值!AI117)</f>
        <v/>
      </c>
      <c r="E86" s="12" t="str">
        <f>IF(A86="","",(MAX(B$3:B86)-B86)/MAX(B$3:B86))</f>
        <v/>
      </c>
      <c r="F86" s="12" t="str">
        <f>IF(A86="","",MAX(E$4:E86))</f>
        <v/>
      </c>
      <c r="G86" s="13"/>
      <c r="H86" s="14" t="str">
        <f t="shared" si="5"/>
        <v/>
      </c>
      <c r="I86" s="14" t="str">
        <f t="shared" si="6"/>
        <v/>
      </c>
      <c r="J86" s="15" t="str">
        <f t="shared" si="7"/>
        <v/>
      </c>
    </row>
    <row r="87" spans="1:10">
      <c r="A87" s="7" t="str">
        <f>IF(子基金及业绩基准周净值!A118="","",子基金及业绩基准周净值!A118)</f>
        <v/>
      </c>
      <c r="B87" s="1" t="str">
        <f>IF(A87="","",VLOOKUP($A87,子基金及业绩基准周净值!$A:$AV,16))</f>
        <v/>
      </c>
      <c r="C87" s="8" t="str">
        <f t="shared" si="4"/>
        <v/>
      </c>
      <c r="D87" s="9" t="str">
        <f>IF(A87="","",C87-子基金及业绩基准周净值!AI118)</f>
        <v/>
      </c>
      <c r="E87" s="12" t="str">
        <f>IF(A87="","",(MAX(B$3:B87)-B87)/MAX(B$3:B87))</f>
        <v/>
      </c>
      <c r="F87" s="12" t="str">
        <f>IF(A87="","",MAX(E$4:E87))</f>
        <v/>
      </c>
      <c r="G87" s="13"/>
      <c r="H87" s="14" t="str">
        <f t="shared" si="5"/>
        <v/>
      </c>
      <c r="I87" s="14" t="str">
        <f t="shared" si="6"/>
        <v/>
      </c>
      <c r="J87" s="15" t="str">
        <f t="shared" si="7"/>
        <v/>
      </c>
    </row>
    <row r="88" spans="1:10">
      <c r="A88" s="7" t="str">
        <f>IF(子基金及业绩基准周净值!A119="","",子基金及业绩基准周净值!A119)</f>
        <v/>
      </c>
      <c r="B88" s="1" t="str">
        <f>IF(A88="","",VLOOKUP($A88,子基金及业绩基准周净值!$A:$AV,16))</f>
        <v/>
      </c>
      <c r="C88" s="8" t="str">
        <f t="shared" si="4"/>
        <v/>
      </c>
      <c r="D88" s="9" t="str">
        <f>IF(A88="","",C88-子基金及业绩基准周净值!AI119)</f>
        <v/>
      </c>
      <c r="E88" s="12" t="str">
        <f>IF(A88="","",(MAX(B$3:B88)-B88)/MAX(B$3:B88))</f>
        <v/>
      </c>
      <c r="F88" s="12" t="str">
        <f>IF(A88="","",MAX(E$4:E88))</f>
        <v/>
      </c>
      <c r="G88" s="13"/>
      <c r="H88" s="14" t="str">
        <f t="shared" si="5"/>
        <v/>
      </c>
      <c r="I88" s="14" t="str">
        <f t="shared" si="6"/>
        <v/>
      </c>
      <c r="J88" s="15" t="str">
        <f t="shared" si="7"/>
        <v/>
      </c>
    </row>
    <row r="89" spans="1:10">
      <c r="A89" s="7" t="str">
        <f>IF(子基金及业绩基准周净值!A120="","",子基金及业绩基准周净值!A120)</f>
        <v/>
      </c>
      <c r="B89" s="1" t="str">
        <f>IF(A89="","",VLOOKUP($A89,子基金及业绩基准周净值!$A:$AV,16))</f>
        <v/>
      </c>
      <c r="C89" s="8" t="str">
        <f t="shared" si="4"/>
        <v/>
      </c>
      <c r="D89" s="9" t="str">
        <f>IF(A89="","",C89-子基金及业绩基准周净值!AI120)</f>
        <v/>
      </c>
      <c r="E89" s="12" t="str">
        <f>IF(A89="","",(MAX(B$3:B89)-B89)/MAX(B$3:B89))</f>
        <v/>
      </c>
      <c r="F89" s="12" t="str">
        <f>IF(A89="","",MAX(E$4:E89))</f>
        <v/>
      </c>
      <c r="G89" s="13"/>
      <c r="H89" s="14" t="str">
        <f t="shared" si="5"/>
        <v/>
      </c>
      <c r="I89" s="14" t="str">
        <f t="shared" si="6"/>
        <v/>
      </c>
      <c r="J89" s="15" t="str">
        <f t="shared" si="7"/>
        <v/>
      </c>
    </row>
    <row r="90" spans="1:10">
      <c r="A90" s="7" t="str">
        <f>IF(子基金及业绩基准周净值!A121="","",子基金及业绩基准周净值!A121)</f>
        <v/>
      </c>
      <c r="B90" s="1" t="str">
        <f>IF(A90="","",VLOOKUP($A90,子基金及业绩基准周净值!$A:$AV,16))</f>
        <v/>
      </c>
      <c r="C90" s="8" t="str">
        <f t="shared" si="4"/>
        <v/>
      </c>
      <c r="D90" s="9" t="str">
        <f>IF(A90="","",C90-子基金及业绩基准周净值!AI121)</f>
        <v/>
      </c>
      <c r="E90" s="12" t="str">
        <f>IF(A90="","",(MAX(B$3:B90)-B90)/MAX(B$3:B90))</f>
        <v/>
      </c>
      <c r="F90" s="12" t="str">
        <f>IF(A90="","",MAX(E$4:E90))</f>
        <v/>
      </c>
      <c r="G90" s="13"/>
      <c r="H90" s="14" t="str">
        <f t="shared" si="5"/>
        <v/>
      </c>
      <c r="I90" s="14" t="str">
        <f t="shared" si="6"/>
        <v/>
      </c>
      <c r="J90" s="15" t="str">
        <f t="shared" si="7"/>
        <v/>
      </c>
    </row>
    <row r="91" spans="1:10">
      <c r="A91" s="7" t="str">
        <f>IF(子基金及业绩基准周净值!A122="","",子基金及业绩基准周净值!A122)</f>
        <v/>
      </c>
      <c r="B91" s="1" t="str">
        <f>IF(A91="","",VLOOKUP($A91,子基金及业绩基准周净值!$A:$AV,16))</f>
        <v/>
      </c>
      <c r="C91" s="8" t="str">
        <f t="shared" si="4"/>
        <v/>
      </c>
      <c r="D91" s="9" t="str">
        <f>IF(A91="","",C91-子基金及业绩基准周净值!AI122)</f>
        <v/>
      </c>
      <c r="E91" s="12" t="str">
        <f>IF(A91="","",(MAX(B$3:B91)-B91)/MAX(B$3:B91))</f>
        <v/>
      </c>
      <c r="F91" s="12" t="str">
        <f>IF(A91="","",MAX(E$4:E91))</f>
        <v/>
      </c>
      <c r="G91" s="13"/>
      <c r="H91" s="14" t="str">
        <f t="shared" si="5"/>
        <v/>
      </c>
      <c r="I91" s="14" t="str">
        <f t="shared" si="6"/>
        <v/>
      </c>
      <c r="J91" s="15" t="str">
        <f t="shared" si="7"/>
        <v/>
      </c>
    </row>
    <row r="92" spans="1:10">
      <c r="A92" s="7" t="str">
        <f>IF(子基金及业绩基准周净值!A123="","",子基金及业绩基准周净值!A123)</f>
        <v/>
      </c>
      <c r="B92" s="1" t="str">
        <f>IF(A92="","",VLOOKUP($A92,子基金及业绩基准周净值!$A:$AV,16))</f>
        <v/>
      </c>
      <c r="C92" s="8" t="str">
        <f t="shared" si="4"/>
        <v/>
      </c>
      <c r="D92" s="9" t="str">
        <f>IF(A92="","",C92-子基金及业绩基准周净值!AI123)</f>
        <v/>
      </c>
      <c r="E92" s="12" t="str">
        <f>IF(A92="","",(MAX(B$3:B92)-B92)/MAX(B$3:B92))</f>
        <v/>
      </c>
      <c r="F92" s="12" t="str">
        <f>IF(A92="","",MAX(E$4:E92))</f>
        <v/>
      </c>
      <c r="G92" s="13"/>
      <c r="H92" s="14" t="str">
        <f t="shared" si="5"/>
        <v/>
      </c>
      <c r="I92" s="14" t="str">
        <f t="shared" si="6"/>
        <v/>
      </c>
      <c r="J92" s="15" t="str">
        <f t="shared" si="7"/>
        <v/>
      </c>
    </row>
    <row r="93" spans="1:10">
      <c r="A93" s="7" t="str">
        <f>IF(子基金及业绩基准周净值!A124="","",子基金及业绩基准周净值!A124)</f>
        <v/>
      </c>
      <c r="B93" s="1" t="str">
        <f>IF(A93="","",VLOOKUP($A93,子基金及业绩基准周净值!$A:$AV,16))</f>
        <v/>
      </c>
      <c r="C93" s="8" t="str">
        <f t="shared" si="4"/>
        <v/>
      </c>
      <c r="D93" s="9" t="str">
        <f>IF(A93="","",C93-子基金及业绩基准周净值!AI124)</f>
        <v/>
      </c>
      <c r="E93" s="12" t="str">
        <f>IF(A93="","",(MAX(B$3:B93)-B93)/MAX(B$3:B93))</f>
        <v/>
      </c>
      <c r="F93" s="12" t="str">
        <f>IF(A93="","",MAX(E$4:E93))</f>
        <v/>
      </c>
      <c r="G93" s="13"/>
      <c r="H93" s="14" t="str">
        <f t="shared" si="5"/>
        <v/>
      </c>
      <c r="I93" s="14" t="str">
        <f t="shared" si="6"/>
        <v/>
      </c>
      <c r="J93" s="15" t="str">
        <f t="shared" si="7"/>
        <v/>
      </c>
    </row>
    <row r="94" spans="1:10">
      <c r="A94" s="7" t="str">
        <f>IF(子基金及业绩基准周净值!A125="","",子基金及业绩基准周净值!A125)</f>
        <v/>
      </c>
      <c r="B94" s="1" t="str">
        <f>IF(A94="","",VLOOKUP($A94,子基金及业绩基准周净值!$A:$AV,16))</f>
        <v/>
      </c>
      <c r="C94" s="8" t="str">
        <f t="shared" si="4"/>
        <v/>
      </c>
      <c r="D94" s="9" t="str">
        <f>IF(A94="","",C94-子基金及业绩基准周净值!AI125)</f>
        <v/>
      </c>
      <c r="E94" s="12" t="str">
        <f>IF(A94="","",(MAX(B$3:B94)-B94)/MAX(B$3:B94))</f>
        <v/>
      </c>
      <c r="F94" s="12" t="str">
        <f>IF(A94="","",MAX(E$4:E94))</f>
        <v/>
      </c>
      <c r="G94" s="13"/>
      <c r="H94" s="14" t="str">
        <f t="shared" si="5"/>
        <v/>
      </c>
      <c r="I94" s="14" t="str">
        <f t="shared" si="6"/>
        <v/>
      </c>
      <c r="J94" s="15" t="str">
        <f t="shared" si="7"/>
        <v/>
      </c>
    </row>
    <row r="95" spans="1:10">
      <c r="A95" s="7" t="str">
        <f>IF(子基金及业绩基准周净值!A126="","",子基金及业绩基准周净值!A126)</f>
        <v/>
      </c>
      <c r="B95" s="1" t="str">
        <f>IF(A95="","",VLOOKUP($A95,子基金及业绩基准周净值!$A:$AV,16))</f>
        <v/>
      </c>
      <c r="C95" s="8" t="str">
        <f t="shared" si="4"/>
        <v/>
      </c>
      <c r="D95" s="9" t="str">
        <f>IF(A95="","",C95-子基金及业绩基准周净值!AI126)</f>
        <v/>
      </c>
      <c r="E95" s="12" t="str">
        <f>IF(A95="","",(MAX(B$3:B95)-B95)/MAX(B$3:B95))</f>
        <v/>
      </c>
      <c r="F95" s="12" t="str">
        <f>IF(A95="","",MAX(E$4:E95))</f>
        <v/>
      </c>
      <c r="G95" s="13"/>
      <c r="H95" s="14" t="str">
        <f t="shared" si="5"/>
        <v/>
      </c>
      <c r="I95" s="14" t="str">
        <f t="shared" si="6"/>
        <v/>
      </c>
      <c r="J95" s="15" t="str">
        <f t="shared" si="7"/>
        <v/>
      </c>
    </row>
    <row r="96" spans="1:10">
      <c r="A96" s="7" t="str">
        <f>IF(子基金及业绩基准周净值!A127="","",子基金及业绩基准周净值!A127)</f>
        <v/>
      </c>
      <c r="B96" s="1" t="str">
        <f>IF(A96="","",VLOOKUP($A96,子基金及业绩基准周净值!$A:$AV,16))</f>
        <v/>
      </c>
      <c r="C96" s="8" t="str">
        <f t="shared" si="4"/>
        <v/>
      </c>
      <c r="D96" s="9" t="str">
        <f>IF(A96="","",C96-子基金及业绩基准周净值!AI127)</f>
        <v/>
      </c>
      <c r="E96" s="12" t="str">
        <f>IF(A96="","",(MAX(B$3:B96)-B96)/MAX(B$3:B96))</f>
        <v/>
      </c>
      <c r="F96" s="12" t="str">
        <f>IF(A96="","",MAX(E$4:E96))</f>
        <v/>
      </c>
      <c r="G96" s="13"/>
      <c r="H96" s="14" t="str">
        <f t="shared" si="5"/>
        <v/>
      </c>
      <c r="I96" s="14" t="str">
        <f t="shared" si="6"/>
        <v/>
      </c>
      <c r="J96" s="15" t="str">
        <f t="shared" si="7"/>
        <v/>
      </c>
    </row>
    <row r="97" spans="1:10">
      <c r="A97" s="7" t="str">
        <f>IF(子基金及业绩基准周净值!A128="","",子基金及业绩基准周净值!A128)</f>
        <v/>
      </c>
      <c r="B97" s="1" t="str">
        <f>IF(A97="","",VLOOKUP($A97,子基金及业绩基准周净值!$A:$AV,16))</f>
        <v/>
      </c>
      <c r="C97" s="8" t="str">
        <f t="shared" si="4"/>
        <v/>
      </c>
      <c r="D97" s="9" t="str">
        <f>IF(A97="","",C97-子基金及业绩基准周净值!AI128)</f>
        <v/>
      </c>
      <c r="E97" s="12" t="str">
        <f>IF(A97="","",(MAX(B$3:B97)-B97)/MAX(B$3:B97))</f>
        <v/>
      </c>
      <c r="F97" s="12" t="str">
        <f>IF(A97="","",MAX(E$4:E97))</f>
        <v/>
      </c>
      <c r="G97" s="13"/>
      <c r="H97" s="14" t="str">
        <f t="shared" si="5"/>
        <v/>
      </c>
      <c r="I97" s="14" t="str">
        <f t="shared" si="6"/>
        <v/>
      </c>
      <c r="J97" s="15" t="str">
        <f t="shared" si="7"/>
        <v/>
      </c>
    </row>
    <row r="98" spans="1:10">
      <c r="A98" s="7" t="str">
        <f>IF(子基金及业绩基准周净值!A129="","",子基金及业绩基准周净值!A129)</f>
        <v/>
      </c>
      <c r="B98" s="1" t="str">
        <f>IF(A98="","",VLOOKUP($A98,子基金及业绩基准周净值!$A:$AV,16))</f>
        <v/>
      </c>
      <c r="C98" s="8" t="str">
        <f t="shared" si="4"/>
        <v/>
      </c>
      <c r="D98" s="9" t="str">
        <f>IF(A98="","",C98-子基金及业绩基准周净值!AI129)</f>
        <v/>
      </c>
      <c r="E98" s="12" t="str">
        <f>IF(A98="","",(MAX(B$3:B98)-B98)/MAX(B$3:B98))</f>
        <v/>
      </c>
      <c r="F98" s="12" t="str">
        <f>IF(A98="","",MAX(E$4:E98))</f>
        <v/>
      </c>
      <c r="G98" s="13"/>
      <c r="H98" s="14" t="str">
        <f t="shared" si="5"/>
        <v/>
      </c>
      <c r="I98" s="14" t="str">
        <f t="shared" si="6"/>
        <v/>
      </c>
      <c r="J98" s="15" t="str">
        <f t="shared" si="7"/>
        <v/>
      </c>
    </row>
    <row r="99" spans="1:10">
      <c r="A99" s="7" t="str">
        <f>IF(子基金及业绩基准周净值!A130="","",子基金及业绩基准周净值!A130)</f>
        <v/>
      </c>
      <c r="B99" s="1" t="str">
        <f>IF(A99="","",VLOOKUP($A99,子基金及业绩基准周净值!$A:$AV,16))</f>
        <v/>
      </c>
      <c r="C99" s="8" t="str">
        <f t="shared" si="4"/>
        <v/>
      </c>
      <c r="D99" s="9" t="str">
        <f>IF(A99="","",C99-子基金及业绩基准周净值!AI130)</f>
        <v/>
      </c>
      <c r="E99" s="12" t="str">
        <f>IF(A99="","",(MAX(B$3:B99)-B99)/MAX(B$3:B99))</f>
        <v/>
      </c>
      <c r="F99" s="12" t="str">
        <f>IF(A99="","",MAX(E$4:E99))</f>
        <v/>
      </c>
      <c r="G99" s="13"/>
      <c r="H99" s="14" t="str">
        <f t="shared" si="5"/>
        <v/>
      </c>
      <c r="I99" s="14" t="str">
        <f t="shared" si="6"/>
        <v/>
      </c>
      <c r="J99" s="15" t="str">
        <f t="shared" si="7"/>
        <v/>
      </c>
    </row>
    <row r="100" spans="1:10">
      <c r="A100" s="7" t="str">
        <f>IF(子基金及业绩基准周净值!A131="","",子基金及业绩基准周净值!A131)</f>
        <v/>
      </c>
      <c r="B100" s="1" t="str">
        <f>IF(A100="","",VLOOKUP($A100,子基金及业绩基准周净值!$A:$AV,16))</f>
        <v/>
      </c>
      <c r="C100" s="8" t="str">
        <f t="shared" si="4"/>
        <v/>
      </c>
      <c r="D100" s="9" t="str">
        <f>IF(A100="","",C100-子基金及业绩基准周净值!AI131)</f>
        <v/>
      </c>
      <c r="E100" s="12" t="str">
        <f>IF(A100="","",(MAX(B$3:B100)-B100)/MAX(B$3:B100))</f>
        <v/>
      </c>
      <c r="F100" s="12" t="str">
        <f>IF(A100="","",MAX(E$4:E100))</f>
        <v/>
      </c>
      <c r="G100" s="13"/>
      <c r="H100" s="14" t="str">
        <f t="shared" si="5"/>
        <v/>
      </c>
      <c r="I100" s="14" t="str">
        <f t="shared" si="6"/>
        <v/>
      </c>
      <c r="J100" s="15" t="str">
        <f t="shared" si="7"/>
        <v/>
      </c>
    </row>
    <row r="101" spans="1:10">
      <c r="A101" s="7" t="str">
        <f>IF(子基金及业绩基准周净值!A132="","",子基金及业绩基准周净值!A132)</f>
        <v/>
      </c>
      <c r="B101" s="1" t="str">
        <f>IF(A101="","",VLOOKUP($A101,子基金及业绩基准周净值!$A:$AV,16))</f>
        <v/>
      </c>
      <c r="C101" s="8" t="str">
        <f t="shared" si="4"/>
        <v/>
      </c>
      <c r="D101" s="9" t="str">
        <f>IF(A101="","",C101-子基金及业绩基准周净值!AI132)</f>
        <v/>
      </c>
      <c r="E101" s="12" t="str">
        <f>IF(A101="","",(MAX(B$3:B101)-B101)/MAX(B$3:B101))</f>
        <v/>
      </c>
      <c r="F101" s="12" t="str">
        <f>IF(A101="","",MAX(E$4:E101))</f>
        <v/>
      </c>
      <c r="G101" s="13"/>
      <c r="H101" s="14" t="str">
        <f t="shared" si="5"/>
        <v/>
      </c>
      <c r="I101" s="14" t="str">
        <f t="shared" si="6"/>
        <v/>
      </c>
      <c r="J101" s="15" t="str">
        <f t="shared" si="7"/>
        <v/>
      </c>
    </row>
    <row r="102" spans="1:10">
      <c r="A102" s="7" t="str">
        <f>IF(子基金及业绩基准周净值!A133="","",子基金及业绩基准周净值!A133)</f>
        <v/>
      </c>
      <c r="B102" s="1" t="str">
        <f>IF(A102="","",VLOOKUP($A102,子基金及业绩基准周净值!$A:$AV,16))</f>
        <v/>
      </c>
      <c r="C102" s="8" t="str">
        <f t="shared" si="4"/>
        <v/>
      </c>
      <c r="D102" s="9" t="str">
        <f>IF(A102="","",C102-子基金及业绩基准周净值!AI133)</f>
        <v/>
      </c>
      <c r="E102" s="12" t="str">
        <f>IF(A102="","",(MAX(B$3:B102)-B102)/MAX(B$3:B102))</f>
        <v/>
      </c>
      <c r="F102" s="12" t="str">
        <f>IF(A102="","",MAX(E$4:E102))</f>
        <v/>
      </c>
      <c r="G102" s="13"/>
      <c r="H102" s="14" t="str">
        <f t="shared" si="5"/>
        <v/>
      </c>
      <c r="I102" s="14" t="str">
        <f t="shared" si="6"/>
        <v/>
      </c>
      <c r="J102" s="15" t="str">
        <f t="shared" si="7"/>
        <v/>
      </c>
    </row>
    <row r="103" spans="1:10">
      <c r="A103" s="7" t="str">
        <f>IF(子基金及业绩基准周净值!A134="","",子基金及业绩基准周净值!A134)</f>
        <v/>
      </c>
      <c r="B103" s="1" t="str">
        <f>IF(A103="","",VLOOKUP($A103,子基金及业绩基准周净值!$A:$AV,16))</f>
        <v/>
      </c>
      <c r="C103" s="8" t="str">
        <f t="shared" si="4"/>
        <v/>
      </c>
      <c r="D103" s="9" t="str">
        <f>IF(A103="","",C103-子基金及业绩基准周净值!AI134)</f>
        <v/>
      </c>
      <c r="E103" s="12" t="str">
        <f>IF(A103="","",(MAX(B$3:B103)-B103)/MAX(B$3:B103))</f>
        <v/>
      </c>
      <c r="F103" s="12" t="str">
        <f>IF(A103="","",MAX(E$4:E103))</f>
        <v/>
      </c>
      <c r="G103" s="13"/>
      <c r="H103" s="14" t="str">
        <f t="shared" si="5"/>
        <v/>
      </c>
      <c r="I103" s="14" t="str">
        <f t="shared" si="6"/>
        <v/>
      </c>
      <c r="J103" s="15" t="str">
        <f t="shared" si="7"/>
        <v/>
      </c>
    </row>
    <row r="104" spans="1:10">
      <c r="A104" s="7" t="str">
        <f>IF(子基金及业绩基准周净值!A135="","",子基金及业绩基准周净值!A135)</f>
        <v/>
      </c>
      <c r="B104" s="1" t="str">
        <f>IF(A104="","",VLOOKUP($A104,子基金及业绩基准周净值!$A:$AV,16))</f>
        <v/>
      </c>
      <c r="C104" s="8" t="str">
        <f t="shared" si="4"/>
        <v/>
      </c>
      <c r="D104" s="9" t="str">
        <f>IF(A104="","",C104-子基金及业绩基准周净值!AI135)</f>
        <v/>
      </c>
      <c r="E104" s="12" t="str">
        <f>IF(A104="","",(MAX(B$3:B104)-B104)/MAX(B$3:B104))</f>
        <v/>
      </c>
      <c r="F104" s="12" t="str">
        <f>IF(A104="","",MAX(E$4:E104))</f>
        <v/>
      </c>
      <c r="G104" s="13"/>
      <c r="H104" s="14" t="str">
        <f t="shared" si="5"/>
        <v/>
      </c>
      <c r="I104" s="14" t="str">
        <f t="shared" si="6"/>
        <v/>
      </c>
      <c r="J104" s="15" t="str">
        <f t="shared" si="7"/>
        <v/>
      </c>
    </row>
    <row r="105" spans="1:10">
      <c r="A105" s="7" t="str">
        <f>IF(子基金及业绩基准周净值!A136="","",子基金及业绩基准周净值!A136)</f>
        <v/>
      </c>
      <c r="B105" s="1" t="str">
        <f>IF(A105="","",VLOOKUP($A105,子基金及业绩基准周净值!$A:$AV,16))</f>
        <v/>
      </c>
      <c r="C105" s="8" t="str">
        <f t="shared" si="4"/>
        <v/>
      </c>
      <c r="D105" s="9" t="str">
        <f>IF(A105="","",C105-子基金及业绩基准周净值!AI136)</f>
        <v/>
      </c>
      <c r="E105" s="12" t="str">
        <f>IF(A105="","",(MAX(B$3:B105)-B105)/MAX(B$3:B105))</f>
        <v/>
      </c>
      <c r="F105" s="12" t="str">
        <f>IF(A105="","",MAX(E$4:E105))</f>
        <v/>
      </c>
      <c r="G105" s="13"/>
      <c r="H105" s="14" t="str">
        <f t="shared" si="5"/>
        <v/>
      </c>
      <c r="I105" s="14" t="str">
        <f t="shared" si="6"/>
        <v/>
      </c>
      <c r="J105" s="15" t="str">
        <f t="shared" si="7"/>
        <v/>
      </c>
    </row>
    <row r="106" spans="1:10">
      <c r="A106" s="7" t="str">
        <f>IF(子基金及业绩基准周净值!A137="","",子基金及业绩基准周净值!A137)</f>
        <v/>
      </c>
      <c r="B106" s="1" t="str">
        <f>IF(A106="","",VLOOKUP($A106,子基金及业绩基准周净值!$A:$AV,16))</f>
        <v/>
      </c>
      <c r="C106" s="8" t="str">
        <f t="shared" si="4"/>
        <v/>
      </c>
      <c r="D106" s="9" t="str">
        <f>IF(A106="","",C106-子基金及业绩基准周净值!AI137)</f>
        <v/>
      </c>
      <c r="E106" s="12" t="str">
        <f>IF(A106="","",(MAX(B$3:B106)-B106)/MAX(B$3:B106))</f>
        <v/>
      </c>
      <c r="F106" s="12" t="str">
        <f>IF(A106="","",MAX(E$4:E106))</f>
        <v/>
      </c>
      <c r="G106" s="13"/>
      <c r="H106" s="14" t="str">
        <f t="shared" si="5"/>
        <v/>
      </c>
      <c r="I106" s="14" t="str">
        <f t="shared" si="6"/>
        <v/>
      </c>
      <c r="J106" s="15" t="str">
        <f t="shared" si="7"/>
        <v/>
      </c>
    </row>
    <row r="107" spans="1:10">
      <c r="A107" s="7" t="str">
        <f>IF(子基金及业绩基准周净值!A138="","",子基金及业绩基准周净值!A138)</f>
        <v/>
      </c>
      <c r="B107" s="1" t="str">
        <f>IF(A107="","",VLOOKUP($A107,子基金及业绩基准周净值!$A:$AV,16))</f>
        <v/>
      </c>
      <c r="C107" s="8" t="str">
        <f t="shared" si="4"/>
        <v/>
      </c>
      <c r="D107" s="9" t="str">
        <f>IF(A107="","",C107-子基金及业绩基准周净值!AI138)</f>
        <v/>
      </c>
      <c r="E107" s="12" t="str">
        <f>IF(A107="","",(MAX(B$3:B107)-B107)/MAX(B$3:B107))</f>
        <v/>
      </c>
      <c r="F107" s="12" t="str">
        <f>IF(A107="","",MAX(E$4:E107))</f>
        <v/>
      </c>
      <c r="G107" s="13"/>
      <c r="H107" s="14" t="str">
        <f t="shared" si="5"/>
        <v/>
      </c>
      <c r="I107" s="14" t="str">
        <f t="shared" si="6"/>
        <v/>
      </c>
      <c r="J107" s="15" t="str">
        <f t="shared" si="7"/>
        <v/>
      </c>
    </row>
    <row r="108" spans="1:10">
      <c r="A108" s="7" t="str">
        <f>IF(子基金及业绩基准周净值!A139="","",子基金及业绩基准周净值!A139)</f>
        <v/>
      </c>
      <c r="B108" s="1" t="str">
        <f>IF(A108="","",VLOOKUP($A108,子基金及业绩基准周净值!$A:$AV,16))</f>
        <v/>
      </c>
      <c r="C108" s="8" t="str">
        <f t="shared" si="4"/>
        <v/>
      </c>
      <c r="D108" s="9" t="str">
        <f>IF(A108="","",C108-子基金及业绩基准周净值!AI139)</f>
        <v/>
      </c>
      <c r="E108" s="12" t="str">
        <f>IF(A108="","",(MAX(B$3:B108)-B108)/MAX(B$3:B108))</f>
        <v/>
      </c>
      <c r="F108" s="12" t="str">
        <f>IF(A108="","",MAX(E$4:E108))</f>
        <v/>
      </c>
      <c r="G108" s="13"/>
      <c r="H108" s="14" t="str">
        <f t="shared" si="5"/>
        <v/>
      </c>
      <c r="I108" s="14" t="str">
        <f t="shared" si="6"/>
        <v/>
      </c>
      <c r="J108" s="15" t="str">
        <f t="shared" si="7"/>
        <v/>
      </c>
    </row>
    <row r="109" spans="1:10">
      <c r="A109" s="7" t="str">
        <f>IF(子基金及业绩基准周净值!A140="","",子基金及业绩基准周净值!A140)</f>
        <v/>
      </c>
      <c r="B109" s="1" t="str">
        <f>IF(A109="","",VLOOKUP($A109,子基金及业绩基准周净值!$A:$AV,16))</f>
        <v/>
      </c>
      <c r="C109" s="8" t="str">
        <f t="shared" si="4"/>
        <v/>
      </c>
      <c r="D109" s="9" t="str">
        <f>IF(A109="","",C109-子基金及业绩基准周净值!AI140)</f>
        <v/>
      </c>
      <c r="E109" s="12" t="str">
        <f>IF(A109="","",(MAX(B$3:B109)-B109)/MAX(B$3:B109))</f>
        <v/>
      </c>
      <c r="F109" s="12" t="str">
        <f>IF(A109="","",MAX(E$4:E109))</f>
        <v/>
      </c>
      <c r="G109" s="13"/>
      <c r="H109" s="14" t="str">
        <f t="shared" si="5"/>
        <v/>
      </c>
      <c r="I109" s="14" t="str">
        <f t="shared" si="6"/>
        <v/>
      </c>
      <c r="J109" s="15" t="str">
        <f t="shared" si="7"/>
        <v/>
      </c>
    </row>
    <row r="110" spans="1:10">
      <c r="A110" s="7" t="str">
        <f>IF(子基金及业绩基准周净值!A141="","",子基金及业绩基准周净值!A141)</f>
        <v/>
      </c>
      <c r="B110" s="1" t="str">
        <f>IF(A110="","",VLOOKUP($A110,子基金及业绩基准周净值!$A:$AV,16))</f>
        <v/>
      </c>
      <c r="C110" s="8" t="str">
        <f t="shared" si="4"/>
        <v/>
      </c>
      <c r="D110" s="9" t="str">
        <f>IF(A110="","",C110-子基金及业绩基准周净值!AI141)</f>
        <v/>
      </c>
      <c r="E110" s="12" t="str">
        <f>IF(A110="","",(MAX(B$3:B110)-B110)/MAX(B$3:B110))</f>
        <v/>
      </c>
      <c r="F110" s="12" t="str">
        <f>IF(A110="","",MAX(E$4:E110))</f>
        <v/>
      </c>
      <c r="G110" s="13"/>
      <c r="H110" s="14" t="str">
        <f t="shared" si="5"/>
        <v/>
      </c>
      <c r="I110" s="14" t="str">
        <f t="shared" si="6"/>
        <v/>
      </c>
      <c r="J110" s="15" t="str">
        <f t="shared" si="7"/>
        <v/>
      </c>
    </row>
    <row r="111" spans="1:10">
      <c r="A111" s="7" t="str">
        <f>IF(子基金及业绩基准周净值!A142="","",子基金及业绩基准周净值!A142)</f>
        <v/>
      </c>
      <c r="B111" s="1" t="str">
        <f>IF(A111="","",VLOOKUP($A111,子基金及业绩基准周净值!$A:$AV,16))</f>
        <v/>
      </c>
      <c r="C111" s="8" t="str">
        <f t="shared" si="4"/>
        <v/>
      </c>
      <c r="D111" s="9" t="str">
        <f>IF(A111="","",C111-子基金及业绩基准周净值!AI142)</f>
        <v/>
      </c>
      <c r="E111" s="12" t="str">
        <f>IF(A111="","",(MAX(B$3:B111)-B111)/MAX(B$3:B111))</f>
        <v/>
      </c>
      <c r="F111" s="12" t="str">
        <f>IF(A111="","",MAX(E$4:E111))</f>
        <v/>
      </c>
      <c r="G111" s="13"/>
      <c r="H111" s="14" t="str">
        <f t="shared" si="5"/>
        <v/>
      </c>
      <c r="I111" s="14" t="str">
        <f t="shared" si="6"/>
        <v/>
      </c>
      <c r="J111" s="15" t="str">
        <f t="shared" si="7"/>
        <v/>
      </c>
    </row>
    <row r="112" spans="1:10">
      <c r="A112" s="7" t="str">
        <f>IF(子基金及业绩基准周净值!A143="","",子基金及业绩基准周净值!A143)</f>
        <v/>
      </c>
      <c r="B112" s="1" t="str">
        <f>IF(A112="","",VLOOKUP($A112,子基金及业绩基准周净值!$A:$AV,16))</f>
        <v/>
      </c>
      <c r="C112" s="8" t="str">
        <f t="shared" si="4"/>
        <v/>
      </c>
      <c r="D112" s="9" t="str">
        <f>IF(A112="","",C112-子基金及业绩基准周净值!AI143)</f>
        <v/>
      </c>
      <c r="E112" s="12" t="str">
        <f>IF(A112="","",(MAX(B$3:B112)-B112)/MAX(B$3:B112))</f>
        <v/>
      </c>
      <c r="F112" s="12" t="str">
        <f>IF(A112="","",MAX(E$4:E112))</f>
        <v/>
      </c>
      <c r="G112" s="13"/>
      <c r="H112" s="14" t="str">
        <f t="shared" si="5"/>
        <v/>
      </c>
      <c r="I112" s="14" t="str">
        <f t="shared" si="6"/>
        <v/>
      </c>
      <c r="J112" s="15" t="str">
        <f t="shared" si="7"/>
        <v/>
      </c>
    </row>
    <row r="113" spans="1:10">
      <c r="A113" s="7" t="str">
        <f>IF(子基金及业绩基准周净值!A144="","",子基金及业绩基准周净值!A144)</f>
        <v/>
      </c>
      <c r="B113" s="1" t="str">
        <f>IF(A113="","",VLOOKUP($A113,子基金及业绩基准周净值!$A:$AV,16))</f>
        <v/>
      </c>
      <c r="C113" s="8" t="str">
        <f t="shared" si="4"/>
        <v/>
      </c>
      <c r="D113" s="9" t="str">
        <f>IF(A113="","",C113-子基金及业绩基准周净值!AI144)</f>
        <v/>
      </c>
      <c r="E113" s="12" t="str">
        <f>IF(A113="","",(MAX(B$3:B113)-B113)/MAX(B$3:B113))</f>
        <v/>
      </c>
      <c r="F113" s="12" t="str">
        <f>IF(A113="","",MAX(E$4:E113))</f>
        <v/>
      </c>
      <c r="G113" s="13"/>
      <c r="H113" s="14" t="str">
        <f t="shared" si="5"/>
        <v/>
      </c>
      <c r="I113" s="14" t="str">
        <f t="shared" si="6"/>
        <v/>
      </c>
      <c r="J113" s="15" t="str">
        <f t="shared" si="7"/>
        <v/>
      </c>
    </row>
    <row r="114" spans="1:10">
      <c r="A114" s="7" t="str">
        <f>IF(子基金及业绩基准周净值!A145="","",子基金及业绩基准周净值!A145)</f>
        <v/>
      </c>
      <c r="B114" s="1" t="str">
        <f>IF(A114="","",VLOOKUP($A114,子基金及业绩基准周净值!$A:$AV,16))</f>
        <v/>
      </c>
      <c r="C114" s="8" t="str">
        <f t="shared" si="4"/>
        <v/>
      </c>
      <c r="D114" s="9" t="str">
        <f>IF(A114="","",C114-子基金及业绩基准周净值!AI145)</f>
        <v/>
      </c>
      <c r="E114" s="12" t="str">
        <f>IF(A114="","",(MAX(B$3:B114)-B114)/MAX(B$3:B114))</f>
        <v/>
      </c>
      <c r="F114" s="12" t="str">
        <f>IF(A114="","",MAX(E$4:E114))</f>
        <v/>
      </c>
      <c r="G114" s="13"/>
      <c r="H114" s="14" t="str">
        <f t="shared" si="5"/>
        <v/>
      </c>
      <c r="I114" s="14" t="str">
        <f t="shared" si="6"/>
        <v/>
      </c>
      <c r="J114" s="15" t="str">
        <f t="shared" si="7"/>
        <v/>
      </c>
    </row>
    <row r="115" spans="1:10">
      <c r="A115" s="7" t="str">
        <f>IF(子基金及业绩基准周净值!A146="","",子基金及业绩基准周净值!A146)</f>
        <v/>
      </c>
      <c r="B115" s="1" t="str">
        <f>IF(A115="","",VLOOKUP($A115,子基金及业绩基准周净值!$A:$AV,16))</f>
        <v/>
      </c>
      <c r="C115" s="8" t="str">
        <f t="shared" si="4"/>
        <v/>
      </c>
      <c r="D115" s="9" t="str">
        <f>IF(A115="","",C115-子基金及业绩基准周净值!AI146)</f>
        <v/>
      </c>
      <c r="E115" s="12" t="str">
        <f>IF(A115="","",(MAX(B$3:B115)-B115)/MAX(B$3:B115))</f>
        <v/>
      </c>
      <c r="F115" s="12" t="str">
        <f>IF(A115="","",MAX(E$4:E115))</f>
        <v/>
      </c>
      <c r="G115" s="13"/>
      <c r="H115" s="14" t="str">
        <f t="shared" si="5"/>
        <v/>
      </c>
      <c r="I115" s="14" t="str">
        <f t="shared" si="6"/>
        <v/>
      </c>
      <c r="J115" s="15" t="str">
        <f t="shared" si="7"/>
        <v/>
      </c>
    </row>
    <row r="116" spans="1:10">
      <c r="A116" s="7" t="str">
        <f>IF(子基金及业绩基准周净值!A147="","",子基金及业绩基准周净值!A147)</f>
        <v/>
      </c>
      <c r="B116" s="1" t="str">
        <f>IF(A116="","",VLOOKUP($A116,子基金及业绩基准周净值!$A:$AV,16))</f>
        <v/>
      </c>
      <c r="C116" s="8" t="str">
        <f t="shared" si="4"/>
        <v/>
      </c>
      <c r="D116" s="9" t="str">
        <f>IF(A116="","",C116-子基金及业绩基准周净值!AI147)</f>
        <v/>
      </c>
      <c r="E116" s="12" t="str">
        <f>IF(A116="","",(MAX(B$3:B116)-B116)/MAX(B$3:B116))</f>
        <v/>
      </c>
      <c r="F116" s="12" t="str">
        <f>IF(A116="","",MAX(E$4:E116))</f>
        <v/>
      </c>
      <c r="G116" s="13"/>
      <c r="H116" s="14" t="str">
        <f t="shared" si="5"/>
        <v/>
      </c>
      <c r="I116" s="14" t="str">
        <f t="shared" si="6"/>
        <v/>
      </c>
      <c r="J116" s="15" t="str">
        <f t="shared" si="7"/>
        <v/>
      </c>
    </row>
    <row r="117" spans="1:10">
      <c r="A117" s="7" t="str">
        <f>IF(子基金及业绩基准周净值!A148="","",子基金及业绩基准周净值!A148)</f>
        <v/>
      </c>
      <c r="B117" s="1" t="str">
        <f>IF(A117="","",VLOOKUP($A117,子基金及业绩基准周净值!$A:$AV,16))</f>
        <v/>
      </c>
      <c r="C117" s="8" t="str">
        <f t="shared" si="4"/>
        <v/>
      </c>
      <c r="D117" s="9" t="str">
        <f>IF(A117="","",C117-子基金及业绩基准周净值!AI148)</f>
        <v/>
      </c>
      <c r="E117" s="12" t="str">
        <f>IF(A117="","",(MAX(B$3:B117)-B117)/MAX(B$3:B117))</f>
        <v/>
      </c>
      <c r="F117" s="12" t="str">
        <f>IF(A117="","",MAX(E$4:E117))</f>
        <v/>
      </c>
      <c r="G117" s="13"/>
      <c r="H117" s="14" t="str">
        <f t="shared" si="5"/>
        <v/>
      </c>
      <c r="I117" s="14" t="str">
        <f t="shared" si="6"/>
        <v/>
      </c>
      <c r="J117" s="15" t="str">
        <f t="shared" si="7"/>
        <v/>
      </c>
    </row>
    <row r="118" spans="1:10">
      <c r="A118" s="7" t="str">
        <f>IF(子基金及业绩基准周净值!A149="","",子基金及业绩基准周净值!A149)</f>
        <v/>
      </c>
      <c r="B118" s="1" t="str">
        <f>IF(A118="","",VLOOKUP($A118,子基金及业绩基准周净值!$A:$AV,16))</f>
        <v/>
      </c>
      <c r="C118" s="8" t="str">
        <f t="shared" si="4"/>
        <v/>
      </c>
      <c r="D118" s="9" t="str">
        <f>IF(A118="","",C118-子基金及业绩基准周净值!AI149)</f>
        <v/>
      </c>
      <c r="E118" s="12" t="str">
        <f>IF(A118="","",(MAX(B$3:B118)-B118)/MAX(B$3:B118))</f>
        <v/>
      </c>
      <c r="F118" s="12" t="str">
        <f>IF(A118="","",MAX(E$4:E118))</f>
        <v/>
      </c>
      <c r="G118" s="13"/>
      <c r="H118" s="14" t="str">
        <f t="shared" si="5"/>
        <v/>
      </c>
      <c r="I118" s="14" t="str">
        <f t="shared" si="6"/>
        <v/>
      </c>
      <c r="J118" s="15" t="str">
        <f t="shared" si="7"/>
        <v/>
      </c>
    </row>
    <row r="119" spans="1:10">
      <c r="A119" s="7" t="str">
        <f>IF(子基金及业绩基准周净值!A150="","",子基金及业绩基准周净值!A150)</f>
        <v/>
      </c>
      <c r="B119" s="1" t="str">
        <f>IF(A119="","",VLOOKUP($A119,子基金及业绩基准周净值!$A:$AV,16))</f>
        <v/>
      </c>
      <c r="C119" s="8" t="str">
        <f t="shared" si="4"/>
        <v/>
      </c>
      <c r="D119" s="9" t="str">
        <f>IF(A119="","",C119-子基金及业绩基准周净值!AI150)</f>
        <v/>
      </c>
      <c r="E119" s="12" t="str">
        <f>IF(A119="","",(MAX(B$3:B119)-B119)/MAX(B$3:B119))</f>
        <v/>
      </c>
      <c r="F119" s="12" t="str">
        <f>IF(A119="","",MAX(E$4:E119))</f>
        <v/>
      </c>
      <c r="G119" s="13"/>
      <c r="H119" s="14" t="str">
        <f t="shared" si="5"/>
        <v/>
      </c>
      <c r="I119" s="14" t="str">
        <f t="shared" si="6"/>
        <v/>
      </c>
      <c r="J119" s="15" t="str">
        <f t="shared" si="7"/>
        <v/>
      </c>
    </row>
    <row r="120" spans="1:10">
      <c r="A120" s="7" t="str">
        <f>IF(子基金及业绩基准周净值!A151="","",子基金及业绩基准周净值!A151)</f>
        <v/>
      </c>
      <c r="B120" s="1" t="str">
        <f>IF(A120="","",VLOOKUP($A120,子基金及业绩基准周净值!$A:$AV,16))</f>
        <v/>
      </c>
      <c r="C120" s="8" t="str">
        <f t="shared" si="4"/>
        <v/>
      </c>
      <c r="D120" s="9" t="str">
        <f>IF(A120="","",C120-子基金及业绩基准周净值!AI151)</f>
        <v/>
      </c>
      <c r="E120" s="12" t="str">
        <f>IF(A120="","",(MAX(B$3:B120)-B120)/MAX(B$3:B120))</f>
        <v/>
      </c>
      <c r="F120" s="12" t="str">
        <f>IF(A120="","",MAX(E$4:E120))</f>
        <v/>
      </c>
      <c r="G120" s="13"/>
      <c r="H120" s="14" t="str">
        <f t="shared" si="5"/>
        <v/>
      </c>
      <c r="I120" s="14" t="str">
        <f t="shared" si="6"/>
        <v/>
      </c>
      <c r="J120" s="15" t="str">
        <f t="shared" si="7"/>
        <v/>
      </c>
    </row>
    <row r="121" spans="1:10">
      <c r="A121" s="7" t="str">
        <f>IF(子基金及业绩基准周净值!A152="","",子基金及业绩基准周净值!A152)</f>
        <v/>
      </c>
      <c r="B121" s="1" t="str">
        <f>IF(A121="","",VLOOKUP($A121,子基金及业绩基准周净值!$A:$AV,16))</f>
        <v/>
      </c>
      <c r="C121" s="8" t="str">
        <f t="shared" si="4"/>
        <v/>
      </c>
      <c r="D121" s="9" t="str">
        <f>IF(A121="","",C121-子基金及业绩基准周净值!AI152)</f>
        <v/>
      </c>
      <c r="E121" s="12" t="str">
        <f>IF(A121="","",(MAX(B$3:B121)-B121)/MAX(B$3:B121))</f>
        <v/>
      </c>
      <c r="F121" s="12" t="str">
        <f>IF(A121="","",MAX(E$4:E121))</f>
        <v/>
      </c>
      <c r="G121" s="13"/>
      <c r="H121" s="14" t="str">
        <f t="shared" si="5"/>
        <v/>
      </c>
      <c r="I121" s="14" t="str">
        <f t="shared" si="6"/>
        <v/>
      </c>
      <c r="J121" s="15" t="str">
        <f t="shared" si="7"/>
        <v/>
      </c>
    </row>
    <row r="122" spans="1:10">
      <c r="A122" s="7" t="str">
        <f>IF(子基金及业绩基准周净值!A153="","",子基金及业绩基准周净值!A153)</f>
        <v/>
      </c>
      <c r="B122" s="1" t="str">
        <f>IF(A122="","",VLOOKUP($A122,子基金及业绩基准周净值!$A:$AV,16))</f>
        <v/>
      </c>
      <c r="C122" s="8" t="str">
        <f t="shared" si="4"/>
        <v/>
      </c>
      <c r="D122" s="9" t="str">
        <f>IF(A122="","",C122-子基金及业绩基准周净值!AI153)</f>
        <v/>
      </c>
      <c r="E122" s="12" t="str">
        <f>IF(A122="","",(MAX(B$3:B122)-B122)/MAX(B$3:B122))</f>
        <v/>
      </c>
      <c r="F122" s="12" t="str">
        <f>IF(A122="","",MAX(E$4:E122))</f>
        <v/>
      </c>
      <c r="G122" s="13"/>
      <c r="H122" s="14" t="str">
        <f t="shared" si="5"/>
        <v/>
      </c>
      <c r="I122" s="14" t="str">
        <f t="shared" si="6"/>
        <v/>
      </c>
      <c r="J122" s="15" t="str">
        <f t="shared" si="7"/>
        <v/>
      </c>
    </row>
    <row r="123" spans="1:10">
      <c r="A123" s="7" t="str">
        <f>IF(子基金及业绩基准周净值!A154="","",子基金及业绩基准周净值!A154)</f>
        <v/>
      </c>
      <c r="B123" s="1" t="str">
        <f>IF(A123="","",VLOOKUP($A123,子基金及业绩基准周净值!$A:$AV,16))</f>
        <v/>
      </c>
      <c r="C123" s="8" t="str">
        <f t="shared" si="4"/>
        <v/>
      </c>
      <c r="D123" s="9" t="str">
        <f>IF(A123="","",C123-子基金及业绩基准周净值!AI154)</f>
        <v/>
      </c>
      <c r="E123" s="12" t="str">
        <f>IF(A123="","",(MAX(B$3:B123)-B123)/MAX(B$3:B123))</f>
        <v/>
      </c>
      <c r="F123" s="12" t="str">
        <f>IF(A123="","",MAX(E$4:E123))</f>
        <v/>
      </c>
      <c r="G123" s="13"/>
      <c r="H123" s="14" t="str">
        <f t="shared" si="5"/>
        <v/>
      </c>
      <c r="I123" s="14" t="str">
        <f t="shared" si="6"/>
        <v/>
      </c>
      <c r="J123" s="15" t="str">
        <f t="shared" si="7"/>
        <v/>
      </c>
    </row>
    <row r="124" spans="1:10">
      <c r="A124" s="7" t="str">
        <f>IF(子基金及业绩基准周净值!A155="","",子基金及业绩基准周净值!A155)</f>
        <v/>
      </c>
      <c r="B124" s="1" t="str">
        <f>IF(A124="","",VLOOKUP($A124,子基金及业绩基准周净值!$A:$AV,16))</f>
        <v/>
      </c>
      <c r="C124" s="8" t="str">
        <f t="shared" si="4"/>
        <v/>
      </c>
      <c r="D124" s="9" t="str">
        <f>IF(A124="","",C124-子基金及业绩基准周净值!AI155)</f>
        <v/>
      </c>
      <c r="E124" s="12" t="str">
        <f>IF(A124="","",(MAX(B$3:B124)-B124)/MAX(B$3:B124))</f>
        <v/>
      </c>
      <c r="F124" s="12" t="str">
        <f>IF(A124="","",MAX(E$4:E124))</f>
        <v/>
      </c>
      <c r="G124" s="13"/>
      <c r="H124" s="14" t="str">
        <f t="shared" si="5"/>
        <v/>
      </c>
      <c r="I124" s="14" t="str">
        <f t="shared" si="6"/>
        <v/>
      </c>
      <c r="J124" s="15" t="str">
        <f t="shared" si="7"/>
        <v/>
      </c>
    </row>
    <row r="125" spans="1:10">
      <c r="A125" s="7" t="str">
        <f>IF(子基金及业绩基准周净值!A156="","",子基金及业绩基准周净值!A156)</f>
        <v/>
      </c>
      <c r="B125" s="1" t="str">
        <f>IF(A125="","",VLOOKUP($A125,子基金及业绩基准周净值!$A:$AV,16))</f>
        <v/>
      </c>
      <c r="C125" s="8" t="str">
        <f t="shared" si="4"/>
        <v/>
      </c>
      <c r="D125" s="9" t="str">
        <f>IF(A125="","",C125-子基金及业绩基准周净值!AI156)</f>
        <v/>
      </c>
      <c r="E125" s="12" t="str">
        <f>IF(A125="","",(MAX(B$3:B125)-B125)/MAX(B$3:B125))</f>
        <v/>
      </c>
      <c r="F125" s="12" t="str">
        <f>IF(A125="","",MAX(E$4:E125))</f>
        <v/>
      </c>
      <c r="G125" s="13"/>
      <c r="H125" s="14" t="str">
        <f t="shared" si="5"/>
        <v/>
      </c>
      <c r="I125" s="14" t="str">
        <f t="shared" si="6"/>
        <v/>
      </c>
      <c r="J125" s="15" t="str">
        <f t="shared" si="7"/>
        <v/>
      </c>
    </row>
    <row r="126" spans="1:10">
      <c r="A126" s="7" t="str">
        <f>IF(子基金及业绩基准周净值!A157="","",子基金及业绩基准周净值!A157)</f>
        <v/>
      </c>
      <c r="B126" s="1" t="str">
        <f>IF(A126="","",VLOOKUP($A126,子基金及业绩基准周净值!$A:$AV,16))</f>
        <v/>
      </c>
      <c r="C126" s="8" t="str">
        <f t="shared" si="4"/>
        <v/>
      </c>
      <c r="D126" s="9" t="str">
        <f>IF(A126="","",C126-子基金及业绩基准周净值!AI157)</f>
        <v/>
      </c>
      <c r="E126" s="12" t="str">
        <f>IF(A126="","",(MAX(B$3:B126)-B126)/MAX(B$3:B126))</f>
        <v/>
      </c>
      <c r="F126" s="12" t="str">
        <f>IF(A126="","",MAX(E$4:E126))</f>
        <v/>
      </c>
      <c r="G126" s="13"/>
      <c r="H126" s="14" t="str">
        <f t="shared" si="5"/>
        <v/>
      </c>
      <c r="I126" s="14" t="str">
        <f t="shared" si="6"/>
        <v/>
      </c>
      <c r="J126" s="15" t="str">
        <f t="shared" si="7"/>
        <v/>
      </c>
    </row>
    <row r="127" spans="1:10">
      <c r="A127" s="7" t="str">
        <f>IF(子基金及业绩基准周净值!A158="","",子基金及业绩基准周净值!A158)</f>
        <v/>
      </c>
      <c r="B127" s="1" t="str">
        <f>IF(A127="","",VLOOKUP($A127,子基金及业绩基准周净值!$A:$AV,16))</f>
        <v/>
      </c>
      <c r="C127" s="8" t="str">
        <f t="shared" si="4"/>
        <v/>
      </c>
      <c r="D127" s="9" t="str">
        <f>IF(A127="","",C127-子基金及业绩基准周净值!AI158)</f>
        <v/>
      </c>
      <c r="E127" s="12" t="str">
        <f>IF(A127="","",(MAX(B$3:B127)-B127)/MAX(B$3:B127))</f>
        <v/>
      </c>
      <c r="F127" s="12" t="str">
        <f>IF(A127="","",MAX(E$4:E127))</f>
        <v/>
      </c>
      <c r="G127" s="13"/>
      <c r="H127" s="14" t="str">
        <f t="shared" si="5"/>
        <v/>
      </c>
      <c r="I127" s="14" t="str">
        <f t="shared" si="6"/>
        <v/>
      </c>
      <c r="J127" s="15" t="str">
        <f t="shared" si="7"/>
        <v/>
      </c>
    </row>
    <row r="128" spans="1:10">
      <c r="A128" s="7" t="str">
        <f>IF(子基金及业绩基准周净值!A159="","",子基金及业绩基准周净值!A159)</f>
        <v/>
      </c>
      <c r="B128" s="1" t="str">
        <f>IF(A128="","",VLOOKUP($A128,子基金及业绩基准周净值!$A:$AV,16))</f>
        <v/>
      </c>
      <c r="C128" s="8" t="str">
        <f t="shared" si="4"/>
        <v/>
      </c>
      <c r="D128" s="9" t="str">
        <f>IF(A128="","",C128-子基金及业绩基准周净值!AI159)</f>
        <v/>
      </c>
      <c r="E128" s="12" t="str">
        <f>IF(A128="","",(MAX(B$3:B128)-B128)/MAX(B$3:B128))</f>
        <v/>
      </c>
      <c r="F128" s="12" t="str">
        <f>IF(A128="","",MAX(E$4:E128))</f>
        <v/>
      </c>
      <c r="G128" s="13"/>
      <c r="H128" s="14" t="str">
        <f t="shared" si="5"/>
        <v/>
      </c>
      <c r="I128" s="14" t="str">
        <f t="shared" si="6"/>
        <v/>
      </c>
      <c r="J128" s="15" t="str">
        <f t="shared" si="7"/>
        <v/>
      </c>
    </row>
    <row r="129" spans="1:10">
      <c r="A129" s="7" t="str">
        <f>IF(子基金及业绩基准周净值!A160="","",子基金及业绩基准周净值!A160)</f>
        <v/>
      </c>
      <c r="B129" s="1" t="str">
        <f>IF(A129="","",VLOOKUP($A129,子基金及业绩基准周净值!$A:$AV,16))</f>
        <v/>
      </c>
      <c r="C129" s="8" t="str">
        <f t="shared" si="4"/>
        <v/>
      </c>
      <c r="D129" s="9" t="str">
        <f>IF(A129="","",C129-子基金及业绩基准周净值!AI160)</f>
        <v/>
      </c>
      <c r="E129" s="12" t="str">
        <f>IF(A129="","",(MAX(B$3:B129)-B129)/MAX(B$3:B129))</f>
        <v/>
      </c>
      <c r="F129" s="12" t="str">
        <f>IF(A129="","",MAX(E$4:E129))</f>
        <v/>
      </c>
      <c r="G129" s="13"/>
      <c r="H129" s="14" t="str">
        <f t="shared" si="5"/>
        <v/>
      </c>
      <c r="I129" s="14" t="str">
        <f t="shared" si="6"/>
        <v/>
      </c>
      <c r="J129" s="15" t="str">
        <f t="shared" si="7"/>
        <v/>
      </c>
    </row>
    <row r="130" spans="1:10">
      <c r="A130" s="7" t="str">
        <f>IF(子基金及业绩基准周净值!A161="","",子基金及业绩基准周净值!A161)</f>
        <v/>
      </c>
      <c r="B130" s="1" t="str">
        <f>IF(A130="","",VLOOKUP($A130,子基金及业绩基准周净值!$A:$AV,16))</f>
        <v/>
      </c>
      <c r="C130" s="8" t="str">
        <f t="shared" si="4"/>
        <v/>
      </c>
      <c r="D130" s="9" t="str">
        <f>IF(A130="","",C130-子基金及业绩基准周净值!AI161)</f>
        <v/>
      </c>
      <c r="E130" s="12" t="str">
        <f>IF(A130="","",(MAX(B$3:B130)-B130)/MAX(B$3:B130))</f>
        <v/>
      </c>
      <c r="F130" s="12" t="str">
        <f>IF(A130="","",MAX(E$4:E130))</f>
        <v/>
      </c>
      <c r="G130" s="13"/>
      <c r="H130" s="14" t="str">
        <f t="shared" si="5"/>
        <v/>
      </c>
      <c r="I130" s="14" t="str">
        <f t="shared" si="6"/>
        <v/>
      </c>
      <c r="J130" s="15" t="str">
        <f t="shared" si="7"/>
        <v/>
      </c>
    </row>
    <row r="131" spans="1:10">
      <c r="A131" s="7" t="str">
        <f>IF(子基金及业绩基准周净值!A162="","",子基金及业绩基准周净值!A162)</f>
        <v/>
      </c>
      <c r="B131" s="1" t="str">
        <f>IF(A131="","",VLOOKUP($A131,子基金及业绩基准周净值!$A:$AV,16))</f>
        <v/>
      </c>
      <c r="C131" s="8" t="str">
        <f t="shared" si="4"/>
        <v/>
      </c>
      <c r="D131" s="9" t="str">
        <f>IF(A131="","",C131-子基金及业绩基准周净值!AI162)</f>
        <v/>
      </c>
      <c r="E131" s="12" t="str">
        <f>IF(A131="","",(MAX(B$3:B131)-B131)/MAX(B$3:B131))</f>
        <v/>
      </c>
      <c r="F131" s="12" t="str">
        <f>IF(A131="","",MAX(E$4:E131))</f>
        <v/>
      </c>
      <c r="G131" s="13"/>
      <c r="H131" s="14" t="str">
        <f t="shared" si="5"/>
        <v/>
      </c>
      <c r="I131" s="14" t="str">
        <f t="shared" si="6"/>
        <v/>
      </c>
      <c r="J131" s="15" t="str">
        <f t="shared" si="7"/>
        <v/>
      </c>
    </row>
    <row r="132" spans="1:10">
      <c r="A132" s="7" t="str">
        <f>IF(子基金及业绩基准周净值!A163="","",子基金及业绩基准周净值!A163)</f>
        <v/>
      </c>
      <c r="B132" s="1" t="str">
        <f>IF(A132="","",VLOOKUP($A132,子基金及业绩基准周净值!$A:$AV,16))</f>
        <v/>
      </c>
      <c r="C132" s="8" t="str">
        <f t="shared" si="4"/>
        <v/>
      </c>
      <c r="D132" s="9" t="str">
        <f>IF(A132="","",C132-子基金及业绩基准周净值!AI163)</f>
        <v/>
      </c>
      <c r="E132" s="12" t="str">
        <f>IF(A132="","",(MAX(B$3:B132)-B132)/MAX(B$3:B132))</f>
        <v/>
      </c>
      <c r="F132" s="12" t="str">
        <f>IF(A132="","",MAX(E$4:E132))</f>
        <v/>
      </c>
      <c r="G132" s="13"/>
      <c r="H132" s="14" t="str">
        <f t="shared" si="5"/>
        <v/>
      </c>
      <c r="I132" s="14" t="str">
        <f t="shared" si="6"/>
        <v/>
      </c>
      <c r="J132" s="15" t="str">
        <f t="shared" si="7"/>
        <v/>
      </c>
    </row>
    <row r="133" spans="1:10">
      <c r="A133" s="7" t="str">
        <f>IF(子基金及业绩基准周净值!A164="","",子基金及业绩基准周净值!A164)</f>
        <v/>
      </c>
      <c r="B133" s="1" t="str">
        <f>IF(A133="","",VLOOKUP($A133,子基金及业绩基准周净值!$A:$AV,16))</f>
        <v/>
      </c>
      <c r="C133" s="8" t="str">
        <f t="shared" ref="C133:C196" si="8">IF(A133="","",(B133-B132)/B132)</f>
        <v/>
      </c>
      <c r="D133" s="9" t="str">
        <f>IF(A133="","",C133-子基金及业绩基准周净值!AI164)</f>
        <v/>
      </c>
      <c r="E133" s="12" t="str">
        <f>IF(A133="","",(MAX(B$3:B133)-B133)/MAX(B$3:B133))</f>
        <v/>
      </c>
      <c r="F133" s="12" t="str">
        <f>IF(A133="","",MAX(E$4:E133))</f>
        <v/>
      </c>
      <c r="G133" s="13"/>
      <c r="H133" s="14" t="str">
        <f t="shared" ref="H133:H196" si="9">IF(B133="","",IF(C133&lt;-3%,"是","否"))</f>
        <v/>
      </c>
      <c r="I133" s="14" t="str">
        <f t="shared" ref="I133:I196" si="10">IF(A133="","",IF(F133&gt;5%,"是","否"))</f>
        <v/>
      </c>
      <c r="J133" s="15" t="str">
        <f t="shared" ref="J133:J196" si="11">IF(A133="","",IF(G133&gt;=4,"是","否"))</f>
        <v/>
      </c>
    </row>
    <row r="134" spans="1:10">
      <c r="A134" s="7" t="str">
        <f>IF(子基金及业绩基准周净值!A165="","",子基金及业绩基准周净值!A165)</f>
        <v/>
      </c>
      <c r="B134" s="1" t="str">
        <f>IF(A134="","",VLOOKUP($A134,子基金及业绩基准周净值!$A:$AV,16))</f>
        <v/>
      </c>
      <c r="C134" s="8" t="str">
        <f t="shared" si="8"/>
        <v/>
      </c>
      <c r="D134" s="9" t="str">
        <f>IF(A134="","",C134-子基金及业绩基准周净值!AI165)</f>
        <v/>
      </c>
      <c r="E134" s="12" t="str">
        <f>IF(A134="","",(MAX(B$3:B134)-B134)/MAX(B$3:B134))</f>
        <v/>
      </c>
      <c r="F134" s="12" t="str">
        <f>IF(A134="","",MAX(E$4:E134))</f>
        <v/>
      </c>
      <c r="G134" s="13"/>
      <c r="H134" s="14" t="str">
        <f t="shared" si="9"/>
        <v/>
      </c>
      <c r="I134" s="14" t="str">
        <f t="shared" si="10"/>
        <v/>
      </c>
      <c r="J134" s="15" t="str">
        <f t="shared" si="11"/>
        <v/>
      </c>
    </row>
    <row r="135" spans="1:10">
      <c r="A135" s="7" t="str">
        <f>IF(子基金及业绩基准周净值!A166="","",子基金及业绩基准周净值!A166)</f>
        <v/>
      </c>
      <c r="B135" s="1" t="str">
        <f>IF(A135="","",VLOOKUP($A135,子基金及业绩基准周净值!$A:$AV,16))</f>
        <v/>
      </c>
      <c r="C135" s="8" t="str">
        <f t="shared" si="8"/>
        <v/>
      </c>
      <c r="D135" s="9" t="str">
        <f>IF(A135="","",C135-子基金及业绩基准周净值!AI166)</f>
        <v/>
      </c>
      <c r="E135" s="12" t="str">
        <f>IF(A135="","",(MAX(B$3:B135)-B135)/MAX(B$3:B135))</f>
        <v/>
      </c>
      <c r="F135" s="12" t="str">
        <f>IF(A135="","",MAX(E$4:E135))</f>
        <v/>
      </c>
      <c r="G135" s="13"/>
      <c r="H135" s="14" t="str">
        <f t="shared" si="9"/>
        <v/>
      </c>
      <c r="I135" s="14" t="str">
        <f t="shared" si="10"/>
        <v/>
      </c>
      <c r="J135" s="15" t="str">
        <f t="shared" si="11"/>
        <v/>
      </c>
    </row>
    <row r="136" spans="1:10">
      <c r="A136" s="7" t="str">
        <f>IF(子基金及业绩基准周净值!A167="","",子基金及业绩基准周净值!A167)</f>
        <v/>
      </c>
      <c r="B136" s="1" t="str">
        <f>IF(A136="","",VLOOKUP($A136,子基金及业绩基准周净值!$A:$AV,16))</f>
        <v/>
      </c>
      <c r="C136" s="8" t="str">
        <f t="shared" si="8"/>
        <v/>
      </c>
      <c r="D136" s="9" t="str">
        <f>IF(A136="","",C136-子基金及业绩基准周净值!AI167)</f>
        <v/>
      </c>
      <c r="E136" s="12" t="str">
        <f>IF(A136="","",(MAX(B$3:B136)-B136)/MAX(B$3:B136))</f>
        <v/>
      </c>
      <c r="F136" s="12" t="str">
        <f>IF(A136="","",MAX(E$4:E136))</f>
        <v/>
      </c>
      <c r="G136" s="13"/>
      <c r="H136" s="14" t="str">
        <f t="shared" si="9"/>
        <v/>
      </c>
      <c r="I136" s="14" t="str">
        <f t="shared" si="10"/>
        <v/>
      </c>
      <c r="J136" s="15" t="str">
        <f t="shared" si="11"/>
        <v/>
      </c>
    </row>
    <row r="137" spans="1:10">
      <c r="A137" s="7" t="str">
        <f>IF(子基金及业绩基准周净值!A168="","",子基金及业绩基准周净值!A168)</f>
        <v/>
      </c>
      <c r="B137" s="1" t="str">
        <f>IF(A137="","",VLOOKUP($A137,子基金及业绩基准周净值!$A:$AV,16))</f>
        <v/>
      </c>
      <c r="C137" s="8" t="str">
        <f t="shared" si="8"/>
        <v/>
      </c>
      <c r="D137" s="9" t="str">
        <f>IF(A137="","",C137-子基金及业绩基准周净值!AI168)</f>
        <v/>
      </c>
      <c r="E137" s="12" t="str">
        <f>IF(A137="","",(MAX(B$3:B137)-B137)/MAX(B$3:B137))</f>
        <v/>
      </c>
      <c r="F137" s="12" t="str">
        <f>IF(A137="","",MAX(E$4:E137))</f>
        <v/>
      </c>
      <c r="G137" s="13"/>
      <c r="H137" s="14" t="str">
        <f t="shared" si="9"/>
        <v/>
      </c>
      <c r="I137" s="14" t="str">
        <f t="shared" si="10"/>
        <v/>
      </c>
      <c r="J137" s="15" t="str">
        <f t="shared" si="11"/>
        <v/>
      </c>
    </row>
    <row r="138" spans="1:10">
      <c r="A138" s="7" t="str">
        <f>IF(子基金及业绩基准周净值!A169="","",子基金及业绩基准周净值!A169)</f>
        <v/>
      </c>
      <c r="B138" s="1" t="str">
        <f>IF(A138="","",VLOOKUP($A138,子基金及业绩基准周净值!$A:$AV,16))</f>
        <v/>
      </c>
      <c r="C138" s="8" t="str">
        <f t="shared" si="8"/>
        <v/>
      </c>
      <c r="D138" s="9" t="str">
        <f>IF(A138="","",C138-子基金及业绩基准周净值!AI169)</f>
        <v/>
      </c>
      <c r="E138" s="12" t="str">
        <f>IF(A138="","",(MAX(B$3:B138)-B138)/MAX(B$3:B138))</f>
        <v/>
      </c>
      <c r="F138" s="12" t="str">
        <f>IF(A138="","",MAX(E$4:E138))</f>
        <v/>
      </c>
      <c r="G138" s="13"/>
      <c r="H138" s="14" t="str">
        <f t="shared" si="9"/>
        <v/>
      </c>
      <c r="I138" s="14" t="str">
        <f t="shared" si="10"/>
        <v/>
      </c>
      <c r="J138" s="15" t="str">
        <f t="shared" si="11"/>
        <v/>
      </c>
    </row>
    <row r="139" spans="1:10">
      <c r="A139" s="7" t="str">
        <f>IF(子基金及业绩基准周净值!A170="","",子基金及业绩基准周净值!A170)</f>
        <v/>
      </c>
      <c r="B139" s="1" t="str">
        <f>IF(A139="","",VLOOKUP($A139,子基金及业绩基准周净值!$A:$AV,16))</f>
        <v/>
      </c>
      <c r="C139" s="8" t="str">
        <f t="shared" si="8"/>
        <v/>
      </c>
      <c r="D139" s="9" t="str">
        <f>IF(A139="","",C139-子基金及业绩基准周净值!AI170)</f>
        <v/>
      </c>
      <c r="E139" s="12" t="str">
        <f>IF(A139="","",(MAX(B$3:B139)-B139)/MAX(B$3:B139))</f>
        <v/>
      </c>
      <c r="F139" s="12" t="str">
        <f>IF(A139="","",MAX(E$4:E139))</f>
        <v/>
      </c>
      <c r="G139" s="13"/>
      <c r="H139" s="14" t="str">
        <f t="shared" si="9"/>
        <v/>
      </c>
      <c r="I139" s="14" t="str">
        <f t="shared" si="10"/>
        <v/>
      </c>
      <c r="J139" s="15" t="str">
        <f t="shared" si="11"/>
        <v/>
      </c>
    </row>
    <row r="140" spans="1:10">
      <c r="A140" s="7" t="str">
        <f>IF(子基金及业绩基准周净值!A171="","",子基金及业绩基准周净值!A171)</f>
        <v/>
      </c>
      <c r="B140" s="1" t="str">
        <f>IF(A140="","",VLOOKUP($A140,子基金及业绩基准周净值!$A:$AV,16))</f>
        <v/>
      </c>
      <c r="C140" s="8" t="str">
        <f t="shared" si="8"/>
        <v/>
      </c>
      <c r="D140" s="9" t="str">
        <f>IF(A140="","",C140-子基金及业绩基准周净值!AI171)</f>
        <v/>
      </c>
      <c r="E140" s="12" t="str">
        <f>IF(A140="","",(MAX(B$3:B140)-B140)/MAX(B$3:B140))</f>
        <v/>
      </c>
      <c r="F140" s="12" t="str">
        <f>IF(A140="","",MAX(E$4:E140))</f>
        <v/>
      </c>
      <c r="G140" s="13"/>
      <c r="H140" s="14" t="str">
        <f t="shared" si="9"/>
        <v/>
      </c>
      <c r="I140" s="14" t="str">
        <f t="shared" si="10"/>
        <v/>
      </c>
      <c r="J140" s="15" t="str">
        <f t="shared" si="11"/>
        <v/>
      </c>
    </row>
    <row r="141" spans="1:10">
      <c r="A141" s="7" t="str">
        <f>IF(子基金及业绩基准周净值!A172="","",子基金及业绩基准周净值!A172)</f>
        <v/>
      </c>
      <c r="B141" s="1" t="str">
        <f>IF(A141="","",VLOOKUP($A141,子基金及业绩基准周净值!$A:$AV,16))</f>
        <v/>
      </c>
      <c r="C141" s="8" t="str">
        <f t="shared" si="8"/>
        <v/>
      </c>
      <c r="D141" s="9" t="str">
        <f>IF(A141="","",C141-子基金及业绩基准周净值!AI172)</f>
        <v/>
      </c>
      <c r="E141" s="12" t="str">
        <f>IF(A141="","",(MAX(B$3:B141)-B141)/MAX(B$3:B141))</f>
        <v/>
      </c>
      <c r="F141" s="12" t="str">
        <f>IF(A141="","",MAX(E$4:E141))</f>
        <v/>
      </c>
      <c r="G141" s="13"/>
      <c r="H141" s="14" t="str">
        <f t="shared" si="9"/>
        <v/>
      </c>
      <c r="I141" s="14" t="str">
        <f t="shared" si="10"/>
        <v/>
      </c>
      <c r="J141" s="15" t="str">
        <f t="shared" si="11"/>
        <v/>
      </c>
    </row>
    <row r="142" spans="1:10">
      <c r="A142" s="7" t="str">
        <f>IF(子基金及业绩基准周净值!A173="","",子基金及业绩基准周净值!A173)</f>
        <v/>
      </c>
      <c r="B142" s="1" t="str">
        <f>IF(A142="","",VLOOKUP($A142,子基金及业绩基准周净值!$A:$AV,16))</f>
        <v/>
      </c>
      <c r="C142" s="8" t="str">
        <f t="shared" si="8"/>
        <v/>
      </c>
      <c r="D142" s="9" t="str">
        <f>IF(A142="","",C142-子基金及业绩基准周净值!AI173)</f>
        <v/>
      </c>
      <c r="E142" s="12" t="str">
        <f>IF(A142="","",(MAX(B$3:B142)-B142)/MAX(B$3:B142))</f>
        <v/>
      </c>
      <c r="F142" s="12" t="str">
        <f>IF(A142="","",MAX(E$4:E142))</f>
        <v/>
      </c>
      <c r="G142" s="13"/>
      <c r="H142" s="14" t="str">
        <f t="shared" si="9"/>
        <v/>
      </c>
      <c r="I142" s="14" t="str">
        <f t="shared" si="10"/>
        <v/>
      </c>
      <c r="J142" s="15" t="str">
        <f t="shared" si="11"/>
        <v/>
      </c>
    </row>
    <row r="143" spans="1:10">
      <c r="A143" s="7" t="str">
        <f>IF(子基金及业绩基准周净值!A174="","",子基金及业绩基准周净值!A174)</f>
        <v/>
      </c>
      <c r="B143" s="1" t="str">
        <f>IF(A143="","",VLOOKUP($A143,子基金及业绩基准周净值!$A:$AV,16))</f>
        <v/>
      </c>
      <c r="C143" s="8" t="str">
        <f t="shared" si="8"/>
        <v/>
      </c>
      <c r="D143" s="9" t="str">
        <f>IF(A143="","",C143-子基金及业绩基准周净值!AI174)</f>
        <v/>
      </c>
      <c r="E143" s="12" t="str">
        <f>IF(A143="","",(MAX(B$3:B143)-B143)/MAX(B$3:B143))</f>
        <v/>
      </c>
      <c r="F143" s="12" t="str">
        <f>IF(A143="","",MAX(E$4:E143))</f>
        <v/>
      </c>
      <c r="G143" s="13"/>
      <c r="H143" s="14" t="str">
        <f t="shared" si="9"/>
        <v/>
      </c>
      <c r="I143" s="14" t="str">
        <f t="shared" si="10"/>
        <v/>
      </c>
      <c r="J143" s="15" t="str">
        <f t="shared" si="11"/>
        <v/>
      </c>
    </row>
    <row r="144" spans="1:10">
      <c r="A144" s="7" t="str">
        <f>IF(子基金及业绩基准周净值!A175="","",子基金及业绩基准周净值!A175)</f>
        <v/>
      </c>
      <c r="B144" s="1" t="str">
        <f>IF(A144="","",VLOOKUP($A144,子基金及业绩基准周净值!$A:$AV,16))</f>
        <v/>
      </c>
      <c r="C144" s="8" t="str">
        <f t="shared" si="8"/>
        <v/>
      </c>
      <c r="D144" s="9" t="str">
        <f>IF(A144="","",C144-子基金及业绩基准周净值!AI175)</f>
        <v/>
      </c>
      <c r="E144" s="12" t="str">
        <f>IF(A144="","",(MAX(B$3:B144)-B144)/MAX(B$3:B144))</f>
        <v/>
      </c>
      <c r="F144" s="12" t="str">
        <f>IF(A144="","",MAX(E$4:E144))</f>
        <v/>
      </c>
      <c r="G144" s="13"/>
      <c r="H144" s="14" t="str">
        <f t="shared" si="9"/>
        <v/>
      </c>
      <c r="I144" s="14" t="str">
        <f t="shared" si="10"/>
        <v/>
      </c>
      <c r="J144" s="15" t="str">
        <f t="shared" si="11"/>
        <v/>
      </c>
    </row>
    <row r="145" spans="1:10">
      <c r="A145" s="7" t="str">
        <f>IF(子基金及业绩基准周净值!A176="","",子基金及业绩基准周净值!A176)</f>
        <v/>
      </c>
      <c r="B145" s="1" t="str">
        <f>IF(A145="","",VLOOKUP($A145,子基金及业绩基准周净值!$A:$AV,16))</f>
        <v/>
      </c>
      <c r="C145" s="8" t="str">
        <f t="shared" si="8"/>
        <v/>
      </c>
      <c r="D145" s="9" t="str">
        <f>IF(A145="","",C145-子基金及业绩基准周净值!AI176)</f>
        <v/>
      </c>
      <c r="E145" s="12" t="str">
        <f>IF(A145="","",(MAX(B$3:B145)-B145)/MAX(B$3:B145))</f>
        <v/>
      </c>
      <c r="F145" s="12" t="str">
        <f>IF(A145="","",MAX(E$4:E145))</f>
        <v/>
      </c>
      <c r="G145" s="13"/>
      <c r="H145" s="14" t="str">
        <f t="shared" si="9"/>
        <v/>
      </c>
      <c r="I145" s="14" t="str">
        <f t="shared" si="10"/>
        <v/>
      </c>
      <c r="J145" s="15" t="str">
        <f t="shared" si="11"/>
        <v/>
      </c>
    </row>
    <row r="146" spans="1:10">
      <c r="A146" s="7" t="str">
        <f>IF(子基金及业绩基准周净值!A177="","",子基金及业绩基准周净值!A177)</f>
        <v/>
      </c>
      <c r="B146" s="1" t="str">
        <f>IF(A146="","",VLOOKUP($A146,子基金及业绩基准周净值!$A:$AV,16))</f>
        <v/>
      </c>
      <c r="C146" s="8" t="str">
        <f t="shared" si="8"/>
        <v/>
      </c>
      <c r="D146" s="9" t="str">
        <f>IF(A146="","",C146-子基金及业绩基准周净值!AI177)</f>
        <v/>
      </c>
      <c r="E146" s="12" t="str">
        <f>IF(A146="","",(MAX(B$3:B146)-B146)/MAX(B$3:B146))</f>
        <v/>
      </c>
      <c r="F146" s="12" t="str">
        <f>IF(A146="","",MAX(E$4:E146))</f>
        <v/>
      </c>
      <c r="G146" s="13"/>
      <c r="H146" s="14" t="str">
        <f t="shared" si="9"/>
        <v/>
      </c>
      <c r="I146" s="14" t="str">
        <f t="shared" si="10"/>
        <v/>
      </c>
      <c r="J146" s="15" t="str">
        <f t="shared" si="11"/>
        <v/>
      </c>
    </row>
    <row r="147" spans="1:10">
      <c r="A147" s="7" t="str">
        <f>IF(子基金及业绩基准周净值!A178="","",子基金及业绩基准周净值!A178)</f>
        <v/>
      </c>
      <c r="B147" s="1" t="str">
        <f>IF(A147="","",VLOOKUP($A147,子基金及业绩基准周净值!$A:$AV,16))</f>
        <v/>
      </c>
      <c r="C147" s="8" t="str">
        <f t="shared" si="8"/>
        <v/>
      </c>
      <c r="D147" s="9" t="str">
        <f>IF(A147="","",C147-子基金及业绩基准周净值!AI178)</f>
        <v/>
      </c>
      <c r="E147" s="12" t="str">
        <f>IF(A147="","",(MAX(B$3:B147)-B147)/MAX(B$3:B147))</f>
        <v/>
      </c>
      <c r="F147" s="12" t="str">
        <f>IF(A147="","",MAX(E$4:E147))</f>
        <v/>
      </c>
      <c r="G147" s="13"/>
      <c r="H147" s="14" t="str">
        <f t="shared" si="9"/>
        <v/>
      </c>
      <c r="I147" s="14" t="str">
        <f t="shared" si="10"/>
        <v/>
      </c>
      <c r="J147" s="15" t="str">
        <f t="shared" si="11"/>
        <v/>
      </c>
    </row>
    <row r="148" spans="1:10">
      <c r="A148" s="7" t="str">
        <f>IF(子基金及业绩基准周净值!A179="","",子基金及业绩基准周净值!A179)</f>
        <v/>
      </c>
      <c r="B148" s="1" t="str">
        <f>IF(A148="","",VLOOKUP($A148,子基金及业绩基准周净值!$A:$AV,16))</f>
        <v/>
      </c>
      <c r="C148" s="8" t="str">
        <f t="shared" si="8"/>
        <v/>
      </c>
      <c r="D148" s="9" t="str">
        <f>IF(A148="","",C148-子基金及业绩基准周净值!AI179)</f>
        <v/>
      </c>
      <c r="E148" s="12" t="str">
        <f>IF(A148="","",(MAX(B$3:B148)-B148)/MAX(B$3:B148))</f>
        <v/>
      </c>
      <c r="F148" s="12" t="str">
        <f>IF(A148="","",MAX(E$4:E148))</f>
        <v/>
      </c>
      <c r="H148" s="14" t="str">
        <f t="shared" si="9"/>
        <v/>
      </c>
      <c r="I148" s="14" t="str">
        <f t="shared" si="10"/>
        <v/>
      </c>
      <c r="J148" s="15" t="str">
        <f t="shared" si="11"/>
        <v/>
      </c>
    </row>
    <row r="149" spans="1:10">
      <c r="A149" s="7" t="str">
        <f>IF(子基金及业绩基准周净值!A180="","",子基金及业绩基准周净值!A180)</f>
        <v/>
      </c>
      <c r="B149" s="1" t="str">
        <f>IF(A149="","",VLOOKUP($A149,子基金及业绩基准周净值!$A:$AV,16))</f>
        <v/>
      </c>
      <c r="C149" s="8" t="str">
        <f t="shared" si="8"/>
        <v/>
      </c>
      <c r="D149" s="9" t="str">
        <f>IF(A149="","",C149-子基金及业绩基准周净值!AI180)</f>
        <v/>
      </c>
      <c r="E149" s="12" t="str">
        <f>IF(A149="","",(MAX(B$3:B149)-B149)/MAX(B$3:B149))</f>
        <v/>
      </c>
      <c r="F149" s="12" t="str">
        <f>IF(A149="","",MAX(E$4:E149))</f>
        <v/>
      </c>
      <c r="H149" s="14" t="str">
        <f t="shared" si="9"/>
        <v/>
      </c>
      <c r="I149" s="14" t="str">
        <f t="shared" si="10"/>
        <v/>
      </c>
      <c r="J149" s="15" t="str">
        <f t="shared" si="11"/>
        <v/>
      </c>
    </row>
    <row r="150" spans="1:10">
      <c r="A150" s="7" t="str">
        <f>IF(子基金及业绩基准周净值!A181="","",子基金及业绩基准周净值!A181)</f>
        <v/>
      </c>
      <c r="B150" s="1" t="str">
        <f>IF(A150="","",VLOOKUP($A150,子基金及业绩基准周净值!$A:$AV,16))</f>
        <v/>
      </c>
      <c r="C150" s="8" t="str">
        <f t="shared" si="8"/>
        <v/>
      </c>
      <c r="D150" s="9" t="str">
        <f>IF(A150="","",C150-子基金及业绩基准周净值!AI181)</f>
        <v/>
      </c>
      <c r="E150" s="12" t="str">
        <f>IF(A150="","",(MAX(B$3:B150)-B150)/MAX(B$3:B150))</f>
        <v/>
      </c>
      <c r="F150" s="12" t="str">
        <f>IF(A150="","",MAX(E$4:E150))</f>
        <v/>
      </c>
      <c r="H150" s="14" t="str">
        <f t="shared" si="9"/>
        <v/>
      </c>
      <c r="I150" s="14" t="str">
        <f t="shared" si="10"/>
        <v/>
      </c>
      <c r="J150" s="15" t="str">
        <f t="shared" si="11"/>
        <v/>
      </c>
    </row>
    <row r="151" spans="1:10">
      <c r="A151" s="7" t="str">
        <f>IF(子基金及业绩基准周净值!A182="","",子基金及业绩基准周净值!A182)</f>
        <v/>
      </c>
      <c r="B151" s="1" t="str">
        <f>IF(A151="","",VLOOKUP($A151,子基金及业绩基准周净值!$A:$AV,16))</f>
        <v/>
      </c>
      <c r="C151" s="8" t="str">
        <f t="shared" si="8"/>
        <v/>
      </c>
      <c r="D151" s="9" t="str">
        <f>IF(A151="","",C151-子基金及业绩基准周净值!AI182)</f>
        <v/>
      </c>
      <c r="E151" s="12" t="str">
        <f>IF(A151="","",(MAX(B$3:B151)-B151)/MAX(B$3:B151))</f>
        <v/>
      </c>
      <c r="F151" s="12" t="str">
        <f>IF(A151="","",MAX(E$4:E151))</f>
        <v/>
      </c>
      <c r="H151" s="14" t="str">
        <f t="shared" si="9"/>
        <v/>
      </c>
      <c r="I151" s="14" t="str">
        <f t="shared" si="10"/>
        <v/>
      </c>
      <c r="J151" s="15" t="str">
        <f t="shared" si="11"/>
        <v/>
      </c>
    </row>
    <row r="152" spans="1:10">
      <c r="A152" s="7" t="str">
        <f>IF(子基金及业绩基准周净值!A183="","",子基金及业绩基准周净值!A183)</f>
        <v/>
      </c>
      <c r="B152" s="1" t="str">
        <f>IF(A152="","",VLOOKUP($A152,子基金及业绩基准周净值!$A:$AV,16))</f>
        <v/>
      </c>
      <c r="C152" s="8" t="str">
        <f t="shared" si="8"/>
        <v/>
      </c>
      <c r="D152" s="9" t="str">
        <f>IF(A152="","",C152-子基金及业绩基准周净值!AI183)</f>
        <v/>
      </c>
      <c r="E152" s="12" t="str">
        <f>IF(A152="","",(MAX(B$3:B152)-B152)/MAX(B$3:B152))</f>
        <v/>
      </c>
      <c r="F152" s="12" t="str">
        <f>IF(A152="","",MAX(E$4:E152))</f>
        <v/>
      </c>
      <c r="H152" s="14" t="str">
        <f t="shared" si="9"/>
        <v/>
      </c>
      <c r="I152" s="14" t="str">
        <f t="shared" si="10"/>
        <v/>
      </c>
      <c r="J152" s="15" t="str">
        <f t="shared" si="11"/>
        <v/>
      </c>
    </row>
    <row r="153" spans="1:10">
      <c r="A153" s="7" t="str">
        <f>IF(子基金及业绩基准周净值!A184="","",子基金及业绩基准周净值!A184)</f>
        <v/>
      </c>
      <c r="B153" s="1" t="str">
        <f>IF(A153="","",VLOOKUP($A153,子基金及业绩基准周净值!$A:$AV,16))</f>
        <v/>
      </c>
      <c r="C153" s="8" t="str">
        <f t="shared" si="8"/>
        <v/>
      </c>
      <c r="D153" s="9" t="str">
        <f>IF(A153="","",C153-子基金及业绩基准周净值!AI184)</f>
        <v/>
      </c>
      <c r="E153" s="12" t="str">
        <f>IF(A153="","",(MAX(B$3:B153)-B153)/MAX(B$3:B153))</f>
        <v/>
      </c>
      <c r="F153" s="12" t="str">
        <f>IF(A153="","",MAX(E$4:E153))</f>
        <v/>
      </c>
      <c r="H153" s="14" t="str">
        <f t="shared" si="9"/>
        <v/>
      </c>
      <c r="I153" s="14" t="str">
        <f t="shared" si="10"/>
        <v/>
      </c>
      <c r="J153" s="15" t="str">
        <f t="shared" si="11"/>
        <v/>
      </c>
    </row>
    <row r="154" spans="1:10">
      <c r="A154" s="7" t="str">
        <f>IF(子基金及业绩基准周净值!A185="","",子基金及业绩基准周净值!A185)</f>
        <v/>
      </c>
      <c r="B154" s="1" t="str">
        <f>IF(A154="","",VLOOKUP($A154,子基金及业绩基准周净值!$A:$AV,16))</f>
        <v/>
      </c>
      <c r="C154" s="8" t="str">
        <f t="shared" si="8"/>
        <v/>
      </c>
      <c r="D154" s="9" t="str">
        <f>IF(A154="","",C154-子基金及业绩基准周净值!AI185)</f>
        <v/>
      </c>
      <c r="E154" s="12" t="str">
        <f>IF(A154="","",(MAX(B$3:B154)-B154)/MAX(B$3:B154))</f>
        <v/>
      </c>
      <c r="F154" s="12" t="str">
        <f>IF(A154="","",MAX(E$4:E154))</f>
        <v/>
      </c>
      <c r="H154" s="14" t="str">
        <f t="shared" si="9"/>
        <v/>
      </c>
      <c r="I154" s="14" t="str">
        <f t="shared" si="10"/>
        <v/>
      </c>
      <c r="J154" s="15" t="str">
        <f t="shared" si="11"/>
        <v/>
      </c>
    </row>
    <row r="155" spans="1:10">
      <c r="A155" s="7" t="str">
        <f>IF(子基金及业绩基准周净值!A186="","",子基金及业绩基准周净值!A186)</f>
        <v/>
      </c>
      <c r="B155" s="1" t="str">
        <f>IF(A155="","",VLOOKUP($A155,子基金及业绩基准周净值!$A:$AV,16))</f>
        <v/>
      </c>
      <c r="C155" s="8" t="str">
        <f t="shared" si="8"/>
        <v/>
      </c>
      <c r="D155" s="9" t="str">
        <f>IF(A155="","",C155-子基金及业绩基准周净值!AI186)</f>
        <v/>
      </c>
      <c r="E155" s="12" t="str">
        <f>IF(A155="","",(MAX(B$3:B155)-B155)/MAX(B$3:B155))</f>
        <v/>
      </c>
      <c r="F155" s="12" t="str">
        <f>IF(A155="","",MAX(E$4:E155))</f>
        <v/>
      </c>
      <c r="H155" s="14" t="str">
        <f t="shared" si="9"/>
        <v/>
      </c>
      <c r="I155" s="14" t="str">
        <f t="shared" si="10"/>
        <v/>
      </c>
      <c r="J155" s="15" t="str">
        <f t="shared" si="11"/>
        <v/>
      </c>
    </row>
    <row r="156" spans="1:10">
      <c r="A156" s="7" t="str">
        <f>IF(子基金及业绩基准周净值!A187="","",子基金及业绩基准周净值!A187)</f>
        <v/>
      </c>
      <c r="B156" s="1" t="str">
        <f>IF(A156="","",VLOOKUP($A156,子基金及业绩基准周净值!$A:$AV,16))</f>
        <v/>
      </c>
      <c r="C156" s="8" t="str">
        <f t="shared" si="8"/>
        <v/>
      </c>
      <c r="D156" s="9" t="str">
        <f>IF(A156="","",C156-子基金及业绩基准周净值!AI187)</f>
        <v/>
      </c>
      <c r="E156" s="12" t="str">
        <f>IF(A156="","",(MAX(B$3:B156)-B156)/MAX(B$3:B156))</f>
        <v/>
      </c>
      <c r="F156" s="12" t="str">
        <f>IF(A156="","",MAX(E$4:E156))</f>
        <v/>
      </c>
      <c r="H156" s="14" t="str">
        <f t="shared" si="9"/>
        <v/>
      </c>
      <c r="I156" s="14" t="str">
        <f t="shared" si="10"/>
        <v/>
      </c>
      <c r="J156" s="15" t="str">
        <f t="shared" si="11"/>
        <v/>
      </c>
    </row>
    <row r="157" spans="1:10">
      <c r="A157" s="7" t="str">
        <f>IF(子基金及业绩基准周净值!A188="","",子基金及业绩基准周净值!A188)</f>
        <v/>
      </c>
      <c r="B157" s="1" t="str">
        <f>IF(A157="","",VLOOKUP($A157,子基金及业绩基准周净值!$A:$AV,16))</f>
        <v/>
      </c>
      <c r="C157" s="8" t="str">
        <f t="shared" si="8"/>
        <v/>
      </c>
      <c r="D157" s="9" t="str">
        <f>IF(A157="","",C157-子基金及业绩基准周净值!AI188)</f>
        <v/>
      </c>
      <c r="E157" s="12" t="str">
        <f>IF(A157="","",(MAX(B$3:B157)-B157)/MAX(B$3:B157))</f>
        <v/>
      </c>
      <c r="F157" s="12" t="str">
        <f>IF(A157="","",MAX(E$4:E157))</f>
        <v/>
      </c>
      <c r="H157" s="14" t="str">
        <f t="shared" si="9"/>
        <v/>
      </c>
      <c r="I157" s="14" t="str">
        <f t="shared" si="10"/>
        <v/>
      </c>
      <c r="J157" s="15" t="str">
        <f t="shared" si="11"/>
        <v/>
      </c>
    </row>
    <row r="158" spans="1:10">
      <c r="A158" s="7" t="str">
        <f>IF(子基金及业绩基准周净值!A189="","",子基金及业绩基准周净值!A189)</f>
        <v/>
      </c>
      <c r="B158" s="1" t="str">
        <f>IF(A158="","",VLOOKUP($A158,子基金及业绩基准周净值!$A:$AV,16))</f>
        <v/>
      </c>
      <c r="C158" s="8" t="str">
        <f t="shared" si="8"/>
        <v/>
      </c>
      <c r="D158" s="9" t="str">
        <f>IF(A158="","",C158-子基金及业绩基准周净值!AI189)</f>
        <v/>
      </c>
      <c r="E158" s="12" t="str">
        <f>IF(A158="","",(MAX(B$3:B158)-B158)/MAX(B$3:B158))</f>
        <v/>
      </c>
      <c r="F158" s="12" t="str">
        <f>IF(A158="","",MAX(E$4:E158))</f>
        <v/>
      </c>
      <c r="H158" s="14" t="str">
        <f t="shared" si="9"/>
        <v/>
      </c>
      <c r="I158" s="14" t="str">
        <f t="shared" si="10"/>
        <v/>
      </c>
      <c r="J158" s="15" t="str">
        <f t="shared" si="11"/>
        <v/>
      </c>
    </row>
    <row r="159" spans="1:10">
      <c r="A159" s="7" t="str">
        <f>IF(子基金及业绩基准周净值!A190="","",子基金及业绩基准周净值!A190)</f>
        <v/>
      </c>
      <c r="B159" s="1" t="str">
        <f>IF(A159="","",VLOOKUP($A159,子基金及业绩基准周净值!$A:$AV,16))</f>
        <v/>
      </c>
      <c r="C159" s="8" t="str">
        <f t="shared" si="8"/>
        <v/>
      </c>
      <c r="D159" s="9" t="str">
        <f>IF(A159="","",C159-子基金及业绩基准周净值!AI190)</f>
        <v/>
      </c>
      <c r="E159" s="12" t="str">
        <f>IF(A159="","",(MAX(B$3:B159)-B159)/MAX(B$3:B159))</f>
        <v/>
      </c>
      <c r="F159" s="12" t="str">
        <f>IF(A159="","",MAX(E$4:E159))</f>
        <v/>
      </c>
      <c r="H159" s="14" t="str">
        <f t="shared" si="9"/>
        <v/>
      </c>
      <c r="I159" s="14" t="str">
        <f t="shared" si="10"/>
        <v/>
      </c>
      <c r="J159" s="15" t="str">
        <f t="shared" si="11"/>
        <v/>
      </c>
    </row>
    <row r="160" spans="1:10">
      <c r="A160" s="7" t="str">
        <f>IF(子基金及业绩基准周净值!A191="","",子基金及业绩基准周净值!A191)</f>
        <v/>
      </c>
      <c r="B160" s="1" t="str">
        <f>IF(A160="","",VLOOKUP($A160,子基金及业绩基准周净值!$A:$AV,16))</f>
        <v/>
      </c>
      <c r="C160" s="8" t="str">
        <f t="shared" si="8"/>
        <v/>
      </c>
      <c r="D160" s="9" t="str">
        <f>IF(A160="","",C160-子基金及业绩基准周净值!AI191)</f>
        <v/>
      </c>
      <c r="E160" s="12" t="str">
        <f>IF(A160="","",(MAX(B$3:B160)-B160)/MAX(B$3:B160))</f>
        <v/>
      </c>
      <c r="F160" s="12" t="str">
        <f>IF(A160="","",MAX(E$4:E160))</f>
        <v/>
      </c>
      <c r="H160" s="14" t="str">
        <f t="shared" si="9"/>
        <v/>
      </c>
      <c r="I160" s="14" t="str">
        <f t="shared" si="10"/>
        <v/>
      </c>
      <c r="J160" s="15" t="str">
        <f t="shared" si="11"/>
        <v/>
      </c>
    </row>
    <row r="161" spans="1:10">
      <c r="A161" s="7" t="str">
        <f>IF(子基金及业绩基准周净值!A192="","",子基金及业绩基准周净值!A192)</f>
        <v/>
      </c>
      <c r="B161" s="1" t="str">
        <f>IF(A161="","",VLOOKUP($A161,子基金及业绩基准周净值!$A:$AV,16))</f>
        <v/>
      </c>
      <c r="C161" s="8" t="str">
        <f t="shared" si="8"/>
        <v/>
      </c>
      <c r="D161" s="9" t="str">
        <f>IF(A161="","",C161-子基金及业绩基准周净值!AI192)</f>
        <v/>
      </c>
      <c r="E161" s="12" t="str">
        <f>IF(A161="","",(MAX(B$3:B161)-B161)/MAX(B$3:B161))</f>
        <v/>
      </c>
      <c r="F161" s="12" t="str">
        <f>IF(A161="","",MAX(E$4:E161))</f>
        <v/>
      </c>
      <c r="H161" s="14" t="str">
        <f t="shared" si="9"/>
        <v/>
      </c>
      <c r="I161" s="14" t="str">
        <f t="shared" si="10"/>
        <v/>
      </c>
      <c r="J161" s="15" t="str">
        <f t="shared" si="11"/>
        <v/>
      </c>
    </row>
    <row r="162" spans="1:10">
      <c r="A162" s="7" t="str">
        <f>IF(子基金及业绩基准周净值!A193="","",子基金及业绩基准周净值!A193)</f>
        <v/>
      </c>
      <c r="B162" s="1" t="str">
        <f>IF(A162="","",VLOOKUP($A162,子基金及业绩基准周净值!$A:$AV,16))</f>
        <v/>
      </c>
      <c r="C162" s="8" t="str">
        <f t="shared" si="8"/>
        <v/>
      </c>
      <c r="D162" s="9" t="str">
        <f>IF(A162="","",C162-子基金及业绩基准周净值!AI193)</f>
        <v/>
      </c>
      <c r="E162" s="12" t="str">
        <f>IF(A162="","",(MAX(B$3:B162)-B162)/MAX(B$3:B162))</f>
        <v/>
      </c>
      <c r="F162" s="12" t="str">
        <f>IF(A162="","",MAX(E$4:E162))</f>
        <v/>
      </c>
      <c r="H162" s="14" t="str">
        <f t="shared" si="9"/>
        <v/>
      </c>
      <c r="I162" s="14" t="str">
        <f t="shared" si="10"/>
        <v/>
      </c>
      <c r="J162" s="15" t="str">
        <f t="shared" si="11"/>
        <v/>
      </c>
    </row>
    <row r="163" spans="1:10">
      <c r="A163" s="7" t="str">
        <f>IF(子基金及业绩基准周净值!A194="","",子基金及业绩基准周净值!A194)</f>
        <v/>
      </c>
      <c r="B163" s="1" t="str">
        <f>IF(A163="","",VLOOKUP($A163,子基金及业绩基准周净值!$A:$AV,16))</f>
        <v/>
      </c>
      <c r="C163" s="8" t="str">
        <f t="shared" si="8"/>
        <v/>
      </c>
      <c r="D163" s="9" t="str">
        <f>IF(A163="","",C163-子基金及业绩基准周净值!AI194)</f>
        <v/>
      </c>
      <c r="E163" s="12" t="str">
        <f>IF(A163="","",(MAX(B$3:B163)-B163)/MAX(B$3:B163))</f>
        <v/>
      </c>
      <c r="F163" s="12" t="str">
        <f>IF(A163="","",MAX(E$4:E163))</f>
        <v/>
      </c>
      <c r="H163" s="14" t="str">
        <f t="shared" si="9"/>
        <v/>
      </c>
      <c r="I163" s="14" t="str">
        <f t="shared" si="10"/>
        <v/>
      </c>
      <c r="J163" s="15" t="str">
        <f t="shared" si="11"/>
        <v/>
      </c>
    </row>
    <row r="164" spans="1:10">
      <c r="A164" s="7" t="str">
        <f>IF(子基金及业绩基准周净值!A195="","",子基金及业绩基准周净值!A195)</f>
        <v/>
      </c>
      <c r="B164" s="1" t="str">
        <f>IF(A164="","",VLOOKUP($A164,子基金及业绩基准周净值!$A:$AV,16))</f>
        <v/>
      </c>
      <c r="C164" s="8" t="str">
        <f t="shared" si="8"/>
        <v/>
      </c>
      <c r="D164" s="9" t="str">
        <f>IF(A164="","",C164-子基金及业绩基准周净值!AI195)</f>
        <v/>
      </c>
      <c r="E164" s="12" t="str">
        <f>IF(A164="","",(MAX(B$3:B164)-B164)/MAX(B$3:B164))</f>
        <v/>
      </c>
      <c r="F164" s="12" t="str">
        <f>IF(A164="","",MAX(E$4:E164))</f>
        <v/>
      </c>
      <c r="H164" s="14" t="str">
        <f t="shared" si="9"/>
        <v/>
      </c>
      <c r="I164" s="14" t="str">
        <f t="shared" si="10"/>
        <v/>
      </c>
      <c r="J164" s="15" t="str">
        <f t="shared" si="11"/>
        <v/>
      </c>
    </row>
    <row r="165" spans="1:10">
      <c r="A165" s="7" t="str">
        <f>IF(子基金及业绩基准周净值!A196="","",子基金及业绩基准周净值!A196)</f>
        <v/>
      </c>
      <c r="B165" s="1" t="str">
        <f>IF(A165="","",VLOOKUP($A165,子基金及业绩基准周净值!$A:$AV,16))</f>
        <v/>
      </c>
      <c r="C165" s="8" t="str">
        <f t="shared" si="8"/>
        <v/>
      </c>
      <c r="D165" s="9" t="str">
        <f>IF(A165="","",C165-子基金及业绩基准周净值!AI196)</f>
        <v/>
      </c>
      <c r="E165" s="12" t="str">
        <f>IF(A165="","",(MAX(B$3:B165)-B165)/MAX(B$3:B165))</f>
        <v/>
      </c>
      <c r="F165" s="12" t="str">
        <f>IF(A165="","",MAX(E$4:E165))</f>
        <v/>
      </c>
      <c r="H165" s="14" t="str">
        <f t="shared" si="9"/>
        <v/>
      </c>
      <c r="I165" s="14" t="str">
        <f t="shared" si="10"/>
        <v/>
      </c>
      <c r="J165" s="15" t="str">
        <f t="shared" si="11"/>
        <v/>
      </c>
    </row>
    <row r="166" spans="1:10">
      <c r="A166" s="7" t="str">
        <f>IF(子基金及业绩基准周净值!A197="","",子基金及业绩基准周净值!A197)</f>
        <v/>
      </c>
      <c r="B166" s="1" t="str">
        <f>IF(A166="","",VLOOKUP($A166,子基金及业绩基准周净值!$A:$AV,16))</f>
        <v/>
      </c>
      <c r="C166" s="8" t="str">
        <f t="shared" si="8"/>
        <v/>
      </c>
      <c r="D166" s="9" t="str">
        <f>IF(A166="","",C166-子基金及业绩基准周净值!AI197)</f>
        <v/>
      </c>
      <c r="E166" s="12" t="str">
        <f>IF(A166="","",(MAX(B$3:B166)-B166)/MAX(B$3:B166))</f>
        <v/>
      </c>
      <c r="F166" s="12" t="str">
        <f>IF(A166="","",MAX(E$4:E166))</f>
        <v/>
      </c>
      <c r="H166" s="14" t="str">
        <f t="shared" si="9"/>
        <v/>
      </c>
      <c r="I166" s="14" t="str">
        <f t="shared" si="10"/>
        <v/>
      </c>
      <c r="J166" s="15" t="str">
        <f t="shared" si="11"/>
        <v/>
      </c>
    </row>
    <row r="167" spans="1:10">
      <c r="A167" s="7" t="str">
        <f>IF(子基金及业绩基准周净值!A198="","",子基金及业绩基准周净值!A198)</f>
        <v/>
      </c>
      <c r="B167" s="1" t="str">
        <f>IF(A167="","",VLOOKUP($A167,子基金及业绩基准周净值!$A:$AV,16))</f>
        <v/>
      </c>
      <c r="C167" s="8" t="str">
        <f t="shared" si="8"/>
        <v/>
      </c>
      <c r="D167" s="9" t="str">
        <f>IF(A167="","",C167-子基金及业绩基准周净值!AI198)</f>
        <v/>
      </c>
      <c r="E167" s="12" t="str">
        <f>IF(A167="","",(MAX(B$3:B167)-B167)/MAX(B$3:B167))</f>
        <v/>
      </c>
      <c r="F167" s="12" t="str">
        <f>IF(A167="","",MAX(E$4:E167))</f>
        <v/>
      </c>
      <c r="H167" s="14" t="str">
        <f t="shared" si="9"/>
        <v/>
      </c>
      <c r="I167" s="14" t="str">
        <f t="shared" si="10"/>
        <v/>
      </c>
      <c r="J167" s="15" t="str">
        <f t="shared" si="11"/>
        <v/>
      </c>
    </row>
    <row r="168" spans="1:10">
      <c r="A168" s="7" t="str">
        <f>IF(子基金及业绩基准周净值!A199="","",子基金及业绩基准周净值!A199)</f>
        <v/>
      </c>
      <c r="B168" s="1" t="str">
        <f>IF(A168="","",VLOOKUP($A168,子基金及业绩基准周净值!$A:$AV,16))</f>
        <v/>
      </c>
      <c r="C168" s="8" t="str">
        <f t="shared" si="8"/>
        <v/>
      </c>
      <c r="D168" s="9" t="str">
        <f>IF(A168="","",C168-子基金及业绩基准周净值!AI199)</f>
        <v/>
      </c>
      <c r="E168" s="12" t="str">
        <f>IF(A168="","",(MAX(B$3:B168)-B168)/MAX(B$3:B168))</f>
        <v/>
      </c>
      <c r="F168" s="12" t="str">
        <f>IF(A168="","",MAX(E$4:E168))</f>
        <v/>
      </c>
      <c r="H168" s="14" t="str">
        <f t="shared" si="9"/>
        <v/>
      </c>
      <c r="I168" s="14" t="str">
        <f t="shared" si="10"/>
        <v/>
      </c>
      <c r="J168" s="15" t="str">
        <f t="shared" si="11"/>
        <v/>
      </c>
    </row>
    <row r="169" spans="1:10">
      <c r="A169" s="7" t="str">
        <f>IF(子基金及业绩基准周净值!A200="","",子基金及业绩基准周净值!A200)</f>
        <v/>
      </c>
      <c r="B169" s="1" t="str">
        <f>IF(A169="","",VLOOKUP($A169,子基金及业绩基准周净值!$A:$AV,16))</f>
        <v/>
      </c>
      <c r="C169" s="8" t="str">
        <f t="shared" si="8"/>
        <v/>
      </c>
      <c r="D169" s="9" t="str">
        <f>IF(A169="","",C169-子基金及业绩基准周净值!AI200)</f>
        <v/>
      </c>
      <c r="E169" s="12" t="str">
        <f>IF(A169="","",(MAX(B$3:B169)-B169)/MAX(B$3:B169))</f>
        <v/>
      </c>
      <c r="F169" s="12" t="str">
        <f>IF(A169="","",MAX(E$4:E169))</f>
        <v/>
      </c>
      <c r="H169" s="14" t="str">
        <f t="shared" si="9"/>
        <v/>
      </c>
      <c r="I169" s="14" t="str">
        <f t="shared" si="10"/>
        <v/>
      </c>
      <c r="J169" s="15" t="str">
        <f t="shared" si="11"/>
        <v/>
      </c>
    </row>
    <row r="170" spans="1:10">
      <c r="A170" s="7" t="str">
        <f>IF(子基金及业绩基准周净值!A201="","",子基金及业绩基准周净值!A201)</f>
        <v/>
      </c>
      <c r="B170" s="1" t="str">
        <f>IF(A170="","",VLOOKUP($A170,子基金及业绩基准周净值!$A:$AV,16))</f>
        <v/>
      </c>
      <c r="C170" s="8" t="str">
        <f t="shared" si="8"/>
        <v/>
      </c>
      <c r="D170" s="9" t="str">
        <f>IF(A170="","",C170-子基金及业绩基准周净值!AI201)</f>
        <v/>
      </c>
      <c r="E170" s="12" t="str">
        <f>IF(A170="","",(MAX(B$3:B170)-B170)/MAX(B$3:B170))</f>
        <v/>
      </c>
      <c r="F170" s="12" t="str">
        <f>IF(A170="","",MAX(E$4:E170))</f>
        <v/>
      </c>
      <c r="H170" s="14" t="str">
        <f t="shared" si="9"/>
        <v/>
      </c>
      <c r="I170" s="14" t="str">
        <f t="shared" si="10"/>
        <v/>
      </c>
      <c r="J170" s="15" t="str">
        <f t="shared" si="11"/>
        <v/>
      </c>
    </row>
    <row r="171" spans="1:10">
      <c r="A171" s="7" t="str">
        <f>IF(子基金及业绩基准周净值!A202="","",子基金及业绩基准周净值!A202)</f>
        <v/>
      </c>
      <c r="B171" s="1" t="str">
        <f>IF(A171="","",VLOOKUP($A171,子基金及业绩基准周净值!$A:$AV,16))</f>
        <v/>
      </c>
      <c r="C171" s="8" t="str">
        <f t="shared" si="8"/>
        <v/>
      </c>
      <c r="D171" s="9" t="str">
        <f>IF(A171="","",C171-子基金及业绩基准周净值!AI202)</f>
        <v/>
      </c>
      <c r="E171" s="12" t="str">
        <f>IF(A171="","",(MAX(B$3:B171)-B171)/MAX(B$3:B171))</f>
        <v/>
      </c>
      <c r="F171" s="12" t="str">
        <f>IF(A171="","",MAX(E$4:E171))</f>
        <v/>
      </c>
      <c r="H171" s="14" t="str">
        <f t="shared" si="9"/>
        <v/>
      </c>
      <c r="I171" s="14" t="str">
        <f t="shared" si="10"/>
        <v/>
      </c>
      <c r="J171" s="15" t="str">
        <f t="shared" si="11"/>
        <v/>
      </c>
    </row>
    <row r="172" spans="1:10">
      <c r="A172" s="7" t="str">
        <f>IF(子基金及业绩基准周净值!A203="","",子基金及业绩基准周净值!A203)</f>
        <v/>
      </c>
      <c r="B172" s="1" t="str">
        <f>IF(A172="","",VLOOKUP($A172,子基金及业绩基准周净值!$A:$AV,16))</f>
        <v/>
      </c>
      <c r="C172" s="8" t="str">
        <f t="shared" si="8"/>
        <v/>
      </c>
      <c r="D172" s="9" t="str">
        <f>IF(A172="","",C172-子基金及业绩基准周净值!AI203)</f>
        <v/>
      </c>
      <c r="E172" s="12" t="str">
        <f>IF(A172="","",(MAX(B$3:B172)-B172)/MAX(B$3:B172))</f>
        <v/>
      </c>
      <c r="F172" s="12" t="str">
        <f>IF(A172="","",MAX(E$4:E172))</f>
        <v/>
      </c>
      <c r="H172" s="14" t="str">
        <f t="shared" si="9"/>
        <v/>
      </c>
      <c r="I172" s="14" t="str">
        <f t="shared" si="10"/>
        <v/>
      </c>
      <c r="J172" s="15" t="str">
        <f t="shared" si="11"/>
        <v/>
      </c>
    </row>
    <row r="173" spans="1:10">
      <c r="A173" s="7" t="str">
        <f>IF(子基金及业绩基准周净值!A204="","",子基金及业绩基准周净值!A204)</f>
        <v/>
      </c>
      <c r="B173" s="1" t="str">
        <f>IF(A173="","",VLOOKUP($A173,子基金及业绩基准周净值!$A:$AV,16))</f>
        <v/>
      </c>
      <c r="C173" s="8" t="str">
        <f t="shared" si="8"/>
        <v/>
      </c>
      <c r="D173" s="9" t="str">
        <f>IF(A173="","",C173-子基金及业绩基准周净值!AI204)</f>
        <v/>
      </c>
      <c r="E173" s="12" t="str">
        <f>IF(A173="","",(MAX(B$3:B173)-B173)/MAX(B$3:B173))</f>
        <v/>
      </c>
      <c r="F173" s="12" t="str">
        <f>IF(A173="","",MAX(E$4:E173))</f>
        <v/>
      </c>
      <c r="H173" s="14" t="str">
        <f t="shared" si="9"/>
        <v/>
      </c>
      <c r="I173" s="14" t="str">
        <f t="shared" si="10"/>
        <v/>
      </c>
      <c r="J173" s="15" t="str">
        <f t="shared" si="11"/>
        <v/>
      </c>
    </row>
    <row r="174" spans="1:10">
      <c r="A174" s="7" t="str">
        <f>IF(子基金及业绩基准周净值!A205="","",子基金及业绩基准周净值!A205)</f>
        <v/>
      </c>
      <c r="B174" s="1" t="str">
        <f>IF(A174="","",VLOOKUP($A174,子基金及业绩基准周净值!$A:$AV,16))</f>
        <v/>
      </c>
      <c r="C174" s="8" t="str">
        <f t="shared" si="8"/>
        <v/>
      </c>
      <c r="D174" s="9" t="str">
        <f>IF(A174="","",C174-子基金及业绩基准周净值!AI205)</f>
        <v/>
      </c>
      <c r="E174" s="12" t="str">
        <f>IF(A174="","",(MAX(B$3:B174)-B174)/MAX(B$3:B174))</f>
        <v/>
      </c>
      <c r="F174" s="12" t="str">
        <f>IF(A174="","",MAX(E$4:E174))</f>
        <v/>
      </c>
      <c r="H174" s="14" t="str">
        <f t="shared" si="9"/>
        <v/>
      </c>
      <c r="I174" s="14" t="str">
        <f t="shared" si="10"/>
        <v/>
      </c>
      <c r="J174" s="15" t="str">
        <f t="shared" si="11"/>
        <v/>
      </c>
    </row>
    <row r="175" spans="1:10">
      <c r="A175" s="7" t="str">
        <f>IF(子基金及业绩基准周净值!A206="","",子基金及业绩基准周净值!A206)</f>
        <v/>
      </c>
      <c r="B175" s="1" t="str">
        <f>IF(A175="","",VLOOKUP($A175,子基金及业绩基准周净值!$A:$AV,16))</f>
        <v/>
      </c>
      <c r="C175" s="8" t="str">
        <f t="shared" si="8"/>
        <v/>
      </c>
      <c r="D175" s="9" t="str">
        <f>IF(A175="","",C175-子基金及业绩基准周净值!AI206)</f>
        <v/>
      </c>
      <c r="E175" s="12" t="str">
        <f>IF(A175="","",(MAX(B$3:B175)-B175)/MAX(B$3:B175))</f>
        <v/>
      </c>
      <c r="F175" s="12" t="str">
        <f>IF(A175="","",MAX(E$4:E175))</f>
        <v/>
      </c>
      <c r="H175" s="14" t="str">
        <f t="shared" si="9"/>
        <v/>
      </c>
      <c r="I175" s="14" t="str">
        <f t="shared" si="10"/>
        <v/>
      </c>
      <c r="J175" s="15" t="str">
        <f t="shared" si="11"/>
        <v/>
      </c>
    </row>
    <row r="176" spans="1:10">
      <c r="A176" s="7" t="str">
        <f>IF(子基金及业绩基准周净值!A207="","",子基金及业绩基准周净值!A207)</f>
        <v/>
      </c>
      <c r="B176" s="1" t="str">
        <f>IF(A176="","",VLOOKUP($A176,子基金及业绩基准周净值!$A:$AV,16))</f>
        <v/>
      </c>
      <c r="C176" s="8" t="str">
        <f t="shared" si="8"/>
        <v/>
      </c>
      <c r="D176" s="9" t="str">
        <f>IF(A176="","",C176-子基金及业绩基准周净值!AI207)</f>
        <v/>
      </c>
      <c r="E176" s="12" t="str">
        <f>IF(A176="","",(MAX(B$3:B176)-B176)/MAX(B$3:B176))</f>
        <v/>
      </c>
      <c r="F176" s="12" t="str">
        <f>IF(A176="","",MAX(E$4:E176))</f>
        <v/>
      </c>
      <c r="H176" s="14" t="str">
        <f t="shared" si="9"/>
        <v/>
      </c>
      <c r="I176" s="14" t="str">
        <f t="shared" si="10"/>
        <v/>
      </c>
      <c r="J176" s="15" t="str">
        <f t="shared" si="11"/>
        <v/>
      </c>
    </row>
    <row r="177" spans="1:10">
      <c r="A177" s="7" t="str">
        <f>IF(子基金及业绩基准周净值!A208="","",子基金及业绩基准周净值!A208)</f>
        <v/>
      </c>
      <c r="B177" s="1" t="str">
        <f>IF(A177="","",VLOOKUP($A177,子基金及业绩基准周净值!$A:$AV,16))</f>
        <v/>
      </c>
      <c r="C177" s="8" t="str">
        <f t="shared" si="8"/>
        <v/>
      </c>
      <c r="D177" s="9" t="str">
        <f>IF(A177="","",C177-子基金及业绩基准周净值!AI208)</f>
        <v/>
      </c>
      <c r="E177" s="12" t="str">
        <f>IF(A177="","",(MAX(B$3:B177)-B177)/MAX(B$3:B177))</f>
        <v/>
      </c>
      <c r="F177" s="12" t="str">
        <f>IF(A177="","",MAX(E$4:E177))</f>
        <v/>
      </c>
      <c r="H177" s="14" t="str">
        <f t="shared" si="9"/>
        <v/>
      </c>
      <c r="I177" s="14" t="str">
        <f t="shared" si="10"/>
        <v/>
      </c>
      <c r="J177" s="15" t="str">
        <f t="shared" si="11"/>
        <v/>
      </c>
    </row>
    <row r="178" spans="1:10">
      <c r="A178" s="7" t="str">
        <f>IF(子基金及业绩基准周净值!A209="","",子基金及业绩基准周净值!A209)</f>
        <v/>
      </c>
      <c r="B178" s="1" t="str">
        <f>IF(A178="","",VLOOKUP($A178,子基金及业绩基准周净值!$A:$AV,16))</f>
        <v/>
      </c>
      <c r="C178" s="8" t="str">
        <f t="shared" si="8"/>
        <v/>
      </c>
      <c r="D178" s="9" t="str">
        <f>IF(A178="","",C178-子基金及业绩基准周净值!AI209)</f>
        <v/>
      </c>
      <c r="E178" s="12" t="str">
        <f>IF(A178="","",(MAX(B$3:B178)-B178)/MAX(B$3:B178))</f>
        <v/>
      </c>
      <c r="F178" s="12" t="str">
        <f>IF(A178="","",MAX(E$4:E178))</f>
        <v/>
      </c>
      <c r="H178" s="14" t="str">
        <f t="shared" si="9"/>
        <v/>
      </c>
      <c r="I178" s="14" t="str">
        <f t="shared" si="10"/>
        <v/>
      </c>
      <c r="J178" s="15" t="str">
        <f t="shared" si="11"/>
        <v/>
      </c>
    </row>
    <row r="179" spans="1:10">
      <c r="A179" s="7" t="str">
        <f>IF(子基金及业绩基准周净值!A210="","",子基金及业绩基准周净值!A210)</f>
        <v/>
      </c>
      <c r="B179" s="1" t="str">
        <f>IF(A179="","",VLOOKUP($A179,子基金及业绩基准周净值!$A:$AV,16))</f>
        <v/>
      </c>
      <c r="C179" s="8" t="str">
        <f t="shared" si="8"/>
        <v/>
      </c>
      <c r="D179" s="9" t="str">
        <f>IF(A179="","",C179-子基金及业绩基准周净值!AI210)</f>
        <v/>
      </c>
      <c r="E179" s="12" t="str">
        <f>IF(A179="","",(MAX(B$3:B179)-B179)/MAX(B$3:B179))</f>
        <v/>
      </c>
      <c r="F179" s="12" t="str">
        <f>IF(A179="","",MAX(E$4:E179))</f>
        <v/>
      </c>
      <c r="H179" s="14" t="str">
        <f t="shared" si="9"/>
        <v/>
      </c>
      <c r="I179" s="14" t="str">
        <f t="shared" si="10"/>
        <v/>
      </c>
      <c r="J179" s="15" t="str">
        <f t="shared" si="11"/>
        <v/>
      </c>
    </row>
    <row r="180" spans="1:10">
      <c r="A180" s="7" t="str">
        <f>IF(子基金及业绩基准周净值!A211="","",子基金及业绩基准周净值!A211)</f>
        <v/>
      </c>
      <c r="B180" s="1" t="str">
        <f>IF(A180="","",VLOOKUP($A180,子基金及业绩基准周净值!$A:$AV,16))</f>
        <v/>
      </c>
      <c r="C180" s="8" t="str">
        <f t="shared" si="8"/>
        <v/>
      </c>
      <c r="D180" s="9" t="str">
        <f>IF(A180="","",C180-子基金及业绩基准周净值!AI211)</f>
        <v/>
      </c>
      <c r="E180" s="12" t="str">
        <f>IF(A180="","",(MAX(B$3:B180)-B180)/MAX(B$3:B180))</f>
        <v/>
      </c>
      <c r="F180" s="12" t="str">
        <f>IF(A180="","",MAX(E$4:E180))</f>
        <v/>
      </c>
      <c r="H180" s="14" t="str">
        <f t="shared" si="9"/>
        <v/>
      </c>
      <c r="I180" s="14" t="str">
        <f t="shared" si="10"/>
        <v/>
      </c>
      <c r="J180" s="15" t="str">
        <f t="shared" si="11"/>
        <v/>
      </c>
    </row>
    <row r="181" spans="1:10">
      <c r="A181" s="7" t="str">
        <f>IF(子基金及业绩基准周净值!A212="","",子基金及业绩基准周净值!A212)</f>
        <v/>
      </c>
      <c r="B181" s="1" t="str">
        <f>IF(A181="","",VLOOKUP($A181,子基金及业绩基准周净值!$A:$AV,16))</f>
        <v/>
      </c>
      <c r="C181" s="8" t="str">
        <f t="shared" si="8"/>
        <v/>
      </c>
      <c r="D181" s="9" t="str">
        <f>IF(A181="","",C181-子基金及业绩基准周净值!AI212)</f>
        <v/>
      </c>
      <c r="E181" s="12" t="str">
        <f>IF(A181="","",(MAX(B$3:B181)-B181)/MAX(B$3:B181))</f>
        <v/>
      </c>
      <c r="F181" s="12" t="str">
        <f>IF(A181="","",MAX(E$4:E181))</f>
        <v/>
      </c>
      <c r="H181" s="14" t="str">
        <f t="shared" si="9"/>
        <v/>
      </c>
      <c r="I181" s="14" t="str">
        <f t="shared" si="10"/>
        <v/>
      </c>
      <c r="J181" s="15" t="str">
        <f t="shared" si="11"/>
        <v/>
      </c>
    </row>
    <row r="182" spans="1:10">
      <c r="A182" s="7" t="str">
        <f>IF(子基金及业绩基准周净值!A213="","",子基金及业绩基准周净值!A213)</f>
        <v/>
      </c>
      <c r="B182" s="1" t="str">
        <f>IF(A182="","",VLOOKUP($A182,子基金及业绩基准周净值!$A:$AV,16))</f>
        <v/>
      </c>
      <c r="C182" s="8" t="str">
        <f t="shared" si="8"/>
        <v/>
      </c>
      <c r="D182" s="9" t="str">
        <f>IF(A182="","",C182-子基金及业绩基准周净值!AI213)</f>
        <v/>
      </c>
      <c r="E182" s="12" t="str">
        <f>IF(A182="","",(MAX(B$3:B182)-B182)/MAX(B$3:B182))</f>
        <v/>
      </c>
      <c r="F182" s="12" t="str">
        <f>IF(A182="","",MAX(E$4:E182))</f>
        <v/>
      </c>
      <c r="H182" s="14" t="str">
        <f t="shared" si="9"/>
        <v/>
      </c>
      <c r="I182" s="14" t="str">
        <f t="shared" si="10"/>
        <v/>
      </c>
      <c r="J182" s="15" t="str">
        <f t="shared" si="11"/>
        <v/>
      </c>
    </row>
    <row r="183" spans="1:10">
      <c r="A183" s="7" t="str">
        <f>IF(子基金及业绩基准周净值!A214="","",子基金及业绩基准周净值!A214)</f>
        <v/>
      </c>
      <c r="B183" s="1" t="str">
        <f>IF(A183="","",VLOOKUP($A183,子基金及业绩基准周净值!$A:$AV,16))</f>
        <v/>
      </c>
      <c r="C183" s="8" t="str">
        <f t="shared" si="8"/>
        <v/>
      </c>
      <c r="D183" s="9" t="str">
        <f>IF(A183="","",C183-子基金及业绩基准周净值!AI214)</f>
        <v/>
      </c>
      <c r="E183" s="12" t="str">
        <f>IF(A183="","",(MAX(B$3:B183)-B183)/MAX(B$3:B183))</f>
        <v/>
      </c>
      <c r="F183" s="12" t="str">
        <f>IF(A183="","",MAX(E$4:E183))</f>
        <v/>
      </c>
      <c r="H183" s="14" t="str">
        <f t="shared" si="9"/>
        <v/>
      </c>
      <c r="I183" s="14" t="str">
        <f t="shared" si="10"/>
        <v/>
      </c>
      <c r="J183" s="15" t="str">
        <f t="shared" si="11"/>
        <v/>
      </c>
    </row>
    <row r="184" spans="1:10">
      <c r="A184" s="7" t="str">
        <f>IF(子基金及业绩基准周净值!A215="","",子基金及业绩基准周净值!A215)</f>
        <v/>
      </c>
      <c r="B184" s="1" t="str">
        <f>IF(A184="","",VLOOKUP($A184,子基金及业绩基准周净值!$A:$AV,16))</f>
        <v/>
      </c>
      <c r="C184" s="8" t="str">
        <f t="shared" si="8"/>
        <v/>
      </c>
      <c r="D184" s="9" t="str">
        <f>IF(A184="","",C184-子基金及业绩基准周净值!AI215)</f>
        <v/>
      </c>
      <c r="E184" s="12" t="str">
        <f>IF(A184="","",(MAX(B$3:B184)-B184)/MAX(B$3:B184))</f>
        <v/>
      </c>
      <c r="F184" s="12" t="str">
        <f>IF(A184="","",MAX(E$4:E184))</f>
        <v/>
      </c>
      <c r="H184" s="14" t="str">
        <f t="shared" si="9"/>
        <v/>
      </c>
      <c r="I184" s="14" t="str">
        <f t="shared" si="10"/>
        <v/>
      </c>
      <c r="J184" s="15" t="str">
        <f t="shared" si="11"/>
        <v/>
      </c>
    </row>
    <row r="185" spans="1:10">
      <c r="A185" s="7" t="str">
        <f>IF(子基金及业绩基准周净值!A216="","",子基金及业绩基准周净值!A216)</f>
        <v/>
      </c>
      <c r="B185" s="1" t="str">
        <f>IF(A185="","",VLOOKUP($A185,子基金及业绩基准周净值!$A:$AV,16))</f>
        <v/>
      </c>
      <c r="C185" s="8" t="str">
        <f t="shared" si="8"/>
        <v/>
      </c>
      <c r="D185" s="9" t="str">
        <f>IF(A185="","",C185-子基金及业绩基准周净值!AI216)</f>
        <v/>
      </c>
      <c r="E185" s="12" t="str">
        <f>IF(A185="","",(MAX(B$3:B185)-B185)/MAX(B$3:B185))</f>
        <v/>
      </c>
      <c r="F185" s="12" t="str">
        <f>IF(A185="","",MAX(E$4:E185))</f>
        <v/>
      </c>
      <c r="H185" s="14" t="str">
        <f t="shared" si="9"/>
        <v/>
      </c>
      <c r="I185" s="14" t="str">
        <f t="shared" si="10"/>
        <v/>
      </c>
      <c r="J185" s="15" t="str">
        <f t="shared" si="11"/>
        <v/>
      </c>
    </row>
    <row r="186" spans="1:10">
      <c r="A186" s="7" t="str">
        <f>IF(子基金及业绩基准周净值!A217="","",子基金及业绩基准周净值!A217)</f>
        <v/>
      </c>
      <c r="B186" s="1" t="str">
        <f>IF(A186="","",VLOOKUP($A186,子基金及业绩基准周净值!$A:$AV,16))</f>
        <v/>
      </c>
      <c r="C186" s="8" t="str">
        <f t="shared" si="8"/>
        <v/>
      </c>
      <c r="D186" s="9" t="str">
        <f>IF(A186="","",C186-子基金及业绩基准周净值!AI217)</f>
        <v/>
      </c>
      <c r="E186" s="12" t="str">
        <f>IF(A186="","",(MAX(B$3:B186)-B186)/MAX(B$3:B186))</f>
        <v/>
      </c>
      <c r="F186" s="12" t="str">
        <f>IF(A186="","",MAX(E$4:E186))</f>
        <v/>
      </c>
      <c r="H186" s="14" t="str">
        <f t="shared" si="9"/>
        <v/>
      </c>
      <c r="I186" s="14" t="str">
        <f t="shared" si="10"/>
        <v/>
      </c>
      <c r="J186" s="15" t="str">
        <f t="shared" si="11"/>
        <v/>
      </c>
    </row>
    <row r="187" spans="1:10">
      <c r="A187" s="7" t="str">
        <f>IF(子基金及业绩基准周净值!A218="","",子基金及业绩基准周净值!A218)</f>
        <v/>
      </c>
      <c r="B187" s="1" t="str">
        <f>IF(A187="","",VLOOKUP($A187,子基金及业绩基准周净值!$A:$AV,16))</f>
        <v/>
      </c>
      <c r="C187" s="8" t="str">
        <f t="shared" si="8"/>
        <v/>
      </c>
      <c r="D187" s="9" t="str">
        <f>IF(A187="","",C187-子基金及业绩基准周净值!AI218)</f>
        <v/>
      </c>
      <c r="E187" s="12" t="str">
        <f>IF(A187="","",(MAX(B$3:B187)-B187)/MAX(B$3:B187))</f>
        <v/>
      </c>
      <c r="F187" s="12" t="str">
        <f>IF(A187="","",MAX(E$4:E187))</f>
        <v/>
      </c>
      <c r="H187" s="14" t="str">
        <f t="shared" si="9"/>
        <v/>
      </c>
      <c r="I187" s="14" t="str">
        <f t="shared" si="10"/>
        <v/>
      </c>
      <c r="J187" s="15" t="str">
        <f t="shared" si="11"/>
        <v/>
      </c>
    </row>
    <row r="188" spans="1:10">
      <c r="A188" s="7" t="str">
        <f>IF(子基金及业绩基准周净值!A219="","",子基金及业绩基准周净值!A219)</f>
        <v/>
      </c>
      <c r="B188" s="1" t="str">
        <f>IF(A188="","",VLOOKUP($A188,子基金及业绩基准周净值!$A:$AV,16))</f>
        <v/>
      </c>
      <c r="C188" s="8" t="str">
        <f t="shared" si="8"/>
        <v/>
      </c>
      <c r="D188" s="9" t="str">
        <f>IF(A188="","",C188-子基金及业绩基准周净值!AI219)</f>
        <v/>
      </c>
      <c r="E188" s="12" t="str">
        <f>IF(A188="","",(MAX(B$3:B188)-B188)/MAX(B$3:B188))</f>
        <v/>
      </c>
      <c r="F188" s="12" t="str">
        <f>IF(A188="","",MAX(E$4:E188))</f>
        <v/>
      </c>
      <c r="H188" s="14" t="str">
        <f t="shared" si="9"/>
        <v/>
      </c>
      <c r="I188" s="14" t="str">
        <f t="shared" si="10"/>
        <v/>
      </c>
      <c r="J188" s="15" t="str">
        <f t="shared" si="11"/>
        <v/>
      </c>
    </row>
    <row r="189" spans="1:10">
      <c r="A189" s="7" t="str">
        <f>IF(子基金及业绩基准周净值!A220="","",子基金及业绩基准周净值!A220)</f>
        <v/>
      </c>
      <c r="B189" s="1" t="str">
        <f>IF(A189="","",VLOOKUP($A189,子基金及业绩基准周净值!$A:$AV,16))</f>
        <v/>
      </c>
      <c r="C189" s="8" t="str">
        <f t="shared" si="8"/>
        <v/>
      </c>
      <c r="D189" s="9" t="str">
        <f>IF(A189="","",C189-子基金及业绩基准周净值!AI220)</f>
        <v/>
      </c>
      <c r="E189" s="12" t="str">
        <f>IF(A189="","",(MAX(B$3:B189)-B189)/MAX(B$3:B189))</f>
        <v/>
      </c>
      <c r="F189" s="12" t="str">
        <f>IF(A189="","",MAX(E$4:E189))</f>
        <v/>
      </c>
      <c r="H189" s="14" t="str">
        <f t="shared" si="9"/>
        <v/>
      </c>
      <c r="I189" s="14" t="str">
        <f t="shared" si="10"/>
        <v/>
      </c>
      <c r="J189" s="15" t="str">
        <f t="shared" si="11"/>
        <v/>
      </c>
    </row>
    <row r="190" spans="1:10">
      <c r="A190" s="7" t="str">
        <f>IF(子基金及业绩基准周净值!A221="","",子基金及业绩基准周净值!A221)</f>
        <v/>
      </c>
      <c r="B190" s="1" t="str">
        <f>IF(A190="","",VLOOKUP($A190,子基金及业绩基准周净值!$A:$AV,16))</f>
        <v/>
      </c>
      <c r="C190" s="8" t="str">
        <f t="shared" si="8"/>
        <v/>
      </c>
      <c r="D190" s="9" t="str">
        <f>IF(A190="","",C190-子基金及业绩基准周净值!AI221)</f>
        <v/>
      </c>
      <c r="E190" s="12" t="str">
        <f>IF(A190="","",(MAX(B$3:B190)-B190)/MAX(B$3:B190))</f>
        <v/>
      </c>
      <c r="F190" s="12" t="str">
        <f>IF(A190="","",MAX(E$4:E190))</f>
        <v/>
      </c>
      <c r="H190" s="14" t="str">
        <f t="shared" si="9"/>
        <v/>
      </c>
      <c r="I190" s="14" t="str">
        <f t="shared" si="10"/>
        <v/>
      </c>
      <c r="J190" s="15" t="str">
        <f t="shared" si="11"/>
        <v/>
      </c>
    </row>
    <row r="191" spans="1:10">
      <c r="A191" s="7" t="str">
        <f>IF(子基金及业绩基准周净值!A222="","",子基金及业绩基准周净值!A222)</f>
        <v/>
      </c>
      <c r="B191" s="1" t="str">
        <f>IF(A191="","",VLOOKUP($A191,子基金及业绩基准周净值!$A:$AV,16))</f>
        <v/>
      </c>
      <c r="C191" s="8" t="str">
        <f t="shared" si="8"/>
        <v/>
      </c>
      <c r="D191" s="9" t="str">
        <f>IF(A191="","",C191-子基金及业绩基准周净值!AI222)</f>
        <v/>
      </c>
      <c r="E191" s="12" t="str">
        <f>IF(A191="","",(MAX(B$3:B191)-B191)/MAX(B$3:B191))</f>
        <v/>
      </c>
      <c r="F191" s="12" t="str">
        <f>IF(A191="","",MAX(E$4:E191))</f>
        <v/>
      </c>
      <c r="H191" s="14" t="str">
        <f t="shared" si="9"/>
        <v/>
      </c>
      <c r="I191" s="14" t="str">
        <f t="shared" si="10"/>
        <v/>
      </c>
      <c r="J191" s="15" t="str">
        <f t="shared" si="11"/>
        <v/>
      </c>
    </row>
    <row r="192" spans="1:10">
      <c r="A192" s="7" t="str">
        <f>IF(子基金及业绩基准周净值!A223="","",子基金及业绩基准周净值!A223)</f>
        <v/>
      </c>
      <c r="B192" s="1" t="str">
        <f>IF(A192="","",VLOOKUP($A192,子基金及业绩基准周净值!$A:$AV,16))</f>
        <v/>
      </c>
      <c r="C192" s="8" t="str">
        <f t="shared" si="8"/>
        <v/>
      </c>
      <c r="D192" s="9" t="str">
        <f>IF(A192="","",C192-子基金及业绩基准周净值!AI223)</f>
        <v/>
      </c>
      <c r="E192" s="12" t="str">
        <f>IF(A192="","",(MAX(B$3:B192)-B192)/MAX(B$3:B192))</f>
        <v/>
      </c>
      <c r="F192" s="12" t="str">
        <f>IF(A192="","",MAX(E$4:E192))</f>
        <v/>
      </c>
      <c r="H192" s="14" t="str">
        <f t="shared" si="9"/>
        <v/>
      </c>
      <c r="I192" s="14" t="str">
        <f t="shared" si="10"/>
        <v/>
      </c>
      <c r="J192" s="15" t="str">
        <f t="shared" si="11"/>
        <v/>
      </c>
    </row>
    <row r="193" spans="1:10">
      <c r="A193" s="7" t="str">
        <f>IF(子基金及业绩基准周净值!A224="","",子基金及业绩基准周净值!A224)</f>
        <v/>
      </c>
      <c r="B193" s="1" t="str">
        <f>IF(A193="","",VLOOKUP($A193,子基金及业绩基准周净值!$A:$AV,16))</f>
        <v/>
      </c>
      <c r="C193" s="8" t="str">
        <f t="shared" si="8"/>
        <v/>
      </c>
      <c r="D193" s="9" t="str">
        <f>IF(A193="","",C193-子基金及业绩基准周净值!AI224)</f>
        <v/>
      </c>
      <c r="E193" s="12" t="str">
        <f>IF(A193="","",(MAX(B$3:B193)-B193)/MAX(B$3:B193))</f>
        <v/>
      </c>
      <c r="F193" s="12" t="str">
        <f>IF(A193="","",MAX(E$4:E193))</f>
        <v/>
      </c>
      <c r="H193" s="14" t="str">
        <f t="shared" si="9"/>
        <v/>
      </c>
      <c r="I193" s="14" t="str">
        <f t="shared" si="10"/>
        <v/>
      </c>
      <c r="J193" s="15" t="str">
        <f t="shared" si="11"/>
        <v/>
      </c>
    </row>
    <row r="194" spans="1:10">
      <c r="A194" s="7" t="str">
        <f>IF(子基金及业绩基准周净值!A225="","",子基金及业绩基准周净值!A225)</f>
        <v/>
      </c>
      <c r="B194" s="1" t="str">
        <f>IF(A194="","",VLOOKUP($A194,子基金及业绩基准周净值!$A:$AV,16))</f>
        <v/>
      </c>
      <c r="C194" s="8" t="str">
        <f t="shared" si="8"/>
        <v/>
      </c>
      <c r="D194" s="9" t="str">
        <f>IF(A194="","",C194-子基金及业绩基准周净值!AI225)</f>
        <v/>
      </c>
      <c r="E194" s="12" t="str">
        <f>IF(A194="","",(MAX(B$3:B194)-B194)/MAX(B$3:B194))</f>
        <v/>
      </c>
      <c r="F194" s="12" t="str">
        <f>IF(A194="","",MAX(E$4:E194))</f>
        <v/>
      </c>
      <c r="H194" s="14" t="str">
        <f t="shared" si="9"/>
        <v/>
      </c>
      <c r="I194" s="14" t="str">
        <f t="shared" si="10"/>
        <v/>
      </c>
      <c r="J194" s="15" t="str">
        <f t="shared" si="11"/>
        <v/>
      </c>
    </row>
    <row r="195" spans="1:10">
      <c r="A195" s="7" t="str">
        <f>IF(子基金及业绩基准周净值!A226="","",子基金及业绩基准周净值!A226)</f>
        <v/>
      </c>
      <c r="B195" s="1" t="str">
        <f>IF(A195="","",VLOOKUP($A195,子基金及业绩基准周净值!$A:$AV,16))</f>
        <v/>
      </c>
      <c r="C195" s="8" t="str">
        <f t="shared" si="8"/>
        <v/>
      </c>
      <c r="D195" s="9" t="str">
        <f>IF(A195="","",C195-子基金及业绩基准周净值!AI226)</f>
        <v/>
      </c>
      <c r="E195" s="12" t="str">
        <f>IF(A195="","",(MAX(B$3:B195)-B195)/MAX(B$3:B195))</f>
        <v/>
      </c>
      <c r="F195" s="12" t="str">
        <f>IF(A195="","",MAX(E$4:E195))</f>
        <v/>
      </c>
      <c r="H195" s="14" t="str">
        <f t="shared" si="9"/>
        <v/>
      </c>
      <c r="I195" s="14" t="str">
        <f t="shared" si="10"/>
        <v/>
      </c>
      <c r="J195" s="15" t="str">
        <f t="shared" si="11"/>
        <v/>
      </c>
    </row>
    <row r="196" spans="1:10">
      <c r="A196" s="7" t="str">
        <f>IF(子基金及业绩基准周净值!A227="","",子基金及业绩基准周净值!A227)</f>
        <v/>
      </c>
      <c r="B196" s="1" t="str">
        <f>IF(A196="","",VLOOKUP($A196,子基金及业绩基准周净值!$A:$AV,16))</f>
        <v/>
      </c>
      <c r="C196" s="8" t="str">
        <f t="shared" si="8"/>
        <v/>
      </c>
      <c r="D196" s="9" t="str">
        <f>IF(A196="","",C196-子基金及业绩基准周净值!AI227)</f>
        <v/>
      </c>
      <c r="E196" s="12" t="str">
        <f>IF(A196="","",(MAX(B$3:B196)-B196)/MAX(B$3:B196))</f>
        <v/>
      </c>
      <c r="F196" s="12" t="str">
        <f>IF(A196="","",MAX(E$4:E196))</f>
        <v/>
      </c>
      <c r="H196" s="14" t="str">
        <f t="shared" si="9"/>
        <v/>
      </c>
      <c r="I196" s="14" t="str">
        <f t="shared" si="10"/>
        <v/>
      </c>
      <c r="J196" s="15" t="str">
        <f t="shared" si="11"/>
        <v/>
      </c>
    </row>
    <row r="197" spans="1:10">
      <c r="A197" s="7" t="str">
        <f>IF(子基金及业绩基准周净值!A228="","",子基金及业绩基准周净值!A228)</f>
        <v/>
      </c>
      <c r="B197" s="1" t="str">
        <f>IF(A197="","",VLOOKUP($A197,子基金及业绩基准周净值!$A:$AV,16))</f>
        <v/>
      </c>
      <c r="C197" s="8" t="str">
        <f t="shared" ref="C197:C260" si="12">IF(A197="","",(B197-B196)/B196)</f>
        <v/>
      </c>
      <c r="D197" s="9" t="str">
        <f>IF(A197="","",C197-子基金及业绩基准周净值!AI228)</f>
        <v/>
      </c>
      <c r="E197" s="12" t="str">
        <f>IF(A197="","",(MAX(B$3:B197)-B197)/MAX(B$3:B197))</f>
        <v/>
      </c>
      <c r="F197" s="12" t="str">
        <f>IF(A197="","",MAX(E$4:E197))</f>
        <v/>
      </c>
      <c r="H197" s="14" t="str">
        <f t="shared" ref="H197:H260" si="13">IF(B197="","",IF(C197&lt;-3%,"是","否"))</f>
        <v/>
      </c>
      <c r="I197" s="14" t="str">
        <f t="shared" ref="I197:I260" si="14">IF(A197="","",IF(F197&gt;5%,"是","否"))</f>
        <v/>
      </c>
      <c r="J197" s="15" t="str">
        <f t="shared" ref="J197:J260" si="15">IF(A197="","",IF(G197&gt;=4,"是","否"))</f>
        <v/>
      </c>
    </row>
    <row r="198" spans="1:10">
      <c r="A198" s="7" t="str">
        <f>IF(子基金及业绩基准周净值!A229="","",子基金及业绩基准周净值!A229)</f>
        <v/>
      </c>
      <c r="B198" s="1" t="str">
        <f>IF(A198="","",VLOOKUP($A198,子基金及业绩基准周净值!$A:$AV,16))</f>
        <v/>
      </c>
      <c r="C198" s="8" t="str">
        <f t="shared" si="12"/>
        <v/>
      </c>
      <c r="D198" s="9" t="str">
        <f>IF(A198="","",C198-子基金及业绩基准周净值!AI229)</f>
        <v/>
      </c>
      <c r="E198" s="12" t="str">
        <f>IF(A198="","",(MAX(B$3:B198)-B198)/MAX(B$3:B198))</f>
        <v/>
      </c>
      <c r="F198" s="12" t="str">
        <f>IF(A198="","",MAX(E$4:E198))</f>
        <v/>
      </c>
      <c r="H198" s="14" t="str">
        <f t="shared" si="13"/>
        <v/>
      </c>
      <c r="I198" s="14" t="str">
        <f t="shared" si="14"/>
        <v/>
      </c>
      <c r="J198" s="15" t="str">
        <f t="shared" si="15"/>
        <v/>
      </c>
    </row>
    <row r="199" spans="1:10">
      <c r="A199" s="7" t="str">
        <f>IF(子基金及业绩基准周净值!A230="","",子基金及业绩基准周净值!A230)</f>
        <v/>
      </c>
      <c r="B199" s="1" t="str">
        <f>IF(A199="","",VLOOKUP($A199,子基金及业绩基准周净值!$A:$AV,16))</f>
        <v/>
      </c>
      <c r="C199" s="8" t="str">
        <f t="shared" si="12"/>
        <v/>
      </c>
      <c r="D199" s="9" t="str">
        <f>IF(A199="","",C199-子基金及业绩基准周净值!AI230)</f>
        <v/>
      </c>
      <c r="E199" s="12" t="str">
        <f>IF(A199="","",(MAX(B$3:B199)-B199)/MAX(B$3:B199))</f>
        <v/>
      </c>
      <c r="F199" s="12" t="str">
        <f>IF(A199="","",MAX(E$4:E199))</f>
        <v/>
      </c>
      <c r="H199" s="14" t="str">
        <f t="shared" si="13"/>
        <v/>
      </c>
      <c r="I199" s="14" t="str">
        <f t="shared" si="14"/>
        <v/>
      </c>
      <c r="J199" s="15" t="str">
        <f t="shared" si="15"/>
        <v/>
      </c>
    </row>
    <row r="200" spans="1:10">
      <c r="A200" s="7" t="str">
        <f>IF(子基金及业绩基准周净值!A231="","",子基金及业绩基准周净值!A231)</f>
        <v/>
      </c>
      <c r="B200" s="1" t="str">
        <f>IF(A200="","",VLOOKUP($A200,子基金及业绩基准周净值!$A:$AV,16))</f>
        <v/>
      </c>
      <c r="C200" s="8" t="str">
        <f t="shared" si="12"/>
        <v/>
      </c>
      <c r="D200" s="9" t="str">
        <f>IF(A200="","",C200-子基金及业绩基准周净值!AI231)</f>
        <v/>
      </c>
      <c r="E200" s="12" t="str">
        <f>IF(A200="","",(MAX(B$3:B200)-B200)/MAX(B$3:B200))</f>
        <v/>
      </c>
      <c r="F200" s="12" t="str">
        <f>IF(A200="","",MAX(E$4:E200))</f>
        <v/>
      </c>
      <c r="H200" s="14" t="str">
        <f t="shared" si="13"/>
        <v/>
      </c>
      <c r="I200" s="14" t="str">
        <f t="shared" si="14"/>
        <v/>
      </c>
      <c r="J200" s="15" t="str">
        <f t="shared" si="15"/>
        <v/>
      </c>
    </row>
    <row r="201" spans="1:10">
      <c r="A201" s="7" t="str">
        <f>IF(子基金及业绩基准周净值!A232="","",子基金及业绩基准周净值!A232)</f>
        <v/>
      </c>
      <c r="B201" s="1" t="str">
        <f>IF(A201="","",VLOOKUP($A201,子基金及业绩基准周净值!$A:$AV,16))</f>
        <v/>
      </c>
      <c r="C201" s="8" t="str">
        <f t="shared" si="12"/>
        <v/>
      </c>
      <c r="D201" s="9" t="str">
        <f>IF(A201="","",C201-子基金及业绩基准周净值!AI232)</f>
        <v/>
      </c>
      <c r="E201" s="12" t="str">
        <f>IF(A201="","",(MAX(B$3:B201)-B201)/MAX(B$3:B201))</f>
        <v/>
      </c>
      <c r="F201" s="12" t="str">
        <f>IF(A201="","",MAX(E$4:E201))</f>
        <v/>
      </c>
      <c r="H201" s="14" t="str">
        <f t="shared" si="13"/>
        <v/>
      </c>
      <c r="I201" s="14" t="str">
        <f t="shared" si="14"/>
        <v/>
      </c>
      <c r="J201" s="15" t="str">
        <f t="shared" si="15"/>
        <v/>
      </c>
    </row>
    <row r="202" spans="1:10">
      <c r="A202" s="7" t="str">
        <f>IF(子基金及业绩基准周净值!A233="","",子基金及业绩基准周净值!A233)</f>
        <v/>
      </c>
      <c r="B202" s="1" t="str">
        <f>IF(A202="","",VLOOKUP($A202,子基金及业绩基准周净值!$A:$AV,16))</f>
        <v/>
      </c>
      <c r="C202" s="8" t="str">
        <f t="shared" si="12"/>
        <v/>
      </c>
      <c r="D202" s="9" t="str">
        <f>IF(A202="","",C202-子基金及业绩基准周净值!AI233)</f>
        <v/>
      </c>
      <c r="E202" s="12" t="str">
        <f>IF(A202="","",(MAX(B$3:B202)-B202)/MAX(B$3:B202))</f>
        <v/>
      </c>
      <c r="F202" s="12" t="str">
        <f>IF(A202="","",MAX(E$4:E202))</f>
        <v/>
      </c>
      <c r="H202" s="14" t="str">
        <f t="shared" si="13"/>
        <v/>
      </c>
      <c r="I202" s="14" t="str">
        <f t="shared" si="14"/>
        <v/>
      </c>
      <c r="J202" s="15" t="str">
        <f t="shared" si="15"/>
        <v/>
      </c>
    </row>
    <row r="203" spans="1:10">
      <c r="A203" s="7" t="str">
        <f>IF(子基金及业绩基准周净值!A234="","",子基金及业绩基准周净值!A234)</f>
        <v/>
      </c>
      <c r="B203" s="1" t="str">
        <f>IF(A203="","",VLOOKUP($A203,子基金及业绩基准周净值!$A:$AV,16))</f>
        <v/>
      </c>
      <c r="C203" s="8" t="str">
        <f t="shared" si="12"/>
        <v/>
      </c>
      <c r="D203" s="9" t="str">
        <f>IF(A203="","",C203-子基金及业绩基准周净值!AI234)</f>
        <v/>
      </c>
      <c r="E203" s="12" t="str">
        <f>IF(A203="","",(MAX(B$3:B203)-B203)/MAX(B$3:B203))</f>
        <v/>
      </c>
      <c r="F203" s="12" t="str">
        <f>IF(A203="","",MAX(E$4:E203))</f>
        <v/>
      </c>
      <c r="H203" s="14" t="str">
        <f t="shared" si="13"/>
        <v/>
      </c>
      <c r="I203" s="14" t="str">
        <f t="shared" si="14"/>
        <v/>
      </c>
      <c r="J203" s="15" t="str">
        <f t="shared" si="15"/>
        <v/>
      </c>
    </row>
    <row r="204" spans="1:10">
      <c r="A204" s="7" t="str">
        <f>IF(子基金及业绩基准周净值!A235="","",子基金及业绩基准周净值!A235)</f>
        <v/>
      </c>
      <c r="B204" s="1" t="str">
        <f>IF(A204="","",VLOOKUP($A204,子基金及业绩基准周净值!$A:$AV,16))</f>
        <v/>
      </c>
      <c r="C204" s="8" t="str">
        <f t="shared" si="12"/>
        <v/>
      </c>
      <c r="D204" s="9" t="str">
        <f>IF(A204="","",C204-子基金及业绩基准周净值!AI235)</f>
        <v/>
      </c>
      <c r="E204" s="12" t="str">
        <f>IF(A204="","",(MAX(B$3:B204)-B204)/MAX(B$3:B204))</f>
        <v/>
      </c>
      <c r="F204" s="12" t="str">
        <f>IF(A204="","",MAX(E$4:E204))</f>
        <v/>
      </c>
      <c r="H204" s="14" t="str">
        <f t="shared" si="13"/>
        <v/>
      </c>
      <c r="I204" s="14" t="str">
        <f t="shared" si="14"/>
        <v/>
      </c>
      <c r="J204" s="15" t="str">
        <f t="shared" si="15"/>
        <v/>
      </c>
    </row>
    <row r="205" spans="1:10">
      <c r="A205" s="7" t="str">
        <f>IF(子基金及业绩基准周净值!A236="","",子基金及业绩基准周净值!A236)</f>
        <v/>
      </c>
      <c r="B205" s="1" t="str">
        <f>IF(A205="","",VLOOKUP($A205,子基金及业绩基准周净值!$A:$AV,16))</f>
        <v/>
      </c>
      <c r="C205" s="8" t="str">
        <f t="shared" si="12"/>
        <v/>
      </c>
      <c r="D205" s="9" t="str">
        <f>IF(A205="","",C205-子基金及业绩基准周净值!AI236)</f>
        <v/>
      </c>
      <c r="E205" s="12" t="str">
        <f>IF(A205="","",(MAX(B$3:B205)-B205)/MAX(B$3:B205))</f>
        <v/>
      </c>
      <c r="F205" s="12" t="str">
        <f>IF(A205="","",MAX(E$4:E205))</f>
        <v/>
      </c>
      <c r="H205" s="14" t="str">
        <f t="shared" si="13"/>
        <v/>
      </c>
      <c r="I205" s="14" t="str">
        <f t="shared" si="14"/>
        <v/>
      </c>
      <c r="J205" s="15" t="str">
        <f t="shared" si="15"/>
        <v/>
      </c>
    </row>
    <row r="206" spans="1:10">
      <c r="A206" s="7" t="str">
        <f>IF(子基金及业绩基准周净值!A237="","",子基金及业绩基准周净值!A237)</f>
        <v/>
      </c>
      <c r="B206" s="1" t="str">
        <f>IF(A206="","",VLOOKUP($A206,子基金及业绩基准周净值!$A:$AV,16))</f>
        <v/>
      </c>
      <c r="C206" s="8" t="str">
        <f t="shared" si="12"/>
        <v/>
      </c>
      <c r="D206" s="9" t="str">
        <f>IF(A206="","",C206-子基金及业绩基准周净值!AI237)</f>
        <v/>
      </c>
      <c r="E206" s="12" t="str">
        <f>IF(A206="","",(MAX(B$3:B206)-B206)/MAX(B$3:B206))</f>
        <v/>
      </c>
      <c r="F206" s="12" t="str">
        <f>IF(A206="","",MAX(E$4:E206))</f>
        <v/>
      </c>
      <c r="H206" s="14" t="str">
        <f t="shared" si="13"/>
        <v/>
      </c>
      <c r="I206" s="14" t="str">
        <f t="shared" si="14"/>
        <v/>
      </c>
      <c r="J206" s="15" t="str">
        <f t="shared" si="15"/>
        <v/>
      </c>
    </row>
    <row r="207" spans="1:10">
      <c r="A207" s="7" t="str">
        <f>IF(子基金及业绩基准周净值!A238="","",子基金及业绩基准周净值!A238)</f>
        <v/>
      </c>
      <c r="B207" s="1" t="str">
        <f>IF(A207="","",VLOOKUP($A207,子基金及业绩基准周净值!$A:$AV,16))</f>
        <v/>
      </c>
      <c r="C207" s="8" t="str">
        <f t="shared" si="12"/>
        <v/>
      </c>
      <c r="D207" s="9" t="str">
        <f>IF(A207="","",C207-子基金及业绩基准周净值!AI238)</f>
        <v/>
      </c>
      <c r="E207" s="12" t="str">
        <f>IF(A207="","",(MAX(B$3:B207)-B207)/MAX(B$3:B207))</f>
        <v/>
      </c>
      <c r="F207" s="12" t="str">
        <f>IF(A207="","",MAX(E$4:E207))</f>
        <v/>
      </c>
      <c r="H207" s="14" t="str">
        <f t="shared" si="13"/>
        <v/>
      </c>
      <c r="I207" s="14" t="str">
        <f t="shared" si="14"/>
        <v/>
      </c>
      <c r="J207" s="15" t="str">
        <f t="shared" si="15"/>
        <v/>
      </c>
    </row>
    <row r="208" spans="1:10">
      <c r="A208" s="7" t="str">
        <f>IF(子基金及业绩基准周净值!A239="","",子基金及业绩基准周净值!A239)</f>
        <v/>
      </c>
      <c r="B208" s="1" t="str">
        <f>IF(A208="","",VLOOKUP($A208,子基金及业绩基准周净值!$A:$AV,16))</f>
        <v/>
      </c>
      <c r="C208" s="8" t="str">
        <f t="shared" si="12"/>
        <v/>
      </c>
      <c r="D208" s="9" t="str">
        <f>IF(A208="","",C208-子基金及业绩基准周净值!AI239)</f>
        <v/>
      </c>
      <c r="E208" s="12" t="str">
        <f>IF(A208="","",(MAX(B$3:B208)-B208)/MAX(B$3:B208))</f>
        <v/>
      </c>
      <c r="F208" s="12" t="str">
        <f>IF(A208="","",MAX(E$4:E208))</f>
        <v/>
      </c>
      <c r="H208" s="14" t="str">
        <f t="shared" si="13"/>
        <v/>
      </c>
      <c r="I208" s="14" t="str">
        <f t="shared" si="14"/>
        <v/>
      </c>
      <c r="J208" s="15" t="str">
        <f t="shared" si="15"/>
        <v/>
      </c>
    </row>
    <row r="209" spans="1:10">
      <c r="A209" s="7" t="str">
        <f>IF(子基金及业绩基准周净值!A240="","",子基金及业绩基准周净值!A240)</f>
        <v/>
      </c>
      <c r="B209" s="1" t="str">
        <f>IF(A209="","",VLOOKUP($A209,子基金及业绩基准周净值!$A:$AV,16))</f>
        <v/>
      </c>
      <c r="C209" s="8" t="str">
        <f t="shared" si="12"/>
        <v/>
      </c>
      <c r="D209" s="9" t="str">
        <f>IF(A209="","",C209-子基金及业绩基准周净值!AI240)</f>
        <v/>
      </c>
      <c r="E209" s="12" t="str">
        <f>IF(A209="","",(MAX(B$3:B209)-B209)/MAX(B$3:B209))</f>
        <v/>
      </c>
      <c r="F209" s="12" t="str">
        <f>IF(A209="","",MAX(E$4:E209))</f>
        <v/>
      </c>
      <c r="H209" s="14" t="str">
        <f t="shared" si="13"/>
        <v/>
      </c>
      <c r="I209" s="14" t="str">
        <f t="shared" si="14"/>
        <v/>
      </c>
      <c r="J209" s="15" t="str">
        <f t="shared" si="15"/>
        <v/>
      </c>
    </row>
    <row r="210" spans="1:10">
      <c r="A210" s="7" t="str">
        <f>IF(子基金及业绩基准周净值!A241="","",子基金及业绩基准周净值!A241)</f>
        <v/>
      </c>
      <c r="B210" s="1" t="str">
        <f>IF(A210="","",VLOOKUP($A210,子基金及业绩基准周净值!$A:$AV,16))</f>
        <v/>
      </c>
      <c r="C210" s="8" t="str">
        <f t="shared" si="12"/>
        <v/>
      </c>
      <c r="D210" s="9" t="str">
        <f>IF(A210="","",C210-子基金及业绩基准周净值!AI241)</f>
        <v/>
      </c>
      <c r="E210" s="12" t="str">
        <f>IF(A210="","",(MAX(B$3:B210)-B210)/MAX(B$3:B210))</f>
        <v/>
      </c>
      <c r="F210" s="12" t="str">
        <f>IF(A210="","",MAX(E$4:E210))</f>
        <v/>
      </c>
      <c r="H210" s="14" t="str">
        <f t="shared" si="13"/>
        <v/>
      </c>
      <c r="I210" s="14" t="str">
        <f t="shared" si="14"/>
        <v/>
      </c>
      <c r="J210" s="15" t="str">
        <f t="shared" si="15"/>
        <v/>
      </c>
    </row>
    <row r="211" spans="1:10">
      <c r="A211" s="7" t="str">
        <f>IF(子基金及业绩基准周净值!A242="","",子基金及业绩基准周净值!A242)</f>
        <v/>
      </c>
      <c r="B211" s="1" t="str">
        <f>IF(A211="","",VLOOKUP($A211,子基金及业绩基准周净值!$A:$AV,16))</f>
        <v/>
      </c>
      <c r="C211" s="8" t="str">
        <f t="shared" si="12"/>
        <v/>
      </c>
      <c r="D211" s="9" t="str">
        <f>IF(A211="","",C211-子基金及业绩基准周净值!AI242)</f>
        <v/>
      </c>
      <c r="E211" s="12" t="str">
        <f>IF(A211="","",(MAX(B$3:B211)-B211)/MAX(B$3:B211))</f>
        <v/>
      </c>
      <c r="F211" s="12" t="str">
        <f>IF(A211="","",MAX(E$4:E211))</f>
        <v/>
      </c>
      <c r="H211" s="14" t="str">
        <f t="shared" si="13"/>
        <v/>
      </c>
      <c r="I211" s="14" t="str">
        <f t="shared" si="14"/>
        <v/>
      </c>
      <c r="J211" s="15" t="str">
        <f t="shared" si="15"/>
        <v/>
      </c>
    </row>
    <row r="212" spans="1:10">
      <c r="A212" s="7" t="str">
        <f>IF(子基金及业绩基准周净值!A243="","",子基金及业绩基准周净值!A243)</f>
        <v/>
      </c>
      <c r="B212" s="1" t="str">
        <f>IF(A212="","",VLOOKUP($A212,子基金及业绩基准周净值!$A:$AV,16))</f>
        <v/>
      </c>
      <c r="C212" s="8" t="str">
        <f t="shared" si="12"/>
        <v/>
      </c>
      <c r="D212" s="9" t="str">
        <f>IF(A212="","",C212-子基金及业绩基准周净值!AI243)</f>
        <v/>
      </c>
      <c r="E212" s="12" t="str">
        <f>IF(A212="","",(MAX(B$3:B212)-B212)/MAX(B$3:B212))</f>
        <v/>
      </c>
      <c r="F212" s="12" t="str">
        <f>IF(A212="","",MAX(E$4:E212))</f>
        <v/>
      </c>
      <c r="H212" s="14" t="str">
        <f t="shared" si="13"/>
        <v/>
      </c>
      <c r="I212" s="14" t="str">
        <f t="shared" si="14"/>
        <v/>
      </c>
      <c r="J212" s="15" t="str">
        <f t="shared" si="15"/>
        <v/>
      </c>
    </row>
    <row r="213" spans="1:10">
      <c r="A213" s="7" t="str">
        <f>IF(子基金及业绩基准周净值!A244="","",子基金及业绩基准周净值!A244)</f>
        <v/>
      </c>
      <c r="B213" s="1" t="str">
        <f>IF(A213="","",VLOOKUP($A213,子基金及业绩基准周净值!$A:$AV,16))</f>
        <v/>
      </c>
      <c r="C213" s="8" t="str">
        <f t="shared" si="12"/>
        <v/>
      </c>
      <c r="D213" s="9" t="str">
        <f>IF(A213="","",C213-子基金及业绩基准周净值!AI244)</f>
        <v/>
      </c>
      <c r="E213" s="12" t="str">
        <f>IF(A213="","",(MAX(B$3:B213)-B213)/MAX(B$3:B213))</f>
        <v/>
      </c>
      <c r="F213" s="12" t="str">
        <f>IF(A213="","",MAX(E$4:E213))</f>
        <v/>
      </c>
      <c r="H213" s="14" t="str">
        <f t="shared" si="13"/>
        <v/>
      </c>
      <c r="I213" s="14" t="str">
        <f t="shared" si="14"/>
        <v/>
      </c>
      <c r="J213" s="15" t="str">
        <f t="shared" si="15"/>
        <v/>
      </c>
    </row>
    <row r="214" spans="1:10">
      <c r="A214" s="7" t="str">
        <f>IF(子基金及业绩基准周净值!A245="","",子基金及业绩基准周净值!A245)</f>
        <v/>
      </c>
      <c r="B214" s="1" t="str">
        <f>IF(A214="","",VLOOKUP($A214,子基金及业绩基准周净值!$A:$AV,16))</f>
        <v/>
      </c>
      <c r="C214" s="8" t="str">
        <f t="shared" si="12"/>
        <v/>
      </c>
      <c r="D214" s="9" t="str">
        <f>IF(A214="","",C214-子基金及业绩基准周净值!AI245)</f>
        <v/>
      </c>
      <c r="E214" s="12" t="str">
        <f>IF(A214="","",(MAX(B$3:B214)-B214)/MAX(B$3:B214))</f>
        <v/>
      </c>
      <c r="F214" s="12" t="str">
        <f>IF(A214="","",MAX(E$4:E214))</f>
        <v/>
      </c>
      <c r="H214" s="14" t="str">
        <f t="shared" si="13"/>
        <v/>
      </c>
      <c r="I214" s="14" t="str">
        <f t="shared" si="14"/>
        <v/>
      </c>
      <c r="J214" s="15" t="str">
        <f t="shared" si="15"/>
        <v/>
      </c>
    </row>
    <row r="215" spans="1:10">
      <c r="A215" s="7" t="str">
        <f>IF(子基金及业绩基准周净值!A246="","",子基金及业绩基准周净值!A246)</f>
        <v/>
      </c>
      <c r="B215" s="1" t="str">
        <f>IF(A215="","",VLOOKUP($A215,子基金及业绩基准周净值!$A:$AV,16))</f>
        <v/>
      </c>
      <c r="C215" s="8" t="str">
        <f t="shared" si="12"/>
        <v/>
      </c>
      <c r="D215" s="9" t="str">
        <f>IF(A215="","",C215-子基金及业绩基准周净值!AI246)</f>
        <v/>
      </c>
      <c r="E215" s="12" t="str">
        <f>IF(A215="","",(MAX(B$3:B215)-B215)/MAX(B$3:B215))</f>
        <v/>
      </c>
      <c r="F215" s="12" t="str">
        <f>IF(A215="","",MAX(E$4:E215))</f>
        <v/>
      </c>
      <c r="H215" s="14" t="str">
        <f t="shared" si="13"/>
        <v/>
      </c>
      <c r="I215" s="14" t="str">
        <f t="shared" si="14"/>
        <v/>
      </c>
      <c r="J215" s="15" t="str">
        <f t="shared" si="15"/>
        <v/>
      </c>
    </row>
    <row r="216" spans="1:10">
      <c r="A216" s="7" t="str">
        <f>IF(子基金及业绩基准周净值!A247="","",子基金及业绩基准周净值!A247)</f>
        <v/>
      </c>
      <c r="B216" s="1" t="str">
        <f>IF(A216="","",VLOOKUP($A216,子基金及业绩基准周净值!$A:$AV,16))</f>
        <v/>
      </c>
      <c r="C216" s="8" t="str">
        <f t="shared" si="12"/>
        <v/>
      </c>
      <c r="D216" s="9" t="str">
        <f>IF(A216="","",C216-子基金及业绩基准周净值!AI247)</f>
        <v/>
      </c>
      <c r="E216" s="12" t="str">
        <f>IF(A216="","",(MAX(B$3:B216)-B216)/MAX(B$3:B216))</f>
        <v/>
      </c>
      <c r="F216" s="12" t="str">
        <f>IF(A216="","",MAX(E$4:E216))</f>
        <v/>
      </c>
      <c r="H216" s="14" t="str">
        <f t="shared" si="13"/>
        <v/>
      </c>
      <c r="I216" s="14" t="str">
        <f t="shared" si="14"/>
        <v/>
      </c>
      <c r="J216" s="15" t="str">
        <f t="shared" si="15"/>
        <v/>
      </c>
    </row>
    <row r="217" spans="1:10">
      <c r="A217" s="7" t="str">
        <f>IF(子基金及业绩基准周净值!A248="","",子基金及业绩基准周净值!A248)</f>
        <v/>
      </c>
      <c r="B217" s="1" t="str">
        <f>IF(A217="","",VLOOKUP($A217,子基金及业绩基准周净值!$A:$AV,16))</f>
        <v/>
      </c>
      <c r="C217" s="8" t="str">
        <f t="shared" si="12"/>
        <v/>
      </c>
      <c r="D217" s="9" t="str">
        <f>IF(A217="","",C217-子基金及业绩基准周净值!AI248)</f>
        <v/>
      </c>
      <c r="E217" s="12" t="str">
        <f>IF(A217="","",(MAX(B$3:B217)-B217)/MAX(B$3:B217))</f>
        <v/>
      </c>
      <c r="F217" s="12" t="str">
        <f>IF(A217="","",MAX(E$4:E217))</f>
        <v/>
      </c>
      <c r="H217" s="14" t="str">
        <f t="shared" si="13"/>
        <v/>
      </c>
      <c r="I217" s="14" t="str">
        <f t="shared" si="14"/>
        <v/>
      </c>
      <c r="J217" s="15" t="str">
        <f t="shared" si="15"/>
        <v/>
      </c>
    </row>
    <row r="218" spans="1:10">
      <c r="A218" s="7" t="str">
        <f>IF(子基金及业绩基准周净值!A249="","",子基金及业绩基准周净值!A249)</f>
        <v/>
      </c>
      <c r="B218" s="1" t="str">
        <f>IF(A218="","",VLOOKUP($A218,子基金及业绩基准周净值!$A:$AV,16))</f>
        <v/>
      </c>
      <c r="C218" s="8" t="str">
        <f t="shared" si="12"/>
        <v/>
      </c>
      <c r="D218" s="9" t="str">
        <f>IF(A218="","",C218-子基金及业绩基准周净值!AI249)</f>
        <v/>
      </c>
      <c r="E218" s="12" t="str">
        <f>IF(A218="","",(MAX(B$3:B218)-B218)/MAX(B$3:B218))</f>
        <v/>
      </c>
      <c r="F218" s="12" t="str">
        <f>IF(A218="","",MAX(E$4:E218))</f>
        <v/>
      </c>
      <c r="H218" s="14" t="str">
        <f t="shared" si="13"/>
        <v/>
      </c>
      <c r="I218" s="14" t="str">
        <f t="shared" si="14"/>
        <v/>
      </c>
      <c r="J218" s="15" t="str">
        <f t="shared" si="15"/>
        <v/>
      </c>
    </row>
    <row r="219" spans="1:10">
      <c r="A219" s="7" t="str">
        <f>IF(子基金及业绩基准周净值!A250="","",子基金及业绩基准周净值!A250)</f>
        <v/>
      </c>
      <c r="B219" s="1" t="str">
        <f>IF(A219="","",VLOOKUP($A219,子基金及业绩基准周净值!$A:$AV,16))</f>
        <v/>
      </c>
      <c r="C219" s="8" t="str">
        <f t="shared" si="12"/>
        <v/>
      </c>
      <c r="D219" s="9" t="str">
        <f>IF(A219="","",C219-子基金及业绩基准周净值!AI250)</f>
        <v/>
      </c>
      <c r="E219" s="12" t="str">
        <f>IF(A219="","",(MAX(B$3:B219)-B219)/MAX(B$3:B219))</f>
        <v/>
      </c>
      <c r="F219" s="12" t="str">
        <f>IF(A219="","",MAX(E$4:E219))</f>
        <v/>
      </c>
      <c r="H219" s="14" t="str">
        <f t="shared" si="13"/>
        <v/>
      </c>
      <c r="I219" s="14" t="str">
        <f t="shared" si="14"/>
        <v/>
      </c>
      <c r="J219" s="15" t="str">
        <f t="shared" si="15"/>
        <v/>
      </c>
    </row>
    <row r="220" spans="1:10">
      <c r="A220" s="7" t="str">
        <f>IF(子基金及业绩基准周净值!A251="","",子基金及业绩基准周净值!A251)</f>
        <v/>
      </c>
      <c r="B220" s="1" t="str">
        <f>IF(A220="","",VLOOKUP($A220,子基金及业绩基准周净值!$A:$AV,16))</f>
        <v/>
      </c>
      <c r="C220" s="8" t="str">
        <f t="shared" si="12"/>
        <v/>
      </c>
      <c r="D220" s="9" t="str">
        <f>IF(A220="","",C220-子基金及业绩基准周净值!AI251)</f>
        <v/>
      </c>
      <c r="E220" s="12" t="str">
        <f>IF(A220="","",(MAX(B$3:B220)-B220)/MAX(B$3:B220))</f>
        <v/>
      </c>
      <c r="F220" s="12" t="str">
        <f>IF(A220="","",MAX(E$4:E220))</f>
        <v/>
      </c>
      <c r="H220" s="14" t="str">
        <f t="shared" si="13"/>
        <v/>
      </c>
      <c r="I220" s="14" t="str">
        <f t="shared" si="14"/>
        <v/>
      </c>
      <c r="J220" s="15" t="str">
        <f t="shared" si="15"/>
        <v/>
      </c>
    </row>
    <row r="221" spans="1:10">
      <c r="A221" s="7" t="str">
        <f>IF(子基金及业绩基准周净值!A252="","",子基金及业绩基准周净值!A252)</f>
        <v/>
      </c>
      <c r="B221" s="1" t="str">
        <f>IF(A221="","",VLOOKUP($A221,子基金及业绩基准周净值!$A:$AV,16))</f>
        <v/>
      </c>
      <c r="C221" s="8" t="str">
        <f t="shared" si="12"/>
        <v/>
      </c>
      <c r="D221" s="9" t="str">
        <f>IF(A221="","",C221-子基金及业绩基准周净值!AI252)</f>
        <v/>
      </c>
      <c r="E221" s="12" t="str">
        <f>IF(A221="","",(MAX(B$3:B221)-B221)/MAX(B$3:B221))</f>
        <v/>
      </c>
      <c r="F221" s="12" t="str">
        <f>IF(A221="","",MAX(E$4:E221))</f>
        <v/>
      </c>
      <c r="H221" s="14" t="str">
        <f t="shared" si="13"/>
        <v/>
      </c>
      <c r="I221" s="14" t="str">
        <f t="shared" si="14"/>
        <v/>
      </c>
      <c r="J221" s="15" t="str">
        <f t="shared" si="15"/>
        <v/>
      </c>
    </row>
    <row r="222" spans="1:10">
      <c r="A222" s="7" t="str">
        <f>IF(子基金及业绩基准周净值!A253="","",子基金及业绩基准周净值!A253)</f>
        <v/>
      </c>
      <c r="B222" s="1" t="str">
        <f>IF(A222="","",VLOOKUP($A222,子基金及业绩基准周净值!$A:$AV,16))</f>
        <v/>
      </c>
      <c r="C222" s="8" t="str">
        <f t="shared" si="12"/>
        <v/>
      </c>
      <c r="D222" s="9" t="str">
        <f>IF(A222="","",C222-子基金及业绩基准周净值!AI253)</f>
        <v/>
      </c>
      <c r="E222" s="12" t="str">
        <f>IF(A222="","",(MAX(B$3:B222)-B222)/MAX(B$3:B222))</f>
        <v/>
      </c>
      <c r="F222" s="12" t="str">
        <f>IF(A222="","",MAX(E$4:E222))</f>
        <v/>
      </c>
      <c r="H222" s="14" t="str">
        <f t="shared" si="13"/>
        <v/>
      </c>
      <c r="I222" s="14" t="str">
        <f t="shared" si="14"/>
        <v/>
      </c>
      <c r="J222" s="15" t="str">
        <f t="shared" si="15"/>
        <v/>
      </c>
    </row>
    <row r="223" spans="1:10">
      <c r="A223" s="7" t="str">
        <f>IF(子基金及业绩基准周净值!A254="","",子基金及业绩基准周净值!A254)</f>
        <v/>
      </c>
      <c r="B223" s="1" t="str">
        <f>IF(A223="","",VLOOKUP($A223,子基金及业绩基准周净值!$A:$AV,16))</f>
        <v/>
      </c>
      <c r="C223" s="8" t="str">
        <f t="shared" si="12"/>
        <v/>
      </c>
      <c r="D223" s="9" t="str">
        <f>IF(A223="","",C223-子基金及业绩基准周净值!AI254)</f>
        <v/>
      </c>
      <c r="E223" s="12" t="str">
        <f>IF(A223="","",(MAX(B$3:B223)-B223)/MAX(B$3:B223))</f>
        <v/>
      </c>
      <c r="F223" s="12" t="str">
        <f>IF(A223="","",MAX(E$4:E223))</f>
        <v/>
      </c>
      <c r="H223" s="14" t="str">
        <f t="shared" si="13"/>
        <v/>
      </c>
      <c r="I223" s="14" t="str">
        <f t="shared" si="14"/>
        <v/>
      </c>
      <c r="J223" s="15" t="str">
        <f t="shared" si="15"/>
        <v/>
      </c>
    </row>
    <row r="224" spans="1:10">
      <c r="A224" s="7" t="str">
        <f>IF(子基金及业绩基准周净值!A255="","",子基金及业绩基准周净值!A255)</f>
        <v/>
      </c>
      <c r="B224" s="1" t="str">
        <f>IF(A224="","",VLOOKUP($A224,子基金及业绩基准周净值!$A:$AV,16))</f>
        <v/>
      </c>
      <c r="C224" s="8" t="str">
        <f t="shared" si="12"/>
        <v/>
      </c>
      <c r="D224" s="9" t="str">
        <f>IF(A224="","",C224-子基金及业绩基准周净值!AI255)</f>
        <v/>
      </c>
      <c r="E224" s="12" t="str">
        <f>IF(A224="","",(MAX(B$3:B224)-B224)/MAX(B$3:B224))</f>
        <v/>
      </c>
      <c r="F224" s="12" t="str">
        <f>IF(A224="","",MAX(E$4:E224))</f>
        <v/>
      </c>
      <c r="H224" s="14" t="str">
        <f t="shared" si="13"/>
        <v/>
      </c>
      <c r="I224" s="14" t="str">
        <f t="shared" si="14"/>
        <v/>
      </c>
      <c r="J224" s="15" t="str">
        <f t="shared" si="15"/>
        <v/>
      </c>
    </row>
    <row r="225" spans="1:10">
      <c r="A225" s="7" t="str">
        <f>IF(子基金及业绩基准周净值!A256="","",子基金及业绩基准周净值!A256)</f>
        <v/>
      </c>
      <c r="B225" s="1" t="str">
        <f>IF(A225="","",VLOOKUP($A225,子基金及业绩基准周净值!$A:$AV,16))</f>
        <v/>
      </c>
      <c r="C225" s="8" t="str">
        <f t="shared" si="12"/>
        <v/>
      </c>
      <c r="D225" s="9" t="str">
        <f>IF(A225="","",C225-子基金及业绩基准周净值!AI256)</f>
        <v/>
      </c>
      <c r="E225" s="12" t="str">
        <f>IF(A225="","",(MAX(B$3:B225)-B225)/MAX(B$3:B225))</f>
        <v/>
      </c>
      <c r="F225" s="12" t="str">
        <f>IF(A225="","",MAX(E$4:E225))</f>
        <v/>
      </c>
      <c r="H225" s="14" t="str">
        <f t="shared" si="13"/>
        <v/>
      </c>
      <c r="I225" s="14" t="str">
        <f t="shared" si="14"/>
        <v/>
      </c>
      <c r="J225" s="15" t="str">
        <f t="shared" si="15"/>
        <v/>
      </c>
    </row>
    <row r="226" spans="1:10">
      <c r="A226" s="7" t="str">
        <f>IF(子基金及业绩基准周净值!A257="","",子基金及业绩基准周净值!A257)</f>
        <v/>
      </c>
      <c r="B226" s="1" t="str">
        <f>IF(A226="","",VLOOKUP($A226,子基金及业绩基准周净值!$A:$AV,16))</f>
        <v/>
      </c>
      <c r="C226" s="8" t="str">
        <f t="shared" si="12"/>
        <v/>
      </c>
      <c r="D226" s="9" t="str">
        <f>IF(A226="","",C226-子基金及业绩基准周净值!AI257)</f>
        <v/>
      </c>
      <c r="E226" s="12" t="str">
        <f>IF(A226="","",(MAX(B$3:B226)-B226)/MAX(B$3:B226))</f>
        <v/>
      </c>
      <c r="F226" s="12" t="str">
        <f>IF(A226="","",MAX(E$4:E226))</f>
        <v/>
      </c>
      <c r="H226" s="14" t="str">
        <f t="shared" si="13"/>
        <v/>
      </c>
      <c r="I226" s="14" t="str">
        <f t="shared" si="14"/>
        <v/>
      </c>
      <c r="J226" s="15" t="str">
        <f t="shared" si="15"/>
        <v/>
      </c>
    </row>
    <row r="227" spans="1:10">
      <c r="A227" s="7" t="str">
        <f>IF(子基金及业绩基准周净值!A258="","",子基金及业绩基准周净值!A258)</f>
        <v/>
      </c>
      <c r="B227" s="1" t="str">
        <f>IF(A227="","",VLOOKUP($A227,子基金及业绩基准周净值!$A:$AV,16))</f>
        <v/>
      </c>
      <c r="C227" s="8" t="str">
        <f t="shared" si="12"/>
        <v/>
      </c>
      <c r="D227" s="9" t="str">
        <f>IF(A227="","",C227-子基金及业绩基准周净值!AI258)</f>
        <v/>
      </c>
      <c r="E227" s="12" t="str">
        <f>IF(A227="","",(MAX(B$3:B227)-B227)/MAX(B$3:B227))</f>
        <v/>
      </c>
      <c r="F227" s="12" t="str">
        <f>IF(A227="","",MAX(E$4:E227))</f>
        <v/>
      </c>
      <c r="H227" s="14" t="str">
        <f t="shared" si="13"/>
        <v/>
      </c>
      <c r="I227" s="14" t="str">
        <f t="shared" si="14"/>
        <v/>
      </c>
      <c r="J227" s="15" t="str">
        <f t="shared" si="15"/>
        <v/>
      </c>
    </row>
    <row r="228" spans="1:10">
      <c r="A228" s="7" t="str">
        <f>IF(子基金及业绩基准周净值!A259="","",子基金及业绩基准周净值!A259)</f>
        <v/>
      </c>
      <c r="B228" s="1" t="str">
        <f>IF(A228="","",VLOOKUP($A228,子基金及业绩基准周净值!$A:$AV,16))</f>
        <v/>
      </c>
      <c r="C228" s="8" t="str">
        <f t="shared" si="12"/>
        <v/>
      </c>
      <c r="D228" s="9" t="str">
        <f>IF(A228="","",C228-子基金及业绩基准周净值!AI259)</f>
        <v/>
      </c>
      <c r="E228" s="12" t="str">
        <f>IF(A228="","",(MAX(B$3:B228)-B228)/MAX(B$3:B228))</f>
        <v/>
      </c>
      <c r="F228" s="12" t="str">
        <f>IF(A228="","",MAX(E$4:E228))</f>
        <v/>
      </c>
      <c r="H228" s="14" t="str">
        <f t="shared" si="13"/>
        <v/>
      </c>
      <c r="I228" s="14" t="str">
        <f t="shared" si="14"/>
        <v/>
      </c>
      <c r="J228" s="15" t="str">
        <f t="shared" si="15"/>
        <v/>
      </c>
    </row>
    <row r="229" spans="1:10">
      <c r="A229" s="7" t="str">
        <f>IF(子基金及业绩基准周净值!A260="","",子基金及业绩基准周净值!A260)</f>
        <v/>
      </c>
      <c r="B229" s="1" t="str">
        <f>IF(A229="","",VLOOKUP($A229,子基金及业绩基准周净值!$A:$AV,16))</f>
        <v/>
      </c>
      <c r="C229" s="8" t="str">
        <f t="shared" si="12"/>
        <v/>
      </c>
      <c r="D229" s="9" t="str">
        <f>IF(A229="","",C229-子基金及业绩基准周净值!AI260)</f>
        <v/>
      </c>
      <c r="E229" s="12" t="str">
        <f>IF(A229="","",(MAX(B$3:B229)-B229)/MAX(B$3:B229))</f>
        <v/>
      </c>
      <c r="F229" s="12" t="str">
        <f>IF(A229="","",MAX(E$4:E229))</f>
        <v/>
      </c>
      <c r="H229" s="14" t="str">
        <f t="shared" si="13"/>
        <v/>
      </c>
      <c r="I229" s="14" t="str">
        <f t="shared" si="14"/>
        <v/>
      </c>
      <c r="J229" s="15" t="str">
        <f t="shared" si="15"/>
        <v/>
      </c>
    </row>
    <row r="230" spans="1:10">
      <c r="A230" s="7" t="str">
        <f>IF(子基金及业绩基准周净值!A261="","",子基金及业绩基准周净值!A261)</f>
        <v/>
      </c>
      <c r="B230" s="1" t="str">
        <f>IF(A230="","",VLOOKUP($A230,子基金及业绩基准周净值!$A:$AV,16))</f>
        <v/>
      </c>
      <c r="C230" s="8" t="str">
        <f t="shared" si="12"/>
        <v/>
      </c>
      <c r="D230" s="9" t="str">
        <f>IF(A230="","",C230-子基金及业绩基准周净值!AI261)</f>
        <v/>
      </c>
      <c r="E230" s="12" t="str">
        <f>IF(A230="","",(MAX(B$3:B230)-B230)/MAX(B$3:B230))</f>
        <v/>
      </c>
      <c r="F230" s="12" t="str">
        <f>IF(A230="","",MAX(E$4:E230))</f>
        <v/>
      </c>
      <c r="H230" s="14" t="str">
        <f t="shared" si="13"/>
        <v/>
      </c>
      <c r="I230" s="14" t="str">
        <f t="shared" si="14"/>
        <v/>
      </c>
      <c r="J230" s="15" t="str">
        <f t="shared" si="15"/>
        <v/>
      </c>
    </row>
    <row r="231" spans="1:10">
      <c r="A231" s="7" t="str">
        <f>IF(子基金及业绩基准周净值!A262="","",子基金及业绩基准周净值!A262)</f>
        <v/>
      </c>
      <c r="B231" s="1" t="str">
        <f>IF(A231="","",VLOOKUP($A231,子基金及业绩基准周净值!$A:$AV,16))</f>
        <v/>
      </c>
      <c r="C231" s="8" t="str">
        <f t="shared" si="12"/>
        <v/>
      </c>
      <c r="D231" s="9" t="str">
        <f>IF(A231="","",C231-子基金及业绩基准周净值!AI262)</f>
        <v/>
      </c>
      <c r="E231" s="12" t="str">
        <f>IF(A231="","",(MAX(B$3:B231)-B231)/MAX(B$3:B231))</f>
        <v/>
      </c>
      <c r="F231" s="12" t="str">
        <f>IF(A231="","",MAX(E$4:E231))</f>
        <v/>
      </c>
      <c r="H231" s="14" t="str">
        <f t="shared" si="13"/>
        <v/>
      </c>
      <c r="I231" s="14" t="str">
        <f t="shared" si="14"/>
        <v/>
      </c>
      <c r="J231" s="15" t="str">
        <f t="shared" si="15"/>
        <v/>
      </c>
    </row>
    <row r="232" spans="1:10">
      <c r="A232" s="7" t="str">
        <f>IF(子基金及业绩基准周净值!A263="","",子基金及业绩基准周净值!A263)</f>
        <v/>
      </c>
      <c r="B232" s="1" t="str">
        <f>IF(A232="","",VLOOKUP($A232,子基金及业绩基准周净值!$A:$AV,16))</f>
        <v/>
      </c>
      <c r="C232" s="8" t="str">
        <f t="shared" si="12"/>
        <v/>
      </c>
      <c r="D232" s="9" t="str">
        <f>IF(A232="","",C232-子基金及业绩基准周净值!AI263)</f>
        <v/>
      </c>
      <c r="E232" s="12" t="str">
        <f>IF(A232="","",(MAX(B$3:B232)-B232)/MAX(B$3:B232))</f>
        <v/>
      </c>
      <c r="F232" s="12" t="str">
        <f>IF(A232="","",MAX(E$4:E232))</f>
        <v/>
      </c>
      <c r="H232" s="14" t="str">
        <f t="shared" si="13"/>
        <v/>
      </c>
      <c r="I232" s="14" t="str">
        <f t="shared" si="14"/>
        <v/>
      </c>
      <c r="J232" s="15" t="str">
        <f t="shared" si="15"/>
        <v/>
      </c>
    </row>
    <row r="233" spans="1:10">
      <c r="A233" s="7" t="str">
        <f>IF(子基金及业绩基准周净值!A264="","",子基金及业绩基准周净值!A264)</f>
        <v/>
      </c>
      <c r="B233" s="1" t="str">
        <f>IF(A233="","",VLOOKUP($A233,子基金及业绩基准周净值!$A:$AV,16))</f>
        <v/>
      </c>
      <c r="C233" s="8" t="str">
        <f t="shared" si="12"/>
        <v/>
      </c>
      <c r="D233" s="9" t="str">
        <f>IF(A233="","",C233-子基金及业绩基准周净值!AI264)</f>
        <v/>
      </c>
      <c r="E233" s="12" t="str">
        <f>IF(A233="","",(MAX(B$3:B233)-B233)/MAX(B$3:B233))</f>
        <v/>
      </c>
      <c r="F233" s="12" t="str">
        <f>IF(A233="","",MAX(E$4:E233))</f>
        <v/>
      </c>
      <c r="H233" s="14" t="str">
        <f t="shared" si="13"/>
        <v/>
      </c>
      <c r="I233" s="14" t="str">
        <f t="shared" si="14"/>
        <v/>
      </c>
      <c r="J233" s="15" t="str">
        <f t="shared" si="15"/>
        <v/>
      </c>
    </row>
    <row r="234" spans="1:10">
      <c r="A234" s="7" t="str">
        <f>IF(子基金及业绩基准周净值!A265="","",子基金及业绩基准周净值!A265)</f>
        <v/>
      </c>
      <c r="B234" s="1" t="str">
        <f>IF(A234="","",VLOOKUP($A234,子基金及业绩基准周净值!$A:$AV,16))</f>
        <v/>
      </c>
      <c r="C234" s="8" t="str">
        <f t="shared" si="12"/>
        <v/>
      </c>
      <c r="D234" s="9" t="str">
        <f>IF(A234="","",C234-子基金及业绩基准周净值!AI265)</f>
        <v/>
      </c>
      <c r="E234" s="12" t="str">
        <f>IF(A234="","",(MAX(B$3:B234)-B234)/MAX(B$3:B234))</f>
        <v/>
      </c>
      <c r="F234" s="12" t="str">
        <f>IF(A234="","",MAX(E$4:E234))</f>
        <v/>
      </c>
      <c r="H234" s="14" t="str">
        <f t="shared" si="13"/>
        <v/>
      </c>
      <c r="I234" s="14" t="str">
        <f t="shared" si="14"/>
        <v/>
      </c>
      <c r="J234" s="15" t="str">
        <f t="shared" si="15"/>
        <v/>
      </c>
    </row>
    <row r="235" spans="1:10">
      <c r="A235" s="7" t="str">
        <f>IF(子基金及业绩基准周净值!A266="","",子基金及业绩基准周净值!A266)</f>
        <v/>
      </c>
      <c r="B235" s="1" t="str">
        <f>IF(A235="","",VLOOKUP($A235,子基金及业绩基准周净值!$A:$AV,16))</f>
        <v/>
      </c>
      <c r="C235" s="8" t="str">
        <f t="shared" si="12"/>
        <v/>
      </c>
      <c r="D235" s="9" t="str">
        <f>IF(A235="","",C235-子基金及业绩基准周净值!AI266)</f>
        <v/>
      </c>
      <c r="E235" s="12" t="str">
        <f>IF(A235="","",(MAX(B$3:B235)-B235)/MAX(B$3:B235))</f>
        <v/>
      </c>
      <c r="F235" s="12" t="str">
        <f>IF(A235="","",MAX(E$4:E235))</f>
        <v/>
      </c>
      <c r="H235" s="14" t="str">
        <f t="shared" si="13"/>
        <v/>
      </c>
      <c r="I235" s="14" t="str">
        <f t="shared" si="14"/>
        <v/>
      </c>
      <c r="J235" s="15" t="str">
        <f t="shared" si="15"/>
        <v/>
      </c>
    </row>
    <row r="236" spans="1:10">
      <c r="A236" s="7" t="str">
        <f>IF(子基金及业绩基准周净值!A267="","",子基金及业绩基准周净值!A267)</f>
        <v/>
      </c>
      <c r="B236" s="1" t="str">
        <f>IF(A236="","",VLOOKUP($A236,子基金及业绩基准周净值!$A:$AV,16))</f>
        <v/>
      </c>
      <c r="C236" s="8" t="str">
        <f t="shared" si="12"/>
        <v/>
      </c>
      <c r="D236" s="9" t="str">
        <f>IF(A236="","",C236-子基金及业绩基准周净值!AI267)</f>
        <v/>
      </c>
      <c r="E236" s="12" t="str">
        <f>IF(A236="","",(MAX(B$3:B236)-B236)/MAX(B$3:B236))</f>
        <v/>
      </c>
      <c r="F236" s="12" t="str">
        <f>IF(A236="","",MAX(E$4:E236))</f>
        <v/>
      </c>
      <c r="H236" s="14" t="str">
        <f t="shared" si="13"/>
        <v/>
      </c>
      <c r="I236" s="14" t="str">
        <f t="shared" si="14"/>
        <v/>
      </c>
      <c r="J236" s="15" t="str">
        <f t="shared" si="15"/>
        <v/>
      </c>
    </row>
    <row r="237" spans="1:10">
      <c r="A237" s="7" t="str">
        <f>IF(子基金及业绩基准周净值!A268="","",子基金及业绩基准周净值!A268)</f>
        <v/>
      </c>
      <c r="B237" s="1" t="str">
        <f>IF(A237="","",VLOOKUP($A237,子基金及业绩基准周净值!$A:$AV,16))</f>
        <v/>
      </c>
      <c r="C237" s="8" t="str">
        <f t="shared" si="12"/>
        <v/>
      </c>
      <c r="D237" s="9" t="str">
        <f>IF(A237="","",C237-子基金及业绩基准周净值!AI268)</f>
        <v/>
      </c>
      <c r="E237" s="12" t="str">
        <f>IF(A237="","",(MAX(B$3:B237)-B237)/MAX(B$3:B237))</f>
        <v/>
      </c>
      <c r="F237" s="12" t="str">
        <f>IF(A237="","",MAX(E$4:E237))</f>
        <v/>
      </c>
      <c r="H237" s="14" t="str">
        <f t="shared" si="13"/>
        <v/>
      </c>
      <c r="I237" s="14" t="str">
        <f t="shared" si="14"/>
        <v/>
      </c>
      <c r="J237" s="15" t="str">
        <f t="shared" si="15"/>
        <v/>
      </c>
    </row>
    <row r="238" spans="1:10">
      <c r="A238" s="7" t="str">
        <f>IF(子基金及业绩基准周净值!A269="","",子基金及业绩基准周净值!A269)</f>
        <v/>
      </c>
      <c r="B238" s="1" t="str">
        <f>IF(A238="","",VLOOKUP($A238,子基金及业绩基准周净值!$A:$AV,16))</f>
        <v/>
      </c>
      <c r="C238" s="8" t="str">
        <f t="shared" si="12"/>
        <v/>
      </c>
      <c r="D238" s="9" t="str">
        <f>IF(A238="","",C238-子基金及业绩基准周净值!AI269)</f>
        <v/>
      </c>
      <c r="E238" s="12" t="str">
        <f>IF(A238="","",(MAX(B$3:B238)-B238)/MAX(B$3:B238))</f>
        <v/>
      </c>
      <c r="F238" s="12" t="str">
        <f>IF(A238="","",MAX(E$4:E238))</f>
        <v/>
      </c>
      <c r="H238" s="14" t="str">
        <f t="shared" si="13"/>
        <v/>
      </c>
      <c r="I238" s="14" t="str">
        <f t="shared" si="14"/>
        <v/>
      </c>
      <c r="J238" s="15" t="str">
        <f t="shared" si="15"/>
        <v/>
      </c>
    </row>
    <row r="239" spans="1:10">
      <c r="A239" s="7" t="str">
        <f>IF(子基金及业绩基准周净值!A270="","",子基金及业绩基准周净值!A270)</f>
        <v/>
      </c>
      <c r="B239" s="1" t="str">
        <f>IF(A239="","",VLOOKUP($A239,子基金及业绩基准周净值!$A:$AV,16))</f>
        <v/>
      </c>
      <c r="C239" s="8" t="str">
        <f t="shared" si="12"/>
        <v/>
      </c>
      <c r="D239" s="9" t="str">
        <f>IF(A239="","",C239-子基金及业绩基准周净值!AI270)</f>
        <v/>
      </c>
      <c r="E239" s="12" t="str">
        <f>IF(A239="","",(MAX(B$3:B239)-B239)/MAX(B$3:B239))</f>
        <v/>
      </c>
      <c r="F239" s="12" t="str">
        <f>IF(A239="","",MAX(E$4:E239))</f>
        <v/>
      </c>
      <c r="H239" s="14" t="str">
        <f t="shared" si="13"/>
        <v/>
      </c>
      <c r="I239" s="14" t="str">
        <f t="shared" si="14"/>
        <v/>
      </c>
      <c r="J239" s="15" t="str">
        <f t="shared" si="15"/>
        <v/>
      </c>
    </row>
    <row r="240" spans="1:10">
      <c r="A240" s="7" t="str">
        <f>IF(子基金及业绩基准周净值!A271="","",子基金及业绩基准周净值!A271)</f>
        <v/>
      </c>
      <c r="B240" s="1" t="str">
        <f>IF(A240="","",VLOOKUP($A240,子基金及业绩基准周净值!$A:$AV,16))</f>
        <v/>
      </c>
      <c r="C240" s="8" t="str">
        <f t="shared" si="12"/>
        <v/>
      </c>
      <c r="D240" s="9" t="str">
        <f>IF(A240="","",C240-子基金及业绩基准周净值!AI271)</f>
        <v/>
      </c>
      <c r="E240" s="12" t="str">
        <f>IF(A240="","",(MAX(B$3:B240)-B240)/MAX(B$3:B240))</f>
        <v/>
      </c>
      <c r="F240" s="12" t="str">
        <f>IF(A240="","",MAX(E$4:E240))</f>
        <v/>
      </c>
      <c r="H240" s="14" t="str">
        <f t="shared" si="13"/>
        <v/>
      </c>
      <c r="I240" s="14" t="str">
        <f t="shared" si="14"/>
        <v/>
      </c>
      <c r="J240" s="15" t="str">
        <f t="shared" si="15"/>
        <v/>
      </c>
    </row>
    <row r="241" spans="1:10">
      <c r="A241" s="7" t="str">
        <f>IF(子基金及业绩基准周净值!A272="","",子基金及业绩基准周净值!A272)</f>
        <v/>
      </c>
      <c r="B241" s="1" t="str">
        <f>IF(A241="","",VLOOKUP($A241,子基金及业绩基准周净值!$A:$AV,16))</f>
        <v/>
      </c>
      <c r="C241" s="8" t="str">
        <f t="shared" si="12"/>
        <v/>
      </c>
      <c r="D241" s="9" t="str">
        <f>IF(A241="","",C241-子基金及业绩基准周净值!AI272)</f>
        <v/>
      </c>
      <c r="E241" s="12" t="str">
        <f>IF(A241="","",(MAX(B$3:B241)-B241)/MAX(B$3:B241))</f>
        <v/>
      </c>
      <c r="F241" s="12" t="str">
        <f>IF(A241="","",MAX(E$4:E241))</f>
        <v/>
      </c>
      <c r="H241" s="14" t="str">
        <f t="shared" si="13"/>
        <v/>
      </c>
      <c r="I241" s="14" t="str">
        <f t="shared" si="14"/>
        <v/>
      </c>
      <c r="J241" s="15" t="str">
        <f t="shared" si="15"/>
        <v/>
      </c>
    </row>
    <row r="242" spans="1:10">
      <c r="A242" s="7" t="str">
        <f>IF(子基金及业绩基准周净值!A273="","",子基金及业绩基准周净值!A273)</f>
        <v/>
      </c>
      <c r="B242" s="1" t="str">
        <f>IF(A242="","",VLOOKUP($A242,子基金及业绩基准周净值!$A:$AV,16))</f>
        <v/>
      </c>
      <c r="C242" s="8" t="str">
        <f t="shared" si="12"/>
        <v/>
      </c>
      <c r="D242" s="9" t="str">
        <f>IF(A242="","",C242-子基金及业绩基准周净值!AI273)</f>
        <v/>
      </c>
      <c r="E242" s="12" t="str">
        <f>IF(A242="","",(MAX(B$3:B242)-B242)/MAX(B$3:B242))</f>
        <v/>
      </c>
      <c r="F242" s="12" t="str">
        <f>IF(A242="","",MAX(E$4:E242))</f>
        <v/>
      </c>
      <c r="H242" s="14" t="str">
        <f t="shared" si="13"/>
        <v/>
      </c>
      <c r="I242" s="14" t="str">
        <f t="shared" si="14"/>
        <v/>
      </c>
      <c r="J242" s="15" t="str">
        <f t="shared" si="15"/>
        <v/>
      </c>
    </row>
    <row r="243" spans="1:10">
      <c r="A243" s="7" t="str">
        <f>IF(子基金及业绩基准周净值!A274="","",子基金及业绩基准周净值!A274)</f>
        <v/>
      </c>
      <c r="B243" s="1" t="str">
        <f>IF(A243="","",VLOOKUP($A243,子基金及业绩基准周净值!$A:$AV,16))</f>
        <v/>
      </c>
      <c r="C243" s="8" t="str">
        <f t="shared" si="12"/>
        <v/>
      </c>
      <c r="D243" s="9" t="str">
        <f>IF(A243="","",C243-子基金及业绩基准周净值!AI274)</f>
        <v/>
      </c>
      <c r="E243" s="12" t="str">
        <f>IF(A243="","",(MAX(B$3:B243)-B243)/MAX(B$3:B243))</f>
        <v/>
      </c>
      <c r="F243" s="12" t="str">
        <f>IF(A243="","",MAX(E$4:E243))</f>
        <v/>
      </c>
      <c r="H243" s="14" t="str">
        <f t="shared" si="13"/>
        <v/>
      </c>
      <c r="I243" s="14" t="str">
        <f t="shared" si="14"/>
        <v/>
      </c>
      <c r="J243" s="15" t="str">
        <f t="shared" si="15"/>
        <v/>
      </c>
    </row>
    <row r="244" spans="1:10">
      <c r="A244" s="7" t="str">
        <f>IF(子基金及业绩基准周净值!A275="","",子基金及业绩基准周净值!A275)</f>
        <v/>
      </c>
      <c r="B244" s="1" t="str">
        <f>IF(A244="","",VLOOKUP($A244,子基金及业绩基准周净值!$A:$AV,16))</f>
        <v/>
      </c>
      <c r="C244" s="8" t="str">
        <f t="shared" si="12"/>
        <v/>
      </c>
      <c r="D244" s="9" t="str">
        <f>IF(A244="","",C244-子基金及业绩基准周净值!AI275)</f>
        <v/>
      </c>
      <c r="E244" s="12" t="str">
        <f>IF(A244="","",(MAX(B$3:B244)-B244)/MAX(B$3:B244))</f>
        <v/>
      </c>
      <c r="F244" s="12" t="str">
        <f>IF(A244="","",MAX(E$4:E244))</f>
        <v/>
      </c>
      <c r="H244" s="14" t="str">
        <f t="shared" si="13"/>
        <v/>
      </c>
      <c r="I244" s="14" t="str">
        <f t="shared" si="14"/>
        <v/>
      </c>
      <c r="J244" s="15" t="str">
        <f t="shared" si="15"/>
        <v/>
      </c>
    </row>
    <row r="245" spans="1:10">
      <c r="A245" s="7" t="str">
        <f>IF(子基金及业绩基准周净值!A276="","",子基金及业绩基准周净值!A276)</f>
        <v/>
      </c>
      <c r="B245" s="1" t="str">
        <f>IF(A245="","",VLOOKUP($A245,子基金及业绩基准周净值!$A:$AV,16))</f>
        <v/>
      </c>
      <c r="C245" s="8" t="str">
        <f t="shared" si="12"/>
        <v/>
      </c>
      <c r="D245" s="9" t="str">
        <f>IF(A245="","",C245-子基金及业绩基准周净值!AI276)</f>
        <v/>
      </c>
      <c r="E245" s="12" t="str">
        <f>IF(A245="","",(MAX(B$3:B245)-B245)/MAX(B$3:B245))</f>
        <v/>
      </c>
      <c r="F245" s="12" t="str">
        <f>IF(A245="","",MAX(E$4:E245))</f>
        <v/>
      </c>
      <c r="H245" s="14" t="str">
        <f t="shared" si="13"/>
        <v/>
      </c>
      <c r="I245" s="14" t="str">
        <f t="shared" si="14"/>
        <v/>
      </c>
      <c r="J245" s="15" t="str">
        <f t="shared" si="15"/>
        <v/>
      </c>
    </row>
    <row r="246" spans="1:10">
      <c r="A246" s="7" t="str">
        <f>IF(子基金及业绩基准周净值!A277="","",子基金及业绩基准周净值!A277)</f>
        <v/>
      </c>
      <c r="B246" s="1" t="str">
        <f>IF(A246="","",VLOOKUP($A246,子基金及业绩基准周净值!$A:$AV,16))</f>
        <v/>
      </c>
      <c r="C246" s="8" t="str">
        <f t="shared" si="12"/>
        <v/>
      </c>
      <c r="D246" s="9" t="str">
        <f>IF(A246="","",C246-子基金及业绩基准周净值!AI277)</f>
        <v/>
      </c>
      <c r="E246" s="12" t="str">
        <f>IF(A246="","",(MAX(B$3:B246)-B246)/MAX(B$3:B246))</f>
        <v/>
      </c>
      <c r="F246" s="12" t="str">
        <f>IF(A246="","",MAX(E$4:E246))</f>
        <v/>
      </c>
      <c r="H246" s="14" t="str">
        <f t="shared" si="13"/>
        <v/>
      </c>
      <c r="I246" s="14" t="str">
        <f t="shared" si="14"/>
        <v/>
      </c>
      <c r="J246" s="15" t="str">
        <f t="shared" si="15"/>
        <v/>
      </c>
    </row>
    <row r="247" spans="1:10">
      <c r="A247" s="7" t="str">
        <f>IF(子基金及业绩基准周净值!A278="","",子基金及业绩基准周净值!A278)</f>
        <v/>
      </c>
      <c r="B247" s="1" t="str">
        <f>IF(A247="","",VLOOKUP($A247,子基金及业绩基准周净值!$A:$AV,16))</f>
        <v/>
      </c>
      <c r="C247" s="8" t="str">
        <f t="shared" si="12"/>
        <v/>
      </c>
      <c r="D247" s="9" t="str">
        <f>IF(A247="","",C247-子基金及业绩基准周净值!AI278)</f>
        <v/>
      </c>
      <c r="E247" s="12" t="str">
        <f>IF(A247="","",(MAX(B$3:B247)-B247)/MAX(B$3:B247))</f>
        <v/>
      </c>
      <c r="F247" s="12" t="str">
        <f>IF(A247="","",MAX(E$4:E247))</f>
        <v/>
      </c>
      <c r="H247" s="14" t="str">
        <f t="shared" si="13"/>
        <v/>
      </c>
      <c r="I247" s="14" t="str">
        <f t="shared" si="14"/>
        <v/>
      </c>
      <c r="J247" s="15" t="str">
        <f t="shared" si="15"/>
        <v/>
      </c>
    </row>
    <row r="248" spans="1:10">
      <c r="A248" s="7" t="str">
        <f>IF(子基金及业绩基准周净值!A279="","",子基金及业绩基准周净值!A279)</f>
        <v/>
      </c>
      <c r="B248" s="1" t="str">
        <f>IF(A248="","",VLOOKUP($A248,子基金及业绩基准周净值!$A:$AV,16))</f>
        <v/>
      </c>
      <c r="C248" s="8" t="str">
        <f t="shared" si="12"/>
        <v/>
      </c>
      <c r="D248" s="9" t="str">
        <f>IF(A248="","",C248-子基金及业绩基准周净值!AI279)</f>
        <v/>
      </c>
      <c r="E248" s="12" t="str">
        <f>IF(A248="","",(MAX(B$3:B248)-B248)/MAX(B$3:B248))</f>
        <v/>
      </c>
      <c r="F248" s="12" t="str">
        <f>IF(A248="","",MAX(E$4:E248))</f>
        <v/>
      </c>
      <c r="H248" s="14" t="str">
        <f t="shared" si="13"/>
        <v/>
      </c>
      <c r="I248" s="14" t="str">
        <f t="shared" si="14"/>
        <v/>
      </c>
      <c r="J248" s="15" t="str">
        <f t="shared" si="15"/>
        <v/>
      </c>
    </row>
    <row r="249" spans="1:10">
      <c r="A249" s="7" t="str">
        <f>IF(子基金及业绩基准周净值!A280="","",子基金及业绩基准周净值!A280)</f>
        <v/>
      </c>
      <c r="B249" s="1" t="str">
        <f>IF(A249="","",VLOOKUP($A249,子基金及业绩基准周净值!$A:$AV,16))</f>
        <v/>
      </c>
      <c r="C249" s="8" t="str">
        <f t="shared" si="12"/>
        <v/>
      </c>
      <c r="D249" s="9" t="str">
        <f>IF(A249="","",C249-子基金及业绩基准周净值!AI280)</f>
        <v/>
      </c>
      <c r="E249" s="12" t="str">
        <f>IF(A249="","",(MAX(B$3:B249)-B249)/MAX(B$3:B249))</f>
        <v/>
      </c>
      <c r="F249" s="12" t="str">
        <f>IF(A249="","",MAX(E$4:E249))</f>
        <v/>
      </c>
      <c r="H249" s="14" t="str">
        <f t="shared" si="13"/>
        <v/>
      </c>
      <c r="I249" s="14" t="str">
        <f t="shared" si="14"/>
        <v/>
      </c>
      <c r="J249" s="15" t="str">
        <f t="shared" si="15"/>
        <v/>
      </c>
    </row>
    <row r="250" spans="1:10">
      <c r="A250" s="7" t="str">
        <f>IF(子基金及业绩基准周净值!A281="","",子基金及业绩基准周净值!A281)</f>
        <v/>
      </c>
      <c r="B250" s="1" t="str">
        <f>IF(A250="","",VLOOKUP($A250,子基金及业绩基准周净值!$A:$AV,16))</f>
        <v/>
      </c>
      <c r="C250" s="8" t="str">
        <f t="shared" si="12"/>
        <v/>
      </c>
      <c r="D250" s="9" t="str">
        <f>IF(A250="","",C250-子基金及业绩基准周净值!AI281)</f>
        <v/>
      </c>
      <c r="E250" s="12" t="str">
        <f>IF(A250="","",(MAX(B$3:B250)-B250)/MAX(B$3:B250))</f>
        <v/>
      </c>
      <c r="F250" s="12" t="str">
        <f>IF(A250="","",MAX(E$4:E250))</f>
        <v/>
      </c>
      <c r="H250" s="14" t="str">
        <f t="shared" si="13"/>
        <v/>
      </c>
      <c r="I250" s="14" t="str">
        <f t="shared" si="14"/>
        <v/>
      </c>
      <c r="J250" s="15" t="str">
        <f t="shared" si="15"/>
        <v/>
      </c>
    </row>
    <row r="251" spans="1:10">
      <c r="A251" s="7" t="str">
        <f>IF(子基金及业绩基准周净值!A282="","",子基金及业绩基准周净值!A282)</f>
        <v/>
      </c>
      <c r="B251" s="1" t="str">
        <f>IF(A251="","",VLOOKUP($A251,子基金及业绩基准周净值!$A:$AV,16))</f>
        <v/>
      </c>
      <c r="C251" s="8" t="str">
        <f t="shared" si="12"/>
        <v/>
      </c>
      <c r="D251" s="9" t="str">
        <f>IF(A251="","",C251-子基金及业绩基准周净值!AI282)</f>
        <v/>
      </c>
      <c r="E251" s="12" t="str">
        <f>IF(A251="","",(MAX(B$3:B251)-B251)/MAX(B$3:B251))</f>
        <v/>
      </c>
      <c r="F251" s="12" t="str">
        <f>IF(A251="","",MAX(E$4:E251))</f>
        <v/>
      </c>
      <c r="H251" s="14" t="str">
        <f t="shared" si="13"/>
        <v/>
      </c>
      <c r="I251" s="14" t="str">
        <f t="shared" si="14"/>
        <v/>
      </c>
      <c r="J251" s="15" t="str">
        <f t="shared" si="15"/>
        <v/>
      </c>
    </row>
    <row r="252" spans="1:10">
      <c r="A252" s="7" t="str">
        <f>IF(子基金及业绩基准周净值!A283="","",子基金及业绩基准周净值!A283)</f>
        <v/>
      </c>
      <c r="B252" s="1" t="str">
        <f>IF(A252="","",VLOOKUP($A252,子基金及业绩基准周净值!$A:$AV,16))</f>
        <v/>
      </c>
      <c r="C252" s="8" t="str">
        <f t="shared" si="12"/>
        <v/>
      </c>
      <c r="D252" s="9" t="str">
        <f>IF(A252="","",C252-子基金及业绩基准周净值!AI283)</f>
        <v/>
      </c>
      <c r="E252" s="12" t="str">
        <f>IF(A252="","",(MAX(B$3:B252)-B252)/MAX(B$3:B252))</f>
        <v/>
      </c>
      <c r="F252" s="12" t="str">
        <f>IF(A252="","",MAX(E$4:E252))</f>
        <v/>
      </c>
      <c r="H252" s="14" t="str">
        <f t="shared" si="13"/>
        <v/>
      </c>
      <c r="I252" s="14" t="str">
        <f t="shared" si="14"/>
        <v/>
      </c>
      <c r="J252" s="15" t="str">
        <f t="shared" si="15"/>
        <v/>
      </c>
    </row>
    <row r="253" spans="1:10">
      <c r="A253" s="7" t="str">
        <f>IF(子基金及业绩基准周净值!A284="","",子基金及业绩基准周净值!A284)</f>
        <v/>
      </c>
      <c r="B253" s="1" t="str">
        <f>IF(A253="","",VLOOKUP($A253,子基金及业绩基准周净值!$A:$AV,16))</f>
        <v/>
      </c>
      <c r="C253" s="8" t="str">
        <f t="shared" si="12"/>
        <v/>
      </c>
      <c r="D253" s="9" t="str">
        <f>IF(A253="","",C253-子基金及业绩基准周净值!AI284)</f>
        <v/>
      </c>
      <c r="E253" s="12" t="str">
        <f>IF(A253="","",(MAX(B$3:B253)-B253)/MAX(B$3:B253))</f>
        <v/>
      </c>
      <c r="F253" s="12" t="str">
        <f>IF(A253="","",MAX(E$4:E253))</f>
        <v/>
      </c>
      <c r="H253" s="14" t="str">
        <f t="shared" si="13"/>
        <v/>
      </c>
      <c r="I253" s="14" t="str">
        <f t="shared" si="14"/>
        <v/>
      </c>
      <c r="J253" s="15" t="str">
        <f t="shared" si="15"/>
        <v/>
      </c>
    </row>
    <row r="254" spans="1:10">
      <c r="A254" s="7" t="str">
        <f>IF(子基金及业绩基准周净值!A285="","",子基金及业绩基准周净值!A285)</f>
        <v/>
      </c>
      <c r="B254" s="1" t="str">
        <f>IF(A254="","",VLOOKUP($A254,子基金及业绩基准周净值!$A:$AV,16))</f>
        <v/>
      </c>
      <c r="C254" s="8" t="str">
        <f t="shared" si="12"/>
        <v/>
      </c>
      <c r="D254" s="9" t="str">
        <f>IF(A254="","",C254-子基金及业绩基准周净值!AI285)</f>
        <v/>
      </c>
      <c r="E254" s="12" t="str">
        <f>IF(A254="","",(MAX(B$3:B254)-B254)/MAX(B$3:B254))</f>
        <v/>
      </c>
      <c r="F254" s="12" t="str">
        <f>IF(A254="","",MAX(E$4:E254))</f>
        <v/>
      </c>
      <c r="H254" s="14" t="str">
        <f t="shared" si="13"/>
        <v/>
      </c>
      <c r="I254" s="14" t="str">
        <f t="shared" si="14"/>
        <v/>
      </c>
      <c r="J254" s="15" t="str">
        <f t="shared" si="15"/>
        <v/>
      </c>
    </row>
    <row r="255" spans="1:10">
      <c r="A255" s="7" t="str">
        <f>IF(子基金及业绩基准周净值!A286="","",子基金及业绩基准周净值!A286)</f>
        <v/>
      </c>
      <c r="B255" s="1" t="str">
        <f>IF(A255="","",VLOOKUP($A255,子基金及业绩基准周净值!$A:$AV,16))</f>
        <v/>
      </c>
      <c r="C255" s="8" t="str">
        <f t="shared" si="12"/>
        <v/>
      </c>
      <c r="D255" s="9" t="str">
        <f>IF(A255="","",C255-子基金及业绩基准周净值!AI286)</f>
        <v/>
      </c>
      <c r="E255" s="12" t="str">
        <f>IF(A255="","",(MAX(B$3:B255)-B255)/MAX(B$3:B255))</f>
        <v/>
      </c>
      <c r="F255" s="12" t="str">
        <f>IF(A255="","",MAX(E$4:E255))</f>
        <v/>
      </c>
      <c r="H255" s="14" t="str">
        <f t="shared" si="13"/>
        <v/>
      </c>
      <c r="I255" s="14" t="str">
        <f t="shared" si="14"/>
        <v/>
      </c>
      <c r="J255" s="15" t="str">
        <f t="shared" si="15"/>
        <v/>
      </c>
    </row>
    <row r="256" spans="1:10">
      <c r="A256" s="7" t="str">
        <f>IF(子基金及业绩基准周净值!A287="","",子基金及业绩基准周净值!A287)</f>
        <v/>
      </c>
      <c r="B256" s="1" t="str">
        <f>IF(A256="","",VLOOKUP($A256,子基金及业绩基准周净值!$A:$AV,16))</f>
        <v/>
      </c>
      <c r="C256" s="8" t="str">
        <f t="shared" si="12"/>
        <v/>
      </c>
      <c r="D256" s="9" t="str">
        <f>IF(A256="","",C256-子基金及业绩基准周净值!AI287)</f>
        <v/>
      </c>
      <c r="E256" s="12" t="str">
        <f>IF(A256="","",(MAX(B$3:B256)-B256)/MAX(B$3:B256))</f>
        <v/>
      </c>
      <c r="F256" s="12" t="str">
        <f>IF(A256="","",MAX(E$4:E256))</f>
        <v/>
      </c>
      <c r="H256" s="14" t="str">
        <f t="shared" si="13"/>
        <v/>
      </c>
      <c r="I256" s="14" t="str">
        <f t="shared" si="14"/>
        <v/>
      </c>
      <c r="J256" s="15" t="str">
        <f t="shared" si="15"/>
        <v/>
      </c>
    </row>
    <row r="257" spans="1:10">
      <c r="A257" s="7" t="str">
        <f>IF(子基金及业绩基准周净值!A288="","",子基金及业绩基准周净值!A288)</f>
        <v/>
      </c>
      <c r="B257" s="1" t="str">
        <f>IF(A257="","",VLOOKUP($A257,子基金及业绩基准周净值!$A:$AV,16))</f>
        <v/>
      </c>
      <c r="C257" s="8" t="str">
        <f t="shared" si="12"/>
        <v/>
      </c>
      <c r="D257" s="9" t="str">
        <f>IF(A257="","",C257-子基金及业绩基准周净值!AI288)</f>
        <v/>
      </c>
      <c r="E257" s="12" t="str">
        <f>IF(A257="","",(MAX(B$3:B257)-B257)/MAX(B$3:B257))</f>
        <v/>
      </c>
      <c r="F257" s="12" t="str">
        <f>IF(A257="","",MAX(E$4:E257))</f>
        <v/>
      </c>
      <c r="H257" s="14" t="str">
        <f t="shared" si="13"/>
        <v/>
      </c>
      <c r="I257" s="14" t="str">
        <f t="shared" si="14"/>
        <v/>
      </c>
      <c r="J257" s="15" t="str">
        <f t="shared" si="15"/>
        <v/>
      </c>
    </row>
    <row r="258" spans="1:10">
      <c r="A258" s="7" t="str">
        <f>IF(子基金及业绩基准周净值!A289="","",子基金及业绩基准周净值!A289)</f>
        <v/>
      </c>
      <c r="B258" s="1" t="str">
        <f>IF(A258="","",VLOOKUP($A258,子基金及业绩基准周净值!$A:$AV,16))</f>
        <v/>
      </c>
      <c r="C258" s="8" t="str">
        <f t="shared" si="12"/>
        <v/>
      </c>
      <c r="D258" s="9" t="str">
        <f>IF(A258="","",C258-子基金及业绩基准周净值!AI289)</f>
        <v/>
      </c>
      <c r="E258" s="12" t="str">
        <f>IF(A258="","",(MAX(B$3:B258)-B258)/MAX(B$3:B258))</f>
        <v/>
      </c>
      <c r="F258" s="12" t="str">
        <f>IF(A258="","",MAX(E$4:E258))</f>
        <v/>
      </c>
      <c r="H258" s="14" t="str">
        <f t="shared" si="13"/>
        <v/>
      </c>
      <c r="I258" s="14" t="str">
        <f t="shared" si="14"/>
        <v/>
      </c>
      <c r="J258" s="15" t="str">
        <f t="shared" si="15"/>
        <v/>
      </c>
    </row>
    <row r="259" spans="1:10">
      <c r="A259" s="7" t="str">
        <f>IF(子基金及业绩基准周净值!A290="","",子基金及业绩基准周净值!A290)</f>
        <v/>
      </c>
      <c r="B259" s="1" t="str">
        <f>IF(A259="","",VLOOKUP($A259,子基金及业绩基准周净值!$A:$AV,16))</f>
        <v/>
      </c>
      <c r="C259" s="8" t="str">
        <f t="shared" si="12"/>
        <v/>
      </c>
      <c r="D259" s="9" t="str">
        <f>IF(A259="","",C259-子基金及业绩基准周净值!AI290)</f>
        <v/>
      </c>
      <c r="E259" s="12" t="str">
        <f>IF(A259="","",(MAX(B$3:B259)-B259)/MAX(B$3:B259))</f>
        <v/>
      </c>
      <c r="F259" s="12" t="str">
        <f>IF(A259="","",MAX(E$4:E259))</f>
        <v/>
      </c>
      <c r="H259" s="14" t="str">
        <f t="shared" si="13"/>
        <v/>
      </c>
      <c r="I259" s="14" t="str">
        <f t="shared" si="14"/>
        <v/>
      </c>
      <c r="J259" s="15" t="str">
        <f t="shared" si="15"/>
        <v/>
      </c>
    </row>
    <row r="260" spans="1:10">
      <c r="A260" s="7" t="str">
        <f>IF(子基金及业绩基准周净值!A291="","",子基金及业绩基准周净值!A291)</f>
        <v/>
      </c>
      <c r="B260" s="1" t="str">
        <f>IF(A260="","",VLOOKUP($A260,子基金及业绩基准周净值!$A:$AV,16))</f>
        <v/>
      </c>
      <c r="C260" s="8" t="str">
        <f t="shared" si="12"/>
        <v/>
      </c>
      <c r="D260" s="9" t="str">
        <f>IF(A260="","",C260-子基金及业绩基准周净值!AI291)</f>
        <v/>
      </c>
      <c r="E260" s="12" t="str">
        <f>IF(A260="","",(MAX(B$3:B260)-B260)/MAX(B$3:B260))</f>
        <v/>
      </c>
      <c r="F260" s="12" t="str">
        <f>IF(A260="","",MAX(E$4:E260))</f>
        <v/>
      </c>
      <c r="H260" s="14" t="str">
        <f t="shared" si="13"/>
        <v/>
      </c>
      <c r="I260" s="14" t="str">
        <f t="shared" si="14"/>
        <v/>
      </c>
      <c r="J260" s="15" t="str">
        <f t="shared" si="15"/>
        <v/>
      </c>
    </row>
    <row r="261" spans="1:10">
      <c r="A261" s="7" t="str">
        <f>IF(子基金及业绩基准周净值!A292="","",子基金及业绩基准周净值!A292)</f>
        <v/>
      </c>
      <c r="B261" s="1" t="str">
        <f>IF(A261="","",VLOOKUP($A261,子基金及业绩基准周净值!$A:$AV,16))</f>
        <v/>
      </c>
      <c r="C261" s="8" t="str">
        <f t="shared" ref="C261:C308" si="16">IF(A261="","",(B261-B260)/B260)</f>
        <v/>
      </c>
      <c r="D261" s="9" t="str">
        <f>IF(A261="","",C261-子基金及业绩基准周净值!AI292)</f>
        <v/>
      </c>
      <c r="E261" s="12" t="str">
        <f>IF(A261="","",(MAX(B$3:B261)-B261)/MAX(B$3:B261))</f>
        <v/>
      </c>
      <c r="F261" s="12" t="str">
        <f>IF(A261="","",MAX(E$4:E261))</f>
        <v/>
      </c>
      <c r="H261" s="14" t="str">
        <f t="shared" ref="H261:H308" si="17">IF(B261="","",IF(C261&lt;-3%,"是","否"))</f>
        <v/>
      </c>
      <c r="I261" s="14" t="str">
        <f t="shared" ref="I261:I308" si="18">IF(A261="","",IF(F261&gt;5%,"是","否"))</f>
        <v/>
      </c>
      <c r="J261" s="15" t="str">
        <f t="shared" ref="J261:J308" si="19">IF(A261="","",IF(G261&gt;=4,"是","否"))</f>
        <v/>
      </c>
    </row>
    <row r="262" spans="1:10">
      <c r="A262" s="7" t="str">
        <f>IF(子基金及业绩基准周净值!A293="","",子基金及业绩基准周净值!A293)</f>
        <v/>
      </c>
      <c r="B262" s="1" t="str">
        <f>IF(A262="","",VLOOKUP($A262,子基金及业绩基准周净值!$A:$AV,16))</f>
        <v/>
      </c>
      <c r="C262" s="8" t="str">
        <f t="shared" si="16"/>
        <v/>
      </c>
      <c r="D262" s="9" t="str">
        <f>IF(A262="","",C262-子基金及业绩基准周净值!AI293)</f>
        <v/>
      </c>
      <c r="E262" s="12" t="str">
        <f>IF(A262="","",(MAX(B$3:B262)-B262)/MAX(B$3:B262))</f>
        <v/>
      </c>
      <c r="F262" s="12" t="str">
        <f>IF(A262="","",MAX(E$4:E262))</f>
        <v/>
      </c>
      <c r="H262" s="14" t="str">
        <f t="shared" si="17"/>
        <v/>
      </c>
      <c r="I262" s="14" t="str">
        <f t="shared" si="18"/>
        <v/>
      </c>
      <c r="J262" s="15" t="str">
        <f t="shared" si="19"/>
        <v/>
      </c>
    </row>
    <row r="263" spans="1:10">
      <c r="A263" s="7" t="str">
        <f>IF(子基金及业绩基准周净值!A294="","",子基金及业绩基准周净值!A294)</f>
        <v/>
      </c>
      <c r="B263" s="1" t="str">
        <f>IF(A263="","",VLOOKUP($A263,子基金及业绩基准周净值!$A:$AV,16))</f>
        <v/>
      </c>
      <c r="C263" s="8" t="str">
        <f t="shared" si="16"/>
        <v/>
      </c>
      <c r="D263" s="9" t="str">
        <f>IF(A263="","",C263-子基金及业绩基准周净值!AI294)</f>
        <v/>
      </c>
      <c r="E263" s="12" t="str">
        <f>IF(A263="","",(MAX(B$3:B263)-B263)/MAX(B$3:B263))</f>
        <v/>
      </c>
      <c r="F263" s="12" t="str">
        <f>IF(A263="","",MAX(E$4:E263))</f>
        <v/>
      </c>
      <c r="H263" s="14" t="str">
        <f t="shared" si="17"/>
        <v/>
      </c>
      <c r="I263" s="14" t="str">
        <f t="shared" si="18"/>
        <v/>
      </c>
      <c r="J263" s="15" t="str">
        <f t="shared" si="19"/>
        <v/>
      </c>
    </row>
    <row r="264" spans="1:10">
      <c r="A264" s="7" t="str">
        <f>IF(子基金及业绩基准周净值!A295="","",子基金及业绩基准周净值!A295)</f>
        <v/>
      </c>
      <c r="B264" s="1" t="str">
        <f>IF(A264="","",VLOOKUP($A264,子基金及业绩基准周净值!$A:$AV,16))</f>
        <v/>
      </c>
      <c r="C264" s="8" t="str">
        <f t="shared" si="16"/>
        <v/>
      </c>
      <c r="D264" s="9" t="str">
        <f>IF(A264="","",C264-子基金及业绩基准周净值!AI295)</f>
        <v/>
      </c>
      <c r="E264" s="12" t="str">
        <f>IF(A264="","",(MAX(B$3:B264)-B264)/MAX(B$3:B264))</f>
        <v/>
      </c>
      <c r="F264" s="12" t="str">
        <f>IF(A264="","",MAX(E$4:E264))</f>
        <v/>
      </c>
      <c r="H264" s="14" t="str">
        <f t="shared" si="17"/>
        <v/>
      </c>
      <c r="I264" s="14" t="str">
        <f t="shared" si="18"/>
        <v/>
      </c>
      <c r="J264" s="15" t="str">
        <f t="shared" si="19"/>
        <v/>
      </c>
    </row>
    <row r="265" spans="1:10">
      <c r="A265" s="7" t="str">
        <f>IF(子基金及业绩基准周净值!A296="","",子基金及业绩基准周净值!A296)</f>
        <v/>
      </c>
      <c r="B265" s="1" t="str">
        <f>IF(A265="","",VLOOKUP($A265,子基金及业绩基准周净值!$A:$AV,16))</f>
        <v/>
      </c>
      <c r="C265" s="8" t="str">
        <f t="shared" si="16"/>
        <v/>
      </c>
      <c r="D265" s="9" t="str">
        <f>IF(A265="","",C265-子基金及业绩基准周净值!AI296)</f>
        <v/>
      </c>
      <c r="E265" s="12" t="str">
        <f>IF(A265="","",(MAX(B$3:B265)-B265)/MAX(B$3:B265))</f>
        <v/>
      </c>
      <c r="F265" s="12" t="str">
        <f>IF(A265="","",MAX(E$4:E265))</f>
        <v/>
      </c>
      <c r="H265" s="14" t="str">
        <f t="shared" si="17"/>
        <v/>
      </c>
      <c r="I265" s="14" t="str">
        <f t="shared" si="18"/>
        <v/>
      </c>
      <c r="J265" s="15" t="str">
        <f t="shared" si="19"/>
        <v/>
      </c>
    </row>
    <row r="266" spans="1:10">
      <c r="A266" s="7" t="str">
        <f>IF(子基金及业绩基准周净值!A297="","",子基金及业绩基准周净值!A297)</f>
        <v/>
      </c>
      <c r="B266" s="1" t="str">
        <f>IF(A266="","",VLOOKUP($A266,子基金及业绩基准周净值!$A:$AV,16))</f>
        <v/>
      </c>
      <c r="C266" s="8" t="str">
        <f t="shared" si="16"/>
        <v/>
      </c>
      <c r="D266" s="9" t="str">
        <f>IF(A266="","",C266-子基金及业绩基准周净值!AI297)</f>
        <v/>
      </c>
      <c r="E266" s="12" t="str">
        <f>IF(A266="","",(MAX(B$3:B266)-B266)/MAX(B$3:B266))</f>
        <v/>
      </c>
      <c r="F266" s="12" t="str">
        <f>IF(A266="","",MAX(E$4:E266))</f>
        <v/>
      </c>
      <c r="H266" s="14" t="str">
        <f t="shared" si="17"/>
        <v/>
      </c>
      <c r="I266" s="14" t="str">
        <f t="shared" si="18"/>
        <v/>
      </c>
      <c r="J266" s="15" t="str">
        <f t="shared" si="19"/>
        <v/>
      </c>
    </row>
    <row r="267" spans="1:10">
      <c r="A267" s="7" t="str">
        <f>IF(子基金及业绩基准周净值!A298="","",子基金及业绩基准周净值!A298)</f>
        <v/>
      </c>
      <c r="B267" s="1" t="str">
        <f>IF(A267="","",VLOOKUP($A267,子基金及业绩基准周净值!$A:$AV,16))</f>
        <v/>
      </c>
      <c r="C267" s="8" t="str">
        <f t="shared" si="16"/>
        <v/>
      </c>
      <c r="D267" s="9" t="str">
        <f>IF(A267="","",C267-子基金及业绩基准周净值!AI298)</f>
        <v/>
      </c>
      <c r="E267" s="12" t="str">
        <f>IF(A267="","",(MAX(B$3:B267)-B267)/MAX(B$3:B267))</f>
        <v/>
      </c>
      <c r="F267" s="12" t="str">
        <f>IF(A267="","",MAX(E$4:E267))</f>
        <v/>
      </c>
      <c r="H267" s="14" t="str">
        <f t="shared" si="17"/>
        <v/>
      </c>
      <c r="I267" s="14" t="str">
        <f t="shared" si="18"/>
        <v/>
      </c>
      <c r="J267" s="15" t="str">
        <f t="shared" si="19"/>
        <v/>
      </c>
    </row>
    <row r="268" spans="1:10">
      <c r="A268" s="7" t="str">
        <f>IF(子基金及业绩基准周净值!A299="","",子基金及业绩基准周净值!A299)</f>
        <v/>
      </c>
      <c r="B268" s="1" t="str">
        <f>IF(A268="","",VLOOKUP($A268,子基金及业绩基准周净值!$A:$AV,16))</f>
        <v/>
      </c>
      <c r="C268" s="8" t="str">
        <f t="shared" si="16"/>
        <v/>
      </c>
      <c r="D268" s="9" t="str">
        <f>IF(A268="","",C268-子基金及业绩基准周净值!AI299)</f>
        <v/>
      </c>
      <c r="E268" s="12" t="str">
        <f>IF(A268="","",(MAX(B$3:B268)-B268)/MAX(B$3:B268))</f>
        <v/>
      </c>
      <c r="F268" s="12" t="str">
        <f>IF(A268="","",MAX(E$4:E268))</f>
        <v/>
      </c>
      <c r="H268" s="14" t="str">
        <f t="shared" si="17"/>
        <v/>
      </c>
      <c r="I268" s="14" t="str">
        <f t="shared" si="18"/>
        <v/>
      </c>
      <c r="J268" s="15" t="str">
        <f t="shared" si="19"/>
        <v/>
      </c>
    </row>
    <row r="269" spans="1:10">
      <c r="A269" s="7" t="str">
        <f>IF(子基金及业绩基准周净值!A300="","",子基金及业绩基准周净值!A300)</f>
        <v/>
      </c>
      <c r="B269" s="1" t="str">
        <f>IF(A269="","",VLOOKUP($A269,子基金及业绩基准周净值!$A:$AV,16))</f>
        <v/>
      </c>
      <c r="C269" s="8" t="str">
        <f t="shared" si="16"/>
        <v/>
      </c>
      <c r="D269" s="9" t="str">
        <f>IF(A269="","",C269-子基金及业绩基准周净值!AI300)</f>
        <v/>
      </c>
      <c r="E269" s="12" t="str">
        <f>IF(A269="","",(MAX(B$3:B269)-B269)/MAX(B$3:B269))</f>
        <v/>
      </c>
      <c r="F269" s="12" t="str">
        <f>IF(A269="","",MAX(E$4:E269))</f>
        <v/>
      </c>
      <c r="H269" s="14" t="str">
        <f t="shared" si="17"/>
        <v/>
      </c>
      <c r="I269" s="14" t="str">
        <f t="shared" si="18"/>
        <v/>
      </c>
      <c r="J269" s="15" t="str">
        <f t="shared" si="19"/>
        <v/>
      </c>
    </row>
    <row r="270" spans="1:10">
      <c r="A270" s="7" t="str">
        <f>IF(子基金及业绩基准周净值!A301="","",子基金及业绩基准周净值!A301)</f>
        <v/>
      </c>
      <c r="B270" s="1" t="str">
        <f>IF(A270="","",VLOOKUP($A270,子基金及业绩基准周净值!$A:$AV,16))</f>
        <v/>
      </c>
      <c r="C270" s="8" t="str">
        <f t="shared" si="16"/>
        <v/>
      </c>
      <c r="D270" s="9" t="str">
        <f>IF(A270="","",C270-子基金及业绩基准周净值!AI301)</f>
        <v/>
      </c>
      <c r="E270" s="12" t="str">
        <f>IF(A270="","",(MAX(B$3:B270)-B270)/MAX(B$3:B270))</f>
        <v/>
      </c>
      <c r="F270" s="12" t="str">
        <f>IF(A270="","",MAX(E$4:E270))</f>
        <v/>
      </c>
      <c r="H270" s="14" t="str">
        <f t="shared" si="17"/>
        <v/>
      </c>
      <c r="I270" s="14" t="str">
        <f t="shared" si="18"/>
        <v/>
      </c>
      <c r="J270" s="15" t="str">
        <f t="shared" si="19"/>
        <v/>
      </c>
    </row>
    <row r="271" spans="1:10">
      <c r="A271" s="7" t="str">
        <f>IF(子基金及业绩基准周净值!A302="","",子基金及业绩基准周净值!A302)</f>
        <v/>
      </c>
      <c r="B271" s="1" t="str">
        <f>IF(A271="","",VLOOKUP($A271,子基金及业绩基准周净值!$A:$AV,16))</f>
        <v/>
      </c>
      <c r="C271" s="8" t="str">
        <f t="shared" si="16"/>
        <v/>
      </c>
      <c r="D271" s="9" t="str">
        <f>IF(A271="","",C271-子基金及业绩基准周净值!AI302)</f>
        <v/>
      </c>
      <c r="E271" s="12" t="str">
        <f>IF(A271="","",(MAX(B$3:B271)-B271)/MAX(B$3:B271))</f>
        <v/>
      </c>
      <c r="F271" s="12" t="str">
        <f>IF(A271="","",MAX(E$4:E271))</f>
        <v/>
      </c>
      <c r="H271" s="14" t="str">
        <f t="shared" si="17"/>
        <v/>
      </c>
      <c r="I271" s="14" t="str">
        <f t="shared" si="18"/>
        <v/>
      </c>
      <c r="J271" s="15" t="str">
        <f t="shared" si="19"/>
        <v/>
      </c>
    </row>
    <row r="272" spans="1:10">
      <c r="A272" s="7" t="str">
        <f>IF(子基金及业绩基准周净值!A303="","",子基金及业绩基准周净值!A303)</f>
        <v/>
      </c>
      <c r="B272" s="1" t="str">
        <f>IF(A272="","",VLOOKUP($A272,子基金及业绩基准周净值!$A:$AV,16))</f>
        <v/>
      </c>
      <c r="C272" s="8" t="str">
        <f t="shared" si="16"/>
        <v/>
      </c>
      <c r="D272" s="9" t="str">
        <f>IF(A272="","",C272-子基金及业绩基准周净值!AI303)</f>
        <v/>
      </c>
      <c r="E272" s="12" t="str">
        <f>IF(A272="","",(MAX(B$3:B272)-B272)/MAX(B$3:B272))</f>
        <v/>
      </c>
      <c r="F272" s="12" t="str">
        <f>IF(A272="","",MAX(E$4:E272))</f>
        <v/>
      </c>
      <c r="H272" s="14" t="str">
        <f t="shared" si="17"/>
        <v/>
      </c>
      <c r="I272" s="14" t="str">
        <f t="shared" si="18"/>
        <v/>
      </c>
      <c r="J272" s="15" t="str">
        <f t="shared" si="19"/>
        <v/>
      </c>
    </row>
    <row r="273" spans="1:10">
      <c r="A273" s="7" t="str">
        <f>IF(子基金及业绩基准周净值!A304="","",子基金及业绩基准周净值!A304)</f>
        <v/>
      </c>
      <c r="B273" s="1" t="str">
        <f>IF(A273="","",VLOOKUP($A273,子基金及业绩基准周净值!$A:$AV,16))</f>
        <v/>
      </c>
      <c r="C273" s="8" t="str">
        <f t="shared" si="16"/>
        <v/>
      </c>
      <c r="D273" s="9" t="str">
        <f>IF(A273="","",C273-子基金及业绩基准周净值!AI304)</f>
        <v/>
      </c>
      <c r="E273" s="12" t="str">
        <f>IF(A273="","",(MAX(B$3:B273)-B273)/MAX(B$3:B273))</f>
        <v/>
      </c>
      <c r="F273" s="12" t="str">
        <f>IF(A273="","",MAX(E$4:E273))</f>
        <v/>
      </c>
      <c r="H273" s="14" t="str">
        <f t="shared" si="17"/>
        <v/>
      </c>
      <c r="I273" s="14" t="str">
        <f t="shared" si="18"/>
        <v/>
      </c>
      <c r="J273" s="15" t="str">
        <f t="shared" si="19"/>
        <v/>
      </c>
    </row>
    <row r="274" spans="1:10">
      <c r="A274" s="7" t="str">
        <f>IF(子基金及业绩基准周净值!A305="","",子基金及业绩基准周净值!A305)</f>
        <v/>
      </c>
      <c r="B274" s="1" t="str">
        <f>IF(A274="","",VLOOKUP($A274,子基金及业绩基准周净值!$A:$AV,16))</f>
        <v/>
      </c>
      <c r="C274" s="8" t="str">
        <f t="shared" si="16"/>
        <v/>
      </c>
      <c r="D274" s="9" t="str">
        <f>IF(A274="","",C274-子基金及业绩基准周净值!AI305)</f>
        <v/>
      </c>
      <c r="E274" s="12" t="str">
        <f>IF(A274="","",(MAX(B$3:B274)-B274)/MAX(B$3:B274))</f>
        <v/>
      </c>
      <c r="F274" s="12" t="str">
        <f>IF(A274="","",MAX(E$4:E274))</f>
        <v/>
      </c>
      <c r="H274" s="14" t="str">
        <f t="shared" si="17"/>
        <v/>
      </c>
      <c r="I274" s="14" t="str">
        <f t="shared" si="18"/>
        <v/>
      </c>
      <c r="J274" s="15" t="str">
        <f t="shared" si="19"/>
        <v/>
      </c>
    </row>
    <row r="275" spans="1:10">
      <c r="A275" s="7" t="str">
        <f>IF(子基金及业绩基准周净值!A306="","",子基金及业绩基准周净值!A306)</f>
        <v/>
      </c>
      <c r="B275" s="1" t="str">
        <f>IF(A275="","",VLOOKUP($A275,子基金及业绩基准周净值!$A:$AV,16))</f>
        <v/>
      </c>
      <c r="C275" s="8" t="str">
        <f t="shared" si="16"/>
        <v/>
      </c>
      <c r="D275" s="9" t="str">
        <f>IF(A275="","",C275-子基金及业绩基准周净值!AI306)</f>
        <v/>
      </c>
      <c r="E275" s="12" t="str">
        <f>IF(A275="","",(MAX(B$3:B275)-B275)/MAX(B$3:B275))</f>
        <v/>
      </c>
      <c r="F275" s="12" t="str">
        <f>IF(A275="","",MAX(E$4:E275))</f>
        <v/>
      </c>
      <c r="H275" s="14" t="str">
        <f t="shared" si="17"/>
        <v/>
      </c>
      <c r="I275" s="14" t="str">
        <f t="shared" si="18"/>
        <v/>
      </c>
      <c r="J275" s="15" t="str">
        <f t="shared" si="19"/>
        <v/>
      </c>
    </row>
    <row r="276" spans="1:10">
      <c r="A276" s="7" t="str">
        <f>IF(子基金及业绩基准周净值!A307="","",子基金及业绩基准周净值!A307)</f>
        <v/>
      </c>
      <c r="B276" s="1" t="str">
        <f>IF(A276="","",VLOOKUP($A276,子基金及业绩基准周净值!$A:$AV,16))</f>
        <v/>
      </c>
      <c r="C276" s="8" t="str">
        <f t="shared" si="16"/>
        <v/>
      </c>
      <c r="D276" s="9" t="str">
        <f>IF(A276="","",C276-子基金及业绩基准周净值!AI307)</f>
        <v/>
      </c>
      <c r="E276" s="12" t="str">
        <f>IF(A276="","",(MAX(B$3:B276)-B276)/MAX(B$3:B276))</f>
        <v/>
      </c>
      <c r="F276" s="12" t="str">
        <f>IF(A276="","",MAX(E$4:E276))</f>
        <v/>
      </c>
      <c r="H276" s="14" t="str">
        <f t="shared" si="17"/>
        <v/>
      </c>
      <c r="I276" s="14" t="str">
        <f t="shared" si="18"/>
        <v/>
      </c>
      <c r="J276" s="15" t="str">
        <f t="shared" si="19"/>
        <v/>
      </c>
    </row>
    <row r="277" spans="1:10">
      <c r="A277" s="7" t="str">
        <f>IF(子基金及业绩基准周净值!A308="","",子基金及业绩基准周净值!A308)</f>
        <v/>
      </c>
      <c r="B277" s="1" t="str">
        <f>IF(A277="","",VLOOKUP($A277,子基金及业绩基准周净值!$A:$AV,16))</f>
        <v/>
      </c>
      <c r="C277" s="8" t="str">
        <f t="shared" si="16"/>
        <v/>
      </c>
      <c r="D277" s="9" t="str">
        <f>IF(A277="","",C277-子基金及业绩基准周净值!AI308)</f>
        <v/>
      </c>
      <c r="E277" s="12" t="str">
        <f>IF(A277="","",(MAX(B$3:B277)-B277)/MAX(B$3:B277))</f>
        <v/>
      </c>
      <c r="F277" s="12" t="str">
        <f>IF(A277="","",MAX(E$4:E277))</f>
        <v/>
      </c>
      <c r="H277" s="14" t="str">
        <f t="shared" si="17"/>
        <v/>
      </c>
      <c r="I277" s="14" t="str">
        <f t="shared" si="18"/>
        <v/>
      </c>
      <c r="J277" s="15" t="str">
        <f t="shared" si="19"/>
        <v/>
      </c>
    </row>
    <row r="278" spans="1:10">
      <c r="A278" s="7" t="str">
        <f>IF(子基金及业绩基准周净值!A309="","",子基金及业绩基准周净值!A309)</f>
        <v/>
      </c>
      <c r="B278" s="1" t="str">
        <f>IF(A278="","",VLOOKUP($A278,子基金及业绩基准周净值!$A:$AV,16))</f>
        <v/>
      </c>
      <c r="C278" s="8" t="str">
        <f t="shared" si="16"/>
        <v/>
      </c>
      <c r="D278" s="9" t="str">
        <f>IF(A278="","",C278-子基金及业绩基准周净值!AI309)</f>
        <v/>
      </c>
      <c r="E278" s="12" t="str">
        <f>IF(A278="","",(MAX(B$3:B278)-B278)/MAX(B$3:B278))</f>
        <v/>
      </c>
      <c r="F278" s="12" t="str">
        <f>IF(A278="","",MAX(E$4:E278))</f>
        <v/>
      </c>
      <c r="H278" s="14" t="str">
        <f t="shared" si="17"/>
        <v/>
      </c>
      <c r="I278" s="14" t="str">
        <f t="shared" si="18"/>
        <v/>
      </c>
      <c r="J278" s="15" t="str">
        <f t="shared" si="19"/>
        <v/>
      </c>
    </row>
    <row r="279" spans="1:10">
      <c r="A279" s="7" t="str">
        <f>IF(子基金及业绩基准周净值!A310="","",子基金及业绩基准周净值!A310)</f>
        <v/>
      </c>
      <c r="B279" s="1" t="str">
        <f>IF(A279="","",VLOOKUP($A279,子基金及业绩基准周净值!$A:$AV,16))</f>
        <v/>
      </c>
      <c r="C279" s="8" t="str">
        <f t="shared" si="16"/>
        <v/>
      </c>
      <c r="D279" s="9" t="str">
        <f>IF(A279="","",C279-子基金及业绩基准周净值!AI310)</f>
        <v/>
      </c>
      <c r="E279" s="12" t="str">
        <f>IF(A279="","",(MAX(B$3:B279)-B279)/MAX(B$3:B279))</f>
        <v/>
      </c>
      <c r="F279" s="12" t="str">
        <f>IF(A279="","",MAX(E$4:E279))</f>
        <v/>
      </c>
      <c r="H279" s="14" t="str">
        <f t="shared" si="17"/>
        <v/>
      </c>
      <c r="I279" s="14" t="str">
        <f t="shared" si="18"/>
        <v/>
      </c>
      <c r="J279" s="15" t="str">
        <f t="shared" si="19"/>
        <v/>
      </c>
    </row>
    <row r="280" spans="1:10">
      <c r="A280" s="7" t="str">
        <f>IF(子基金及业绩基准周净值!A311="","",子基金及业绩基准周净值!A311)</f>
        <v/>
      </c>
      <c r="B280" s="1" t="str">
        <f>IF(A280="","",VLOOKUP($A280,子基金及业绩基准周净值!$A:$AV,16))</f>
        <v/>
      </c>
      <c r="C280" s="8" t="str">
        <f t="shared" si="16"/>
        <v/>
      </c>
      <c r="D280" s="9" t="str">
        <f>IF(A280="","",C280-子基金及业绩基准周净值!AI311)</f>
        <v/>
      </c>
      <c r="E280" s="12" t="str">
        <f>IF(A280="","",(MAX(B$3:B280)-B280)/MAX(B$3:B280))</f>
        <v/>
      </c>
      <c r="F280" s="12" t="str">
        <f>IF(A280="","",MAX(E$4:E280))</f>
        <v/>
      </c>
      <c r="H280" s="14" t="str">
        <f t="shared" si="17"/>
        <v/>
      </c>
      <c r="I280" s="14" t="str">
        <f t="shared" si="18"/>
        <v/>
      </c>
      <c r="J280" s="15" t="str">
        <f t="shared" si="19"/>
        <v/>
      </c>
    </row>
    <row r="281" spans="1:10">
      <c r="A281" s="7" t="str">
        <f>IF(子基金及业绩基准周净值!A312="","",子基金及业绩基准周净值!A312)</f>
        <v/>
      </c>
      <c r="B281" s="1" t="str">
        <f>IF(A281="","",VLOOKUP($A281,子基金及业绩基准周净值!$A:$AV,16))</f>
        <v/>
      </c>
      <c r="C281" s="8" t="str">
        <f t="shared" si="16"/>
        <v/>
      </c>
      <c r="D281" s="9" t="str">
        <f>IF(A281="","",C281-子基金及业绩基准周净值!AI312)</f>
        <v/>
      </c>
      <c r="E281" s="12" t="str">
        <f>IF(A281="","",(MAX(B$3:B281)-B281)/MAX(B$3:B281))</f>
        <v/>
      </c>
      <c r="F281" s="12" t="str">
        <f>IF(A281="","",MAX(E$4:E281))</f>
        <v/>
      </c>
      <c r="H281" s="14" t="str">
        <f t="shared" si="17"/>
        <v/>
      </c>
      <c r="I281" s="14" t="str">
        <f t="shared" si="18"/>
        <v/>
      </c>
      <c r="J281" s="15" t="str">
        <f t="shared" si="19"/>
        <v/>
      </c>
    </row>
    <row r="282" spans="1:10">
      <c r="A282" s="7" t="str">
        <f>IF(子基金及业绩基准周净值!A313="","",子基金及业绩基准周净值!A313)</f>
        <v/>
      </c>
      <c r="B282" s="1" t="str">
        <f>IF(A282="","",VLOOKUP($A282,子基金及业绩基准周净值!$A:$AV,16))</f>
        <v/>
      </c>
      <c r="C282" s="8" t="str">
        <f t="shared" si="16"/>
        <v/>
      </c>
      <c r="D282" s="9" t="str">
        <f>IF(A282="","",C282-子基金及业绩基准周净值!AI313)</f>
        <v/>
      </c>
      <c r="E282" s="12" t="str">
        <f>IF(A282="","",(MAX(B$3:B282)-B282)/MAX(B$3:B282))</f>
        <v/>
      </c>
      <c r="F282" s="12" t="str">
        <f>IF(A282="","",MAX(E$4:E282))</f>
        <v/>
      </c>
      <c r="H282" s="14" t="str">
        <f t="shared" si="17"/>
        <v/>
      </c>
      <c r="I282" s="14" t="str">
        <f t="shared" si="18"/>
        <v/>
      </c>
      <c r="J282" s="15" t="str">
        <f t="shared" si="19"/>
        <v/>
      </c>
    </row>
    <row r="283" spans="1:10">
      <c r="A283" s="7" t="str">
        <f>IF(子基金及业绩基准周净值!A314="","",子基金及业绩基准周净值!A314)</f>
        <v/>
      </c>
      <c r="B283" s="1" t="str">
        <f>IF(A283="","",VLOOKUP($A283,子基金及业绩基准周净值!$A:$AV,16))</f>
        <v/>
      </c>
      <c r="C283" s="8" t="str">
        <f t="shared" si="16"/>
        <v/>
      </c>
      <c r="D283" s="9" t="str">
        <f>IF(A283="","",C283-子基金及业绩基准周净值!AI314)</f>
        <v/>
      </c>
      <c r="E283" s="12" t="str">
        <f>IF(A283="","",(MAX(B$3:B283)-B283)/MAX(B$3:B283))</f>
        <v/>
      </c>
      <c r="F283" s="12" t="str">
        <f>IF(A283="","",MAX(E$4:E283))</f>
        <v/>
      </c>
      <c r="H283" s="14" t="str">
        <f t="shared" si="17"/>
        <v/>
      </c>
      <c r="I283" s="14" t="str">
        <f t="shared" si="18"/>
        <v/>
      </c>
      <c r="J283" s="15" t="str">
        <f t="shared" si="19"/>
        <v/>
      </c>
    </row>
    <row r="284" spans="1:10">
      <c r="A284" s="7" t="str">
        <f>IF(子基金及业绩基准周净值!A315="","",子基金及业绩基准周净值!A315)</f>
        <v/>
      </c>
      <c r="B284" s="1" t="str">
        <f>IF(A284="","",VLOOKUP($A284,子基金及业绩基准周净值!$A:$AV,16))</f>
        <v/>
      </c>
      <c r="C284" s="8" t="str">
        <f t="shared" si="16"/>
        <v/>
      </c>
      <c r="D284" s="9" t="str">
        <f>IF(A284="","",C284-子基金及业绩基准周净值!AI315)</f>
        <v/>
      </c>
      <c r="E284" s="12" t="str">
        <f>IF(A284="","",(MAX(B$3:B284)-B284)/MAX(B$3:B284))</f>
        <v/>
      </c>
      <c r="F284" s="12" t="str">
        <f>IF(A284="","",MAX(E$4:E284))</f>
        <v/>
      </c>
      <c r="H284" s="14" t="str">
        <f t="shared" si="17"/>
        <v/>
      </c>
      <c r="I284" s="14" t="str">
        <f t="shared" si="18"/>
        <v/>
      </c>
      <c r="J284" s="15" t="str">
        <f t="shared" si="19"/>
        <v/>
      </c>
    </row>
    <row r="285" spans="1:10">
      <c r="A285" s="7" t="str">
        <f>IF(子基金及业绩基准周净值!A316="","",子基金及业绩基准周净值!A316)</f>
        <v/>
      </c>
      <c r="B285" s="1" t="str">
        <f>IF(A285="","",VLOOKUP($A285,子基金及业绩基准周净值!$A:$AV,16))</f>
        <v/>
      </c>
      <c r="C285" s="8" t="str">
        <f t="shared" si="16"/>
        <v/>
      </c>
      <c r="D285" s="9" t="str">
        <f>IF(A285="","",C285-子基金及业绩基准周净值!AI316)</f>
        <v/>
      </c>
      <c r="E285" s="12" t="str">
        <f>IF(A285="","",(MAX(B$3:B285)-B285)/MAX(B$3:B285))</f>
        <v/>
      </c>
      <c r="F285" s="12" t="str">
        <f>IF(A285="","",MAX(E$4:E285))</f>
        <v/>
      </c>
      <c r="H285" s="14" t="str">
        <f t="shared" si="17"/>
        <v/>
      </c>
      <c r="I285" s="14" t="str">
        <f t="shared" si="18"/>
        <v/>
      </c>
      <c r="J285" s="15" t="str">
        <f t="shared" si="19"/>
        <v/>
      </c>
    </row>
    <row r="286" spans="1:10">
      <c r="A286" s="7" t="str">
        <f>IF(子基金及业绩基准周净值!A317="","",子基金及业绩基准周净值!A317)</f>
        <v/>
      </c>
      <c r="B286" s="1" t="str">
        <f>IF(A286="","",VLOOKUP($A286,子基金及业绩基准周净值!$A:$AV,16))</f>
        <v/>
      </c>
      <c r="C286" s="8" t="str">
        <f t="shared" si="16"/>
        <v/>
      </c>
      <c r="D286" s="9" t="str">
        <f>IF(A286="","",C286-子基金及业绩基准周净值!AI317)</f>
        <v/>
      </c>
      <c r="E286" s="12" t="str">
        <f>IF(A286="","",(MAX(B$3:B286)-B286)/MAX(B$3:B286))</f>
        <v/>
      </c>
      <c r="F286" s="12" t="str">
        <f>IF(A286="","",MAX(E$4:E286))</f>
        <v/>
      </c>
      <c r="H286" s="14" t="str">
        <f t="shared" si="17"/>
        <v/>
      </c>
      <c r="I286" s="14" t="str">
        <f t="shared" si="18"/>
        <v/>
      </c>
      <c r="J286" s="15" t="str">
        <f t="shared" si="19"/>
        <v/>
      </c>
    </row>
    <row r="287" spans="1:10">
      <c r="A287" s="7" t="str">
        <f>IF(子基金及业绩基准周净值!A318="","",子基金及业绩基准周净值!A318)</f>
        <v/>
      </c>
      <c r="B287" s="1" t="str">
        <f>IF(A287="","",VLOOKUP($A287,子基金及业绩基准周净值!$A:$AV,16))</f>
        <v/>
      </c>
      <c r="C287" s="8" t="str">
        <f t="shared" si="16"/>
        <v/>
      </c>
      <c r="D287" s="9" t="str">
        <f>IF(A287="","",C287-子基金及业绩基准周净值!AI318)</f>
        <v/>
      </c>
      <c r="E287" s="12" t="str">
        <f>IF(A287="","",(MAX(B$3:B287)-B287)/MAX(B$3:B287))</f>
        <v/>
      </c>
      <c r="F287" s="12" t="str">
        <f>IF(A287="","",MAX(E$4:E287))</f>
        <v/>
      </c>
      <c r="H287" s="14" t="str">
        <f t="shared" si="17"/>
        <v/>
      </c>
      <c r="I287" s="14" t="str">
        <f t="shared" si="18"/>
        <v/>
      </c>
      <c r="J287" s="15" t="str">
        <f t="shared" si="19"/>
        <v/>
      </c>
    </row>
    <row r="288" spans="1:10">
      <c r="A288" s="7" t="str">
        <f>IF(子基金及业绩基准周净值!A319="","",子基金及业绩基准周净值!A319)</f>
        <v/>
      </c>
      <c r="B288" s="1" t="str">
        <f>IF(A288="","",VLOOKUP($A288,子基金及业绩基准周净值!$A:$AV,16))</f>
        <v/>
      </c>
      <c r="C288" s="8" t="str">
        <f t="shared" si="16"/>
        <v/>
      </c>
      <c r="D288" s="9" t="str">
        <f>IF(A288="","",C288-子基金及业绩基准周净值!AI319)</f>
        <v/>
      </c>
      <c r="E288" s="12" t="str">
        <f>IF(A288="","",(MAX(B$3:B288)-B288)/MAX(B$3:B288))</f>
        <v/>
      </c>
      <c r="F288" s="12" t="str">
        <f>IF(A288="","",MAX(E$4:E288))</f>
        <v/>
      </c>
      <c r="H288" s="14" t="str">
        <f t="shared" si="17"/>
        <v/>
      </c>
      <c r="I288" s="14" t="str">
        <f t="shared" si="18"/>
        <v/>
      </c>
      <c r="J288" s="15" t="str">
        <f t="shared" si="19"/>
        <v/>
      </c>
    </row>
    <row r="289" spans="1:10">
      <c r="A289" s="7" t="str">
        <f>IF(子基金及业绩基准周净值!A320="","",子基金及业绩基准周净值!A320)</f>
        <v/>
      </c>
      <c r="B289" s="1" t="str">
        <f>IF(A289="","",VLOOKUP($A289,子基金及业绩基准周净值!$A:$AV,16))</f>
        <v/>
      </c>
      <c r="C289" s="8" t="str">
        <f t="shared" si="16"/>
        <v/>
      </c>
      <c r="D289" s="9" t="str">
        <f>IF(A289="","",C289-子基金及业绩基准周净值!AI320)</f>
        <v/>
      </c>
      <c r="E289" s="12" t="str">
        <f>IF(A289="","",(MAX(B$3:B289)-B289)/MAX(B$3:B289))</f>
        <v/>
      </c>
      <c r="F289" s="12" t="str">
        <f>IF(A289="","",MAX(E$4:E289))</f>
        <v/>
      </c>
      <c r="H289" s="14" t="str">
        <f t="shared" si="17"/>
        <v/>
      </c>
      <c r="I289" s="14" t="str">
        <f t="shared" si="18"/>
        <v/>
      </c>
      <c r="J289" s="15" t="str">
        <f t="shared" si="19"/>
        <v/>
      </c>
    </row>
    <row r="290" spans="1:10">
      <c r="A290" s="7" t="str">
        <f>IF(子基金及业绩基准周净值!A321="","",子基金及业绩基准周净值!A321)</f>
        <v/>
      </c>
      <c r="B290" s="1" t="str">
        <f>IF(A290="","",VLOOKUP($A290,子基金及业绩基准周净值!$A:$AV,16))</f>
        <v/>
      </c>
      <c r="C290" s="8" t="str">
        <f t="shared" si="16"/>
        <v/>
      </c>
      <c r="D290" s="9" t="str">
        <f>IF(A290="","",C290-子基金及业绩基准周净值!AI321)</f>
        <v/>
      </c>
      <c r="E290" s="12" t="str">
        <f>IF(A290="","",(MAX(B$3:B290)-B290)/MAX(B$3:B290))</f>
        <v/>
      </c>
      <c r="F290" s="12" t="str">
        <f>IF(A290="","",MAX(E$4:E290))</f>
        <v/>
      </c>
      <c r="H290" s="14" t="str">
        <f t="shared" si="17"/>
        <v/>
      </c>
      <c r="I290" s="14" t="str">
        <f t="shared" si="18"/>
        <v/>
      </c>
      <c r="J290" s="15" t="str">
        <f t="shared" si="19"/>
        <v/>
      </c>
    </row>
    <row r="291" spans="1:10">
      <c r="A291" s="7" t="str">
        <f>IF(子基金及业绩基准周净值!A322="","",子基金及业绩基准周净值!A322)</f>
        <v/>
      </c>
      <c r="B291" s="1" t="str">
        <f>IF(A291="","",VLOOKUP($A291,子基金及业绩基准周净值!$A:$AV,16))</f>
        <v/>
      </c>
      <c r="C291" s="8" t="str">
        <f t="shared" si="16"/>
        <v/>
      </c>
      <c r="D291" s="9" t="str">
        <f>IF(A291="","",C291-子基金及业绩基准周净值!AI322)</f>
        <v/>
      </c>
      <c r="E291" s="12" t="str">
        <f>IF(A291="","",(MAX(B$3:B291)-B291)/MAX(B$3:B291))</f>
        <v/>
      </c>
      <c r="F291" s="12" t="str">
        <f>IF(A291="","",MAX(E$4:E291))</f>
        <v/>
      </c>
      <c r="H291" s="14" t="str">
        <f t="shared" si="17"/>
        <v/>
      </c>
      <c r="I291" s="14" t="str">
        <f t="shared" si="18"/>
        <v/>
      </c>
      <c r="J291" s="15" t="str">
        <f t="shared" si="19"/>
        <v/>
      </c>
    </row>
    <row r="292" spans="1:10">
      <c r="A292" s="7" t="str">
        <f>IF(子基金及业绩基准周净值!A323="","",子基金及业绩基准周净值!A323)</f>
        <v/>
      </c>
      <c r="B292" s="1" t="str">
        <f>IF(A292="","",VLOOKUP($A292,子基金及业绩基准周净值!$A:$AV,16))</f>
        <v/>
      </c>
      <c r="C292" s="8" t="str">
        <f t="shared" si="16"/>
        <v/>
      </c>
      <c r="D292" s="9" t="str">
        <f>IF(A292="","",C292-子基金及业绩基准周净值!AI323)</f>
        <v/>
      </c>
      <c r="E292" s="12" t="str">
        <f>IF(A292="","",(MAX(B$3:B292)-B292)/MAX(B$3:B292))</f>
        <v/>
      </c>
      <c r="F292" s="12" t="str">
        <f>IF(A292="","",MAX(E$4:E292))</f>
        <v/>
      </c>
      <c r="H292" s="14" t="str">
        <f t="shared" si="17"/>
        <v/>
      </c>
      <c r="I292" s="14" t="str">
        <f t="shared" si="18"/>
        <v/>
      </c>
      <c r="J292" s="15" t="str">
        <f t="shared" si="19"/>
        <v/>
      </c>
    </row>
    <row r="293" spans="1:10">
      <c r="A293" s="7" t="str">
        <f>IF(子基金及业绩基准周净值!A324="","",子基金及业绩基准周净值!A324)</f>
        <v/>
      </c>
      <c r="B293" s="1" t="str">
        <f>IF(A293="","",VLOOKUP($A293,子基金及业绩基准周净值!$A:$AV,16))</f>
        <v/>
      </c>
      <c r="C293" s="8" t="str">
        <f t="shared" si="16"/>
        <v/>
      </c>
      <c r="D293" s="9" t="str">
        <f>IF(A293="","",C293-子基金及业绩基准周净值!AI324)</f>
        <v/>
      </c>
      <c r="E293" s="12" t="str">
        <f>IF(A293="","",(MAX(B$3:B293)-B293)/MAX(B$3:B293))</f>
        <v/>
      </c>
      <c r="F293" s="12" t="str">
        <f>IF(A293="","",MAX(E$4:E293))</f>
        <v/>
      </c>
      <c r="H293" s="14" t="str">
        <f t="shared" si="17"/>
        <v/>
      </c>
      <c r="I293" s="14" t="str">
        <f t="shared" si="18"/>
        <v/>
      </c>
      <c r="J293" s="15" t="str">
        <f t="shared" si="19"/>
        <v/>
      </c>
    </row>
    <row r="294" spans="1:10">
      <c r="A294" s="7" t="str">
        <f>IF(子基金及业绩基准周净值!A325="","",子基金及业绩基准周净值!A325)</f>
        <v/>
      </c>
      <c r="B294" s="1" t="str">
        <f>IF(A294="","",VLOOKUP($A294,子基金及业绩基准周净值!$A:$AV,16))</f>
        <v/>
      </c>
      <c r="C294" s="8" t="str">
        <f t="shared" si="16"/>
        <v/>
      </c>
      <c r="D294" s="9" t="str">
        <f>IF(A294="","",C294-子基金及业绩基准周净值!AI325)</f>
        <v/>
      </c>
      <c r="E294" s="12" t="str">
        <f>IF(A294="","",(MAX(B$3:B294)-B294)/MAX(B$3:B294))</f>
        <v/>
      </c>
      <c r="F294" s="12" t="str">
        <f>IF(A294="","",MAX(E$4:E294))</f>
        <v/>
      </c>
      <c r="H294" s="14" t="str">
        <f t="shared" si="17"/>
        <v/>
      </c>
      <c r="I294" s="14" t="str">
        <f t="shared" si="18"/>
        <v/>
      </c>
      <c r="J294" s="15" t="str">
        <f t="shared" si="19"/>
        <v/>
      </c>
    </row>
    <row r="295" spans="1:10">
      <c r="A295" s="7" t="str">
        <f>IF(子基金及业绩基准周净值!A326="","",子基金及业绩基准周净值!A326)</f>
        <v/>
      </c>
      <c r="B295" s="1" t="str">
        <f>IF(A295="","",VLOOKUP($A295,子基金及业绩基准周净值!$A:$AV,16))</f>
        <v/>
      </c>
      <c r="C295" s="8" t="str">
        <f t="shared" si="16"/>
        <v/>
      </c>
      <c r="D295" s="9" t="str">
        <f>IF(A295="","",C295-子基金及业绩基准周净值!AI326)</f>
        <v/>
      </c>
      <c r="E295" s="12" t="str">
        <f>IF(A295="","",(MAX(B$3:B295)-B295)/MAX(B$3:B295))</f>
        <v/>
      </c>
      <c r="F295" s="12" t="str">
        <f>IF(A295="","",MAX(E$4:E295))</f>
        <v/>
      </c>
      <c r="H295" s="14" t="str">
        <f t="shared" si="17"/>
        <v/>
      </c>
      <c r="I295" s="14" t="str">
        <f t="shared" si="18"/>
        <v/>
      </c>
      <c r="J295" s="15" t="str">
        <f t="shared" si="19"/>
        <v/>
      </c>
    </row>
    <row r="296" spans="1:10">
      <c r="A296" s="7" t="str">
        <f>IF(子基金及业绩基准周净值!A327="","",子基金及业绩基准周净值!A327)</f>
        <v/>
      </c>
      <c r="B296" s="1" t="str">
        <f>IF(A296="","",VLOOKUP($A296,子基金及业绩基准周净值!$A:$AV,16))</f>
        <v/>
      </c>
      <c r="C296" s="8" t="str">
        <f t="shared" si="16"/>
        <v/>
      </c>
      <c r="D296" s="9" t="str">
        <f>IF(A296="","",C296-子基金及业绩基准周净值!AI327)</f>
        <v/>
      </c>
      <c r="E296" s="12" t="str">
        <f>IF(A296="","",(MAX(B$3:B296)-B296)/MAX(B$3:B296))</f>
        <v/>
      </c>
      <c r="F296" s="12" t="str">
        <f>IF(A296="","",MAX(E$4:E296))</f>
        <v/>
      </c>
      <c r="H296" s="14" t="str">
        <f t="shared" si="17"/>
        <v/>
      </c>
      <c r="I296" s="14" t="str">
        <f t="shared" si="18"/>
        <v/>
      </c>
      <c r="J296" s="15" t="str">
        <f t="shared" si="19"/>
        <v/>
      </c>
    </row>
    <row r="297" spans="1:10">
      <c r="A297" s="7" t="str">
        <f>IF(子基金及业绩基准周净值!A328="","",子基金及业绩基准周净值!A328)</f>
        <v/>
      </c>
      <c r="B297" s="1" t="str">
        <f>IF(A297="","",VLOOKUP($A297,子基金及业绩基准周净值!$A:$AV,16))</f>
        <v/>
      </c>
      <c r="C297" s="8" t="str">
        <f t="shared" si="16"/>
        <v/>
      </c>
      <c r="D297" s="9" t="str">
        <f>IF(A297="","",C297-子基金及业绩基准周净值!AI328)</f>
        <v/>
      </c>
      <c r="E297" s="12" t="str">
        <f>IF(A297="","",(MAX(B$3:B297)-B297)/MAX(B$3:B297))</f>
        <v/>
      </c>
      <c r="F297" s="12" t="str">
        <f>IF(A297="","",MAX(E$4:E297))</f>
        <v/>
      </c>
      <c r="H297" s="14" t="str">
        <f t="shared" si="17"/>
        <v/>
      </c>
      <c r="I297" s="14" t="str">
        <f t="shared" si="18"/>
        <v/>
      </c>
      <c r="J297" s="15" t="str">
        <f t="shared" si="19"/>
        <v/>
      </c>
    </row>
    <row r="298" spans="1:10">
      <c r="A298" s="7" t="str">
        <f>IF(子基金及业绩基准周净值!A329="","",子基金及业绩基准周净值!A329)</f>
        <v/>
      </c>
      <c r="B298" s="1" t="str">
        <f>IF(A298="","",VLOOKUP($A298,子基金及业绩基准周净值!$A:$AV,16))</f>
        <v/>
      </c>
      <c r="C298" s="8" t="str">
        <f t="shared" si="16"/>
        <v/>
      </c>
      <c r="D298" s="9" t="str">
        <f>IF(A298="","",C298-子基金及业绩基准周净值!AI329)</f>
        <v/>
      </c>
      <c r="E298" s="12" t="str">
        <f>IF(A298="","",(MAX(B$3:B298)-B298)/MAX(B$3:B298))</f>
        <v/>
      </c>
      <c r="F298" s="12" t="str">
        <f>IF(A298="","",MAX(E$4:E298))</f>
        <v/>
      </c>
      <c r="H298" s="14" t="str">
        <f t="shared" si="17"/>
        <v/>
      </c>
      <c r="I298" s="14" t="str">
        <f t="shared" si="18"/>
        <v/>
      </c>
      <c r="J298" s="15" t="str">
        <f t="shared" si="19"/>
        <v/>
      </c>
    </row>
    <row r="299" spans="1:10">
      <c r="A299" s="7" t="str">
        <f>IF(子基金及业绩基准周净值!A330="","",子基金及业绩基准周净值!A330)</f>
        <v/>
      </c>
      <c r="B299" s="1" t="str">
        <f>IF(A299="","",VLOOKUP($A299,子基金及业绩基准周净值!$A:$AV,16))</f>
        <v/>
      </c>
      <c r="C299" s="8" t="str">
        <f t="shared" si="16"/>
        <v/>
      </c>
      <c r="D299" s="9" t="str">
        <f>IF(A299="","",C299-子基金及业绩基准周净值!AI330)</f>
        <v/>
      </c>
      <c r="E299" s="12" t="str">
        <f>IF(A299="","",(MAX(B$3:B299)-B299)/MAX(B$3:B299))</f>
        <v/>
      </c>
      <c r="F299" s="12" t="str">
        <f>IF(A299="","",MAX(E$4:E299))</f>
        <v/>
      </c>
      <c r="H299" s="14" t="str">
        <f t="shared" si="17"/>
        <v/>
      </c>
      <c r="I299" s="14" t="str">
        <f t="shared" si="18"/>
        <v/>
      </c>
      <c r="J299" s="15" t="str">
        <f t="shared" si="19"/>
        <v/>
      </c>
    </row>
    <row r="300" spans="1:10">
      <c r="A300" s="7" t="str">
        <f>IF(子基金及业绩基准周净值!A331="","",子基金及业绩基准周净值!A331)</f>
        <v/>
      </c>
      <c r="B300" s="1" t="str">
        <f>IF(A300="","",VLOOKUP($A300,子基金及业绩基准周净值!$A:$AV,16))</f>
        <v/>
      </c>
      <c r="C300" s="8" t="str">
        <f t="shared" si="16"/>
        <v/>
      </c>
      <c r="D300" s="9" t="str">
        <f>IF(A300="","",C300-子基金及业绩基准周净值!AI331)</f>
        <v/>
      </c>
      <c r="E300" s="12" t="str">
        <f>IF(A300="","",(MAX(B$3:B300)-B300)/MAX(B$3:B300))</f>
        <v/>
      </c>
      <c r="F300" s="12" t="str">
        <f>IF(A300="","",MAX(E$4:E300))</f>
        <v/>
      </c>
      <c r="H300" s="14" t="str">
        <f t="shared" si="17"/>
        <v/>
      </c>
      <c r="I300" s="14" t="str">
        <f t="shared" si="18"/>
        <v/>
      </c>
      <c r="J300" s="15" t="str">
        <f t="shared" si="19"/>
        <v/>
      </c>
    </row>
    <row r="301" spans="1:10">
      <c r="A301" s="7" t="str">
        <f>IF(子基金及业绩基准周净值!A332="","",子基金及业绩基准周净值!A332)</f>
        <v/>
      </c>
      <c r="B301" s="1" t="str">
        <f>IF(A301="","",VLOOKUP($A301,子基金及业绩基准周净值!$A:$AV,16))</f>
        <v/>
      </c>
      <c r="C301" s="8" t="str">
        <f t="shared" si="16"/>
        <v/>
      </c>
      <c r="D301" s="9" t="str">
        <f>IF(A301="","",C301-子基金及业绩基准周净值!AI332)</f>
        <v/>
      </c>
      <c r="E301" s="12" t="str">
        <f>IF(A301="","",(MAX(B$3:B301)-B301)/MAX(B$3:B301))</f>
        <v/>
      </c>
      <c r="F301" s="12" t="str">
        <f>IF(A301="","",MAX(E$4:E301))</f>
        <v/>
      </c>
      <c r="H301" s="14" t="str">
        <f t="shared" si="17"/>
        <v/>
      </c>
      <c r="I301" s="14" t="str">
        <f t="shared" si="18"/>
        <v/>
      </c>
      <c r="J301" s="15" t="str">
        <f t="shared" si="19"/>
        <v/>
      </c>
    </row>
    <row r="302" spans="1:10">
      <c r="A302" s="7" t="str">
        <f>IF(子基金及业绩基准周净值!A333="","",子基金及业绩基准周净值!A333)</f>
        <v/>
      </c>
      <c r="B302" s="1" t="str">
        <f>IF(A302="","",VLOOKUP($A302,子基金及业绩基准周净值!$A:$AV,16))</f>
        <v/>
      </c>
      <c r="C302" s="8" t="str">
        <f t="shared" si="16"/>
        <v/>
      </c>
      <c r="D302" s="9" t="str">
        <f>IF(A302="","",C302-子基金及业绩基准周净值!AI333)</f>
        <v/>
      </c>
      <c r="E302" s="12" t="str">
        <f>IF(A302="","",(MAX(B$3:B302)-B302)/MAX(B$3:B302))</f>
        <v/>
      </c>
      <c r="F302" s="12" t="str">
        <f>IF(A302="","",MAX(E$4:E302))</f>
        <v/>
      </c>
      <c r="H302" s="14" t="str">
        <f t="shared" si="17"/>
        <v/>
      </c>
      <c r="I302" s="14" t="str">
        <f t="shared" si="18"/>
        <v/>
      </c>
      <c r="J302" s="15" t="str">
        <f t="shared" si="19"/>
        <v/>
      </c>
    </row>
    <row r="303" spans="1:10">
      <c r="A303" s="7" t="str">
        <f>IF(子基金及业绩基准周净值!A334="","",子基金及业绩基准周净值!A334)</f>
        <v/>
      </c>
      <c r="B303" s="1" t="str">
        <f>IF(A303="","",VLOOKUP($A303,子基金及业绩基准周净值!$A:$AV,16))</f>
        <v/>
      </c>
      <c r="C303" s="8" t="str">
        <f t="shared" si="16"/>
        <v/>
      </c>
      <c r="D303" s="9" t="str">
        <f>IF(A303="","",C303-子基金及业绩基准周净值!AI334)</f>
        <v/>
      </c>
      <c r="E303" s="12" t="str">
        <f>IF(A303="","",(MAX(B$3:B303)-B303)/MAX(B$3:B303))</f>
        <v/>
      </c>
      <c r="F303" s="12" t="str">
        <f>IF(A303="","",MAX(E$4:E303))</f>
        <v/>
      </c>
      <c r="H303" s="14" t="str">
        <f t="shared" si="17"/>
        <v/>
      </c>
      <c r="I303" s="14" t="str">
        <f t="shared" si="18"/>
        <v/>
      </c>
      <c r="J303" s="15" t="str">
        <f t="shared" si="19"/>
        <v/>
      </c>
    </row>
    <row r="304" spans="1:10">
      <c r="A304" s="7" t="str">
        <f>IF(子基金及业绩基准周净值!A335="","",子基金及业绩基准周净值!A335)</f>
        <v/>
      </c>
      <c r="B304" s="1" t="str">
        <f>IF(A304="","",VLOOKUP($A304,子基金及业绩基准周净值!$A:$AV,16))</f>
        <v/>
      </c>
      <c r="C304" s="8" t="str">
        <f t="shared" si="16"/>
        <v/>
      </c>
      <c r="D304" s="9" t="str">
        <f>IF(A304="","",C304-子基金及业绩基准周净值!AI335)</f>
        <v/>
      </c>
      <c r="E304" s="12" t="str">
        <f>IF(A304="","",(MAX(B$3:B304)-B304)/MAX(B$3:B304))</f>
        <v/>
      </c>
      <c r="F304" s="12" t="str">
        <f>IF(A304="","",MAX(E$4:E304))</f>
        <v/>
      </c>
      <c r="H304" s="14" t="str">
        <f t="shared" si="17"/>
        <v/>
      </c>
      <c r="I304" s="14" t="str">
        <f t="shared" si="18"/>
        <v/>
      </c>
      <c r="J304" s="15" t="str">
        <f t="shared" si="19"/>
        <v/>
      </c>
    </row>
    <row r="305" spans="1:10">
      <c r="A305" s="7" t="str">
        <f>IF(子基金及业绩基准周净值!A336="","",子基金及业绩基准周净值!A336)</f>
        <v/>
      </c>
      <c r="B305" s="1" t="str">
        <f>IF(A305="","",VLOOKUP($A305,子基金及业绩基准周净值!$A:$AV,16))</f>
        <v/>
      </c>
      <c r="C305" s="8" t="str">
        <f t="shared" si="16"/>
        <v/>
      </c>
      <c r="D305" s="9" t="str">
        <f>IF(A305="","",C305-子基金及业绩基准周净值!AI336)</f>
        <v/>
      </c>
      <c r="E305" s="12" t="str">
        <f>IF(A305="","",(MAX(B$3:B305)-B305)/MAX(B$3:B305))</f>
        <v/>
      </c>
      <c r="F305" s="12" t="str">
        <f>IF(A305="","",MAX(E$4:E305))</f>
        <v/>
      </c>
      <c r="H305" s="14" t="str">
        <f t="shared" si="17"/>
        <v/>
      </c>
      <c r="I305" s="14" t="str">
        <f t="shared" si="18"/>
        <v/>
      </c>
      <c r="J305" s="15" t="str">
        <f t="shared" si="19"/>
        <v/>
      </c>
    </row>
    <row r="306" spans="1:10">
      <c r="A306" s="7" t="str">
        <f>IF(子基金及业绩基准周净值!A337="","",子基金及业绩基准周净值!A337)</f>
        <v/>
      </c>
      <c r="B306" s="1" t="str">
        <f>IF(A306="","",VLOOKUP($A306,子基金及业绩基准周净值!$A:$AV,16))</f>
        <v/>
      </c>
      <c r="C306" s="8" t="str">
        <f t="shared" si="16"/>
        <v/>
      </c>
      <c r="D306" s="9" t="str">
        <f>IF(A306="","",C306-子基金及业绩基准周净值!AI337)</f>
        <v/>
      </c>
      <c r="E306" s="12" t="str">
        <f>IF(A306="","",(MAX(B$3:B306)-B306)/MAX(B$3:B306))</f>
        <v/>
      </c>
      <c r="F306" s="12" t="str">
        <f>IF(A306="","",MAX(E$4:E306))</f>
        <v/>
      </c>
      <c r="H306" s="14" t="str">
        <f t="shared" si="17"/>
        <v/>
      </c>
      <c r="I306" s="14" t="str">
        <f t="shared" si="18"/>
        <v/>
      </c>
      <c r="J306" s="15" t="str">
        <f t="shared" si="19"/>
        <v/>
      </c>
    </row>
    <row r="307" spans="1:10">
      <c r="A307" s="7" t="str">
        <f>IF(子基金及业绩基准周净值!A338="","",子基金及业绩基准周净值!A338)</f>
        <v/>
      </c>
      <c r="B307" s="1" t="str">
        <f>IF(A307="","",VLOOKUP($A307,子基金及业绩基准周净值!$A:$AV,16))</f>
        <v/>
      </c>
      <c r="C307" s="8" t="str">
        <f t="shared" si="16"/>
        <v/>
      </c>
      <c r="D307" s="9" t="str">
        <f>IF(A307="","",C307-子基金及业绩基准周净值!AI338)</f>
        <v/>
      </c>
      <c r="E307" s="12" t="str">
        <f>IF(A307="","",(MAX(B$3:B307)-B307)/MAX(B$3:B307))</f>
        <v/>
      </c>
      <c r="F307" s="12" t="str">
        <f>IF(A307="","",MAX(E$4:E307))</f>
        <v/>
      </c>
      <c r="H307" s="14" t="str">
        <f t="shared" si="17"/>
        <v/>
      </c>
      <c r="I307" s="14" t="str">
        <f t="shared" si="18"/>
        <v/>
      </c>
      <c r="J307" s="15" t="str">
        <f t="shared" si="19"/>
        <v/>
      </c>
    </row>
    <row r="308" spans="1:10">
      <c r="A308" s="7" t="str">
        <f>IF(子基金及业绩基准周净值!A339="","",子基金及业绩基准周净值!A339)</f>
        <v/>
      </c>
      <c r="B308" s="1" t="str">
        <f>IF(A308="","",VLOOKUP($A308,子基金及业绩基准周净值!$A:$AV,16))</f>
        <v/>
      </c>
      <c r="C308" s="8" t="str">
        <f t="shared" si="16"/>
        <v/>
      </c>
      <c r="D308" s="9" t="str">
        <f>IF(A308="","",C308-子基金及业绩基准周净值!AI339)</f>
        <v/>
      </c>
      <c r="E308" s="12" t="str">
        <f>IF(A308="","",(MAX(B$3:B308)-B308)/MAX(B$3:B308))</f>
        <v/>
      </c>
      <c r="F308" s="12" t="str">
        <f>IF(A308="","",MAX(E$4:E308))</f>
        <v/>
      </c>
      <c r="H308" s="14" t="str">
        <f t="shared" si="17"/>
        <v/>
      </c>
      <c r="I308" s="14" t="str">
        <f t="shared" si="18"/>
        <v/>
      </c>
      <c r="J308" s="15" t="str">
        <f t="shared" si="19"/>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L308"/>
  <sheetViews>
    <sheetView zoomScale="99" zoomScaleNormal="99" topLeftCell="A10" workbookViewId="0">
      <selection activeCell="E38" sqref="E38"/>
    </sheetView>
  </sheetViews>
  <sheetFormatPr defaultColWidth="9" defaultRowHeight="16.8"/>
  <cols>
    <col min="1" max="1" width="11.125" customWidth="1"/>
    <col min="2" max="2" width="17" customWidth="1"/>
    <col min="3" max="3" width="17" style="24" customWidth="1"/>
    <col min="4" max="4" width="9.375" customWidth="1"/>
    <col min="5" max="5" width="9.375" style="2" customWidth="1"/>
    <col min="6" max="6" width="7.25" customWidth="1"/>
    <col min="7" max="7" width="9.375" customWidth="1"/>
    <col min="8" max="8" width="15.875" customWidth="1"/>
    <col min="9" max="10" width="20.375" customWidth="1"/>
    <col min="11" max="11" width="14.75" customWidth="1"/>
    <col min="12" max="12" width="5.25" customWidth="1"/>
    <col min="14" max="14" width="12.625"/>
  </cols>
  <sheetData>
    <row r="1" s="1" customFormat="1" spans="1:12">
      <c r="A1" s="1">
        <v>1</v>
      </c>
      <c r="B1" s="1">
        <v>2</v>
      </c>
      <c r="C1" s="25"/>
      <c r="D1" s="1">
        <v>3</v>
      </c>
      <c r="E1" s="3">
        <v>4</v>
      </c>
      <c r="G1" s="1">
        <v>5</v>
      </c>
      <c r="H1" s="1">
        <v>6</v>
      </c>
      <c r="I1" s="1">
        <v>7</v>
      </c>
      <c r="J1" s="1">
        <v>8</v>
      </c>
      <c r="K1" s="1">
        <v>9</v>
      </c>
      <c r="L1" s="1">
        <v>10</v>
      </c>
    </row>
    <row r="2" s="1" customFormat="1" ht="16.5" customHeight="1" spans="1:12">
      <c r="A2" s="4" t="s">
        <v>2</v>
      </c>
      <c r="B2" s="4" t="s">
        <v>54</v>
      </c>
      <c r="C2" s="26" t="s">
        <v>318</v>
      </c>
      <c r="D2" s="5" t="s">
        <v>310</v>
      </c>
      <c r="E2" s="6" t="s">
        <v>311</v>
      </c>
      <c r="F2" s="1"/>
      <c r="G2" s="5" t="s">
        <v>22</v>
      </c>
      <c r="H2" s="10" t="s">
        <v>312</v>
      </c>
      <c r="I2" s="11" t="s">
        <v>313</v>
      </c>
      <c r="J2" s="11" t="s">
        <v>314</v>
      </c>
      <c r="K2" s="11" t="s">
        <v>315</v>
      </c>
      <c r="L2" s="5" t="s">
        <v>316</v>
      </c>
    </row>
    <row r="3" spans="1:11">
      <c r="A3" s="7">
        <f>IF(子基金及业绩基准周净值!A41="","",子基金及业绩基准周净值!A41)</f>
        <v>45730</v>
      </c>
      <c r="B3" s="1">
        <f>IF(A3="","",VLOOKUP($A3,子基金及业绩基准周净值!$A:$AV,17))</f>
        <v>1.097</v>
      </c>
      <c r="C3" s="25">
        <f>B3</f>
        <v>1.097</v>
      </c>
      <c r="D3" s="8"/>
      <c r="E3" s="9"/>
      <c r="F3" s="12">
        <f>IF(A3="","",(MAX(B$3:B3)-B3)/MAX(B$3:B3))</f>
        <v>0</v>
      </c>
      <c r="G3" s="12">
        <f>IF(A3="","",MAX(F3:F$4))</f>
        <v>0</v>
      </c>
      <c r="H3" s="13"/>
      <c r="I3" s="14" t="str">
        <f t="shared" ref="I3:I4" si="0">IF(A3="","",IF(F3&lt;3%,"否","是"))</f>
        <v>否</v>
      </c>
      <c r="J3" s="14" t="str">
        <f t="shared" ref="J3:J4" si="1">IF(A3="","",IF(G3&gt;5%,"是","否"))</f>
        <v>否</v>
      </c>
      <c r="K3" s="15" t="str">
        <f t="shared" ref="K3:K4" si="2">IF(A3="","",IF(H3&gt;=4,"是","否"))</f>
        <v>否</v>
      </c>
    </row>
    <row r="4" spans="1:11">
      <c r="A4" s="7">
        <f>IF(子基金及业绩基准周净值!A42="","",子基金及业绩基准周净值!A42)</f>
        <v>45737</v>
      </c>
      <c r="B4" s="1">
        <f>IF(A4="","",VLOOKUP($A4,子基金及业绩基准周净值!$A:$AV,17))</f>
        <v>1.099</v>
      </c>
      <c r="C4" s="25">
        <f t="shared" ref="C4:C31" si="3">B4</f>
        <v>1.099</v>
      </c>
      <c r="D4" s="8">
        <f>IF(A4="","",(B4-B3)/B3)</f>
        <v>0.00182315405651778</v>
      </c>
      <c r="E4" s="9">
        <f>IF(A4="","",D4-子基金及业绩基准周净值!AI42)</f>
        <v>0.00172315405651778</v>
      </c>
      <c r="F4" s="12">
        <f>IF(A4="","",(MAX(B$3:B4)-B4)/MAX(B$3:B4))</f>
        <v>0</v>
      </c>
      <c r="G4" s="12">
        <f>IF(A4="","",MAX(F$4:F4))</f>
        <v>0</v>
      </c>
      <c r="H4" s="13">
        <v>1</v>
      </c>
      <c r="I4" s="14" t="str">
        <f>IF(B4="","",IF(D4&lt;-3%,"是","否"))</f>
        <v>否</v>
      </c>
      <c r="J4" s="14" t="str">
        <f t="shared" si="1"/>
        <v>否</v>
      </c>
      <c r="K4" s="15" t="str">
        <f t="shared" si="2"/>
        <v>否</v>
      </c>
    </row>
    <row r="5" spans="1:11">
      <c r="A5" s="7">
        <f>IF(子基金及业绩基准周净值!A43="","",子基金及业绩基准周净值!A43)</f>
        <v>45744</v>
      </c>
      <c r="B5" s="1">
        <f>IF(A5="","",VLOOKUP($A5,子基金及业绩基准周净值!$A:$AV,17))</f>
        <v>1.096</v>
      </c>
      <c r="C5" s="25">
        <f t="shared" si="3"/>
        <v>1.096</v>
      </c>
      <c r="D5" s="8">
        <f>IF(A5="","",(B5-B4)/B4)</f>
        <v>-0.00272975432211091</v>
      </c>
      <c r="E5" s="9">
        <f>IF(A5="","",D5-子基金及业绩基准周净值!AI43)</f>
        <v>0.00737024567788909</v>
      </c>
      <c r="F5" s="12">
        <f>IF(A5="","",(MAX(B$3:B5)-B5)/MAX(B$3:B5))</f>
        <v>0.00272975432211091</v>
      </c>
      <c r="G5" s="12">
        <f>IF(A5="","",MAX(F$4:F5))</f>
        <v>0.00272975432211091</v>
      </c>
      <c r="H5" s="13">
        <v>0</v>
      </c>
      <c r="I5" s="14" t="str">
        <f t="shared" ref="I5:I68" si="4">IF(B5="","",IF(D5&lt;-3%,"是","否"))</f>
        <v>否</v>
      </c>
      <c r="J5" s="14" t="str">
        <f t="shared" ref="J5:J68" si="5">IF(A5="","",IF(G5&gt;5%,"是","否"))</f>
        <v>否</v>
      </c>
      <c r="K5" s="15" t="str">
        <f t="shared" ref="K5:K68" si="6">IF(A5="","",IF(H5&gt;=4,"是","否"))</f>
        <v>否</v>
      </c>
    </row>
    <row r="6" spans="1:11">
      <c r="A6" s="7">
        <f>IF(子基金及业绩基准周净值!A44="","",子基金及业绩基准周净值!A44)</f>
        <v>45750</v>
      </c>
      <c r="B6" s="1">
        <f>IF(A6="","",VLOOKUP($A6,子基金及业绩基准周净值!$A:$AV,17))</f>
        <v>1.095</v>
      </c>
      <c r="C6" s="25">
        <f t="shared" si="3"/>
        <v>1.095</v>
      </c>
      <c r="D6" s="8">
        <f t="shared" ref="D6:D68" si="7">IF(A6="","",(B6-B5)/B5)</f>
        <v>-0.00091240875912419</v>
      </c>
      <c r="E6" s="9">
        <f>IF(A6="","",D6-子基金及业绩基准周净值!AI44)</f>
        <v>-0.00241240875912419</v>
      </c>
      <c r="F6" s="12">
        <f>IF(A6="","",(MAX(B$3:B6)-B6)/MAX(B$3:B6))</f>
        <v>0.00363967242948135</v>
      </c>
      <c r="G6" s="12">
        <f>IF(A6="","",MAX(F$4:F6))</f>
        <v>0.00363967242948135</v>
      </c>
      <c r="H6" s="13">
        <v>0</v>
      </c>
      <c r="I6" s="14" t="str">
        <f t="shared" si="4"/>
        <v>否</v>
      </c>
      <c r="J6" s="14" t="str">
        <f t="shared" si="5"/>
        <v>否</v>
      </c>
      <c r="K6" s="15" t="str">
        <f t="shared" si="6"/>
        <v>否</v>
      </c>
    </row>
    <row r="7" spans="1:11">
      <c r="A7" s="7">
        <f>IF(子基金及业绩基准周净值!A45="","",子基金及业绩基准周净值!A45)</f>
        <v>45758</v>
      </c>
      <c r="B7" s="1">
        <f>IF(A7="","",VLOOKUP($A7,子基金及业绩基准周净值!$A:$AV,17))</f>
        <v>1.1</v>
      </c>
      <c r="C7" s="25">
        <f t="shared" si="3"/>
        <v>1.1</v>
      </c>
      <c r="D7" s="8">
        <f t="shared" si="7"/>
        <v>0.00456621004566221</v>
      </c>
      <c r="E7" s="9">
        <f>IF(A7="","",D7-子基金及业绩基准周净值!AI45)</f>
        <v>-0.0251337899543378</v>
      </c>
      <c r="F7" s="12">
        <f>IF(A7="","",(MAX(B$3:B7)-B7)/MAX(B$3:B7))</f>
        <v>0</v>
      </c>
      <c r="G7" s="12">
        <f>IF(A7="","",MAX(F$4:F7))</f>
        <v>0.00363967242948135</v>
      </c>
      <c r="H7" s="13">
        <v>1</v>
      </c>
      <c r="I7" s="14" t="str">
        <f t="shared" si="4"/>
        <v>否</v>
      </c>
      <c r="J7" s="14" t="str">
        <f t="shared" si="5"/>
        <v>否</v>
      </c>
      <c r="K7" s="15" t="str">
        <f t="shared" si="6"/>
        <v>否</v>
      </c>
    </row>
    <row r="8" spans="1:11">
      <c r="A8" s="7">
        <f>IF(子基金及业绩基准周净值!A46="","",子基金及业绩基准周净值!A46)</f>
        <v>45765</v>
      </c>
      <c r="B8" s="1">
        <f>IF(A8="","",VLOOKUP($A8,子基金及业绩基准周净值!$A:$AV,17))</f>
        <v>1.096</v>
      </c>
      <c r="C8" s="25">
        <f t="shared" si="3"/>
        <v>1.096</v>
      </c>
      <c r="D8" s="8">
        <f t="shared" si="7"/>
        <v>-0.00363636363636364</v>
      </c>
      <c r="E8" s="9">
        <f>IF(A8="","",D8-子基金及业绩基准周净值!AI46)</f>
        <v>-0.00633636363636364</v>
      </c>
      <c r="F8" s="12">
        <f>IF(A8="","",(MAX(B$3:B8)-B8)/MAX(B$3:B8))</f>
        <v>0.00363636363636364</v>
      </c>
      <c r="G8" s="12">
        <f>IF(A8="","",MAX(F$4:F8))</f>
        <v>0.00363967242948135</v>
      </c>
      <c r="H8" s="13">
        <v>2</v>
      </c>
      <c r="I8" s="14" t="str">
        <f t="shared" si="4"/>
        <v>否</v>
      </c>
      <c r="J8" s="14" t="str">
        <f t="shared" si="5"/>
        <v>否</v>
      </c>
      <c r="K8" s="15" t="str">
        <f t="shared" si="6"/>
        <v>否</v>
      </c>
    </row>
    <row r="9" spans="1:11">
      <c r="A9" s="7">
        <f>IF(子基金及业绩基准周净值!A47="","",子基金及业绩基准周净值!A47)</f>
        <v>45772</v>
      </c>
      <c r="B9" s="1">
        <f>IF(A9="","",VLOOKUP($A9,子基金及业绩基准周净值!$A:$AV,17))</f>
        <v>1.094</v>
      </c>
      <c r="C9" s="25">
        <f t="shared" si="3"/>
        <v>1.094</v>
      </c>
      <c r="D9" s="8">
        <f t="shared" si="7"/>
        <v>-0.00182481751824818</v>
      </c>
      <c r="E9" s="9">
        <f>IF(A9="","",D9-子基金及业绩基准周净值!AI47)</f>
        <v>0.00527518248175182</v>
      </c>
      <c r="F9" s="12">
        <f>IF(A9="","",(MAX(B$3:B9)-B9)/MAX(B$3:B9))</f>
        <v>0.00545454545454546</v>
      </c>
      <c r="G9" s="12">
        <f>IF(A9="","",MAX(F$4:F9))</f>
        <v>0.00545454545454546</v>
      </c>
      <c r="H9" s="13">
        <v>0</v>
      </c>
      <c r="I9" s="14" t="str">
        <f t="shared" si="4"/>
        <v>否</v>
      </c>
      <c r="J9" s="14" t="str">
        <f t="shared" si="5"/>
        <v>否</v>
      </c>
      <c r="K9" s="15" t="str">
        <f t="shared" si="6"/>
        <v>否</v>
      </c>
    </row>
    <row r="10" spans="1:11">
      <c r="A10" s="7">
        <f>IF(子基金及业绩基准周净值!A48="","",子基金及业绩基准周净值!A48)</f>
        <v>45786</v>
      </c>
      <c r="B10" s="1">
        <f>IF(A10="","",VLOOKUP($A10,子基金及业绩基准周净值!$A:$AV,17))</f>
        <v>1.102</v>
      </c>
      <c r="C10" s="25">
        <f t="shared" si="3"/>
        <v>1.102</v>
      </c>
      <c r="D10" s="8">
        <f t="shared" si="7"/>
        <v>0.00731261425959781</v>
      </c>
      <c r="E10" s="9">
        <f>IF(A10="","",D10-子基金及业绩基准周净值!AI48)</f>
        <v>-0.00928738574040219</v>
      </c>
      <c r="F10" s="12">
        <f>IF(A10="","",(MAX(B$3:B10)-B10)/MAX(B$3:B10))</f>
        <v>0</v>
      </c>
      <c r="G10" s="12">
        <f>IF(A10="","",MAX(F$4:F10))</f>
        <v>0.00545454545454546</v>
      </c>
      <c r="H10" s="13">
        <v>1</v>
      </c>
      <c r="I10" s="14" t="str">
        <f t="shared" si="4"/>
        <v>否</v>
      </c>
      <c r="J10" s="14" t="str">
        <f t="shared" si="5"/>
        <v>否</v>
      </c>
      <c r="K10" s="15" t="str">
        <f t="shared" si="6"/>
        <v>否</v>
      </c>
    </row>
    <row r="11" spans="1:11">
      <c r="A11" s="7">
        <f>IF(子基金及业绩基准周净值!A49="","",子基金及业绩基准周净值!A49)</f>
        <v>45793</v>
      </c>
      <c r="B11" s="1">
        <f>IF(A11="","",VLOOKUP($A11,子基金及业绩基准周净值!$A:$AV,17))</f>
        <v>1.095</v>
      </c>
      <c r="C11" s="25">
        <f t="shared" si="3"/>
        <v>1.095</v>
      </c>
      <c r="D11" s="8">
        <f t="shared" si="7"/>
        <v>-0.00635208711433767</v>
      </c>
      <c r="E11" s="9">
        <f>IF(A11="","",D11-子基金及业绩基准周净值!AI49)</f>
        <v>-0.0158520871143377</v>
      </c>
      <c r="F11" s="12">
        <f>IF(A11="","",(MAX(B$3:B11)-B11)/MAX(B$3:B11))</f>
        <v>0.00635208711433767</v>
      </c>
      <c r="G11" s="12">
        <f>IF(A11="","",MAX(F$4:F11))</f>
        <v>0.00635208711433767</v>
      </c>
      <c r="H11" s="13">
        <v>2</v>
      </c>
      <c r="I11" s="14" t="str">
        <f t="shared" si="4"/>
        <v>否</v>
      </c>
      <c r="J11" s="14" t="str">
        <f t="shared" si="5"/>
        <v>否</v>
      </c>
      <c r="K11" s="15" t="str">
        <f t="shared" si="6"/>
        <v>否</v>
      </c>
    </row>
    <row r="12" spans="1:11">
      <c r="A12" s="7">
        <f>IF(子基金及业绩基准周净值!A50="","",子基金及业绩基准周净值!A50)</f>
        <v>45800</v>
      </c>
      <c r="B12" s="1">
        <f>IF(A12="","",VLOOKUP($A12,子基金及业绩基准周净值!$A:$AV,17))</f>
        <v>1.09</v>
      </c>
      <c r="C12" s="25">
        <f t="shared" si="3"/>
        <v>1.09</v>
      </c>
      <c r="D12" s="8">
        <f t="shared" si="7"/>
        <v>-0.004566210045662</v>
      </c>
      <c r="E12" s="9">
        <f>IF(A12="","",D12-子基金及业绩基准周净值!AI50)</f>
        <v>-0.007266210045662</v>
      </c>
      <c r="F12" s="12">
        <f>IF(A12="","",(MAX(B$3:B12)-B12)/MAX(B$3:B12))</f>
        <v>0.0108892921960073</v>
      </c>
      <c r="G12" s="12">
        <f>IF(A12="","",MAX(F$4:F12))</f>
        <v>0.0108892921960073</v>
      </c>
      <c r="H12" s="13">
        <v>3</v>
      </c>
      <c r="I12" s="14" t="str">
        <f t="shared" si="4"/>
        <v>否</v>
      </c>
      <c r="J12" s="14" t="str">
        <f t="shared" si="5"/>
        <v>否</v>
      </c>
      <c r="K12" s="15" t="str">
        <f t="shared" si="6"/>
        <v>否</v>
      </c>
    </row>
    <row r="13" spans="1:11">
      <c r="A13" s="7">
        <f>IF(子基金及业绩基准周净值!A51="","",子基金及业绩基准周净值!A51)</f>
        <v>45807</v>
      </c>
      <c r="B13" s="1">
        <f>IF(A13="","",VLOOKUP($A13,子基金及业绩基准周净值!$A:$AV,17))</f>
        <v>1.095</v>
      </c>
      <c r="C13" s="25">
        <f t="shared" si="3"/>
        <v>1.095</v>
      </c>
      <c r="D13" s="8">
        <f t="shared" si="7"/>
        <v>0.00458715596330265</v>
      </c>
      <c r="E13" s="9">
        <f>IF(A13="","",D13-子基金及业绩基准周净值!AI51)</f>
        <v>-0.00941284403669735</v>
      </c>
      <c r="F13" s="12">
        <f>IF(A13="","",(MAX(B$3:B13)-B13)/MAX(B$3:B13))</f>
        <v>0.00635208711433767</v>
      </c>
      <c r="G13" s="12">
        <f>IF(A13="","",MAX(F$4:F13))</f>
        <v>0.0108892921960073</v>
      </c>
      <c r="H13" s="13">
        <v>4</v>
      </c>
      <c r="I13" s="14" t="str">
        <f t="shared" si="4"/>
        <v>否</v>
      </c>
      <c r="J13" s="14" t="str">
        <f t="shared" si="5"/>
        <v>否</v>
      </c>
      <c r="K13" s="15" t="str">
        <f t="shared" si="6"/>
        <v>是</v>
      </c>
    </row>
    <row r="14" spans="1:11">
      <c r="A14" s="7">
        <f>IF(子基金及业绩基准周净值!A52="","",子基金及业绩基准周净值!A52)</f>
        <v>45814</v>
      </c>
      <c r="B14" s="1">
        <f>IF(A14="","",VLOOKUP($A14,子基金及业绩基准周净值!$A:$AV,17))</f>
        <v>1.094</v>
      </c>
      <c r="C14" s="25">
        <f t="shared" si="3"/>
        <v>1.094</v>
      </c>
      <c r="D14" s="8">
        <f t="shared" si="7"/>
        <v>-0.00091324200913232</v>
      </c>
      <c r="E14" s="9">
        <f>IF(A14="","",D14-子基金及业绩基准周净值!AI52)</f>
        <v>-0.00541324200913232</v>
      </c>
      <c r="F14" s="12">
        <f>IF(A14="","",(MAX(B$3:B14)-B14)/MAX(B$3:B14))</f>
        <v>0.00725952813067151</v>
      </c>
      <c r="G14" s="12">
        <f>IF(A14="","",MAX(F$4:F14))</f>
        <v>0.0108892921960073</v>
      </c>
      <c r="H14" s="13">
        <v>5</v>
      </c>
      <c r="I14" s="14" t="str">
        <f t="shared" si="4"/>
        <v>否</v>
      </c>
      <c r="J14" s="14" t="str">
        <f t="shared" si="5"/>
        <v>否</v>
      </c>
      <c r="K14" s="15" t="str">
        <f t="shared" si="6"/>
        <v>是</v>
      </c>
    </row>
    <row r="15" spans="1:11">
      <c r="A15" s="7">
        <f>IF(子基金及业绩基准周净值!A53="","",子基金及业绩基准周净值!A53)</f>
        <v>45821</v>
      </c>
      <c r="B15" s="1">
        <f>IF(A15="","",VLOOKUP($A15,子基金及业绩基准周净值!$A:$AV,17))</f>
        <v>1.094</v>
      </c>
      <c r="C15" s="25">
        <f t="shared" si="3"/>
        <v>1.094</v>
      </c>
      <c r="D15" s="8">
        <f t="shared" si="7"/>
        <v>0</v>
      </c>
      <c r="E15" s="9">
        <f>IF(A15="","",D15-子基金及业绩基准周净值!AI53)</f>
        <v>-0.0037</v>
      </c>
      <c r="F15" s="12">
        <f>IF(A15="","",(MAX(B$3:B15)-B15)/MAX(B$3:B15))</f>
        <v>0.00725952813067151</v>
      </c>
      <c r="G15" s="12">
        <f>IF(A15="","",MAX(F$4:F15))</f>
        <v>0.0108892921960073</v>
      </c>
      <c r="H15" s="13">
        <v>6</v>
      </c>
      <c r="I15" s="14" t="str">
        <f t="shared" si="4"/>
        <v>否</v>
      </c>
      <c r="J15" s="14" t="str">
        <f t="shared" si="5"/>
        <v>否</v>
      </c>
      <c r="K15" s="15" t="str">
        <f t="shared" si="6"/>
        <v>是</v>
      </c>
    </row>
    <row r="16" spans="1:11">
      <c r="A16" s="7">
        <f>IF(子基金及业绩基准周净值!A54="","",子基金及业绩基准周净值!A54)</f>
        <v>45828</v>
      </c>
      <c r="B16" s="1">
        <f>IF(A16="","",VLOOKUP($A16,子基金及业绩基准周净值!$A:$AV,17))</f>
        <v>1.094</v>
      </c>
      <c r="C16" s="25">
        <f t="shared" si="3"/>
        <v>1.094</v>
      </c>
      <c r="D16" s="8">
        <f t="shared" si="7"/>
        <v>0</v>
      </c>
      <c r="E16" s="9">
        <f>IF(A16="","",D16-子基金及业绩基准周净值!AI54)</f>
        <v>-0.0047</v>
      </c>
      <c r="F16" s="12">
        <f>IF(A16="","",(MAX(B$3:B16)-B16)/MAX(B$3:B16))</f>
        <v>0.00725952813067151</v>
      </c>
      <c r="G16" s="12">
        <f>IF(A16="","",MAX(F$4:F16))</f>
        <v>0.0108892921960073</v>
      </c>
      <c r="H16" s="13">
        <v>7</v>
      </c>
      <c r="I16" s="14" t="str">
        <f t="shared" si="4"/>
        <v>否</v>
      </c>
      <c r="J16" s="14" t="str">
        <f t="shared" si="5"/>
        <v>否</v>
      </c>
      <c r="K16" s="15" t="str">
        <f t="shared" si="6"/>
        <v>是</v>
      </c>
    </row>
    <row r="17" spans="1:11">
      <c r="A17" s="7">
        <f>IF(子基金及业绩基准周净值!A55="","",子基金及业绩基准周净值!A55)</f>
        <v>45835</v>
      </c>
      <c r="B17" s="1">
        <f>IF(A17="","",VLOOKUP($A17,子基金及业绩基准周净值!$A:$AV,17))</f>
        <v>1.091</v>
      </c>
      <c r="C17" s="25">
        <f t="shared" si="3"/>
        <v>1.091</v>
      </c>
      <c r="D17" s="8">
        <f t="shared" si="7"/>
        <v>-0.00274223034734928</v>
      </c>
      <c r="E17" s="9">
        <f>IF(A17="","",D17-子基金及业绩基准周净值!AI55)</f>
        <v>-0.0197422303473493</v>
      </c>
      <c r="F17" s="12">
        <f>IF(A17="","",(MAX(B$3:B17)-B17)/MAX(B$3:B17))</f>
        <v>0.00998185117967343</v>
      </c>
      <c r="G17" s="12">
        <f>IF(A17="","",MAX(F$4:F17))</f>
        <v>0.0108892921960073</v>
      </c>
      <c r="H17" s="13">
        <v>8</v>
      </c>
      <c r="I17" s="14" t="str">
        <f t="shared" si="4"/>
        <v>否</v>
      </c>
      <c r="J17" s="14" t="str">
        <f t="shared" si="5"/>
        <v>否</v>
      </c>
      <c r="K17" s="15" t="str">
        <f t="shared" si="6"/>
        <v>是</v>
      </c>
    </row>
    <row r="18" spans="1:11">
      <c r="A18" s="7">
        <f>IF(子基金及业绩基准周净值!A56="","",子基金及业绩基准周净值!A56)</f>
        <v>45842</v>
      </c>
      <c r="B18" s="1">
        <f>IF(A18="","",VLOOKUP($A18,子基金及业绩基准周净值!$A:$AV,17))</f>
        <v>1.091</v>
      </c>
      <c r="C18" s="25">
        <f t="shared" si="3"/>
        <v>1.091</v>
      </c>
      <c r="D18" s="8">
        <f t="shared" si="7"/>
        <v>0</v>
      </c>
      <c r="E18" s="9">
        <f>IF(A18="","",D18-子基金及业绩基准周净值!AI56)</f>
        <v>-0.0021</v>
      </c>
      <c r="F18" s="12">
        <f>IF(A18="","",(MAX(B$3:B18)-B18)/MAX(B$3:B18))</f>
        <v>0.00998185117967343</v>
      </c>
      <c r="G18" s="12">
        <f>IF(A18="","",MAX(F$4:F18))</f>
        <v>0.0108892921960073</v>
      </c>
      <c r="H18" s="13">
        <v>9</v>
      </c>
      <c r="I18" s="14" t="str">
        <f t="shared" si="4"/>
        <v>否</v>
      </c>
      <c r="J18" s="14" t="str">
        <f t="shared" si="5"/>
        <v>否</v>
      </c>
      <c r="K18" s="15" t="str">
        <f t="shared" si="6"/>
        <v>是</v>
      </c>
    </row>
    <row r="19" spans="1:11">
      <c r="A19" s="7">
        <f>IF(子基金及业绩基准周净值!A57="","",子基金及业绩基准周净值!A57)</f>
        <v>45849</v>
      </c>
      <c r="B19" s="1">
        <f>IF(A19="","",VLOOKUP($A19,子基金及业绩基准周净值!$A:$AV,17))</f>
        <v>1.091</v>
      </c>
      <c r="C19" s="25">
        <f t="shared" si="3"/>
        <v>1.091</v>
      </c>
      <c r="D19" s="8">
        <f t="shared" si="7"/>
        <v>0</v>
      </c>
      <c r="E19" s="9">
        <f>IF(A19="","",D19-子基金及业绩基准周净值!AI57)</f>
        <v>-0.0121</v>
      </c>
      <c r="F19" s="12">
        <f>IF(A19="","",(MAX(B$3:B19)-B19)/MAX(B$3:B19))</f>
        <v>0.00998185117967343</v>
      </c>
      <c r="G19" s="12">
        <f>IF(A19="","",MAX(F$4:F19))</f>
        <v>0.0108892921960073</v>
      </c>
      <c r="H19" s="13">
        <v>10</v>
      </c>
      <c r="I19" s="14" t="str">
        <f t="shared" si="4"/>
        <v>否</v>
      </c>
      <c r="J19" s="14" t="str">
        <f t="shared" si="5"/>
        <v>否</v>
      </c>
      <c r="K19" s="15" t="str">
        <f t="shared" si="6"/>
        <v>是</v>
      </c>
    </row>
    <row r="20" spans="1:11">
      <c r="A20" s="7">
        <f>IF(子基金及业绩基准周净值!A58="","",子基金及业绩基准周净值!A58)</f>
        <v>45856</v>
      </c>
      <c r="B20" s="1">
        <f>IF(A20="","",VLOOKUP($A20,子基金及业绩基准周净值!$A:$AV,17))</f>
        <v>1.086</v>
      </c>
      <c r="C20" s="25">
        <f t="shared" si="3"/>
        <v>1.086</v>
      </c>
      <c r="D20" s="8">
        <f t="shared" si="7"/>
        <v>-0.00458295142071484</v>
      </c>
      <c r="E20" s="9">
        <f>IF(A20="","",D20-子基金及业绩基准周净值!AI58)</f>
        <v>-0.00998295142071484</v>
      </c>
      <c r="F20" s="12">
        <f>IF(A20="","",(MAX(B$3:B20)-B20)/MAX(B$3:B20))</f>
        <v>0.014519056261343</v>
      </c>
      <c r="G20" s="12">
        <f>IF(A20="","",MAX(F$4:F20))</f>
        <v>0.014519056261343</v>
      </c>
      <c r="H20" s="13">
        <v>11</v>
      </c>
      <c r="I20" s="14" t="str">
        <f t="shared" si="4"/>
        <v>否</v>
      </c>
      <c r="J20" s="14" t="str">
        <f t="shared" si="5"/>
        <v>否</v>
      </c>
      <c r="K20" s="15" t="str">
        <f t="shared" si="6"/>
        <v>是</v>
      </c>
    </row>
    <row r="21" spans="1:11">
      <c r="A21" s="7">
        <f>IF(子基金及业绩基准周净值!A59="","",子基金及业绩基准周净值!A59)</f>
        <v>45863</v>
      </c>
      <c r="B21" s="1">
        <f>IF(A21="","",VLOOKUP($A21,子基金及业绩基准周净值!$A:$AV,17))</f>
        <v>1.099</v>
      </c>
      <c r="C21" s="25">
        <f t="shared" si="3"/>
        <v>1.099</v>
      </c>
      <c r="D21" s="8">
        <f t="shared" si="7"/>
        <v>0.0119705340699815</v>
      </c>
      <c r="E21" s="9">
        <f>IF(A21="","",D21-子基金及业绩基准周净值!AI59)</f>
        <v>0.00537053406998149</v>
      </c>
      <c r="F21" s="12">
        <f>IF(A21="","",(MAX(B$3:B21)-B21)/MAX(B$3:B21))</f>
        <v>0.00272232304900192</v>
      </c>
      <c r="G21" s="12">
        <f>IF(A21="","",MAX(F$4:F21))</f>
        <v>0.014519056261343</v>
      </c>
      <c r="H21" s="13">
        <v>0</v>
      </c>
      <c r="I21" s="14" t="str">
        <f t="shared" si="4"/>
        <v>否</v>
      </c>
      <c r="J21" s="14" t="str">
        <f t="shared" si="5"/>
        <v>否</v>
      </c>
      <c r="K21" s="15" t="str">
        <f t="shared" si="6"/>
        <v>否</v>
      </c>
    </row>
    <row r="22" spans="1:11">
      <c r="A22" s="7">
        <f>IF(子基金及业绩基准周净值!A60="","",子基金及业绩基准周净值!A60)</f>
        <v>45870</v>
      </c>
      <c r="B22" s="1">
        <f>IF(A22="","",VLOOKUP($A22,子基金及业绩基准周净值!$A:$AV,17))</f>
        <v>1.095</v>
      </c>
      <c r="C22" s="25">
        <f t="shared" si="3"/>
        <v>1.095</v>
      </c>
      <c r="D22" s="8">
        <f t="shared" si="7"/>
        <v>-0.00363967242948135</v>
      </c>
      <c r="E22" s="9">
        <f>IF(A22="","",D22-子基金及业绩基准周净值!AI60)</f>
        <v>-0.0106396724294813</v>
      </c>
      <c r="F22" s="12">
        <f>IF(A22="","",(MAX(B$3:B22)-B22)/MAX(B$3:B22))</f>
        <v>0.00635208711433767</v>
      </c>
      <c r="G22" s="12">
        <f>IF(A22="","",MAX(F$4:F22))</f>
        <v>0.014519056261343</v>
      </c>
      <c r="H22" s="13">
        <v>1</v>
      </c>
      <c r="I22" s="14" t="str">
        <f t="shared" si="4"/>
        <v>否</v>
      </c>
      <c r="J22" s="14" t="str">
        <f t="shared" si="5"/>
        <v>否</v>
      </c>
      <c r="K22" s="15" t="str">
        <f t="shared" si="6"/>
        <v>否</v>
      </c>
    </row>
    <row r="23" spans="1:11">
      <c r="A23" s="7">
        <f>IF(子基金及业绩基准周净值!A61="","",子基金及业绩基准周净值!A61)</f>
        <v>45877</v>
      </c>
      <c r="B23" s="1">
        <f>IF(A23="","",VLOOKUP($A23,子基金及业绩基准周净值!$A:$AV,17))</f>
        <v>1.1116</v>
      </c>
      <c r="C23" s="25">
        <f t="shared" si="3"/>
        <v>1.1116</v>
      </c>
      <c r="D23" s="8">
        <f t="shared" si="7"/>
        <v>0.0151598173515981</v>
      </c>
      <c r="E23" s="9">
        <f>IF(A23="","",D23-子基金及业绩基准周净值!AI61)</f>
        <v>-0.00334018264840187</v>
      </c>
      <c r="F23" s="12">
        <f>IF(A23="","",(MAX(B$3:B23)-B23)/MAX(B$3:B23))</f>
        <v>0</v>
      </c>
      <c r="G23" s="12">
        <f>IF(A23="","",MAX(F$4:F23))</f>
        <v>0.014519056261343</v>
      </c>
      <c r="H23" s="13">
        <v>2</v>
      </c>
      <c r="I23" s="14" t="str">
        <f t="shared" si="4"/>
        <v>否</v>
      </c>
      <c r="J23" s="14" t="str">
        <f t="shared" si="5"/>
        <v>否</v>
      </c>
      <c r="K23" s="15" t="str">
        <f t="shared" si="6"/>
        <v>否</v>
      </c>
    </row>
    <row r="24" spans="1:11">
      <c r="A24" s="7">
        <f>IF(子基金及业绩基准周净值!A62="","",子基金及业绩基准周净值!A62)</f>
        <v>45884</v>
      </c>
      <c r="B24" s="1">
        <f>IF(A24="","",VLOOKUP($A24,子基金及业绩基准周净值!$A:$AV,17))</f>
        <v>1.1298</v>
      </c>
      <c r="C24" s="25">
        <f t="shared" si="3"/>
        <v>1.1298</v>
      </c>
      <c r="D24" s="8">
        <f t="shared" si="7"/>
        <v>0.0163727959697733</v>
      </c>
      <c r="E24" s="9">
        <f>IF(A24="","",D24-子基金及业绩基准周净值!AI62)</f>
        <v>-0.00982720403022671</v>
      </c>
      <c r="F24" s="12">
        <f>IF(A24="","",(MAX(B$3:B24)-B24)/MAX(B$3:B24))</f>
        <v>0</v>
      </c>
      <c r="G24" s="12">
        <f>IF(A24="","",MAX(F$4:F24))</f>
        <v>0.014519056261343</v>
      </c>
      <c r="H24" s="13">
        <v>3</v>
      </c>
      <c r="I24" s="14" t="str">
        <f t="shared" si="4"/>
        <v>否</v>
      </c>
      <c r="J24" s="14" t="str">
        <f t="shared" si="5"/>
        <v>否</v>
      </c>
      <c r="K24" s="15" t="str">
        <f t="shared" si="6"/>
        <v>否</v>
      </c>
    </row>
    <row r="25" spans="1:11">
      <c r="A25" s="7">
        <f>IF(子基金及业绩基准周净值!A63="","",子基金及业绩基准周净值!A63)</f>
        <v>45891</v>
      </c>
      <c r="B25" s="1">
        <f>IF(A25="","",VLOOKUP($A25,子基金及业绩基准周净值!$A:$AV,17))</f>
        <v>1.1508</v>
      </c>
      <c r="C25" s="25">
        <f t="shared" si="3"/>
        <v>1.1508</v>
      </c>
      <c r="D25" s="8">
        <f t="shared" si="7"/>
        <v>0.0185873605947957</v>
      </c>
      <c r="E25" s="9">
        <f>IF(A25="","",D25-子基金及业绩基准周净值!AI63)</f>
        <v>0.000487360594795653</v>
      </c>
      <c r="F25" s="12">
        <f>IF(A25="","",(MAX(B$3:B25)-B25)/MAX(B$3:B25))</f>
        <v>0</v>
      </c>
      <c r="G25" s="12">
        <f>IF(A25="","",MAX(F$4:F25))</f>
        <v>0.014519056261343</v>
      </c>
      <c r="H25" s="13">
        <v>0</v>
      </c>
      <c r="I25" s="14" t="str">
        <f t="shared" si="4"/>
        <v>否</v>
      </c>
      <c r="J25" s="14" t="str">
        <f t="shared" si="5"/>
        <v>否</v>
      </c>
      <c r="K25" s="15" t="str">
        <f t="shared" si="6"/>
        <v>否</v>
      </c>
    </row>
    <row r="26" spans="1:11">
      <c r="A26" s="7">
        <f>IF(子基金及业绩基准周净值!A64="","",子基金及业绩基准周净值!A64)</f>
        <v>45898</v>
      </c>
      <c r="B26" s="1">
        <f>IF(A26="","",VLOOKUP($A26,子基金及业绩基准周净值!$A:$AV,17))</f>
        <v>1.1676</v>
      </c>
      <c r="C26" s="25">
        <f t="shared" si="3"/>
        <v>1.1676</v>
      </c>
      <c r="D26" s="8">
        <f t="shared" si="7"/>
        <v>0.0145985401459853</v>
      </c>
      <c r="E26" s="9">
        <f>IF(A26="","",D26-子基金及业绩基准周净值!AI64)</f>
        <v>0.0101985401459853</v>
      </c>
      <c r="F26" s="12">
        <f>IF(A26="","",(MAX(B$3:B26)-B26)/MAX(B$3:B26))</f>
        <v>0</v>
      </c>
      <c r="G26" s="12">
        <f>IF(A26="","",MAX(F$4:F26))</f>
        <v>0.014519056261343</v>
      </c>
      <c r="H26" s="13">
        <v>0</v>
      </c>
      <c r="I26" s="14" t="str">
        <f t="shared" si="4"/>
        <v>否</v>
      </c>
      <c r="J26" s="14" t="str">
        <f t="shared" si="5"/>
        <v>否</v>
      </c>
      <c r="K26" s="15" t="str">
        <f t="shared" si="6"/>
        <v>否</v>
      </c>
    </row>
    <row r="27" spans="1:11">
      <c r="A27" s="7">
        <f>IF(子基金及业绩基准周净值!A65="","",子基金及业绩基准周净值!A65)</f>
        <v>45905</v>
      </c>
      <c r="B27" s="1">
        <f>IF(A27="","",VLOOKUP($A27,子基金及业绩基准周净值!$A:$AV,17))</f>
        <v>1.1599</v>
      </c>
      <c r="C27" s="25">
        <f t="shared" si="3"/>
        <v>1.1599</v>
      </c>
      <c r="D27" s="8">
        <f t="shared" si="7"/>
        <v>-0.00659472422062354</v>
      </c>
      <c r="E27" s="9">
        <f>IF(A27="","",D27-子基金及业绩基准周净值!AI65)</f>
        <v>-0.00249472422062354</v>
      </c>
      <c r="F27" s="12">
        <f>IF(A27="","",(MAX(B$3:B27)-B27)/MAX(B$3:B27))</f>
        <v>0.00659472422062354</v>
      </c>
      <c r="G27" s="12">
        <f>IF(A27="","",MAX(F$4:F27))</f>
        <v>0.014519056261343</v>
      </c>
      <c r="H27" s="13">
        <v>1</v>
      </c>
      <c r="I27" s="14" t="str">
        <f t="shared" si="4"/>
        <v>否</v>
      </c>
      <c r="J27" s="14" t="str">
        <f t="shared" si="5"/>
        <v>否</v>
      </c>
      <c r="K27" s="15" t="str">
        <f t="shared" si="6"/>
        <v>否</v>
      </c>
    </row>
    <row r="28" spans="1:11">
      <c r="A28" s="7">
        <f>IF(子基金及业绩基准周净值!A66="","",子基金及业绩基准周净值!A66)</f>
        <v>45912</v>
      </c>
      <c r="B28" s="1">
        <f>IF(A28="","",VLOOKUP($A28,子基金及业绩基准周净值!$A:$AV,17))</f>
        <v>1.1837</v>
      </c>
      <c r="C28" s="25">
        <f t="shared" si="3"/>
        <v>1.1837</v>
      </c>
      <c r="D28" s="8">
        <f t="shared" si="7"/>
        <v>0.0205190102595052</v>
      </c>
      <c r="E28" s="9">
        <f>IF(A28="","",D28-子基金及业绩基准周净值!AI66)</f>
        <v>0.00301901025950517</v>
      </c>
      <c r="F28" s="12">
        <f>IF(A28="","",(MAX(B$3:B28)-B28)/MAX(B$3:B28))</f>
        <v>0</v>
      </c>
      <c r="G28" s="12">
        <f>IF(A28="","",MAX(F$4:F28))</f>
        <v>0.014519056261343</v>
      </c>
      <c r="H28" s="13">
        <v>0</v>
      </c>
      <c r="I28" s="14" t="str">
        <f t="shared" si="4"/>
        <v>否</v>
      </c>
      <c r="J28" s="14" t="str">
        <f t="shared" si="5"/>
        <v>否</v>
      </c>
      <c r="K28" s="15" t="str">
        <f t="shared" si="6"/>
        <v>否</v>
      </c>
    </row>
    <row r="29" spans="1:11">
      <c r="A29" s="7">
        <f>IF(子基金及业绩基准周净值!A67="","",子基金及业绩基准周净值!A67)</f>
        <v>45919</v>
      </c>
      <c r="B29" s="1">
        <f>IF(A29="","",VLOOKUP($A29,子基金及业绩基准周净值!$A:$AV,17))</f>
        <v>1.1781</v>
      </c>
      <c r="C29" s="25">
        <f t="shared" si="3"/>
        <v>1.1781</v>
      </c>
      <c r="D29" s="8">
        <f t="shared" si="7"/>
        <v>-0.00473092844470732</v>
      </c>
      <c r="E29" s="9">
        <f>IF(A29="","",D29-子基金及业绩基准周净值!AI67)</f>
        <v>-0.00963092844470732</v>
      </c>
      <c r="F29" s="12">
        <f>IF(A29="","",(MAX(B$3:B29)-B29)/MAX(B$3:B29))</f>
        <v>0.00473092844470732</v>
      </c>
      <c r="G29" s="12">
        <f>IF(A29="","",MAX(F$4:F29))</f>
        <v>0.014519056261343</v>
      </c>
      <c r="H29" s="13">
        <v>1</v>
      </c>
      <c r="I29" s="14" t="str">
        <f t="shared" si="4"/>
        <v>否</v>
      </c>
      <c r="J29" s="14" t="str">
        <f t="shared" si="5"/>
        <v>否</v>
      </c>
      <c r="K29" s="15" t="str">
        <f t="shared" si="6"/>
        <v>否</v>
      </c>
    </row>
    <row r="30" spans="1:11">
      <c r="A30" s="7">
        <f>IF(子基金及业绩基准周净值!A68="","",子基金及业绩基准周净值!A68)</f>
        <v>45926</v>
      </c>
      <c r="B30" s="1">
        <f>IF(A30="","",VLOOKUP($A30,子基金及业绩基准周净值!$A:$AV,17))</f>
        <v>1.1732</v>
      </c>
      <c r="C30" s="25">
        <f t="shared" si="3"/>
        <v>1.1732</v>
      </c>
      <c r="D30" s="8">
        <f t="shared" si="7"/>
        <v>-0.00415923945335702</v>
      </c>
      <c r="E30" s="9">
        <f>IF(A30="","",D30-子基金及业绩基准周净值!AI68)</f>
        <v>-0.00915923945335702</v>
      </c>
      <c r="F30" s="12">
        <f>IF(A30="","",(MAX(B$3:B30)-B30)/MAX(B$3:B30))</f>
        <v>0.0088704908338261</v>
      </c>
      <c r="G30" s="12">
        <f>IF(A30="","",MAX(F$4:F30))</f>
        <v>0.014519056261343</v>
      </c>
      <c r="H30" s="13">
        <v>2</v>
      </c>
      <c r="I30" s="14" t="str">
        <f t="shared" si="4"/>
        <v>否</v>
      </c>
      <c r="J30" s="14" t="str">
        <f t="shared" si="5"/>
        <v>否</v>
      </c>
      <c r="K30" s="15" t="str">
        <f t="shared" si="6"/>
        <v>否</v>
      </c>
    </row>
    <row r="31" spans="1:11">
      <c r="A31" s="7">
        <f>IF(子基金及业绩基准周净值!A69="","",子基金及业绩基准周净值!A69)</f>
        <v>45940</v>
      </c>
      <c r="B31" s="1">
        <f>IF(A31="","",VLOOKUP($A31,子基金及业绩基准周净值!$A:$AV,17))</f>
        <v>1.1718</v>
      </c>
      <c r="C31" s="25">
        <f t="shared" si="3"/>
        <v>1.1718</v>
      </c>
      <c r="D31" s="8">
        <f t="shared" si="7"/>
        <v>-0.00119331742243443</v>
      </c>
      <c r="E31" s="9">
        <f>IF(A31="","",D31-子基金及业绩基准周净值!AI69)</f>
        <v>-0.00579331742243443</v>
      </c>
      <c r="F31" s="12">
        <f>IF(A31="","",(MAX(B$3:B31)-B31)/MAX(B$3:B31))</f>
        <v>0.010053222945003</v>
      </c>
      <c r="G31" s="12">
        <f>IF(A31="","",MAX(F$4:F31))</f>
        <v>0.014519056261343</v>
      </c>
      <c r="H31" s="13">
        <v>3</v>
      </c>
      <c r="I31" s="14" t="str">
        <f t="shared" si="4"/>
        <v>否</v>
      </c>
      <c r="J31" s="14" t="str">
        <f t="shared" si="5"/>
        <v>否</v>
      </c>
      <c r="K31" s="15" t="str">
        <f t="shared" si="6"/>
        <v>否</v>
      </c>
    </row>
    <row r="32" spans="1:12">
      <c r="A32" s="7">
        <f>IF(子基金及业绩基准周净值!A70="","",子基金及业绩基准周净值!A70)</f>
        <v>45947</v>
      </c>
      <c r="B32" s="1">
        <f>IF(A32="","",VLOOKUP($A32,子基金及业绩基准周净值!$A:$AV,17))</f>
        <v>0.989</v>
      </c>
      <c r="C32" s="24">
        <f>C31*(1-0.28%)*(1-1.76%)*(1-0.2%)*(1-0.81%)*(1-0.11%)</f>
        <v>1.13512728255002</v>
      </c>
      <c r="D32" s="8">
        <v>-0.031</v>
      </c>
      <c r="E32" s="9">
        <f>IF(A32="","",D32-子基金及业绩基准周净值!AI70)</f>
        <v>-0.0356</v>
      </c>
      <c r="F32" s="12">
        <f>IF(A32="","",(MAX(C$3:C32)-C32)/MAX(C$3:C32))</f>
        <v>0.0410346518965781</v>
      </c>
      <c r="G32" s="12">
        <f>IF(A32="","",MAX(F$4:F32))</f>
        <v>0.0410346518965781</v>
      </c>
      <c r="H32" s="13">
        <v>4</v>
      </c>
      <c r="I32" s="14" t="str">
        <f t="shared" si="4"/>
        <v>是</v>
      </c>
      <c r="J32" s="14" t="str">
        <f t="shared" si="5"/>
        <v>否</v>
      </c>
      <c r="K32" s="15" t="str">
        <f t="shared" si="6"/>
        <v>是</v>
      </c>
      <c r="L32" s="15" t="str">
        <f>IF(B32="","",IF(I32&gt;=4,"是","否"))</f>
        <v>是</v>
      </c>
    </row>
    <row r="33" spans="1:11">
      <c r="A33" s="7">
        <f>IF(子基金及业绩基准周净值!A71="","",子基金及业绩基准周净值!A71)</f>
        <v>45954</v>
      </c>
      <c r="B33" s="1">
        <f>IF(A33="","",VLOOKUP($A33,子基金及业绩基准周净值!$A:$AV,17))</f>
        <v>0.989</v>
      </c>
      <c r="C33" s="25">
        <f>C32*(1+D33)</f>
        <v>1.13512728255002</v>
      </c>
      <c r="D33" s="8">
        <f>IF(A33="","",(B33-B32)/B32)</f>
        <v>0</v>
      </c>
      <c r="E33" s="9">
        <f>IF(A33="","",D33-子基金及业绩基准周净值!AI71)</f>
        <v>-0.0034</v>
      </c>
      <c r="F33" s="12">
        <f>IF(A33="","",(MAX(C$3:C33)-C33)/MAX(C$3:C33))</f>
        <v>0.0410346518965781</v>
      </c>
      <c r="G33" s="12">
        <f>IF(A33="","",MAX(F$4:F33))</f>
        <v>0.0410346518965781</v>
      </c>
      <c r="H33" s="13">
        <v>5</v>
      </c>
      <c r="I33" s="14" t="str">
        <f t="shared" si="4"/>
        <v>否</v>
      </c>
      <c r="J33" s="14" t="str">
        <f t="shared" si="5"/>
        <v>否</v>
      </c>
      <c r="K33" s="15" t="str">
        <f t="shared" si="6"/>
        <v>是</v>
      </c>
    </row>
    <row r="34" spans="1:11">
      <c r="A34" s="7">
        <f>IF(子基金及业绩基准周净值!A72="","",子基金及业绩基准周净值!A72)</f>
        <v>45961</v>
      </c>
      <c r="B34" s="1">
        <f>IF(A34="","",VLOOKUP($A34,子基金及业绩基准周净值!$A:$AV,17))</f>
        <v>0.995</v>
      </c>
      <c r="C34" s="25">
        <f>C33*(1+D34)</f>
        <v>1.14201379791433</v>
      </c>
      <c r="D34" s="8">
        <f t="shared" si="7"/>
        <v>0.00606673407482306</v>
      </c>
      <c r="E34" s="9">
        <f>IF(A34="","",D34-子基金及业绩基准周净值!AI72)</f>
        <v>-0.00563326592517694</v>
      </c>
      <c r="F34" s="12">
        <f>IF(A34="","",(MAX(C$3:C34)-C34)/MAX(C$3:C34))</f>
        <v>0.0352168641426646</v>
      </c>
      <c r="G34" s="12">
        <f>IF(A34="","",MAX(F$4:F34))</f>
        <v>0.0410346518965781</v>
      </c>
      <c r="H34" s="13">
        <v>6</v>
      </c>
      <c r="I34" s="14" t="str">
        <f t="shared" si="4"/>
        <v>否</v>
      </c>
      <c r="J34" s="14" t="str">
        <f t="shared" si="5"/>
        <v>否</v>
      </c>
      <c r="K34" s="15" t="str">
        <f t="shared" si="6"/>
        <v>是</v>
      </c>
    </row>
    <row r="35" spans="1:11">
      <c r="A35" s="7" t="str">
        <f>IF(子基金及业绩基准周净值!A73="","",子基金及业绩基准周净值!A73)</f>
        <v/>
      </c>
      <c r="B35" s="1" t="str">
        <f>IF(A35="","",VLOOKUP($A35,子基金及业绩基准周净值!$A:$AV,17))</f>
        <v/>
      </c>
      <c r="C35" s="25"/>
      <c r="D35" s="8" t="str">
        <f t="shared" si="7"/>
        <v/>
      </c>
      <c r="E35" s="9" t="str">
        <f>IF(A35="","",D35-子基金及业绩基准周净值!AI73)</f>
        <v/>
      </c>
      <c r="F35" s="12" t="str">
        <f>IF(A35="","",(MAX(C$3:C35)-C35)/MAX(C$3:C35))</f>
        <v/>
      </c>
      <c r="G35" s="12" t="str">
        <f>IF(A35="","",MAX(F$4:F35))</f>
        <v/>
      </c>
      <c r="H35" s="13"/>
      <c r="I35" s="14" t="str">
        <f t="shared" si="4"/>
        <v/>
      </c>
      <c r="J35" s="14" t="str">
        <f t="shared" si="5"/>
        <v/>
      </c>
      <c r="K35" s="15" t="str">
        <f t="shared" si="6"/>
        <v/>
      </c>
    </row>
    <row r="36" spans="1:11">
      <c r="A36" s="7" t="str">
        <f>IF(子基金及业绩基准周净值!A74="","",子基金及业绩基准周净值!A74)</f>
        <v/>
      </c>
      <c r="B36" s="1" t="str">
        <f>IF(A36="","",VLOOKUP($A36,子基金及业绩基准周净值!$A:$AV,17))</f>
        <v/>
      </c>
      <c r="C36" s="25"/>
      <c r="D36" s="8" t="str">
        <f t="shared" si="7"/>
        <v/>
      </c>
      <c r="E36" s="9" t="str">
        <f>IF(A36="","",D36-子基金及业绩基准周净值!AI74)</f>
        <v/>
      </c>
      <c r="F36" s="12" t="str">
        <f>IF(A36="","",(MAX(C$3:C36)-C36)/MAX(C$3:C36))</f>
        <v/>
      </c>
      <c r="G36" s="12" t="str">
        <f>IF(A36="","",MAX(F$4:F36))</f>
        <v/>
      </c>
      <c r="H36" s="13"/>
      <c r="I36" s="14" t="str">
        <f t="shared" si="4"/>
        <v/>
      </c>
      <c r="J36" s="14" t="str">
        <f t="shared" si="5"/>
        <v/>
      </c>
      <c r="K36" s="15" t="str">
        <f t="shared" si="6"/>
        <v/>
      </c>
    </row>
    <row r="37" spans="1:11">
      <c r="A37" s="7" t="str">
        <f>IF(子基金及业绩基准周净值!A75="","",子基金及业绩基准周净值!A75)</f>
        <v/>
      </c>
      <c r="B37" s="1" t="str">
        <f>IF(A37="","",VLOOKUP($A37,子基金及业绩基准周净值!$A:$AV,17))</f>
        <v/>
      </c>
      <c r="C37" s="25"/>
      <c r="D37" s="8" t="str">
        <f t="shared" si="7"/>
        <v/>
      </c>
      <c r="E37" s="9" t="str">
        <f>IF(A37="","",D37-子基金及业绩基准周净值!AI75)</f>
        <v/>
      </c>
      <c r="F37" s="12" t="str">
        <f>IF(A37="","",(MAX(C$3:C37)-C37)/MAX(C$3:C37))</f>
        <v/>
      </c>
      <c r="G37" s="12" t="str">
        <f>IF(A37="","",MAX(F$4:F37))</f>
        <v/>
      </c>
      <c r="H37" s="13"/>
      <c r="I37" s="14" t="str">
        <f t="shared" si="4"/>
        <v/>
      </c>
      <c r="J37" s="14" t="str">
        <f t="shared" si="5"/>
        <v/>
      </c>
      <c r="K37" s="15" t="str">
        <f t="shared" si="6"/>
        <v/>
      </c>
    </row>
    <row r="38" spans="1:11">
      <c r="A38" s="7" t="str">
        <f>IF(子基金及业绩基准周净值!A76="","",子基金及业绩基准周净值!A76)</f>
        <v/>
      </c>
      <c r="B38" s="1" t="str">
        <f>IF(A38="","",VLOOKUP($A38,子基金及业绩基准周净值!$A:$AV,17))</f>
        <v/>
      </c>
      <c r="C38" s="25"/>
      <c r="D38" s="8" t="str">
        <f t="shared" si="7"/>
        <v/>
      </c>
      <c r="E38" s="9" t="str">
        <f>IF(A38="","",D38-子基金及业绩基准周净值!AI76)</f>
        <v/>
      </c>
      <c r="F38" s="12" t="str">
        <f>IF(A38="","",(MAX(C$3:C38)-C38)/MAX(C$3:C38))</f>
        <v/>
      </c>
      <c r="G38" s="12" t="str">
        <f>IF(A38="","",MAX(F$4:F38))</f>
        <v/>
      </c>
      <c r="H38" s="13"/>
      <c r="I38" s="14" t="str">
        <f t="shared" si="4"/>
        <v/>
      </c>
      <c r="J38" s="14" t="str">
        <f t="shared" si="5"/>
        <v/>
      </c>
      <c r="K38" s="15" t="str">
        <f t="shared" si="6"/>
        <v/>
      </c>
    </row>
    <row r="39" spans="1:11">
      <c r="A39" s="7" t="str">
        <f>IF(子基金及业绩基准周净值!A77="","",子基金及业绩基准周净值!A77)</f>
        <v/>
      </c>
      <c r="B39" s="1" t="str">
        <f>IF(A39="","",VLOOKUP($A39,子基金及业绩基准周净值!$A:$AV,17))</f>
        <v/>
      </c>
      <c r="C39" s="25"/>
      <c r="D39" s="8" t="str">
        <f t="shared" si="7"/>
        <v/>
      </c>
      <c r="E39" s="9" t="str">
        <f>IF(A39="","",D39-子基金及业绩基准周净值!AI77)</f>
        <v/>
      </c>
      <c r="F39" s="12" t="str">
        <f>IF(A39="","",(MAX(C$3:C39)-C39)/MAX(C$3:C39))</f>
        <v/>
      </c>
      <c r="G39" s="12" t="str">
        <f>IF(A39="","",MAX(F$4:F39))</f>
        <v/>
      </c>
      <c r="H39" s="13"/>
      <c r="I39" s="14" t="str">
        <f t="shared" si="4"/>
        <v/>
      </c>
      <c r="J39" s="14" t="str">
        <f t="shared" si="5"/>
        <v/>
      </c>
      <c r="K39" s="15" t="str">
        <f t="shared" si="6"/>
        <v/>
      </c>
    </row>
    <row r="40" spans="1:11">
      <c r="A40" s="7" t="str">
        <f>IF(子基金及业绩基准周净值!A78="","",子基金及业绩基准周净值!A78)</f>
        <v/>
      </c>
      <c r="B40" s="1" t="str">
        <f>IF(A40="","",VLOOKUP($A40,子基金及业绩基准周净值!$A:$AV,17))</f>
        <v/>
      </c>
      <c r="C40" s="25"/>
      <c r="D40" s="8" t="str">
        <f t="shared" si="7"/>
        <v/>
      </c>
      <c r="E40" s="9" t="str">
        <f>IF(A40="","",D40-子基金及业绩基准周净值!AI78)</f>
        <v/>
      </c>
      <c r="F40" s="12" t="str">
        <f>IF(A40="","",(MAX(C$3:C40)-C40)/MAX(C$3:C40))</f>
        <v/>
      </c>
      <c r="G40" s="12" t="str">
        <f>IF(A40="","",MAX(F$4:F40))</f>
        <v/>
      </c>
      <c r="H40" s="13"/>
      <c r="I40" s="14" t="str">
        <f t="shared" si="4"/>
        <v/>
      </c>
      <c r="J40" s="14" t="str">
        <f t="shared" si="5"/>
        <v/>
      </c>
      <c r="K40" s="15" t="str">
        <f t="shared" si="6"/>
        <v/>
      </c>
    </row>
    <row r="41" spans="1:11">
      <c r="A41" s="7" t="str">
        <f>IF(子基金及业绩基准周净值!A79="","",子基金及业绩基准周净值!A79)</f>
        <v/>
      </c>
      <c r="B41" s="1" t="str">
        <f>IF(A41="","",VLOOKUP($A41,子基金及业绩基准周净值!$A:$AV,17))</f>
        <v/>
      </c>
      <c r="C41" s="25"/>
      <c r="D41" s="8" t="str">
        <f t="shared" si="7"/>
        <v/>
      </c>
      <c r="E41" s="9" t="str">
        <f>IF(A41="","",D41-子基金及业绩基准周净值!AI79)</f>
        <v/>
      </c>
      <c r="F41" s="12" t="str">
        <f>IF(A41="","",(MAX(C$3:C41)-C41)/MAX(C$3:C41))</f>
        <v/>
      </c>
      <c r="G41" s="12" t="str">
        <f>IF(A41="","",MAX(F$4:F41))</f>
        <v/>
      </c>
      <c r="H41" s="13"/>
      <c r="I41" s="14" t="str">
        <f t="shared" si="4"/>
        <v/>
      </c>
      <c r="J41" s="14" t="str">
        <f t="shared" si="5"/>
        <v/>
      </c>
      <c r="K41" s="15" t="str">
        <f t="shared" si="6"/>
        <v/>
      </c>
    </row>
    <row r="42" spans="1:11">
      <c r="A42" s="7" t="str">
        <f>IF(子基金及业绩基准周净值!A80="","",子基金及业绩基准周净值!A80)</f>
        <v/>
      </c>
      <c r="B42" s="1" t="str">
        <f>IF(A42="","",VLOOKUP($A42,子基金及业绩基准周净值!$A:$AV,17))</f>
        <v/>
      </c>
      <c r="C42" s="25"/>
      <c r="D42" s="8" t="str">
        <f t="shared" si="7"/>
        <v/>
      </c>
      <c r="E42" s="9" t="str">
        <f>IF(A42="","",D42-子基金及业绩基准周净值!AI80)</f>
        <v/>
      </c>
      <c r="F42" s="12" t="str">
        <f>IF(A42="","",(MAX(C$3:C42)-C42)/MAX(C$3:C42))</f>
        <v/>
      </c>
      <c r="G42" s="12" t="str">
        <f>IF(A42="","",MAX(F$4:F42))</f>
        <v/>
      </c>
      <c r="H42" s="13"/>
      <c r="I42" s="14" t="str">
        <f t="shared" si="4"/>
        <v/>
      </c>
      <c r="J42" s="14" t="str">
        <f t="shared" si="5"/>
        <v/>
      </c>
      <c r="K42" s="15" t="str">
        <f t="shared" si="6"/>
        <v/>
      </c>
    </row>
    <row r="43" spans="1:11">
      <c r="A43" s="7" t="str">
        <f>IF(子基金及业绩基准周净值!A81="","",子基金及业绩基准周净值!A81)</f>
        <v/>
      </c>
      <c r="B43" s="1" t="str">
        <f>IF(A43="","",VLOOKUP($A43,子基金及业绩基准周净值!$A:$AV,17))</f>
        <v/>
      </c>
      <c r="C43" s="25"/>
      <c r="D43" s="8" t="str">
        <f t="shared" si="7"/>
        <v/>
      </c>
      <c r="E43" s="9" t="str">
        <f>IF(A43="","",D43-子基金及业绩基准周净值!AI81)</f>
        <v/>
      </c>
      <c r="F43" s="12" t="str">
        <f>IF(A43="","",(MAX(C$3:C43)-C43)/MAX(C$3:C43))</f>
        <v/>
      </c>
      <c r="G43" s="12" t="str">
        <f>IF(A43="","",MAX(F$4:F43))</f>
        <v/>
      </c>
      <c r="H43" s="13"/>
      <c r="I43" s="14" t="str">
        <f t="shared" si="4"/>
        <v/>
      </c>
      <c r="J43" s="14" t="str">
        <f t="shared" si="5"/>
        <v/>
      </c>
      <c r="K43" s="15" t="str">
        <f t="shared" si="6"/>
        <v/>
      </c>
    </row>
    <row r="44" spans="1:11">
      <c r="A44" s="7" t="str">
        <f>IF(子基金及业绩基准周净值!A82="","",子基金及业绩基准周净值!A82)</f>
        <v/>
      </c>
      <c r="B44" s="1" t="str">
        <f>IF(A44="","",VLOOKUP($A44,子基金及业绩基准周净值!$A:$AV,17))</f>
        <v/>
      </c>
      <c r="C44" s="25"/>
      <c r="D44" s="8" t="str">
        <f t="shared" si="7"/>
        <v/>
      </c>
      <c r="E44" s="9" t="str">
        <f>IF(A44="","",D44-子基金及业绩基准周净值!AI82)</f>
        <v/>
      </c>
      <c r="F44" s="12" t="str">
        <f>IF(A44="","",(MAX(C$3:C44)-C44)/MAX(C$3:C44))</f>
        <v/>
      </c>
      <c r="G44" s="12" t="str">
        <f>IF(A44="","",MAX(F$4:F44))</f>
        <v/>
      </c>
      <c r="H44" s="13"/>
      <c r="I44" s="14" t="str">
        <f t="shared" si="4"/>
        <v/>
      </c>
      <c r="J44" s="14" t="str">
        <f t="shared" si="5"/>
        <v/>
      </c>
      <c r="K44" s="15" t="str">
        <f t="shared" si="6"/>
        <v/>
      </c>
    </row>
    <row r="45" spans="1:11">
      <c r="A45" s="7" t="str">
        <f>IF(子基金及业绩基准周净值!A83="","",子基金及业绩基准周净值!A83)</f>
        <v/>
      </c>
      <c r="B45" s="1" t="str">
        <f>IF(A45="","",VLOOKUP($A45,子基金及业绩基准周净值!$A:$AV,17))</f>
        <v/>
      </c>
      <c r="C45" s="25"/>
      <c r="D45" s="8" t="str">
        <f t="shared" si="7"/>
        <v/>
      </c>
      <c r="E45" s="9" t="str">
        <f>IF(A45="","",D45-子基金及业绩基准周净值!AI83)</f>
        <v/>
      </c>
      <c r="F45" s="12" t="str">
        <f>IF(A45="","",(MAX(C$3:C45)-C45)/MAX(C$3:C45))</f>
        <v/>
      </c>
      <c r="G45" s="12" t="str">
        <f>IF(A45="","",MAX(F$4:F45))</f>
        <v/>
      </c>
      <c r="H45" s="13"/>
      <c r="I45" s="14" t="str">
        <f t="shared" si="4"/>
        <v/>
      </c>
      <c r="J45" s="14" t="str">
        <f t="shared" si="5"/>
        <v/>
      </c>
      <c r="K45" s="15" t="str">
        <f t="shared" si="6"/>
        <v/>
      </c>
    </row>
    <row r="46" spans="1:11">
      <c r="A46" s="7" t="str">
        <f>IF(子基金及业绩基准周净值!A84="","",子基金及业绩基准周净值!A84)</f>
        <v/>
      </c>
      <c r="B46" s="1" t="str">
        <f>IF(A46="","",VLOOKUP($A46,子基金及业绩基准周净值!$A:$AV,17))</f>
        <v/>
      </c>
      <c r="C46" s="25"/>
      <c r="D46" s="8" t="str">
        <f t="shared" si="7"/>
        <v/>
      </c>
      <c r="E46" s="9" t="str">
        <f>IF(A46="","",D46-子基金及业绩基准周净值!AI84)</f>
        <v/>
      </c>
      <c r="F46" s="12" t="str">
        <f>IF(A46="","",(MAX(C$3:C46)-C46)/MAX(C$3:C46))</f>
        <v/>
      </c>
      <c r="G46" s="12" t="str">
        <f>IF(A46="","",MAX(F$4:F46))</f>
        <v/>
      </c>
      <c r="H46" s="13"/>
      <c r="I46" s="14" t="str">
        <f t="shared" si="4"/>
        <v/>
      </c>
      <c r="J46" s="14" t="str">
        <f t="shared" si="5"/>
        <v/>
      </c>
      <c r="K46" s="15" t="str">
        <f t="shared" si="6"/>
        <v/>
      </c>
    </row>
    <row r="47" spans="1:11">
      <c r="A47" s="7" t="str">
        <f>IF(子基金及业绩基准周净值!A85="","",子基金及业绩基准周净值!A85)</f>
        <v/>
      </c>
      <c r="B47" s="1" t="str">
        <f>IF(A47="","",VLOOKUP($A47,子基金及业绩基准周净值!$A:$AV,17))</f>
        <v/>
      </c>
      <c r="C47" s="25"/>
      <c r="D47" s="8" t="str">
        <f t="shared" si="7"/>
        <v/>
      </c>
      <c r="E47" s="9" t="str">
        <f>IF(A47="","",D47-子基金及业绩基准周净值!AI85)</f>
        <v/>
      </c>
      <c r="F47" s="12" t="str">
        <f>IF(A47="","",(MAX(C$3:C47)-C47)/MAX(C$3:C47))</f>
        <v/>
      </c>
      <c r="G47" s="12" t="str">
        <f>IF(A47="","",MAX(F$4:F47))</f>
        <v/>
      </c>
      <c r="H47" s="13"/>
      <c r="I47" s="14" t="str">
        <f t="shared" si="4"/>
        <v/>
      </c>
      <c r="J47" s="14" t="str">
        <f t="shared" si="5"/>
        <v/>
      </c>
      <c r="K47" s="15" t="str">
        <f t="shared" si="6"/>
        <v/>
      </c>
    </row>
    <row r="48" spans="1:11">
      <c r="A48" s="7" t="str">
        <f>IF(子基金及业绩基准周净值!A86="","",子基金及业绩基准周净值!A86)</f>
        <v/>
      </c>
      <c r="B48" s="1" t="str">
        <f>IF(A48="","",VLOOKUP($A48,子基金及业绩基准周净值!$A:$AV,17))</f>
        <v/>
      </c>
      <c r="C48" s="25"/>
      <c r="D48" s="8" t="str">
        <f t="shared" si="7"/>
        <v/>
      </c>
      <c r="E48" s="9" t="str">
        <f>IF(A48="","",D48-子基金及业绩基准周净值!AI86)</f>
        <v/>
      </c>
      <c r="F48" s="12" t="str">
        <f>IF(A48="","",(MAX(C$3:C48)-C48)/MAX(C$3:C48))</f>
        <v/>
      </c>
      <c r="G48" s="12" t="str">
        <f>IF(A48="","",MAX(F$4:F48))</f>
        <v/>
      </c>
      <c r="H48" s="13"/>
      <c r="I48" s="14" t="str">
        <f t="shared" si="4"/>
        <v/>
      </c>
      <c r="J48" s="14" t="str">
        <f t="shared" si="5"/>
        <v/>
      </c>
      <c r="K48" s="15" t="str">
        <f t="shared" si="6"/>
        <v/>
      </c>
    </row>
    <row r="49" spans="1:11">
      <c r="A49" s="7" t="str">
        <f>IF(子基金及业绩基准周净值!A87="","",子基金及业绩基准周净值!A87)</f>
        <v/>
      </c>
      <c r="B49" s="1" t="str">
        <f>IF(A49="","",VLOOKUP($A49,子基金及业绩基准周净值!$A:$AV,17))</f>
        <v/>
      </c>
      <c r="C49" s="25"/>
      <c r="D49" s="8" t="str">
        <f t="shared" si="7"/>
        <v/>
      </c>
      <c r="E49" s="9" t="str">
        <f>IF(A49="","",D49-子基金及业绩基准周净值!AI87)</f>
        <v/>
      </c>
      <c r="F49" s="12" t="str">
        <f>IF(A49="","",(MAX(C$3:C49)-C49)/MAX(C$3:C49))</f>
        <v/>
      </c>
      <c r="G49" s="12" t="str">
        <f>IF(A49="","",MAX(F$4:F49))</f>
        <v/>
      </c>
      <c r="H49" s="13"/>
      <c r="I49" s="14" t="str">
        <f t="shared" si="4"/>
        <v/>
      </c>
      <c r="J49" s="14" t="str">
        <f t="shared" si="5"/>
        <v/>
      </c>
      <c r="K49" s="15" t="str">
        <f t="shared" si="6"/>
        <v/>
      </c>
    </row>
    <row r="50" spans="1:11">
      <c r="A50" s="7" t="str">
        <f>IF(子基金及业绩基准周净值!A88="","",子基金及业绩基准周净值!A88)</f>
        <v/>
      </c>
      <c r="B50" s="1" t="str">
        <f>IF(A50="","",VLOOKUP($A50,子基金及业绩基准周净值!$A:$AV,17))</f>
        <v/>
      </c>
      <c r="C50" s="25"/>
      <c r="D50" s="8" t="str">
        <f t="shared" si="7"/>
        <v/>
      </c>
      <c r="E50" s="9" t="str">
        <f>IF(A50="","",D50-子基金及业绩基准周净值!AI88)</f>
        <v/>
      </c>
      <c r="F50" s="12" t="str">
        <f>IF(A50="","",(MAX(C$3:C50)-C50)/MAX(C$3:C50))</f>
        <v/>
      </c>
      <c r="G50" s="12" t="str">
        <f>IF(A50="","",MAX(F$4:F50))</f>
        <v/>
      </c>
      <c r="H50" s="13"/>
      <c r="I50" s="14" t="str">
        <f t="shared" si="4"/>
        <v/>
      </c>
      <c r="J50" s="14" t="str">
        <f t="shared" si="5"/>
        <v/>
      </c>
      <c r="K50" s="15" t="str">
        <f t="shared" si="6"/>
        <v/>
      </c>
    </row>
    <row r="51" spans="1:11">
      <c r="A51" s="7" t="str">
        <f>IF(子基金及业绩基准周净值!A89="","",子基金及业绩基准周净值!A89)</f>
        <v/>
      </c>
      <c r="B51" s="1" t="str">
        <f>IF(A51="","",VLOOKUP($A51,子基金及业绩基准周净值!$A:$AV,17))</f>
        <v/>
      </c>
      <c r="C51" s="25"/>
      <c r="D51" s="8" t="str">
        <f t="shared" si="7"/>
        <v/>
      </c>
      <c r="E51" s="9" t="str">
        <f>IF(A51="","",D51-子基金及业绩基准周净值!AI89)</f>
        <v/>
      </c>
      <c r="F51" s="12" t="str">
        <f>IF(A51="","",(MAX(C$3:C51)-C51)/MAX(C$3:C51))</f>
        <v/>
      </c>
      <c r="G51" s="12" t="str">
        <f>IF(A51="","",MAX(F$4:F51))</f>
        <v/>
      </c>
      <c r="H51" s="13"/>
      <c r="I51" s="14" t="str">
        <f t="shared" si="4"/>
        <v/>
      </c>
      <c r="J51" s="14" t="str">
        <f t="shared" si="5"/>
        <v/>
      </c>
      <c r="K51" s="15" t="str">
        <f t="shared" si="6"/>
        <v/>
      </c>
    </row>
    <row r="52" spans="1:11">
      <c r="A52" s="7" t="str">
        <f>IF(子基金及业绩基准周净值!A90="","",子基金及业绩基准周净值!A90)</f>
        <v/>
      </c>
      <c r="B52" s="1" t="str">
        <f>IF(A52="","",VLOOKUP($A52,子基金及业绩基准周净值!$A:$AV,17))</f>
        <v/>
      </c>
      <c r="C52" s="25"/>
      <c r="D52" s="8" t="str">
        <f t="shared" si="7"/>
        <v/>
      </c>
      <c r="E52" s="9" t="str">
        <f>IF(A52="","",D52-子基金及业绩基准周净值!AI90)</f>
        <v/>
      </c>
      <c r="F52" s="12" t="str">
        <f>IF(A52="","",(MAX(C$3:C52)-C52)/MAX(C$3:C52))</f>
        <v/>
      </c>
      <c r="G52" s="12" t="str">
        <f>IF(A52="","",MAX(F$4:F52))</f>
        <v/>
      </c>
      <c r="H52" s="13"/>
      <c r="I52" s="14" t="str">
        <f t="shared" si="4"/>
        <v/>
      </c>
      <c r="J52" s="14" t="str">
        <f t="shared" si="5"/>
        <v/>
      </c>
      <c r="K52" s="15" t="str">
        <f t="shared" si="6"/>
        <v/>
      </c>
    </row>
    <row r="53" spans="1:11">
      <c r="A53" s="7" t="str">
        <f>IF(子基金及业绩基准周净值!A91="","",子基金及业绩基准周净值!A91)</f>
        <v/>
      </c>
      <c r="B53" s="1" t="str">
        <f>IF(A53="","",VLOOKUP($A53,子基金及业绩基准周净值!$A:$AV,17))</f>
        <v/>
      </c>
      <c r="C53" s="25"/>
      <c r="D53" s="8" t="str">
        <f t="shared" si="7"/>
        <v/>
      </c>
      <c r="E53" s="9" t="str">
        <f>IF(A53="","",D53-子基金及业绩基准周净值!AI91)</f>
        <v/>
      </c>
      <c r="F53" s="12" t="str">
        <f>IF(A53="","",(MAX(C$3:C53)-C53)/MAX(C$3:C53))</f>
        <v/>
      </c>
      <c r="G53" s="12" t="str">
        <f>IF(A53="","",MAX(F$4:F53))</f>
        <v/>
      </c>
      <c r="H53" s="13"/>
      <c r="I53" s="14" t="str">
        <f t="shared" si="4"/>
        <v/>
      </c>
      <c r="J53" s="14" t="str">
        <f t="shared" si="5"/>
        <v/>
      </c>
      <c r="K53" s="15" t="str">
        <f t="shared" si="6"/>
        <v/>
      </c>
    </row>
    <row r="54" spans="1:11">
      <c r="A54" s="7" t="str">
        <f>IF(子基金及业绩基准周净值!A92="","",子基金及业绩基准周净值!A92)</f>
        <v/>
      </c>
      <c r="B54" s="1" t="str">
        <f>IF(A54="","",VLOOKUP($A54,子基金及业绩基准周净值!$A:$AV,17))</f>
        <v/>
      </c>
      <c r="C54" s="25"/>
      <c r="D54" s="8" t="str">
        <f t="shared" si="7"/>
        <v/>
      </c>
      <c r="E54" s="9" t="str">
        <f>IF(A54="","",D54-子基金及业绩基准周净值!AI92)</f>
        <v/>
      </c>
      <c r="F54" s="12" t="str">
        <f>IF(A54="","",(MAX(C$3:C54)-C54)/MAX(C$3:C54))</f>
        <v/>
      </c>
      <c r="G54" s="12" t="str">
        <f>IF(A54="","",MAX(F$4:F54))</f>
        <v/>
      </c>
      <c r="H54" s="13"/>
      <c r="I54" s="14" t="str">
        <f t="shared" si="4"/>
        <v/>
      </c>
      <c r="J54" s="14" t="str">
        <f t="shared" si="5"/>
        <v/>
      </c>
      <c r="K54" s="15" t="str">
        <f t="shared" si="6"/>
        <v/>
      </c>
    </row>
    <row r="55" spans="1:11">
      <c r="A55" s="7" t="str">
        <f>IF(子基金及业绩基准周净值!A93="","",子基金及业绩基准周净值!A93)</f>
        <v/>
      </c>
      <c r="B55" s="1" t="str">
        <f>IF(A55="","",VLOOKUP($A55,子基金及业绩基准周净值!$A:$AV,17))</f>
        <v/>
      </c>
      <c r="C55" s="25"/>
      <c r="D55" s="8" t="str">
        <f t="shared" si="7"/>
        <v/>
      </c>
      <c r="E55" s="9" t="str">
        <f>IF(A55="","",D55-子基金及业绩基准周净值!AI93)</f>
        <v/>
      </c>
      <c r="F55" s="12" t="str">
        <f>IF(A55="","",(MAX(C$3:C55)-C55)/MAX(C$3:C55))</f>
        <v/>
      </c>
      <c r="G55" s="12" t="str">
        <f>IF(A55="","",MAX(F$4:F55))</f>
        <v/>
      </c>
      <c r="H55" s="13"/>
      <c r="I55" s="14" t="str">
        <f t="shared" si="4"/>
        <v/>
      </c>
      <c r="J55" s="14" t="str">
        <f t="shared" si="5"/>
        <v/>
      </c>
      <c r="K55" s="15" t="str">
        <f t="shared" si="6"/>
        <v/>
      </c>
    </row>
    <row r="56" spans="1:11">
      <c r="A56" s="7" t="str">
        <f>IF(子基金及业绩基准周净值!A94="","",子基金及业绩基准周净值!A94)</f>
        <v/>
      </c>
      <c r="B56" s="1" t="str">
        <f>IF(A56="","",VLOOKUP($A56,子基金及业绩基准周净值!$A:$AV,17))</f>
        <v/>
      </c>
      <c r="C56" s="25"/>
      <c r="D56" s="8" t="str">
        <f t="shared" si="7"/>
        <v/>
      </c>
      <c r="E56" s="9" t="str">
        <f>IF(A56="","",D56-子基金及业绩基准周净值!AI94)</f>
        <v/>
      </c>
      <c r="F56" s="12" t="str">
        <f>IF(A56="","",(MAX(C$3:C56)-C56)/MAX(C$3:C56))</f>
        <v/>
      </c>
      <c r="G56" s="12" t="str">
        <f>IF(A56="","",MAX(F$4:F56))</f>
        <v/>
      </c>
      <c r="H56" s="13"/>
      <c r="I56" s="14" t="str">
        <f t="shared" si="4"/>
        <v/>
      </c>
      <c r="J56" s="14" t="str">
        <f t="shared" si="5"/>
        <v/>
      </c>
      <c r="K56" s="15" t="str">
        <f t="shared" si="6"/>
        <v/>
      </c>
    </row>
    <row r="57" spans="1:11">
      <c r="A57" s="7" t="str">
        <f>IF(子基金及业绩基准周净值!A95="","",子基金及业绩基准周净值!A95)</f>
        <v/>
      </c>
      <c r="B57" s="1" t="str">
        <f>IF(A57="","",VLOOKUP($A57,子基金及业绩基准周净值!$A:$AV,17))</f>
        <v/>
      </c>
      <c r="C57" s="25"/>
      <c r="D57" s="8" t="str">
        <f t="shared" si="7"/>
        <v/>
      </c>
      <c r="E57" s="9" t="str">
        <f>IF(A57="","",D57-子基金及业绩基准周净值!AI95)</f>
        <v/>
      </c>
      <c r="F57" s="12" t="str">
        <f>IF(A57="","",(MAX(C$3:C57)-C57)/MAX(C$3:C57))</f>
        <v/>
      </c>
      <c r="G57" s="12" t="str">
        <f>IF(A57="","",MAX(F$4:F57))</f>
        <v/>
      </c>
      <c r="H57" s="13"/>
      <c r="I57" s="14" t="str">
        <f t="shared" si="4"/>
        <v/>
      </c>
      <c r="J57" s="14" t="str">
        <f t="shared" si="5"/>
        <v/>
      </c>
      <c r="K57" s="15" t="str">
        <f t="shared" si="6"/>
        <v/>
      </c>
    </row>
    <row r="58" spans="1:11">
      <c r="A58" s="7" t="str">
        <f>IF(子基金及业绩基准周净值!A96="","",子基金及业绩基准周净值!A96)</f>
        <v/>
      </c>
      <c r="B58" s="1" t="str">
        <f>IF(A58="","",VLOOKUP($A58,子基金及业绩基准周净值!$A:$AV,17))</f>
        <v/>
      </c>
      <c r="C58" s="25"/>
      <c r="D58" s="8" t="str">
        <f t="shared" si="7"/>
        <v/>
      </c>
      <c r="E58" s="9" t="str">
        <f>IF(A58="","",D58-子基金及业绩基准周净值!AI96)</f>
        <v/>
      </c>
      <c r="F58" s="12" t="str">
        <f>IF(A58="","",(MAX(C$3:C58)-C58)/MAX(C$3:C58))</f>
        <v/>
      </c>
      <c r="G58" s="12" t="str">
        <f>IF(A58="","",MAX(F$4:F58))</f>
        <v/>
      </c>
      <c r="H58" s="13"/>
      <c r="I58" s="14" t="str">
        <f t="shared" si="4"/>
        <v/>
      </c>
      <c r="J58" s="14" t="str">
        <f t="shared" si="5"/>
        <v/>
      </c>
      <c r="K58" s="15" t="str">
        <f t="shared" si="6"/>
        <v/>
      </c>
    </row>
    <row r="59" spans="1:11">
      <c r="A59" s="7" t="str">
        <f>IF(子基金及业绩基准周净值!A97="","",子基金及业绩基准周净值!A97)</f>
        <v/>
      </c>
      <c r="B59" s="1" t="str">
        <f>IF(A59="","",VLOOKUP($A59,子基金及业绩基准周净值!$A:$AV,17))</f>
        <v/>
      </c>
      <c r="C59" s="25"/>
      <c r="D59" s="8" t="str">
        <f t="shared" si="7"/>
        <v/>
      </c>
      <c r="E59" s="9" t="str">
        <f>IF(A59="","",D59-子基金及业绩基准周净值!AI97)</f>
        <v/>
      </c>
      <c r="F59" s="12" t="str">
        <f>IF(A59="","",(MAX(C$3:C59)-C59)/MAX(C$3:C59))</f>
        <v/>
      </c>
      <c r="G59" s="12" t="str">
        <f>IF(A59="","",MAX(F$4:F59))</f>
        <v/>
      </c>
      <c r="H59" s="13"/>
      <c r="I59" s="14" t="str">
        <f t="shared" si="4"/>
        <v/>
      </c>
      <c r="J59" s="14" t="str">
        <f t="shared" si="5"/>
        <v/>
      </c>
      <c r="K59" s="15" t="str">
        <f t="shared" si="6"/>
        <v/>
      </c>
    </row>
    <row r="60" spans="1:11">
      <c r="A60" s="7" t="str">
        <f>IF(子基金及业绩基准周净值!A98="","",子基金及业绩基准周净值!A98)</f>
        <v/>
      </c>
      <c r="B60" s="1" t="str">
        <f>IF(A60="","",VLOOKUP($A60,子基金及业绩基准周净值!$A:$AV,17))</f>
        <v/>
      </c>
      <c r="C60" s="25"/>
      <c r="D60" s="8" t="str">
        <f t="shared" si="7"/>
        <v/>
      </c>
      <c r="E60" s="9" t="str">
        <f>IF(A60="","",D60-子基金及业绩基准周净值!AI98)</f>
        <v/>
      </c>
      <c r="F60" s="12" t="str">
        <f>IF(A60="","",(MAX(C$3:C60)-C60)/MAX(C$3:C60))</f>
        <v/>
      </c>
      <c r="G60" s="12" t="str">
        <f>IF(A60="","",MAX(F$4:F60))</f>
        <v/>
      </c>
      <c r="H60" s="13"/>
      <c r="I60" s="14" t="str">
        <f t="shared" si="4"/>
        <v/>
      </c>
      <c r="J60" s="14" t="str">
        <f t="shared" si="5"/>
        <v/>
      </c>
      <c r="K60" s="15" t="str">
        <f t="shared" si="6"/>
        <v/>
      </c>
    </row>
    <row r="61" spans="1:11">
      <c r="A61" s="7" t="str">
        <f>IF(子基金及业绩基准周净值!A99="","",子基金及业绩基准周净值!A99)</f>
        <v/>
      </c>
      <c r="B61" s="1" t="str">
        <f>IF(A61="","",VLOOKUP($A61,子基金及业绩基准周净值!$A:$AV,17))</f>
        <v/>
      </c>
      <c r="C61" s="25"/>
      <c r="D61" s="8" t="str">
        <f t="shared" si="7"/>
        <v/>
      </c>
      <c r="E61" s="9" t="str">
        <f>IF(A61="","",D61-子基金及业绩基准周净值!AI99)</f>
        <v/>
      </c>
      <c r="F61" s="12" t="str">
        <f>IF(A61="","",(MAX(C$3:C61)-C61)/MAX(C$3:C61))</f>
        <v/>
      </c>
      <c r="G61" s="12" t="str">
        <f>IF(A61="","",MAX(F$4:F61))</f>
        <v/>
      </c>
      <c r="H61" s="13"/>
      <c r="I61" s="14" t="str">
        <f t="shared" si="4"/>
        <v/>
      </c>
      <c r="J61" s="14" t="str">
        <f t="shared" si="5"/>
        <v/>
      </c>
      <c r="K61" s="15" t="str">
        <f t="shared" si="6"/>
        <v/>
      </c>
    </row>
    <row r="62" spans="1:11">
      <c r="A62" s="7" t="str">
        <f>IF(子基金及业绩基准周净值!A100="","",子基金及业绩基准周净值!A100)</f>
        <v/>
      </c>
      <c r="B62" s="1" t="str">
        <f>IF(A62="","",VLOOKUP($A62,子基金及业绩基准周净值!$A:$AV,17))</f>
        <v/>
      </c>
      <c r="C62" s="25"/>
      <c r="D62" s="8" t="str">
        <f t="shared" si="7"/>
        <v/>
      </c>
      <c r="E62" s="9" t="str">
        <f>IF(A62="","",D62-子基金及业绩基准周净值!AI100)</f>
        <v/>
      </c>
      <c r="F62" s="12" t="str">
        <f>IF(A62="","",(MAX(C$3:C62)-C62)/MAX(C$3:C62))</f>
        <v/>
      </c>
      <c r="G62" s="12" t="str">
        <f>IF(A62="","",MAX(F$4:F62))</f>
        <v/>
      </c>
      <c r="H62" s="13"/>
      <c r="I62" s="14" t="str">
        <f t="shared" si="4"/>
        <v/>
      </c>
      <c r="J62" s="14" t="str">
        <f t="shared" si="5"/>
        <v/>
      </c>
      <c r="K62" s="15" t="str">
        <f t="shared" si="6"/>
        <v/>
      </c>
    </row>
    <row r="63" spans="1:11">
      <c r="A63" s="7" t="str">
        <f>IF(子基金及业绩基准周净值!A101="","",子基金及业绩基准周净值!A101)</f>
        <v/>
      </c>
      <c r="B63" s="1" t="str">
        <f>IF(A63="","",VLOOKUP($A63,子基金及业绩基准周净值!$A:$AV,17))</f>
        <v/>
      </c>
      <c r="C63" s="25"/>
      <c r="D63" s="8" t="str">
        <f t="shared" si="7"/>
        <v/>
      </c>
      <c r="E63" s="9" t="str">
        <f>IF(A63="","",D63-子基金及业绩基准周净值!AI101)</f>
        <v/>
      </c>
      <c r="F63" s="12" t="str">
        <f>IF(A63="","",(MAX(C$3:C63)-C63)/MAX(C$3:C63))</f>
        <v/>
      </c>
      <c r="G63" s="12" t="str">
        <f>IF(A63="","",MAX(F$4:F63))</f>
        <v/>
      </c>
      <c r="H63" s="13"/>
      <c r="I63" s="14" t="str">
        <f t="shared" si="4"/>
        <v/>
      </c>
      <c r="J63" s="14" t="str">
        <f t="shared" si="5"/>
        <v/>
      </c>
      <c r="K63" s="15" t="str">
        <f t="shared" si="6"/>
        <v/>
      </c>
    </row>
    <row r="64" spans="1:11">
      <c r="A64" s="7" t="str">
        <f>IF(子基金及业绩基准周净值!A102="","",子基金及业绩基准周净值!A102)</f>
        <v/>
      </c>
      <c r="B64" s="1" t="str">
        <f>IF(A64="","",VLOOKUP($A64,子基金及业绩基准周净值!$A:$AV,17))</f>
        <v/>
      </c>
      <c r="C64" s="25"/>
      <c r="D64" s="8" t="str">
        <f t="shared" si="7"/>
        <v/>
      </c>
      <c r="E64" s="9" t="str">
        <f>IF(A64="","",D64-子基金及业绩基准周净值!AI102)</f>
        <v/>
      </c>
      <c r="F64" s="12" t="str">
        <f>IF(A64="","",(MAX(C$3:C64)-C64)/MAX(C$3:C64))</f>
        <v/>
      </c>
      <c r="G64" s="12" t="str">
        <f>IF(A64="","",MAX(F$4:F64))</f>
        <v/>
      </c>
      <c r="H64" s="13"/>
      <c r="I64" s="14" t="str">
        <f t="shared" si="4"/>
        <v/>
      </c>
      <c r="J64" s="14" t="str">
        <f t="shared" si="5"/>
        <v/>
      </c>
      <c r="K64" s="15" t="str">
        <f t="shared" si="6"/>
        <v/>
      </c>
    </row>
    <row r="65" spans="1:11">
      <c r="A65" s="7" t="str">
        <f>IF(子基金及业绩基准周净值!A103="","",子基金及业绩基准周净值!A103)</f>
        <v/>
      </c>
      <c r="B65" s="1" t="str">
        <f>IF(A65="","",VLOOKUP($A65,子基金及业绩基准周净值!$A:$AV,17))</f>
        <v/>
      </c>
      <c r="C65" s="25"/>
      <c r="D65" s="8" t="str">
        <f t="shared" si="7"/>
        <v/>
      </c>
      <c r="E65" s="9" t="str">
        <f>IF(A65="","",D65-子基金及业绩基准周净值!AI103)</f>
        <v/>
      </c>
      <c r="F65" s="12" t="str">
        <f>IF(A65="","",(MAX(C$3:C65)-C65)/MAX(C$3:C65))</f>
        <v/>
      </c>
      <c r="G65" s="12" t="str">
        <f>IF(A65="","",MAX(F$4:F65))</f>
        <v/>
      </c>
      <c r="H65" s="13"/>
      <c r="I65" s="14" t="str">
        <f t="shared" si="4"/>
        <v/>
      </c>
      <c r="J65" s="14" t="str">
        <f t="shared" si="5"/>
        <v/>
      </c>
      <c r="K65" s="15" t="str">
        <f t="shared" si="6"/>
        <v/>
      </c>
    </row>
    <row r="66" spans="1:11">
      <c r="A66" s="7" t="str">
        <f>IF(子基金及业绩基准周净值!A104="","",子基金及业绩基准周净值!A104)</f>
        <v/>
      </c>
      <c r="B66" s="1" t="str">
        <f>IF(A66="","",VLOOKUP($A66,子基金及业绩基准周净值!$A:$AV,17))</f>
        <v/>
      </c>
      <c r="C66" s="25"/>
      <c r="D66" s="8" t="str">
        <f t="shared" si="7"/>
        <v/>
      </c>
      <c r="E66" s="9" t="str">
        <f>IF(A66="","",D66-子基金及业绩基准周净值!AI104)</f>
        <v/>
      </c>
      <c r="F66" s="12" t="str">
        <f>IF(A66="","",(MAX(C$3:C66)-C66)/MAX(C$3:C66))</f>
        <v/>
      </c>
      <c r="G66" s="12" t="str">
        <f>IF(A66="","",MAX(F$4:F66))</f>
        <v/>
      </c>
      <c r="H66" s="13"/>
      <c r="I66" s="14" t="str">
        <f t="shared" si="4"/>
        <v/>
      </c>
      <c r="J66" s="14" t="str">
        <f t="shared" si="5"/>
        <v/>
      </c>
      <c r="K66" s="15" t="str">
        <f t="shared" si="6"/>
        <v/>
      </c>
    </row>
    <row r="67" spans="1:11">
      <c r="A67" s="7" t="str">
        <f>IF(子基金及业绩基准周净值!A105="","",子基金及业绩基准周净值!A105)</f>
        <v/>
      </c>
      <c r="B67" s="1" t="str">
        <f>IF(A67="","",VLOOKUP($A67,子基金及业绩基准周净值!$A:$AV,17))</f>
        <v/>
      </c>
      <c r="C67" s="25"/>
      <c r="D67" s="8" t="str">
        <f t="shared" si="7"/>
        <v/>
      </c>
      <c r="E67" s="9" t="str">
        <f>IF(A67="","",D67-子基金及业绩基准周净值!AI105)</f>
        <v/>
      </c>
      <c r="F67" s="12" t="str">
        <f>IF(A67="","",(MAX(C$3:C67)-C67)/MAX(C$3:C67))</f>
        <v/>
      </c>
      <c r="G67" s="12" t="str">
        <f>IF(A67="","",MAX(F$4:F67))</f>
        <v/>
      </c>
      <c r="H67" s="13"/>
      <c r="I67" s="14" t="str">
        <f t="shared" si="4"/>
        <v/>
      </c>
      <c r="J67" s="14" t="str">
        <f t="shared" si="5"/>
        <v/>
      </c>
      <c r="K67" s="15" t="str">
        <f t="shared" si="6"/>
        <v/>
      </c>
    </row>
    <row r="68" spans="1:11">
      <c r="A68" s="7" t="str">
        <f>IF(子基金及业绩基准周净值!A106="","",子基金及业绩基准周净值!A106)</f>
        <v/>
      </c>
      <c r="B68" s="1" t="str">
        <f>IF(A68="","",VLOOKUP($A68,子基金及业绩基准周净值!$A:$AV,17))</f>
        <v/>
      </c>
      <c r="C68" s="25"/>
      <c r="D68" s="8" t="str">
        <f t="shared" si="7"/>
        <v/>
      </c>
      <c r="E68" s="9" t="str">
        <f>IF(A68="","",D68-子基金及业绩基准周净值!AI106)</f>
        <v/>
      </c>
      <c r="F68" s="12" t="str">
        <f>IF(A68="","",(MAX(C$3:C68)-C68)/MAX(C$3:C68))</f>
        <v/>
      </c>
      <c r="G68" s="12" t="str">
        <f>IF(A68="","",MAX(F$4:F68))</f>
        <v/>
      </c>
      <c r="H68" s="13"/>
      <c r="I68" s="14" t="str">
        <f t="shared" si="4"/>
        <v/>
      </c>
      <c r="J68" s="14" t="str">
        <f t="shared" si="5"/>
        <v/>
      </c>
      <c r="K68" s="15" t="str">
        <f t="shared" si="6"/>
        <v/>
      </c>
    </row>
    <row r="69" spans="1:11">
      <c r="A69" s="7" t="str">
        <f>IF(子基金及业绩基准周净值!A107="","",子基金及业绩基准周净值!A107)</f>
        <v/>
      </c>
      <c r="B69" s="1" t="str">
        <f>IF(A69="","",VLOOKUP($A69,子基金及业绩基准周净值!$A:$AV,17))</f>
        <v/>
      </c>
      <c r="C69" s="25"/>
      <c r="D69" s="8" t="str">
        <f t="shared" ref="D69:D132" si="8">IF(A69="","",(B69-B68)/B68)</f>
        <v/>
      </c>
      <c r="E69" s="9" t="str">
        <f>IF(A69="","",D69-子基金及业绩基准周净值!AI107)</f>
        <v/>
      </c>
      <c r="F69" s="12" t="str">
        <f>IF(A69="","",(MAX(C$3:C69)-C69)/MAX(C$3:C69))</f>
        <v/>
      </c>
      <c r="G69" s="12" t="str">
        <f>IF(A69="","",MAX(F$4:F69))</f>
        <v/>
      </c>
      <c r="H69" s="13"/>
      <c r="I69" s="14" t="str">
        <f t="shared" ref="I69:I132" si="9">IF(B69="","",IF(D69&lt;-3%,"是","否"))</f>
        <v/>
      </c>
      <c r="J69" s="14" t="str">
        <f t="shared" ref="J69:J132" si="10">IF(A69="","",IF(G69&gt;5%,"是","否"))</f>
        <v/>
      </c>
      <c r="K69" s="15" t="str">
        <f t="shared" ref="K69:K132" si="11">IF(A69="","",IF(H69&gt;=4,"是","否"))</f>
        <v/>
      </c>
    </row>
    <row r="70" spans="1:11">
      <c r="A70" s="7" t="str">
        <f>IF(子基金及业绩基准周净值!A108="","",子基金及业绩基准周净值!A108)</f>
        <v/>
      </c>
      <c r="B70" s="1" t="str">
        <f>IF(A70="","",VLOOKUP($A70,子基金及业绩基准周净值!$A:$AV,17))</f>
        <v/>
      </c>
      <c r="C70" s="25"/>
      <c r="D70" s="8" t="str">
        <f t="shared" si="8"/>
        <v/>
      </c>
      <c r="E70" s="9" t="str">
        <f>IF(A70="","",D70-子基金及业绩基准周净值!AI108)</f>
        <v/>
      </c>
      <c r="F70" s="12" t="str">
        <f>IF(A70="","",(MAX(C$3:C70)-C70)/MAX(C$3:C70))</f>
        <v/>
      </c>
      <c r="G70" s="12" t="str">
        <f>IF(A70="","",MAX(F$4:F70))</f>
        <v/>
      </c>
      <c r="H70" s="13"/>
      <c r="I70" s="14" t="str">
        <f t="shared" si="9"/>
        <v/>
      </c>
      <c r="J70" s="14" t="str">
        <f t="shared" si="10"/>
        <v/>
      </c>
      <c r="K70" s="15" t="str">
        <f t="shared" si="11"/>
        <v/>
      </c>
    </row>
    <row r="71" spans="1:11">
      <c r="A71" s="7" t="str">
        <f>IF(子基金及业绩基准周净值!A109="","",子基金及业绩基准周净值!A109)</f>
        <v/>
      </c>
      <c r="B71" s="1" t="str">
        <f>IF(A71="","",VLOOKUP($A71,子基金及业绩基准周净值!$A:$AV,17))</f>
        <v/>
      </c>
      <c r="C71" s="25"/>
      <c r="D71" s="8" t="str">
        <f t="shared" si="8"/>
        <v/>
      </c>
      <c r="E71" s="9" t="str">
        <f>IF(A71="","",D71-子基金及业绩基准周净值!AI109)</f>
        <v/>
      </c>
      <c r="F71" s="12" t="str">
        <f>IF(A71="","",(MAX(C$3:C71)-C71)/MAX(C$3:C71))</f>
        <v/>
      </c>
      <c r="G71" s="12" t="str">
        <f>IF(A71="","",MAX(F$4:F71))</f>
        <v/>
      </c>
      <c r="H71" s="13"/>
      <c r="I71" s="14" t="str">
        <f t="shared" si="9"/>
        <v/>
      </c>
      <c r="J71" s="14" t="str">
        <f t="shared" si="10"/>
        <v/>
      </c>
      <c r="K71" s="15" t="str">
        <f t="shared" si="11"/>
        <v/>
      </c>
    </row>
    <row r="72" spans="1:11">
      <c r="A72" s="7" t="str">
        <f>IF(子基金及业绩基准周净值!A110="","",子基金及业绩基准周净值!A110)</f>
        <v/>
      </c>
      <c r="B72" s="1" t="str">
        <f>IF(A72="","",VLOOKUP($A72,子基金及业绩基准周净值!$A:$AV,17))</f>
        <v/>
      </c>
      <c r="C72" s="25"/>
      <c r="D72" s="8" t="str">
        <f t="shared" si="8"/>
        <v/>
      </c>
      <c r="E72" s="9" t="str">
        <f>IF(A72="","",D72-子基金及业绩基准周净值!AI110)</f>
        <v/>
      </c>
      <c r="F72" s="12" t="str">
        <f>IF(A72="","",(MAX(C$3:C72)-C72)/MAX(C$3:C72))</f>
        <v/>
      </c>
      <c r="G72" s="12" t="str">
        <f>IF(A72="","",MAX(F$4:F72))</f>
        <v/>
      </c>
      <c r="H72" s="13"/>
      <c r="I72" s="14" t="str">
        <f t="shared" si="9"/>
        <v/>
      </c>
      <c r="J72" s="14" t="str">
        <f t="shared" si="10"/>
        <v/>
      </c>
      <c r="K72" s="15" t="str">
        <f t="shared" si="11"/>
        <v/>
      </c>
    </row>
    <row r="73" spans="1:11">
      <c r="A73" s="7" t="str">
        <f>IF(子基金及业绩基准周净值!A111="","",子基金及业绩基准周净值!A111)</f>
        <v/>
      </c>
      <c r="B73" s="1" t="str">
        <f>IF(A73="","",VLOOKUP($A73,子基金及业绩基准周净值!$A:$AV,17))</f>
        <v/>
      </c>
      <c r="C73" s="25"/>
      <c r="D73" s="8" t="str">
        <f t="shared" si="8"/>
        <v/>
      </c>
      <c r="E73" s="9" t="str">
        <f>IF(A73="","",D73-子基金及业绩基准周净值!AI111)</f>
        <v/>
      </c>
      <c r="F73" s="12" t="str">
        <f>IF(A73="","",(MAX(C$3:C73)-C73)/MAX(C$3:C73))</f>
        <v/>
      </c>
      <c r="G73" s="12" t="str">
        <f>IF(A73="","",MAX(F$4:F73))</f>
        <v/>
      </c>
      <c r="H73" s="13"/>
      <c r="I73" s="14" t="str">
        <f t="shared" si="9"/>
        <v/>
      </c>
      <c r="J73" s="14" t="str">
        <f t="shared" si="10"/>
        <v/>
      </c>
      <c r="K73" s="15" t="str">
        <f t="shared" si="11"/>
        <v/>
      </c>
    </row>
    <row r="74" spans="1:11">
      <c r="A74" s="7" t="str">
        <f>IF(子基金及业绩基准周净值!A112="","",子基金及业绩基准周净值!A112)</f>
        <v/>
      </c>
      <c r="B74" s="1" t="str">
        <f>IF(A74="","",VLOOKUP($A74,子基金及业绩基准周净值!$A:$AV,17))</f>
        <v/>
      </c>
      <c r="C74" s="25"/>
      <c r="D74" s="8" t="str">
        <f t="shared" si="8"/>
        <v/>
      </c>
      <c r="E74" s="9" t="str">
        <f>IF(A74="","",D74-子基金及业绩基准周净值!AI112)</f>
        <v/>
      </c>
      <c r="F74" s="12" t="str">
        <f>IF(A74="","",(MAX(C$3:C74)-C74)/MAX(C$3:C74))</f>
        <v/>
      </c>
      <c r="G74" s="12" t="str">
        <f>IF(A74="","",MAX(F$4:F74))</f>
        <v/>
      </c>
      <c r="H74" s="13"/>
      <c r="I74" s="14" t="str">
        <f t="shared" si="9"/>
        <v/>
      </c>
      <c r="J74" s="14" t="str">
        <f t="shared" si="10"/>
        <v/>
      </c>
      <c r="K74" s="15" t="str">
        <f t="shared" si="11"/>
        <v/>
      </c>
    </row>
    <row r="75" spans="1:11">
      <c r="A75" s="7" t="str">
        <f>IF(子基金及业绩基准周净值!A113="","",子基金及业绩基准周净值!A113)</f>
        <v/>
      </c>
      <c r="B75" s="1" t="str">
        <f>IF(A75="","",VLOOKUP($A75,子基金及业绩基准周净值!$A:$AV,17))</f>
        <v/>
      </c>
      <c r="C75" s="25"/>
      <c r="D75" s="8" t="str">
        <f t="shared" si="8"/>
        <v/>
      </c>
      <c r="E75" s="9" t="str">
        <f>IF(A75="","",D75-子基金及业绩基准周净值!AI113)</f>
        <v/>
      </c>
      <c r="F75" s="12" t="str">
        <f>IF(A75="","",(MAX(C$3:C75)-C75)/MAX(C$3:C75))</f>
        <v/>
      </c>
      <c r="G75" s="12" t="str">
        <f>IF(A75="","",MAX(F$4:F75))</f>
        <v/>
      </c>
      <c r="H75" s="13"/>
      <c r="I75" s="14" t="str">
        <f t="shared" si="9"/>
        <v/>
      </c>
      <c r="J75" s="14" t="str">
        <f t="shared" si="10"/>
        <v/>
      </c>
      <c r="K75" s="15" t="str">
        <f t="shared" si="11"/>
        <v/>
      </c>
    </row>
    <row r="76" spans="1:11">
      <c r="A76" s="7" t="str">
        <f>IF(子基金及业绩基准周净值!A114="","",子基金及业绩基准周净值!A114)</f>
        <v/>
      </c>
      <c r="B76" s="1" t="str">
        <f>IF(A76="","",VLOOKUP($A76,子基金及业绩基准周净值!$A:$AV,17))</f>
        <v/>
      </c>
      <c r="C76" s="25"/>
      <c r="D76" s="8" t="str">
        <f t="shared" si="8"/>
        <v/>
      </c>
      <c r="E76" s="9" t="str">
        <f>IF(A76="","",D76-子基金及业绩基准周净值!AI114)</f>
        <v/>
      </c>
      <c r="F76" s="12" t="str">
        <f>IF(A76="","",(MAX(C$3:C76)-C76)/MAX(C$3:C76))</f>
        <v/>
      </c>
      <c r="G76" s="12" t="str">
        <f>IF(A76="","",MAX(F$4:F76))</f>
        <v/>
      </c>
      <c r="H76" s="13"/>
      <c r="I76" s="14" t="str">
        <f t="shared" si="9"/>
        <v/>
      </c>
      <c r="J76" s="14" t="str">
        <f t="shared" si="10"/>
        <v/>
      </c>
      <c r="K76" s="15" t="str">
        <f t="shared" si="11"/>
        <v/>
      </c>
    </row>
    <row r="77" spans="1:11">
      <c r="A77" s="7" t="str">
        <f>IF(子基金及业绩基准周净值!A115="","",子基金及业绩基准周净值!A115)</f>
        <v/>
      </c>
      <c r="B77" s="1" t="str">
        <f>IF(A77="","",VLOOKUP($A77,子基金及业绩基准周净值!$A:$AV,17))</f>
        <v/>
      </c>
      <c r="C77" s="25"/>
      <c r="D77" s="8" t="str">
        <f t="shared" si="8"/>
        <v/>
      </c>
      <c r="E77" s="9" t="str">
        <f>IF(A77="","",D77-子基金及业绩基准周净值!AI115)</f>
        <v/>
      </c>
      <c r="F77" s="12" t="str">
        <f>IF(A77="","",(MAX(C$3:C77)-C77)/MAX(C$3:C77))</f>
        <v/>
      </c>
      <c r="G77" s="12" t="str">
        <f>IF(A77="","",MAX(F$4:F77))</f>
        <v/>
      </c>
      <c r="H77" s="13"/>
      <c r="I77" s="14" t="str">
        <f t="shared" si="9"/>
        <v/>
      </c>
      <c r="J77" s="14" t="str">
        <f t="shared" si="10"/>
        <v/>
      </c>
      <c r="K77" s="15" t="str">
        <f t="shared" si="11"/>
        <v/>
      </c>
    </row>
    <row r="78" spans="1:11">
      <c r="A78" s="7" t="str">
        <f>IF(子基金及业绩基准周净值!A116="","",子基金及业绩基准周净值!A116)</f>
        <v/>
      </c>
      <c r="B78" s="1" t="str">
        <f>IF(A78="","",VLOOKUP($A78,子基金及业绩基准周净值!$A:$AV,17))</f>
        <v/>
      </c>
      <c r="C78" s="25"/>
      <c r="D78" s="8" t="str">
        <f t="shared" si="8"/>
        <v/>
      </c>
      <c r="E78" s="9" t="str">
        <f>IF(A78="","",D78-子基金及业绩基准周净值!AI116)</f>
        <v/>
      </c>
      <c r="F78" s="12" t="str">
        <f>IF(A78="","",(MAX(C$3:C78)-C78)/MAX(C$3:C78))</f>
        <v/>
      </c>
      <c r="G78" s="12" t="str">
        <f>IF(A78="","",MAX(F$4:F78))</f>
        <v/>
      </c>
      <c r="H78" s="13"/>
      <c r="I78" s="14" t="str">
        <f t="shared" si="9"/>
        <v/>
      </c>
      <c r="J78" s="14" t="str">
        <f t="shared" si="10"/>
        <v/>
      </c>
      <c r="K78" s="15" t="str">
        <f t="shared" si="11"/>
        <v/>
      </c>
    </row>
    <row r="79" spans="1:11">
      <c r="A79" s="7" t="str">
        <f>IF(子基金及业绩基准周净值!A117="","",子基金及业绩基准周净值!A117)</f>
        <v/>
      </c>
      <c r="B79" s="1" t="str">
        <f>IF(A79="","",VLOOKUP($A79,子基金及业绩基准周净值!$A:$AV,17))</f>
        <v/>
      </c>
      <c r="C79" s="25"/>
      <c r="D79" s="8" t="str">
        <f t="shared" si="8"/>
        <v/>
      </c>
      <c r="E79" s="9" t="str">
        <f>IF(A79="","",D79-子基金及业绩基准周净值!AI117)</f>
        <v/>
      </c>
      <c r="F79" s="12" t="str">
        <f>IF(A79="","",(MAX(C$3:C79)-C79)/MAX(C$3:C79))</f>
        <v/>
      </c>
      <c r="G79" s="12" t="str">
        <f>IF(A79="","",MAX(F$4:F79))</f>
        <v/>
      </c>
      <c r="H79" s="13"/>
      <c r="I79" s="14" t="str">
        <f t="shared" si="9"/>
        <v/>
      </c>
      <c r="J79" s="14" t="str">
        <f t="shared" si="10"/>
        <v/>
      </c>
      <c r="K79" s="15" t="str">
        <f t="shared" si="11"/>
        <v/>
      </c>
    </row>
    <row r="80" spans="1:11">
      <c r="A80" s="7" t="str">
        <f>IF(子基金及业绩基准周净值!A118="","",子基金及业绩基准周净值!A118)</f>
        <v/>
      </c>
      <c r="B80" s="1" t="str">
        <f>IF(A80="","",VLOOKUP($A80,子基金及业绩基准周净值!$A:$AV,17))</f>
        <v/>
      </c>
      <c r="C80" s="25"/>
      <c r="D80" s="8" t="str">
        <f t="shared" si="8"/>
        <v/>
      </c>
      <c r="E80" s="9" t="str">
        <f>IF(A80="","",D80-子基金及业绩基准周净值!AI118)</f>
        <v/>
      </c>
      <c r="F80" s="12" t="str">
        <f>IF(A80="","",(MAX(C$3:C80)-C80)/MAX(C$3:C80))</f>
        <v/>
      </c>
      <c r="G80" s="12" t="str">
        <f>IF(A80="","",MAX(F$4:F80))</f>
        <v/>
      </c>
      <c r="H80" s="13"/>
      <c r="I80" s="14" t="str">
        <f t="shared" si="9"/>
        <v/>
      </c>
      <c r="J80" s="14" t="str">
        <f t="shared" si="10"/>
        <v/>
      </c>
      <c r="K80" s="15" t="str">
        <f t="shared" si="11"/>
        <v/>
      </c>
    </row>
    <row r="81" spans="1:11">
      <c r="A81" s="7" t="str">
        <f>IF(子基金及业绩基准周净值!A119="","",子基金及业绩基准周净值!A119)</f>
        <v/>
      </c>
      <c r="B81" s="1" t="str">
        <f>IF(A81="","",VLOOKUP($A81,子基金及业绩基准周净值!$A:$AV,17))</f>
        <v/>
      </c>
      <c r="C81" s="25"/>
      <c r="D81" s="8" t="str">
        <f t="shared" si="8"/>
        <v/>
      </c>
      <c r="E81" s="9" t="str">
        <f>IF(A81="","",D81-子基金及业绩基准周净值!AI119)</f>
        <v/>
      </c>
      <c r="F81" s="12" t="str">
        <f>IF(A81="","",(MAX(C$3:C81)-C81)/MAX(C$3:C81))</f>
        <v/>
      </c>
      <c r="G81" s="12" t="str">
        <f>IF(A81="","",MAX(F$4:F81))</f>
        <v/>
      </c>
      <c r="H81" s="13"/>
      <c r="I81" s="14" t="str">
        <f t="shared" si="9"/>
        <v/>
      </c>
      <c r="J81" s="14" t="str">
        <f t="shared" si="10"/>
        <v/>
      </c>
      <c r="K81" s="15" t="str">
        <f t="shared" si="11"/>
        <v/>
      </c>
    </row>
    <row r="82" spans="1:11">
      <c r="A82" s="7" t="str">
        <f>IF(子基金及业绩基准周净值!A120="","",子基金及业绩基准周净值!A120)</f>
        <v/>
      </c>
      <c r="B82" s="1" t="str">
        <f>IF(A82="","",VLOOKUP($A82,子基金及业绩基准周净值!$A:$AV,17))</f>
        <v/>
      </c>
      <c r="C82" s="25"/>
      <c r="D82" s="8" t="str">
        <f t="shared" si="8"/>
        <v/>
      </c>
      <c r="E82" s="9" t="str">
        <f>IF(A82="","",D82-子基金及业绩基准周净值!AI120)</f>
        <v/>
      </c>
      <c r="F82" s="12" t="str">
        <f>IF(A82="","",(MAX(C$3:C82)-C82)/MAX(C$3:C82))</f>
        <v/>
      </c>
      <c r="G82" s="12" t="str">
        <f>IF(A82="","",MAX(F$4:F82))</f>
        <v/>
      </c>
      <c r="H82" s="13"/>
      <c r="I82" s="14" t="str">
        <f t="shared" si="9"/>
        <v/>
      </c>
      <c r="J82" s="14" t="str">
        <f t="shared" si="10"/>
        <v/>
      </c>
      <c r="K82" s="15" t="str">
        <f t="shared" si="11"/>
        <v/>
      </c>
    </row>
    <row r="83" spans="1:11">
      <c r="A83" s="7" t="str">
        <f>IF(子基金及业绩基准周净值!A121="","",子基金及业绩基准周净值!A121)</f>
        <v/>
      </c>
      <c r="B83" s="1" t="str">
        <f>IF(A83="","",VLOOKUP($A83,子基金及业绩基准周净值!$A:$AV,17))</f>
        <v/>
      </c>
      <c r="C83" s="25"/>
      <c r="D83" s="8" t="str">
        <f t="shared" si="8"/>
        <v/>
      </c>
      <c r="E83" s="9" t="str">
        <f>IF(A83="","",D83-子基金及业绩基准周净值!AI121)</f>
        <v/>
      </c>
      <c r="F83" s="12" t="str">
        <f>IF(A83="","",(MAX(C$3:C83)-C83)/MAX(C$3:C83))</f>
        <v/>
      </c>
      <c r="G83" s="12" t="str">
        <f>IF(A83="","",MAX(F$4:F83))</f>
        <v/>
      </c>
      <c r="H83" s="13"/>
      <c r="I83" s="14" t="str">
        <f t="shared" si="9"/>
        <v/>
      </c>
      <c r="J83" s="14" t="str">
        <f t="shared" si="10"/>
        <v/>
      </c>
      <c r="K83" s="15" t="str">
        <f t="shared" si="11"/>
        <v/>
      </c>
    </row>
    <row r="84" spans="1:11">
      <c r="A84" s="7" t="str">
        <f>IF(子基金及业绩基准周净值!A122="","",子基金及业绩基准周净值!A122)</f>
        <v/>
      </c>
      <c r="B84" s="1" t="str">
        <f>IF(A84="","",VLOOKUP($A84,子基金及业绩基准周净值!$A:$AV,17))</f>
        <v/>
      </c>
      <c r="C84" s="25"/>
      <c r="D84" s="8" t="str">
        <f t="shared" si="8"/>
        <v/>
      </c>
      <c r="E84" s="9" t="str">
        <f>IF(A84="","",D84-子基金及业绩基准周净值!AI122)</f>
        <v/>
      </c>
      <c r="F84" s="12" t="str">
        <f>IF(A84="","",(MAX(C$3:C84)-C84)/MAX(C$3:C84))</f>
        <v/>
      </c>
      <c r="G84" s="12" t="str">
        <f>IF(A84="","",MAX(F$4:F84))</f>
        <v/>
      </c>
      <c r="H84" s="13"/>
      <c r="I84" s="14" t="str">
        <f t="shared" si="9"/>
        <v/>
      </c>
      <c r="J84" s="14" t="str">
        <f t="shared" si="10"/>
        <v/>
      </c>
      <c r="K84" s="15" t="str">
        <f t="shared" si="11"/>
        <v/>
      </c>
    </row>
    <row r="85" spans="1:11">
      <c r="A85" s="7" t="str">
        <f>IF(子基金及业绩基准周净值!A123="","",子基金及业绩基准周净值!A123)</f>
        <v/>
      </c>
      <c r="B85" s="1" t="str">
        <f>IF(A85="","",VLOOKUP($A85,子基金及业绩基准周净值!$A:$AV,17))</f>
        <v/>
      </c>
      <c r="C85" s="25"/>
      <c r="D85" s="8" t="str">
        <f t="shared" si="8"/>
        <v/>
      </c>
      <c r="E85" s="9" t="str">
        <f>IF(A85="","",D85-子基金及业绩基准周净值!AI123)</f>
        <v/>
      </c>
      <c r="F85" s="12" t="str">
        <f>IF(A85="","",(MAX(C$3:C85)-C85)/MAX(C$3:C85))</f>
        <v/>
      </c>
      <c r="G85" s="12" t="str">
        <f>IF(A85="","",MAX(F$4:F85))</f>
        <v/>
      </c>
      <c r="H85" s="13"/>
      <c r="I85" s="14" t="str">
        <f t="shared" si="9"/>
        <v/>
      </c>
      <c r="J85" s="14" t="str">
        <f t="shared" si="10"/>
        <v/>
      </c>
      <c r="K85" s="15" t="str">
        <f t="shared" si="11"/>
        <v/>
      </c>
    </row>
    <row r="86" spans="1:11">
      <c r="A86" s="7" t="str">
        <f>IF(子基金及业绩基准周净值!A124="","",子基金及业绩基准周净值!A124)</f>
        <v/>
      </c>
      <c r="B86" s="1" t="str">
        <f>IF(A86="","",VLOOKUP($A86,子基金及业绩基准周净值!$A:$AV,17))</f>
        <v/>
      </c>
      <c r="C86" s="25"/>
      <c r="D86" s="8" t="str">
        <f t="shared" si="8"/>
        <v/>
      </c>
      <c r="E86" s="9" t="str">
        <f>IF(A86="","",D86-子基金及业绩基准周净值!AI124)</f>
        <v/>
      </c>
      <c r="F86" s="12" t="str">
        <f>IF(A86="","",(MAX(C$3:C86)-C86)/MAX(C$3:C86))</f>
        <v/>
      </c>
      <c r="G86" s="12" t="str">
        <f>IF(A86="","",MAX(F$4:F86))</f>
        <v/>
      </c>
      <c r="H86" s="13"/>
      <c r="I86" s="14" t="str">
        <f t="shared" si="9"/>
        <v/>
      </c>
      <c r="J86" s="14" t="str">
        <f t="shared" si="10"/>
        <v/>
      </c>
      <c r="K86" s="15" t="str">
        <f t="shared" si="11"/>
        <v/>
      </c>
    </row>
    <row r="87" spans="1:11">
      <c r="A87" s="7" t="str">
        <f>IF(子基金及业绩基准周净值!A125="","",子基金及业绩基准周净值!A125)</f>
        <v/>
      </c>
      <c r="B87" s="1" t="str">
        <f>IF(A87="","",VLOOKUP($A87,子基金及业绩基准周净值!$A:$AV,17))</f>
        <v/>
      </c>
      <c r="C87" s="25"/>
      <c r="D87" s="8" t="str">
        <f t="shared" si="8"/>
        <v/>
      </c>
      <c r="E87" s="9" t="str">
        <f>IF(A87="","",D87-子基金及业绩基准周净值!AI125)</f>
        <v/>
      </c>
      <c r="F87" s="12" t="str">
        <f>IF(A87="","",(MAX(C$3:C87)-C87)/MAX(C$3:C87))</f>
        <v/>
      </c>
      <c r="G87" s="12" t="str">
        <f>IF(A87="","",MAX(F$4:F87))</f>
        <v/>
      </c>
      <c r="H87" s="13"/>
      <c r="I87" s="14" t="str">
        <f t="shared" si="9"/>
        <v/>
      </c>
      <c r="J87" s="14" t="str">
        <f t="shared" si="10"/>
        <v/>
      </c>
      <c r="K87" s="15" t="str">
        <f t="shared" si="11"/>
        <v/>
      </c>
    </row>
    <row r="88" spans="1:11">
      <c r="A88" s="7" t="str">
        <f>IF(子基金及业绩基准周净值!A126="","",子基金及业绩基准周净值!A126)</f>
        <v/>
      </c>
      <c r="B88" s="1" t="str">
        <f>IF(A88="","",VLOOKUP($A88,子基金及业绩基准周净值!$A:$AV,17))</f>
        <v/>
      </c>
      <c r="C88" s="25"/>
      <c r="D88" s="8" t="str">
        <f t="shared" si="8"/>
        <v/>
      </c>
      <c r="E88" s="9" t="str">
        <f>IF(A88="","",D88-子基金及业绩基准周净值!AI126)</f>
        <v/>
      </c>
      <c r="F88" s="12" t="str">
        <f>IF(A88="","",(MAX(C$3:C88)-C88)/MAX(C$3:C88))</f>
        <v/>
      </c>
      <c r="G88" s="12" t="str">
        <f>IF(A88="","",MAX(F$4:F88))</f>
        <v/>
      </c>
      <c r="H88" s="13"/>
      <c r="I88" s="14" t="str">
        <f t="shared" si="9"/>
        <v/>
      </c>
      <c r="J88" s="14" t="str">
        <f t="shared" si="10"/>
        <v/>
      </c>
      <c r="K88" s="15" t="str">
        <f t="shared" si="11"/>
        <v/>
      </c>
    </row>
    <row r="89" spans="1:11">
      <c r="A89" s="7" t="str">
        <f>IF(子基金及业绩基准周净值!A127="","",子基金及业绩基准周净值!A127)</f>
        <v/>
      </c>
      <c r="B89" s="1" t="str">
        <f>IF(A89="","",VLOOKUP($A89,子基金及业绩基准周净值!$A:$AV,17))</f>
        <v/>
      </c>
      <c r="C89" s="25"/>
      <c r="D89" s="8" t="str">
        <f t="shared" si="8"/>
        <v/>
      </c>
      <c r="E89" s="9" t="str">
        <f>IF(A89="","",D89-子基金及业绩基准周净值!AI127)</f>
        <v/>
      </c>
      <c r="F89" s="12" t="str">
        <f>IF(A89="","",(MAX(C$3:C89)-C89)/MAX(C$3:C89))</f>
        <v/>
      </c>
      <c r="G89" s="12" t="str">
        <f>IF(A89="","",MAX(F$4:F89))</f>
        <v/>
      </c>
      <c r="H89" s="13"/>
      <c r="I89" s="14" t="str">
        <f t="shared" si="9"/>
        <v/>
      </c>
      <c r="J89" s="14" t="str">
        <f t="shared" si="10"/>
        <v/>
      </c>
      <c r="K89" s="15" t="str">
        <f t="shared" si="11"/>
        <v/>
      </c>
    </row>
    <row r="90" spans="1:11">
      <c r="A90" s="7" t="str">
        <f>IF(子基金及业绩基准周净值!A128="","",子基金及业绩基准周净值!A128)</f>
        <v/>
      </c>
      <c r="B90" s="1" t="str">
        <f>IF(A90="","",VLOOKUP($A90,子基金及业绩基准周净值!$A:$AV,17))</f>
        <v/>
      </c>
      <c r="C90" s="25"/>
      <c r="D90" s="8" t="str">
        <f t="shared" si="8"/>
        <v/>
      </c>
      <c r="E90" s="9" t="str">
        <f>IF(A90="","",D90-子基金及业绩基准周净值!AI128)</f>
        <v/>
      </c>
      <c r="F90" s="12" t="str">
        <f>IF(A90="","",(MAX(C$3:C90)-C90)/MAX(C$3:C90))</f>
        <v/>
      </c>
      <c r="G90" s="12" t="str">
        <f>IF(A90="","",MAX(F$4:F90))</f>
        <v/>
      </c>
      <c r="H90" s="13"/>
      <c r="I90" s="14" t="str">
        <f t="shared" si="9"/>
        <v/>
      </c>
      <c r="J90" s="14" t="str">
        <f t="shared" si="10"/>
        <v/>
      </c>
      <c r="K90" s="15" t="str">
        <f t="shared" si="11"/>
        <v/>
      </c>
    </row>
    <row r="91" spans="1:11">
      <c r="A91" s="7" t="str">
        <f>IF(子基金及业绩基准周净值!A129="","",子基金及业绩基准周净值!A129)</f>
        <v/>
      </c>
      <c r="B91" s="1" t="str">
        <f>IF(A91="","",VLOOKUP($A91,子基金及业绩基准周净值!$A:$AV,17))</f>
        <v/>
      </c>
      <c r="C91" s="25"/>
      <c r="D91" s="8" t="str">
        <f t="shared" si="8"/>
        <v/>
      </c>
      <c r="E91" s="9" t="str">
        <f>IF(A91="","",D91-子基金及业绩基准周净值!AI129)</f>
        <v/>
      </c>
      <c r="F91" s="12" t="str">
        <f>IF(A91="","",(MAX(C$3:C91)-C91)/MAX(C$3:C91))</f>
        <v/>
      </c>
      <c r="G91" s="12" t="str">
        <f>IF(A91="","",MAX(F$4:F91))</f>
        <v/>
      </c>
      <c r="H91" s="13"/>
      <c r="I91" s="14" t="str">
        <f t="shared" si="9"/>
        <v/>
      </c>
      <c r="J91" s="14" t="str">
        <f t="shared" si="10"/>
        <v/>
      </c>
      <c r="K91" s="15" t="str">
        <f t="shared" si="11"/>
        <v/>
      </c>
    </row>
    <row r="92" spans="1:11">
      <c r="A92" s="7" t="str">
        <f>IF(子基金及业绩基准周净值!A130="","",子基金及业绩基准周净值!A130)</f>
        <v/>
      </c>
      <c r="B92" s="1" t="str">
        <f>IF(A92="","",VLOOKUP($A92,子基金及业绩基准周净值!$A:$AV,17))</f>
        <v/>
      </c>
      <c r="C92" s="25"/>
      <c r="D92" s="8" t="str">
        <f t="shared" si="8"/>
        <v/>
      </c>
      <c r="E92" s="9" t="str">
        <f>IF(A92="","",D92-子基金及业绩基准周净值!AI130)</f>
        <v/>
      </c>
      <c r="F92" s="12" t="str">
        <f>IF(A92="","",(MAX(C$3:C92)-C92)/MAX(C$3:C92))</f>
        <v/>
      </c>
      <c r="G92" s="12" t="str">
        <f>IF(A92="","",MAX(F$4:F92))</f>
        <v/>
      </c>
      <c r="H92" s="13"/>
      <c r="I92" s="14" t="str">
        <f t="shared" si="9"/>
        <v/>
      </c>
      <c r="J92" s="14" t="str">
        <f t="shared" si="10"/>
        <v/>
      </c>
      <c r="K92" s="15" t="str">
        <f t="shared" si="11"/>
        <v/>
      </c>
    </row>
    <row r="93" spans="1:11">
      <c r="A93" s="7" t="str">
        <f>IF(子基金及业绩基准周净值!A131="","",子基金及业绩基准周净值!A131)</f>
        <v/>
      </c>
      <c r="B93" s="1" t="str">
        <f>IF(A93="","",VLOOKUP($A93,子基金及业绩基准周净值!$A:$AV,17))</f>
        <v/>
      </c>
      <c r="C93" s="25"/>
      <c r="D93" s="8" t="str">
        <f t="shared" si="8"/>
        <v/>
      </c>
      <c r="E93" s="9" t="str">
        <f>IF(A93="","",D93-子基金及业绩基准周净值!AI131)</f>
        <v/>
      </c>
      <c r="F93" s="12" t="str">
        <f>IF(A93="","",(MAX(C$3:C93)-C93)/MAX(C$3:C93))</f>
        <v/>
      </c>
      <c r="G93" s="12" t="str">
        <f>IF(A93="","",MAX(F$4:F93))</f>
        <v/>
      </c>
      <c r="H93" s="13"/>
      <c r="I93" s="14" t="str">
        <f t="shared" si="9"/>
        <v/>
      </c>
      <c r="J93" s="14" t="str">
        <f t="shared" si="10"/>
        <v/>
      </c>
      <c r="K93" s="15" t="str">
        <f t="shared" si="11"/>
        <v/>
      </c>
    </row>
    <row r="94" spans="1:11">
      <c r="A94" s="7" t="str">
        <f>IF(子基金及业绩基准周净值!A132="","",子基金及业绩基准周净值!A132)</f>
        <v/>
      </c>
      <c r="B94" s="1" t="str">
        <f>IF(A94="","",VLOOKUP($A94,子基金及业绩基准周净值!$A:$AV,17))</f>
        <v/>
      </c>
      <c r="C94" s="25"/>
      <c r="D94" s="8" t="str">
        <f t="shared" si="8"/>
        <v/>
      </c>
      <c r="E94" s="9" t="str">
        <f>IF(A94="","",D94-子基金及业绩基准周净值!AI132)</f>
        <v/>
      </c>
      <c r="F94" s="12" t="str">
        <f>IF(A94="","",(MAX(C$3:C94)-C94)/MAX(C$3:C94))</f>
        <v/>
      </c>
      <c r="G94" s="12" t="str">
        <f>IF(A94="","",MAX(F$4:F94))</f>
        <v/>
      </c>
      <c r="H94" s="13"/>
      <c r="I94" s="14" t="str">
        <f t="shared" si="9"/>
        <v/>
      </c>
      <c r="J94" s="14" t="str">
        <f t="shared" si="10"/>
        <v/>
      </c>
      <c r="K94" s="15" t="str">
        <f t="shared" si="11"/>
        <v/>
      </c>
    </row>
    <row r="95" spans="1:11">
      <c r="A95" s="7" t="str">
        <f>IF(子基金及业绩基准周净值!A133="","",子基金及业绩基准周净值!A133)</f>
        <v/>
      </c>
      <c r="B95" s="1" t="str">
        <f>IF(A95="","",VLOOKUP($A95,子基金及业绩基准周净值!$A:$AV,17))</f>
        <v/>
      </c>
      <c r="C95" s="25"/>
      <c r="D95" s="8" t="str">
        <f t="shared" si="8"/>
        <v/>
      </c>
      <c r="E95" s="9" t="str">
        <f>IF(A95="","",D95-子基金及业绩基准周净值!AI133)</f>
        <v/>
      </c>
      <c r="F95" s="12" t="str">
        <f>IF(A95="","",(MAX(C$3:C95)-C95)/MAX(C$3:C95))</f>
        <v/>
      </c>
      <c r="G95" s="12" t="str">
        <f>IF(A95="","",MAX(F$4:F95))</f>
        <v/>
      </c>
      <c r="H95" s="13"/>
      <c r="I95" s="14" t="str">
        <f t="shared" si="9"/>
        <v/>
      </c>
      <c r="J95" s="14" t="str">
        <f t="shared" si="10"/>
        <v/>
      </c>
      <c r="K95" s="15" t="str">
        <f t="shared" si="11"/>
        <v/>
      </c>
    </row>
    <row r="96" spans="1:11">
      <c r="A96" s="7" t="str">
        <f>IF(子基金及业绩基准周净值!A134="","",子基金及业绩基准周净值!A134)</f>
        <v/>
      </c>
      <c r="B96" s="1" t="str">
        <f>IF(A96="","",VLOOKUP($A96,子基金及业绩基准周净值!$A:$AV,17))</f>
        <v/>
      </c>
      <c r="C96" s="25"/>
      <c r="D96" s="8" t="str">
        <f t="shared" si="8"/>
        <v/>
      </c>
      <c r="E96" s="9" t="str">
        <f>IF(A96="","",D96-子基金及业绩基准周净值!AI134)</f>
        <v/>
      </c>
      <c r="F96" s="12" t="str">
        <f>IF(A96="","",(MAX(C$3:C96)-C96)/MAX(C$3:C96))</f>
        <v/>
      </c>
      <c r="G96" s="12" t="str">
        <f>IF(A96="","",MAX(F$4:F96))</f>
        <v/>
      </c>
      <c r="H96" s="13"/>
      <c r="I96" s="14" t="str">
        <f t="shared" si="9"/>
        <v/>
      </c>
      <c r="J96" s="14" t="str">
        <f t="shared" si="10"/>
        <v/>
      </c>
      <c r="K96" s="15" t="str">
        <f t="shared" si="11"/>
        <v/>
      </c>
    </row>
    <row r="97" spans="1:11">
      <c r="A97" s="7" t="str">
        <f>IF(子基金及业绩基准周净值!A135="","",子基金及业绩基准周净值!A135)</f>
        <v/>
      </c>
      <c r="B97" s="1" t="str">
        <f>IF(A97="","",VLOOKUP($A97,子基金及业绩基准周净值!$A:$AV,17))</f>
        <v/>
      </c>
      <c r="C97" s="25"/>
      <c r="D97" s="8" t="str">
        <f t="shared" si="8"/>
        <v/>
      </c>
      <c r="E97" s="9" t="str">
        <f>IF(A97="","",D97-子基金及业绩基准周净值!AI135)</f>
        <v/>
      </c>
      <c r="F97" s="12" t="str">
        <f>IF(A97="","",(MAX(C$3:C97)-C97)/MAX(C$3:C97))</f>
        <v/>
      </c>
      <c r="G97" s="12" t="str">
        <f>IF(A97="","",MAX(F$4:F97))</f>
        <v/>
      </c>
      <c r="H97" s="13"/>
      <c r="I97" s="14" t="str">
        <f t="shared" si="9"/>
        <v/>
      </c>
      <c r="J97" s="14" t="str">
        <f t="shared" si="10"/>
        <v/>
      </c>
      <c r="K97" s="15" t="str">
        <f t="shared" si="11"/>
        <v/>
      </c>
    </row>
    <row r="98" spans="1:11">
      <c r="A98" s="7" t="str">
        <f>IF(子基金及业绩基准周净值!A136="","",子基金及业绩基准周净值!A136)</f>
        <v/>
      </c>
      <c r="B98" s="1" t="str">
        <f>IF(A98="","",VLOOKUP($A98,子基金及业绩基准周净值!$A:$AV,17))</f>
        <v/>
      </c>
      <c r="C98" s="25"/>
      <c r="D98" s="8" t="str">
        <f t="shared" si="8"/>
        <v/>
      </c>
      <c r="E98" s="9" t="str">
        <f>IF(A98="","",D98-子基金及业绩基准周净值!AI136)</f>
        <v/>
      </c>
      <c r="F98" s="12" t="str">
        <f>IF(A98="","",(MAX(C$3:C98)-C98)/MAX(C$3:C98))</f>
        <v/>
      </c>
      <c r="G98" s="12" t="str">
        <f>IF(A98="","",MAX(F$4:F98))</f>
        <v/>
      </c>
      <c r="H98" s="13"/>
      <c r="I98" s="14" t="str">
        <f t="shared" si="9"/>
        <v/>
      </c>
      <c r="J98" s="14" t="str">
        <f t="shared" si="10"/>
        <v/>
      </c>
      <c r="K98" s="15" t="str">
        <f t="shared" si="11"/>
        <v/>
      </c>
    </row>
    <row r="99" spans="1:11">
      <c r="A99" s="7" t="str">
        <f>IF(子基金及业绩基准周净值!A137="","",子基金及业绩基准周净值!A137)</f>
        <v/>
      </c>
      <c r="B99" s="1" t="str">
        <f>IF(A99="","",VLOOKUP($A99,子基金及业绩基准周净值!$A:$AV,17))</f>
        <v/>
      </c>
      <c r="C99" s="25"/>
      <c r="D99" s="8" t="str">
        <f t="shared" si="8"/>
        <v/>
      </c>
      <c r="E99" s="9" t="str">
        <f>IF(A99="","",D99-子基金及业绩基准周净值!AI137)</f>
        <v/>
      </c>
      <c r="F99" s="12" t="str">
        <f>IF(A99="","",(MAX(C$3:C99)-C99)/MAX(C$3:C99))</f>
        <v/>
      </c>
      <c r="G99" s="12" t="str">
        <f>IF(A99="","",MAX(F$4:F99))</f>
        <v/>
      </c>
      <c r="H99" s="13"/>
      <c r="I99" s="14" t="str">
        <f t="shared" si="9"/>
        <v/>
      </c>
      <c r="J99" s="14" t="str">
        <f t="shared" si="10"/>
        <v/>
      </c>
      <c r="K99" s="15" t="str">
        <f t="shared" si="11"/>
        <v/>
      </c>
    </row>
    <row r="100" spans="1:11">
      <c r="A100" s="7" t="str">
        <f>IF(子基金及业绩基准周净值!A138="","",子基金及业绩基准周净值!A138)</f>
        <v/>
      </c>
      <c r="B100" s="1" t="str">
        <f>IF(A100="","",VLOOKUP($A100,子基金及业绩基准周净值!$A:$AV,17))</f>
        <v/>
      </c>
      <c r="C100" s="25"/>
      <c r="D100" s="8" t="str">
        <f t="shared" si="8"/>
        <v/>
      </c>
      <c r="E100" s="9" t="str">
        <f>IF(A100="","",D100-子基金及业绩基准周净值!AI138)</f>
        <v/>
      </c>
      <c r="F100" s="12" t="str">
        <f>IF(A100="","",(MAX(C$3:C100)-C100)/MAX(C$3:C100))</f>
        <v/>
      </c>
      <c r="G100" s="12" t="str">
        <f>IF(A100="","",MAX(F$4:F100))</f>
        <v/>
      </c>
      <c r="H100" s="13"/>
      <c r="I100" s="14" t="str">
        <f t="shared" si="9"/>
        <v/>
      </c>
      <c r="J100" s="14" t="str">
        <f t="shared" si="10"/>
        <v/>
      </c>
      <c r="K100" s="15" t="str">
        <f t="shared" si="11"/>
        <v/>
      </c>
    </row>
    <row r="101" spans="1:11">
      <c r="A101" s="7" t="str">
        <f>IF(子基金及业绩基准周净值!A139="","",子基金及业绩基准周净值!A139)</f>
        <v/>
      </c>
      <c r="B101" s="1" t="str">
        <f>IF(A101="","",VLOOKUP($A101,子基金及业绩基准周净值!$A:$AV,17))</f>
        <v/>
      </c>
      <c r="C101" s="25"/>
      <c r="D101" s="8" t="str">
        <f t="shared" si="8"/>
        <v/>
      </c>
      <c r="E101" s="9" t="str">
        <f>IF(A101="","",D101-子基金及业绩基准周净值!AI139)</f>
        <v/>
      </c>
      <c r="F101" s="12" t="str">
        <f>IF(A101="","",(MAX(C$3:C101)-C101)/MAX(C$3:C101))</f>
        <v/>
      </c>
      <c r="G101" s="12" t="str">
        <f>IF(A101="","",MAX(F$4:F101))</f>
        <v/>
      </c>
      <c r="H101" s="13"/>
      <c r="I101" s="14" t="str">
        <f t="shared" si="9"/>
        <v/>
      </c>
      <c r="J101" s="14" t="str">
        <f t="shared" si="10"/>
        <v/>
      </c>
      <c r="K101" s="15" t="str">
        <f t="shared" si="11"/>
        <v/>
      </c>
    </row>
    <row r="102" spans="1:11">
      <c r="A102" s="7" t="str">
        <f>IF(子基金及业绩基准周净值!A140="","",子基金及业绩基准周净值!A140)</f>
        <v/>
      </c>
      <c r="B102" s="1" t="str">
        <f>IF(A102="","",VLOOKUP($A102,子基金及业绩基准周净值!$A:$AV,17))</f>
        <v/>
      </c>
      <c r="C102" s="25"/>
      <c r="D102" s="8" t="str">
        <f t="shared" si="8"/>
        <v/>
      </c>
      <c r="E102" s="9" t="str">
        <f>IF(A102="","",D102-子基金及业绩基准周净值!AI140)</f>
        <v/>
      </c>
      <c r="F102" s="12" t="str">
        <f>IF(A102="","",(MAX(C$3:C102)-C102)/MAX(C$3:C102))</f>
        <v/>
      </c>
      <c r="G102" s="12" t="str">
        <f>IF(A102="","",MAX(F$4:F102))</f>
        <v/>
      </c>
      <c r="H102" s="13"/>
      <c r="I102" s="14" t="str">
        <f t="shared" si="9"/>
        <v/>
      </c>
      <c r="J102" s="14" t="str">
        <f t="shared" si="10"/>
        <v/>
      </c>
      <c r="K102" s="15" t="str">
        <f t="shared" si="11"/>
        <v/>
      </c>
    </row>
    <row r="103" spans="1:11">
      <c r="A103" s="7" t="str">
        <f>IF(子基金及业绩基准周净值!A141="","",子基金及业绩基准周净值!A141)</f>
        <v/>
      </c>
      <c r="B103" s="1" t="str">
        <f>IF(A103="","",VLOOKUP($A103,子基金及业绩基准周净值!$A:$AV,17))</f>
        <v/>
      </c>
      <c r="C103" s="25"/>
      <c r="D103" s="8" t="str">
        <f t="shared" si="8"/>
        <v/>
      </c>
      <c r="E103" s="9" t="str">
        <f>IF(A103="","",D103-子基金及业绩基准周净值!AI141)</f>
        <v/>
      </c>
      <c r="F103" s="12" t="str">
        <f>IF(A103="","",(MAX(C$3:C103)-C103)/MAX(C$3:C103))</f>
        <v/>
      </c>
      <c r="G103" s="12" t="str">
        <f>IF(A103="","",MAX(F$4:F103))</f>
        <v/>
      </c>
      <c r="H103" s="13"/>
      <c r="I103" s="14" t="str">
        <f t="shared" si="9"/>
        <v/>
      </c>
      <c r="J103" s="14" t="str">
        <f t="shared" si="10"/>
        <v/>
      </c>
      <c r="K103" s="15" t="str">
        <f t="shared" si="11"/>
        <v/>
      </c>
    </row>
    <row r="104" spans="1:11">
      <c r="A104" s="7" t="str">
        <f>IF(子基金及业绩基准周净值!A142="","",子基金及业绩基准周净值!A142)</f>
        <v/>
      </c>
      <c r="B104" s="1" t="str">
        <f>IF(A104="","",VLOOKUP($A104,子基金及业绩基准周净值!$A:$AV,17))</f>
        <v/>
      </c>
      <c r="C104" s="25"/>
      <c r="D104" s="8" t="str">
        <f t="shared" si="8"/>
        <v/>
      </c>
      <c r="E104" s="9" t="str">
        <f>IF(A104="","",D104-子基金及业绩基准周净值!AI142)</f>
        <v/>
      </c>
      <c r="F104" s="12" t="str">
        <f>IF(A104="","",(MAX(C$3:C104)-C104)/MAX(C$3:C104))</f>
        <v/>
      </c>
      <c r="G104" s="12" t="str">
        <f>IF(A104="","",MAX(F$4:F104))</f>
        <v/>
      </c>
      <c r="H104" s="13"/>
      <c r="I104" s="14" t="str">
        <f t="shared" si="9"/>
        <v/>
      </c>
      <c r="J104" s="14" t="str">
        <f t="shared" si="10"/>
        <v/>
      </c>
      <c r="K104" s="15" t="str">
        <f t="shared" si="11"/>
        <v/>
      </c>
    </row>
    <row r="105" spans="1:11">
      <c r="A105" s="7" t="str">
        <f>IF(子基金及业绩基准周净值!A143="","",子基金及业绩基准周净值!A143)</f>
        <v/>
      </c>
      <c r="B105" s="1" t="str">
        <f>IF(A105="","",VLOOKUP($A105,子基金及业绩基准周净值!$A:$AV,17))</f>
        <v/>
      </c>
      <c r="C105" s="25"/>
      <c r="D105" s="8" t="str">
        <f t="shared" si="8"/>
        <v/>
      </c>
      <c r="E105" s="9" t="str">
        <f>IF(A105="","",D105-子基金及业绩基准周净值!AI143)</f>
        <v/>
      </c>
      <c r="F105" s="12" t="str">
        <f>IF(A105="","",(MAX(C$3:C105)-C105)/MAX(C$3:C105))</f>
        <v/>
      </c>
      <c r="G105" s="12" t="str">
        <f>IF(A105="","",MAX(F$4:F105))</f>
        <v/>
      </c>
      <c r="H105" s="13"/>
      <c r="I105" s="14" t="str">
        <f t="shared" si="9"/>
        <v/>
      </c>
      <c r="J105" s="14" t="str">
        <f t="shared" si="10"/>
        <v/>
      </c>
      <c r="K105" s="15" t="str">
        <f t="shared" si="11"/>
        <v/>
      </c>
    </row>
    <row r="106" spans="1:11">
      <c r="A106" s="7" t="str">
        <f>IF(子基金及业绩基准周净值!A144="","",子基金及业绩基准周净值!A144)</f>
        <v/>
      </c>
      <c r="B106" s="1" t="str">
        <f>IF(A106="","",VLOOKUP($A106,子基金及业绩基准周净值!$A:$AV,17))</f>
        <v/>
      </c>
      <c r="C106" s="25"/>
      <c r="D106" s="8" t="str">
        <f t="shared" si="8"/>
        <v/>
      </c>
      <c r="E106" s="9" t="str">
        <f>IF(A106="","",D106-子基金及业绩基准周净值!AI144)</f>
        <v/>
      </c>
      <c r="F106" s="12" t="str">
        <f>IF(A106="","",(MAX(C$3:C106)-C106)/MAX(C$3:C106))</f>
        <v/>
      </c>
      <c r="G106" s="12" t="str">
        <f>IF(A106="","",MAX(F$4:F106))</f>
        <v/>
      </c>
      <c r="H106" s="13"/>
      <c r="I106" s="14" t="str">
        <f t="shared" si="9"/>
        <v/>
      </c>
      <c r="J106" s="14" t="str">
        <f t="shared" si="10"/>
        <v/>
      </c>
      <c r="K106" s="15" t="str">
        <f t="shared" si="11"/>
        <v/>
      </c>
    </row>
    <row r="107" spans="1:11">
      <c r="A107" s="7" t="str">
        <f>IF(子基金及业绩基准周净值!A145="","",子基金及业绩基准周净值!A145)</f>
        <v/>
      </c>
      <c r="B107" s="1" t="str">
        <f>IF(A107="","",VLOOKUP($A107,子基金及业绩基准周净值!$A:$AV,17))</f>
        <v/>
      </c>
      <c r="C107" s="25"/>
      <c r="D107" s="8" t="str">
        <f t="shared" si="8"/>
        <v/>
      </c>
      <c r="E107" s="9" t="str">
        <f>IF(A107="","",D107-子基金及业绩基准周净值!AI145)</f>
        <v/>
      </c>
      <c r="F107" s="12" t="str">
        <f>IF(A107="","",(MAX(C$3:C107)-C107)/MAX(C$3:C107))</f>
        <v/>
      </c>
      <c r="G107" s="12" t="str">
        <f>IF(A107="","",MAX(F$4:F107))</f>
        <v/>
      </c>
      <c r="H107" s="13"/>
      <c r="I107" s="14" t="str">
        <f t="shared" si="9"/>
        <v/>
      </c>
      <c r="J107" s="14" t="str">
        <f t="shared" si="10"/>
        <v/>
      </c>
      <c r="K107" s="15" t="str">
        <f t="shared" si="11"/>
        <v/>
      </c>
    </row>
    <row r="108" spans="1:11">
      <c r="A108" s="7" t="str">
        <f>IF(子基金及业绩基准周净值!A146="","",子基金及业绩基准周净值!A146)</f>
        <v/>
      </c>
      <c r="B108" s="1" t="str">
        <f>IF(A108="","",VLOOKUP($A108,子基金及业绩基准周净值!$A:$AV,17))</f>
        <v/>
      </c>
      <c r="C108" s="25"/>
      <c r="D108" s="8" t="str">
        <f t="shared" si="8"/>
        <v/>
      </c>
      <c r="E108" s="9" t="str">
        <f>IF(A108="","",D108-子基金及业绩基准周净值!AI146)</f>
        <v/>
      </c>
      <c r="F108" s="12" t="str">
        <f>IF(A108="","",(MAX(C$3:C108)-C108)/MAX(C$3:C108))</f>
        <v/>
      </c>
      <c r="G108" s="12" t="str">
        <f>IF(A108="","",MAX(F$4:F108))</f>
        <v/>
      </c>
      <c r="H108" s="13"/>
      <c r="I108" s="14" t="str">
        <f t="shared" si="9"/>
        <v/>
      </c>
      <c r="J108" s="14" t="str">
        <f t="shared" si="10"/>
        <v/>
      </c>
      <c r="K108" s="15" t="str">
        <f t="shared" si="11"/>
        <v/>
      </c>
    </row>
    <row r="109" spans="1:11">
      <c r="A109" s="7" t="str">
        <f>IF(子基金及业绩基准周净值!A147="","",子基金及业绩基准周净值!A147)</f>
        <v/>
      </c>
      <c r="B109" s="1" t="str">
        <f>IF(A109="","",VLOOKUP($A109,子基金及业绩基准周净值!$A:$AV,17))</f>
        <v/>
      </c>
      <c r="C109" s="25"/>
      <c r="D109" s="8" t="str">
        <f t="shared" si="8"/>
        <v/>
      </c>
      <c r="E109" s="9" t="str">
        <f>IF(A109="","",D109-子基金及业绩基准周净值!AI147)</f>
        <v/>
      </c>
      <c r="F109" s="12" t="str">
        <f>IF(A109="","",(MAX(C$3:C109)-C109)/MAX(C$3:C109))</f>
        <v/>
      </c>
      <c r="G109" s="12" t="str">
        <f>IF(A109="","",MAX(F$4:F109))</f>
        <v/>
      </c>
      <c r="H109" s="13"/>
      <c r="I109" s="14" t="str">
        <f t="shared" si="9"/>
        <v/>
      </c>
      <c r="J109" s="14" t="str">
        <f t="shared" si="10"/>
        <v/>
      </c>
      <c r="K109" s="15" t="str">
        <f t="shared" si="11"/>
        <v/>
      </c>
    </row>
    <row r="110" spans="1:11">
      <c r="A110" s="7" t="str">
        <f>IF(子基金及业绩基准周净值!A148="","",子基金及业绩基准周净值!A148)</f>
        <v/>
      </c>
      <c r="B110" s="1" t="str">
        <f>IF(A110="","",VLOOKUP($A110,子基金及业绩基准周净值!$A:$AV,17))</f>
        <v/>
      </c>
      <c r="C110" s="25"/>
      <c r="D110" s="8" t="str">
        <f t="shared" si="8"/>
        <v/>
      </c>
      <c r="E110" s="9" t="str">
        <f>IF(A110="","",D110-子基金及业绩基准周净值!AI148)</f>
        <v/>
      </c>
      <c r="F110" s="12" t="str">
        <f>IF(A110="","",(MAX(C$3:C110)-C110)/MAX(C$3:C110))</f>
        <v/>
      </c>
      <c r="G110" s="12" t="str">
        <f>IF(A110="","",MAX(F$4:F110))</f>
        <v/>
      </c>
      <c r="H110" s="13"/>
      <c r="I110" s="14" t="str">
        <f t="shared" si="9"/>
        <v/>
      </c>
      <c r="J110" s="14" t="str">
        <f t="shared" si="10"/>
        <v/>
      </c>
      <c r="K110" s="15" t="str">
        <f t="shared" si="11"/>
        <v/>
      </c>
    </row>
    <row r="111" spans="1:11">
      <c r="A111" s="7" t="str">
        <f>IF(子基金及业绩基准周净值!A149="","",子基金及业绩基准周净值!A149)</f>
        <v/>
      </c>
      <c r="B111" s="1" t="str">
        <f>IF(A111="","",VLOOKUP($A111,子基金及业绩基准周净值!$A:$AV,17))</f>
        <v/>
      </c>
      <c r="C111" s="25"/>
      <c r="D111" s="8" t="str">
        <f t="shared" si="8"/>
        <v/>
      </c>
      <c r="E111" s="9" t="str">
        <f>IF(A111="","",D111-子基金及业绩基准周净值!AI149)</f>
        <v/>
      </c>
      <c r="F111" s="12" t="str">
        <f>IF(A111="","",(MAX(C$3:C111)-C111)/MAX(C$3:C111))</f>
        <v/>
      </c>
      <c r="G111" s="12" t="str">
        <f>IF(A111="","",MAX(F$4:F111))</f>
        <v/>
      </c>
      <c r="H111" s="13"/>
      <c r="I111" s="14" t="str">
        <f t="shared" si="9"/>
        <v/>
      </c>
      <c r="J111" s="14" t="str">
        <f t="shared" si="10"/>
        <v/>
      </c>
      <c r="K111" s="15" t="str">
        <f t="shared" si="11"/>
        <v/>
      </c>
    </row>
    <row r="112" spans="1:11">
      <c r="A112" s="7" t="str">
        <f>IF(子基金及业绩基准周净值!A150="","",子基金及业绩基准周净值!A150)</f>
        <v/>
      </c>
      <c r="B112" s="1" t="str">
        <f>IF(A112="","",VLOOKUP($A112,子基金及业绩基准周净值!$A:$AV,17))</f>
        <v/>
      </c>
      <c r="C112" s="25"/>
      <c r="D112" s="8" t="str">
        <f t="shared" si="8"/>
        <v/>
      </c>
      <c r="E112" s="9" t="str">
        <f>IF(A112="","",D112-子基金及业绩基准周净值!AI150)</f>
        <v/>
      </c>
      <c r="F112" s="12" t="str">
        <f>IF(A112="","",(MAX(C$3:C112)-C112)/MAX(C$3:C112))</f>
        <v/>
      </c>
      <c r="G112" s="12" t="str">
        <f>IF(A112="","",MAX(F$4:F112))</f>
        <v/>
      </c>
      <c r="H112" s="13"/>
      <c r="I112" s="14" t="str">
        <f t="shared" si="9"/>
        <v/>
      </c>
      <c r="J112" s="14" t="str">
        <f t="shared" si="10"/>
        <v/>
      </c>
      <c r="K112" s="15" t="str">
        <f t="shared" si="11"/>
        <v/>
      </c>
    </row>
    <row r="113" spans="1:11">
      <c r="A113" s="7" t="str">
        <f>IF(子基金及业绩基准周净值!A151="","",子基金及业绩基准周净值!A151)</f>
        <v/>
      </c>
      <c r="B113" s="1" t="str">
        <f>IF(A113="","",VLOOKUP($A113,子基金及业绩基准周净值!$A:$AV,17))</f>
        <v/>
      </c>
      <c r="C113" s="25"/>
      <c r="D113" s="8" t="str">
        <f t="shared" si="8"/>
        <v/>
      </c>
      <c r="E113" s="9" t="str">
        <f>IF(A113="","",D113-子基金及业绩基准周净值!AI151)</f>
        <v/>
      </c>
      <c r="F113" s="12" t="str">
        <f>IF(A113="","",(MAX(C$3:C113)-C113)/MAX(C$3:C113))</f>
        <v/>
      </c>
      <c r="G113" s="12" t="str">
        <f>IF(A113="","",MAX(F$4:F113))</f>
        <v/>
      </c>
      <c r="H113" s="13"/>
      <c r="I113" s="14" t="str">
        <f t="shared" si="9"/>
        <v/>
      </c>
      <c r="J113" s="14" t="str">
        <f t="shared" si="10"/>
        <v/>
      </c>
      <c r="K113" s="15" t="str">
        <f t="shared" si="11"/>
        <v/>
      </c>
    </row>
    <row r="114" spans="1:11">
      <c r="A114" s="7" t="str">
        <f>IF(子基金及业绩基准周净值!A152="","",子基金及业绩基准周净值!A152)</f>
        <v/>
      </c>
      <c r="B114" s="1" t="str">
        <f>IF(A114="","",VLOOKUP($A114,子基金及业绩基准周净值!$A:$AV,17))</f>
        <v/>
      </c>
      <c r="C114" s="25"/>
      <c r="D114" s="8" t="str">
        <f t="shared" si="8"/>
        <v/>
      </c>
      <c r="E114" s="9" t="str">
        <f>IF(A114="","",D114-子基金及业绩基准周净值!AI152)</f>
        <v/>
      </c>
      <c r="F114" s="12" t="str">
        <f>IF(A114="","",(MAX(C$3:C114)-C114)/MAX(C$3:C114))</f>
        <v/>
      </c>
      <c r="G114" s="12" t="str">
        <f>IF(A114="","",MAX(F$4:F114))</f>
        <v/>
      </c>
      <c r="H114" s="13"/>
      <c r="I114" s="14" t="str">
        <f t="shared" si="9"/>
        <v/>
      </c>
      <c r="J114" s="14" t="str">
        <f t="shared" si="10"/>
        <v/>
      </c>
      <c r="K114" s="15" t="str">
        <f t="shared" si="11"/>
        <v/>
      </c>
    </row>
    <row r="115" spans="1:11">
      <c r="A115" s="7" t="str">
        <f>IF(子基金及业绩基准周净值!A153="","",子基金及业绩基准周净值!A153)</f>
        <v/>
      </c>
      <c r="B115" s="1" t="str">
        <f>IF(A115="","",VLOOKUP($A115,子基金及业绩基准周净值!$A:$AV,17))</f>
        <v/>
      </c>
      <c r="C115" s="25"/>
      <c r="D115" s="8" t="str">
        <f t="shared" si="8"/>
        <v/>
      </c>
      <c r="E115" s="9" t="str">
        <f>IF(A115="","",D115-子基金及业绩基准周净值!AI153)</f>
        <v/>
      </c>
      <c r="F115" s="12" t="str">
        <f>IF(A115="","",(MAX(C$3:C115)-C115)/MAX(C$3:C115))</f>
        <v/>
      </c>
      <c r="G115" s="12" t="str">
        <f>IF(A115="","",MAX(F$4:F115))</f>
        <v/>
      </c>
      <c r="H115" s="13"/>
      <c r="I115" s="14" t="str">
        <f t="shared" si="9"/>
        <v/>
      </c>
      <c r="J115" s="14" t="str">
        <f t="shared" si="10"/>
        <v/>
      </c>
      <c r="K115" s="15" t="str">
        <f t="shared" si="11"/>
        <v/>
      </c>
    </row>
    <row r="116" spans="1:11">
      <c r="A116" s="7" t="str">
        <f>IF(子基金及业绩基准周净值!A154="","",子基金及业绩基准周净值!A154)</f>
        <v/>
      </c>
      <c r="B116" s="1" t="str">
        <f>IF(A116="","",VLOOKUP($A116,子基金及业绩基准周净值!$A:$AV,17))</f>
        <v/>
      </c>
      <c r="C116" s="25"/>
      <c r="D116" s="8" t="str">
        <f t="shared" si="8"/>
        <v/>
      </c>
      <c r="E116" s="9" t="str">
        <f>IF(A116="","",D116-子基金及业绩基准周净值!AI154)</f>
        <v/>
      </c>
      <c r="F116" s="12" t="str">
        <f>IF(A116="","",(MAX(C$3:C116)-C116)/MAX(C$3:C116))</f>
        <v/>
      </c>
      <c r="G116" s="12" t="str">
        <f>IF(A116="","",MAX(F$4:F116))</f>
        <v/>
      </c>
      <c r="H116" s="13"/>
      <c r="I116" s="14" t="str">
        <f t="shared" si="9"/>
        <v/>
      </c>
      <c r="J116" s="14" t="str">
        <f t="shared" si="10"/>
        <v/>
      </c>
      <c r="K116" s="15" t="str">
        <f t="shared" si="11"/>
        <v/>
      </c>
    </row>
    <row r="117" spans="1:11">
      <c r="A117" s="7" t="str">
        <f>IF(子基金及业绩基准周净值!A155="","",子基金及业绩基准周净值!A155)</f>
        <v/>
      </c>
      <c r="B117" s="1" t="str">
        <f>IF(A117="","",VLOOKUP($A117,子基金及业绩基准周净值!$A:$AV,17))</f>
        <v/>
      </c>
      <c r="C117" s="25"/>
      <c r="D117" s="8" t="str">
        <f t="shared" si="8"/>
        <v/>
      </c>
      <c r="E117" s="9" t="str">
        <f>IF(A117="","",D117-子基金及业绩基准周净值!AI155)</f>
        <v/>
      </c>
      <c r="F117" s="12" t="str">
        <f>IF(A117="","",(MAX(C$3:C117)-C117)/MAX(C$3:C117))</f>
        <v/>
      </c>
      <c r="G117" s="12" t="str">
        <f>IF(A117="","",MAX(F$4:F117))</f>
        <v/>
      </c>
      <c r="H117" s="13"/>
      <c r="I117" s="14" t="str">
        <f t="shared" si="9"/>
        <v/>
      </c>
      <c r="J117" s="14" t="str">
        <f t="shared" si="10"/>
        <v/>
      </c>
      <c r="K117" s="15" t="str">
        <f t="shared" si="11"/>
        <v/>
      </c>
    </row>
    <row r="118" spans="1:11">
      <c r="A118" s="7" t="str">
        <f>IF(子基金及业绩基准周净值!A156="","",子基金及业绩基准周净值!A156)</f>
        <v/>
      </c>
      <c r="B118" s="1" t="str">
        <f>IF(A118="","",VLOOKUP($A118,子基金及业绩基准周净值!$A:$AV,17))</f>
        <v/>
      </c>
      <c r="C118" s="25"/>
      <c r="D118" s="8" t="str">
        <f t="shared" si="8"/>
        <v/>
      </c>
      <c r="E118" s="9" t="str">
        <f>IF(A118="","",D118-子基金及业绩基准周净值!AI156)</f>
        <v/>
      </c>
      <c r="F118" s="12" t="str">
        <f>IF(A118="","",(MAX(C$3:C118)-C118)/MAX(C$3:C118))</f>
        <v/>
      </c>
      <c r="G118" s="12" t="str">
        <f>IF(A118="","",MAX(F$4:F118))</f>
        <v/>
      </c>
      <c r="H118" s="13"/>
      <c r="I118" s="14" t="str">
        <f t="shared" si="9"/>
        <v/>
      </c>
      <c r="J118" s="14" t="str">
        <f t="shared" si="10"/>
        <v/>
      </c>
      <c r="K118" s="15" t="str">
        <f t="shared" si="11"/>
        <v/>
      </c>
    </row>
    <row r="119" spans="1:11">
      <c r="A119" s="7" t="str">
        <f>IF(子基金及业绩基准周净值!A157="","",子基金及业绩基准周净值!A157)</f>
        <v/>
      </c>
      <c r="B119" s="1" t="str">
        <f>IF(A119="","",VLOOKUP($A119,子基金及业绩基准周净值!$A:$AV,17))</f>
        <v/>
      </c>
      <c r="C119" s="25"/>
      <c r="D119" s="8" t="str">
        <f t="shared" si="8"/>
        <v/>
      </c>
      <c r="E119" s="9" t="str">
        <f>IF(A119="","",D119-子基金及业绩基准周净值!AI157)</f>
        <v/>
      </c>
      <c r="F119" s="12" t="str">
        <f>IF(A119="","",(MAX(C$3:C119)-C119)/MAX(C$3:C119))</f>
        <v/>
      </c>
      <c r="G119" s="12" t="str">
        <f>IF(A119="","",MAX(F$4:F119))</f>
        <v/>
      </c>
      <c r="H119" s="13"/>
      <c r="I119" s="14" t="str">
        <f t="shared" si="9"/>
        <v/>
      </c>
      <c r="J119" s="14" t="str">
        <f t="shared" si="10"/>
        <v/>
      </c>
      <c r="K119" s="15" t="str">
        <f t="shared" si="11"/>
        <v/>
      </c>
    </row>
    <row r="120" spans="1:11">
      <c r="A120" s="7" t="str">
        <f>IF(子基金及业绩基准周净值!A158="","",子基金及业绩基准周净值!A158)</f>
        <v/>
      </c>
      <c r="B120" s="1" t="str">
        <f>IF(A120="","",VLOOKUP($A120,子基金及业绩基准周净值!$A:$AV,17))</f>
        <v/>
      </c>
      <c r="C120" s="25"/>
      <c r="D120" s="8" t="str">
        <f t="shared" si="8"/>
        <v/>
      </c>
      <c r="E120" s="9" t="str">
        <f>IF(A120="","",D120-子基金及业绩基准周净值!AI158)</f>
        <v/>
      </c>
      <c r="F120" s="12" t="str">
        <f>IF(A120="","",(MAX(C$3:C120)-C120)/MAX(C$3:C120))</f>
        <v/>
      </c>
      <c r="G120" s="12" t="str">
        <f>IF(A120="","",MAX(F$4:F120))</f>
        <v/>
      </c>
      <c r="H120" s="13"/>
      <c r="I120" s="14" t="str">
        <f t="shared" si="9"/>
        <v/>
      </c>
      <c r="J120" s="14" t="str">
        <f t="shared" si="10"/>
        <v/>
      </c>
      <c r="K120" s="15" t="str">
        <f t="shared" si="11"/>
        <v/>
      </c>
    </row>
    <row r="121" spans="1:11">
      <c r="A121" s="7" t="str">
        <f>IF(子基金及业绩基准周净值!A159="","",子基金及业绩基准周净值!A159)</f>
        <v/>
      </c>
      <c r="B121" s="1" t="str">
        <f>IF(A121="","",VLOOKUP($A121,子基金及业绩基准周净值!$A:$AV,17))</f>
        <v/>
      </c>
      <c r="C121" s="25"/>
      <c r="D121" s="8" t="str">
        <f t="shared" si="8"/>
        <v/>
      </c>
      <c r="E121" s="9" t="str">
        <f>IF(A121="","",D121-子基金及业绩基准周净值!AI159)</f>
        <v/>
      </c>
      <c r="F121" s="12" t="str">
        <f>IF(A121="","",(MAX(C$3:C121)-C121)/MAX(C$3:C121))</f>
        <v/>
      </c>
      <c r="G121" s="12" t="str">
        <f>IF(A121="","",MAX(F$4:F121))</f>
        <v/>
      </c>
      <c r="H121" s="13"/>
      <c r="I121" s="14" t="str">
        <f t="shared" si="9"/>
        <v/>
      </c>
      <c r="J121" s="14" t="str">
        <f t="shared" si="10"/>
        <v/>
      </c>
      <c r="K121" s="15" t="str">
        <f t="shared" si="11"/>
        <v/>
      </c>
    </row>
    <row r="122" spans="1:11">
      <c r="A122" s="7" t="str">
        <f>IF(子基金及业绩基准周净值!A160="","",子基金及业绩基准周净值!A160)</f>
        <v/>
      </c>
      <c r="B122" s="1" t="str">
        <f>IF(A122="","",VLOOKUP($A122,子基金及业绩基准周净值!$A:$AV,17))</f>
        <v/>
      </c>
      <c r="C122" s="25"/>
      <c r="D122" s="8" t="str">
        <f t="shared" si="8"/>
        <v/>
      </c>
      <c r="E122" s="9" t="str">
        <f>IF(A122="","",D122-子基金及业绩基准周净值!AI160)</f>
        <v/>
      </c>
      <c r="F122" s="12" t="str">
        <f>IF(A122="","",(MAX(C$3:C122)-C122)/MAX(C$3:C122))</f>
        <v/>
      </c>
      <c r="G122" s="12" t="str">
        <f>IF(A122="","",MAX(F$4:F122))</f>
        <v/>
      </c>
      <c r="H122" s="13"/>
      <c r="I122" s="14" t="str">
        <f t="shared" si="9"/>
        <v/>
      </c>
      <c r="J122" s="14" t="str">
        <f t="shared" si="10"/>
        <v/>
      </c>
      <c r="K122" s="15" t="str">
        <f t="shared" si="11"/>
        <v/>
      </c>
    </row>
    <row r="123" spans="1:11">
      <c r="A123" s="7" t="str">
        <f>IF(子基金及业绩基准周净值!A161="","",子基金及业绩基准周净值!A161)</f>
        <v/>
      </c>
      <c r="B123" s="1" t="str">
        <f>IF(A123="","",VLOOKUP($A123,子基金及业绩基准周净值!$A:$AV,17))</f>
        <v/>
      </c>
      <c r="C123" s="25"/>
      <c r="D123" s="8" t="str">
        <f t="shared" si="8"/>
        <v/>
      </c>
      <c r="E123" s="9" t="str">
        <f>IF(A123="","",D123-子基金及业绩基准周净值!AI161)</f>
        <v/>
      </c>
      <c r="F123" s="12" t="str">
        <f>IF(A123="","",(MAX(C$3:C123)-C123)/MAX(C$3:C123))</f>
        <v/>
      </c>
      <c r="G123" s="12" t="str">
        <f>IF(A123="","",MAX(F$4:F123))</f>
        <v/>
      </c>
      <c r="H123" s="13"/>
      <c r="I123" s="14" t="str">
        <f t="shared" si="9"/>
        <v/>
      </c>
      <c r="J123" s="14" t="str">
        <f t="shared" si="10"/>
        <v/>
      </c>
      <c r="K123" s="15" t="str">
        <f t="shared" si="11"/>
        <v/>
      </c>
    </row>
    <row r="124" spans="1:11">
      <c r="A124" s="7" t="str">
        <f>IF(子基金及业绩基准周净值!A162="","",子基金及业绩基准周净值!A162)</f>
        <v/>
      </c>
      <c r="B124" s="1" t="str">
        <f>IF(A124="","",VLOOKUP($A124,子基金及业绩基准周净值!$A:$AV,17))</f>
        <v/>
      </c>
      <c r="C124" s="25"/>
      <c r="D124" s="8" t="str">
        <f t="shared" si="8"/>
        <v/>
      </c>
      <c r="E124" s="9" t="str">
        <f>IF(A124="","",D124-子基金及业绩基准周净值!AI162)</f>
        <v/>
      </c>
      <c r="F124" s="12" t="str">
        <f>IF(A124="","",(MAX(C$3:C124)-C124)/MAX(C$3:C124))</f>
        <v/>
      </c>
      <c r="G124" s="12" t="str">
        <f>IF(A124="","",MAX(F$4:F124))</f>
        <v/>
      </c>
      <c r="H124" s="13"/>
      <c r="I124" s="14" t="str">
        <f t="shared" si="9"/>
        <v/>
      </c>
      <c r="J124" s="14" t="str">
        <f t="shared" si="10"/>
        <v/>
      </c>
      <c r="K124" s="15" t="str">
        <f t="shared" si="11"/>
        <v/>
      </c>
    </row>
    <row r="125" spans="1:11">
      <c r="A125" s="7" t="str">
        <f>IF(子基金及业绩基准周净值!A163="","",子基金及业绩基准周净值!A163)</f>
        <v/>
      </c>
      <c r="B125" s="1" t="str">
        <f>IF(A125="","",VLOOKUP($A125,子基金及业绩基准周净值!$A:$AV,17))</f>
        <v/>
      </c>
      <c r="C125" s="25"/>
      <c r="D125" s="8" t="str">
        <f t="shared" si="8"/>
        <v/>
      </c>
      <c r="E125" s="9" t="str">
        <f>IF(A125="","",D125-子基金及业绩基准周净值!AI163)</f>
        <v/>
      </c>
      <c r="F125" s="12" t="str">
        <f>IF(A125="","",(MAX(C$3:C125)-C125)/MAX(C$3:C125))</f>
        <v/>
      </c>
      <c r="G125" s="12" t="str">
        <f>IF(A125="","",MAX(F$4:F125))</f>
        <v/>
      </c>
      <c r="H125" s="13"/>
      <c r="I125" s="14" t="str">
        <f t="shared" si="9"/>
        <v/>
      </c>
      <c r="J125" s="14" t="str">
        <f t="shared" si="10"/>
        <v/>
      </c>
      <c r="K125" s="15" t="str">
        <f t="shared" si="11"/>
        <v/>
      </c>
    </row>
    <row r="126" spans="1:11">
      <c r="A126" s="7" t="str">
        <f>IF(子基金及业绩基准周净值!A164="","",子基金及业绩基准周净值!A164)</f>
        <v/>
      </c>
      <c r="B126" s="1" t="str">
        <f>IF(A126="","",VLOOKUP($A126,子基金及业绩基准周净值!$A:$AV,17))</f>
        <v/>
      </c>
      <c r="C126" s="25"/>
      <c r="D126" s="8" t="str">
        <f t="shared" si="8"/>
        <v/>
      </c>
      <c r="E126" s="9" t="str">
        <f>IF(A126="","",D126-子基金及业绩基准周净值!AI164)</f>
        <v/>
      </c>
      <c r="F126" s="12" t="str">
        <f>IF(A126="","",(MAX(C$3:C126)-C126)/MAX(C$3:C126))</f>
        <v/>
      </c>
      <c r="G126" s="12" t="str">
        <f>IF(A126="","",MAX(F$4:F126))</f>
        <v/>
      </c>
      <c r="H126" s="13"/>
      <c r="I126" s="14" t="str">
        <f t="shared" si="9"/>
        <v/>
      </c>
      <c r="J126" s="14" t="str">
        <f t="shared" si="10"/>
        <v/>
      </c>
      <c r="K126" s="15" t="str">
        <f t="shared" si="11"/>
        <v/>
      </c>
    </row>
    <row r="127" spans="1:11">
      <c r="A127" s="7" t="str">
        <f>IF(子基金及业绩基准周净值!A165="","",子基金及业绩基准周净值!A165)</f>
        <v/>
      </c>
      <c r="B127" s="1" t="str">
        <f>IF(A127="","",VLOOKUP($A127,子基金及业绩基准周净值!$A:$AV,17))</f>
        <v/>
      </c>
      <c r="C127" s="25"/>
      <c r="D127" s="8" t="str">
        <f t="shared" si="8"/>
        <v/>
      </c>
      <c r="E127" s="9" t="str">
        <f>IF(A127="","",D127-子基金及业绩基准周净值!AI165)</f>
        <v/>
      </c>
      <c r="F127" s="12" t="str">
        <f>IF(A127="","",(MAX(C$3:C127)-C127)/MAX(C$3:C127))</f>
        <v/>
      </c>
      <c r="G127" s="12" t="str">
        <f>IF(A127="","",MAX(F$4:F127))</f>
        <v/>
      </c>
      <c r="H127" s="13"/>
      <c r="I127" s="14" t="str">
        <f t="shared" si="9"/>
        <v/>
      </c>
      <c r="J127" s="14" t="str">
        <f t="shared" si="10"/>
        <v/>
      </c>
      <c r="K127" s="15" t="str">
        <f t="shared" si="11"/>
        <v/>
      </c>
    </row>
    <row r="128" spans="1:11">
      <c r="A128" s="7" t="str">
        <f>IF(子基金及业绩基准周净值!A166="","",子基金及业绩基准周净值!A166)</f>
        <v/>
      </c>
      <c r="B128" s="1" t="str">
        <f>IF(A128="","",VLOOKUP($A128,子基金及业绩基准周净值!$A:$AV,17))</f>
        <v/>
      </c>
      <c r="C128" s="25"/>
      <c r="D128" s="8" t="str">
        <f t="shared" si="8"/>
        <v/>
      </c>
      <c r="E128" s="9" t="str">
        <f>IF(A128="","",D128-子基金及业绩基准周净值!AI166)</f>
        <v/>
      </c>
      <c r="F128" s="12" t="str">
        <f>IF(A128="","",(MAX(C$3:C128)-C128)/MAX(C$3:C128))</f>
        <v/>
      </c>
      <c r="G128" s="12" t="str">
        <f>IF(A128="","",MAX(F$4:F128))</f>
        <v/>
      </c>
      <c r="H128" s="13"/>
      <c r="I128" s="14" t="str">
        <f t="shared" si="9"/>
        <v/>
      </c>
      <c r="J128" s="14" t="str">
        <f t="shared" si="10"/>
        <v/>
      </c>
      <c r="K128" s="15" t="str">
        <f t="shared" si="11"/>
        <v/>
      </c>
    </row>
    <row r="129" spans="1:11">
      <c r="A129" s="7" t="str">
        <f>IF(子基金及业绩基准周净值!A167="","",子基金及业绩基准周净值!A167)</f>
        <v/>
      </c>
      <c r="B129" s="1" t="str">
        <f>IF(A129="","",VLOOKUP($A129,子基金及业绩基准周净值!$A:$AV,17))</f>
        <v/>
      </c>
      <c r="C129" s="25"/>
      <c r="D129" s="8" t="str">
        <f t="shared" si="8"/>
        <v/>
      </c>
      <c r="E129" s="9" t="str">
        <f>IF(A129="","",D129-子基金及业绩基准周净值!AI167)</f>
        <v/>
      </c>
      <c r="F129" s="12" t="str">
        <f>IF(A129="","",(MAX(C$3:C129)-C129)/MAX(C$3:C129))</f>
        <v/>
      </c>
      <c r="G129" s="12" t="str">
        <f>IF(A129="","",MAX(F$4:F129))</f>
        <v/>
      </c>
      <c r="H129" s="13"/>
      <c r="I129" s="14" t="str">
        <f t="shared" si="9"/>
        <v/>
      </c>
      <c r="J129" s="14" t="str">
        <f t="shared" si="10"/>
        <v/>
      </c>
      <c r="K129" s="15" t="str">
        <f t="shared" si="11"/>
        <v/>
      </c>
    </row>
    <row r="130" spans="1:11">
      <c r="A130" s="7" t="str">
        <f>IF(子基金及业绩基准周净值!A168="","",子基金及业绩基准周净值!A168)</f>
        <v/>
      </c>
      <c r="B130" s="1" t="str">
        <f>IF(A130="","",VLOOKUP($A130,子基金及业绩基准周净值!$A:$AV,17))</f>
        <v/>
      </c>
      <c r="C130" s="25"/>
      <c r="D130" s="8" t="str">
        <f t="shared" si="8"/>
        <v/>
      </c>
      <c r="E130" s="9" t="str">
        <f>IF(A130="","",D130-子基金及业绩基准周净值!AI168)</f>
        <v/>
      </c>
      <c r="F130" s="12" t="str">
        <f>IF(A130="","",(MAX(C$3:C130)-C130)/MAX(C$3:C130))</f>
        <v/>
      </c>
      <c r="G130" s="12" t="str">
        <f>IF(A130="","",MAX(F$4:F130))</f>
        <v/>
      </c>
      <c r="H130" s="13"/>
      <c r="I130" s="14" t="str">
        <f t="shared" si="9"/>
        <v/>
      </c>
      <c r="J130" s="14" t="str">
        <f t="shared" si="10"/>
        <v/>
      </c>
      <c r="K130" s="15" t="str">
        <f t="shared" si="11"/>
        <v/>
      </c>
    </row>
    <row r="131" spans="1:11">
      <c r="A131" s="7" t="str">
        <f>IF(子基金及业绩基准周净值!A169="","",子基金及业绩基准周净值!A169)</f>
        <v/>
      </c>
      <c r="B131" s="1" t="str">
        <f>IF(A131="","",VLOOKUP($A131,子基金及业绩基准周净值!$A:$AV,17))</f>
        <v/>
      </c>
      <c r="C131" s="25"/>
      <c r="D131" s="8" t="str">
        <f t="shared" si="8"/>
        <v/>
      </c>
      <c r="E131" s="9" t="str">
        <f>IF(A131="","",D131-子基金及业绩基准周净值!AI169)</f>
        <v/>
      </c>
      <c r="F131" s="12" t="str">
        <f>IF(A131="","",(MAX(C$3:C131)-C131)/MAX(C$3:C131))</f>
        <v/>
      </c>
      <c r="G131" s="12" t="str">
        <f>IF(A131="","",MAX(F$4:F131))</f>
        <v/>
      </c>
      <c r="H131" s="13"/>
      <c r="I131" s="14" t="str">
        <f t="shared" si="9"/>
        <v/>
      </c>
      <c r="J131" s="14" t="str">
        <f t="shared" si="10"/>
        <v/>
      </c>
      <c r="K131" s="15" t="str">
        <f t="shared" si="11"/>
        <v/>
      </c>
    </row>
    <row r="132" spans="1:11">
      <c r="A132" s="7" t="str">
        <f>IF(子基金及业绩基准周净值!A170="","",子基金及业绩基准周净值!A170)</f>
        <v/>
      </c>
      <c r="B132" s="1" t="str">
        <f>IF(A132="","",VLOOKUP($A132,子基金及业绩基准周净值!$A:$AV,17))</f>
        <v/>
      </c>
      <c r="C132" s="25"/>
      <c r="D132" s="8" t="str">
        <f t="shared" si="8"/>
        <v/>
      </c>
      <c r="E132" s="9" t="str">
        <f>IF(A132="","",D132-子基金及业绩基准周净值!AI170)</f>
        <v/>
      </c>
      <c r="F132" s="12" t="str">
        <f>IF(A132="","",(MAX(C$3:C132)-C132)/MAX(C$3:C132))</f>
        <v/>
      </c>
      <c r="G132" s="12" t="str">
        <f>IF(A132="","",MAX(F$4:F132))</f>
        <v/>
      </c>
      <c r="H132" s="13"/>
      <c r="I132" s="14" t="str">
        <f t="shared" si="9"/>
        <v/>
      </c>
      <c r="J132" s="14" t="str">
        <f t="shared" si="10"/>
        <v/>
      </c>
      <c r="K132" s="15" t="str">
        <f t="shared" si="11"/>
        <v/>
      </c>
    </row>
    <row r="133" spans="1:11">
      <c r="A133" s="7" t="str">
        <f>IF(子基金及业绩基准周净值!A171="","",子基金及业绩基准周净值!A171)</f>
        <v/>
      </c>
      <c r="B133" s="1" t="str">
        <f>IF(A133="","",VLOOKUP($A133,子基金及业绩基准周净值!$A:$AV,17))</f>
        <v/>
      </c>
      <c r="C133" s="25"/>
      <c r="D133" s="8" t="str">
        <f t="shared" ref="D133:D196" si="12">IF(A133="","",(B133-B132)/B132)</f>
        <v/>
      </c>
      <c r="E133" s="9" t="str">
        <f>IF(A133="","",D133-子基金及业绩基准周净值!AI171)</f>
        <v/>
      </c>
      <c r="F133" s="12" t="str">
        <f>IF(A133="","",(MAX(C$3:C133)-C133)/MAX(C$3:C133))</f>
        <v/>
      </c>
      <c r="G133" s="12" t="str">
        <f>IF(A133="","",MAX(F$4:F133))</f>
        <v/>
      </c>
      <c r="H133" s="13"/>
      <c r="I133" s="14" t="str">
        <f t="shared" ref="I133:I196" si="13">IF(B133="","",IF(D133&lt;-3%,"是","否"))</f>
        <v/>
      </c>
      <c r="J133" s="14" t="str">
        <f t="shared" ref="J133:J196" si="14">IF(A133="","",IF(G133&gt;5%,"是","否"))</f>
        <v/>
      </c>
      <c r="K133" s="15" t="str">
        <f t="shared" ref="K133:K196" si="15">IF(A133="","",IF(H133&gt;=4,"是","否"))</f>
        <v/>
      </c>
    </row>
    <row r="134" spans="1:11">
      <c r="A134" s="7" t="str">
        <f>IF(子基金及业绩基准周净值!A172="","",子基金及业绩基准周净值!A172)</f>
        <v/>
      </c>
      <c r="B134" s="1" t="str">
        <f>IF(A134="","",VLOOKUP($A134,子基金及业绩基准周净值!$A:$AV,17))</f>
        <v/>
      </c>
      <c r="C134" s="25"/>
      <c r="D134" s="8" t="str">
        <f t="shared" si="12"/>
        <v/>
      </c>
      <c r="E134" s="9" t="str">
        <f>IF(A134="","",D134-子基金及业绩基准周净值!AI172)</f>
        <v/>
      </c>
      <c r="F134" s="12" t="str">
        <f>IF(A134="","",(MAX(C$3:C134)-C134)/MAX(C$3:C134))</f>
        <v/>
      </c>
      <c r="G134" s="12" t="str">
        <f>IF(A134="","",MAX(F$4:F134))</f>
        <v/>
      </c>
      <c r="H134" s="13"/>
      <c r="I134" s="14" t="str">
        <f t="shared" si="13"/>
        <v/>
      </c>
      <c r="J134" s="14" t="str">
        <f t="shared" si="14"/>
        <v/>
      </c>
      <c r="K134" s="15" t="str">
        <f t="shared" si="15"/>
        <v/>
      </c>
    </row>
    <row r="135" spans="1:11">
      <c r="A135" s="7" t="str">
        <f>IF(子基金及业绩基准周净值!A173="","",子基金及业绩基准周净值!A173)</f>
        <v/>
      </c>
      <c r="B135" s="1" t="str">
        <f>IF(A135="","",VLOOKUP($A135,子基金及业绩基准周净值!$A:$AV,17))</f>
        <v/>
      </c>
      <c r="C135" s="25"/>
      <c r="D135" s="8" t="str">
        <f t="shared" si="12"/>
        <v/>
      </c>
      <c r="E135" s="9" t="str">
        <f>IF(A135="","",D135-子基金及业绩基准周净值!AI173)</f>
        <v/>
      </c>
      <c r="F135" s="12" t="str">
        <f>IF(A135="","",(MAX(C$3:C135)-C135)/MAX(C$3:C135))</f>
        <v/>
      </c>
      <c r="G135" s="12" t="str">
        <f>IF(A135="","",MAX(F$4:F135))</f>
        <v/>
      </c>
      <c r="H135" s="13"/>
      <c r="I135" s="14" t="str">
        <f t="shared" si="13"/>
        <v/>
      </c>
      <c r="J135" s="14" t="str">
        <f t="shared" si="14"/>
        <v/>
      </c>
      <c r="K135" s="15" t="str">
        <f t="shared" si="15"/>
        <v/>
      </c>
    </row>
    <row r="136" spans="1:11">
      <c r="A136" s="7" t="str">
        <f>IF(子基金及业绩基准周净值!A174="","",子基金及业绩基准周净值!A174)</f>
        <v/>
      </c>
      <c r="B136" s="1" t="str">
        <f>IF(A136="","",VLOOKUP($A136,子基金及业绩基准周净值!$A:$AV,17))</f>
        <v/>
      </c>
      <c r="C136" s="25"/>
      <c r="D136" s="8" t="str">
        <f t="shared" si="12"/>
        <v/>
      </c>
      <c r="E136" s="9" t="str">
        <f>IF(A136="","",D136-子基金及业绩基准周净值!AI174)</f>
        <v/>
      </c>
      <c r="F136" s="12" t="str">
        <f>IF(A136="","",(MAX(C$3:C136)-C136)/MAX(C$3:C136))</f>
        <v/>
      </c>
      <c r="G136" s="12" t="str">
        <f>IF(A136="","",MAX(F$4:F136))</f>
        <v/>
      </c>
      <c r="H136" s="13"/>
      <c r="I136" s="14" t="str">
        <f t="shared" si="13"/>
        <v/>
      </c>
      <c r="J136" s="14" t="str">
        <f t="shared" si="14"/>
        <v/>
      </c>
      <c r="K136" s="15" t="str">
        <f t="shared" si="15"/>
        <v/>
      </c>
    </row>
    <row r="137" spans="1:11">
      <c r="A137" s="7" t="str">
        <f>IF(子基金及业绩基准周净值!A175="","",子基金及业绩基准周净值!A175)</f>
        <v/>
      </c>
      <c r="B137" s="1" t="str">
        <f>IF(A137="","",VLOOKUP($A137,子基金及业绩基准周净值!$A:$AV,17))</f>
        <v/>
      </c>
      <c r="C137" s="25"/>
      <c r="D137" s="8" t="str">
        <f t="shared" si="12"/>
        <v/>
      </c>
      <c r="E137" s="9" t="str">
        <f>IF(A137="","",D137-子基金及业绩基准周净值!AI175)</f>
        <v/>
      </c>
      <c r="F137" s="12" t="str">
        <f>IF(A137="","",(MAX(C$3:C137)-C137)/MAX(C$3:C137))</f>
        <v/>
      </c>
      <c r="G137" s="12" t="str">
        <f>IF(A137="","",MAX(F$4:F137))</f>
        <v/>
      </c>
      <c r="H137" s="13"/>
      <c r="I137" s="14" t="str">
        <f t="shared" si="13"/>
        <v/>
      </c>
      <c r="J137" s="14" t="str">
        <f t="shared" si="14"/>
        <v/>
      </c>
      <c r="K137" s="15" t="str">
        <f t="shared" si="15"/>
        <v/>
      </c>
    </row>
    <row r="138" spans="1:11">
      <c r="A138" s="7" t="str">
        <f>IF(子基金及业绩基准周净值!A176="","",子基金及业绩基准周净值!A176)</f>
        <v/>
      </c>
      <c r="B138" s="1" t="str">
        <f>IF(A138="","",VLOOKUP($A138,子基金及业绩基准周净值!$A:$AV,17))</f>
        <v/>
      </c>
      <c r="C138" s="25"/>
      <c r="D138" s="8" t="str">
        <f t="shared" si="12"/>
        <v/>
      </c>
      <c r="E138" s="9" t="str">
        <f>IF(A138="","",D138-子基金及业绩基准周净值!AI176)</f>
        <v/>
      </c>
      <c r="F138" s="12" t="str">
        <f>IF(A138="","",(MAX(C$3:C138)-C138)/MAX(C$3:C138))</f>
        <v/>
      </c>
      <c r="G138" s="12" t="str">
        <f>IF(A138="","",MAX(F$4:F138))</f>
        <v/>
      </c>
      <c r="H138" s="13"/>
      <c r="I138" s="14" t="str">
        <f t="shared" si="13"/>
        <v/>
      </c>
      <c r="J138" s="14" t="str">
        <f t="shared" si="14"/>
        <v/>
      </c>
      <c r="K138" s="15" t="str">
        <f t="shared" si="15"/>
        <v/>
      </c>
    </row>
    <row r="139" spans="1:11">
      <c r="A139" s="7" t="str">
        <f>IF(子基金及业绩基准周净值!A177="","",子基金及业绩基准周净值!A177)</f>
        <v/>
      </c>
      <c r="B139" s="1" t="str">
        <f>IF(A139="","",VLOOKUP($A139,子基金及业绩基准周净值!$A:$AV,17))</f>
        <v/>
      </c>
      <c r="C139" s="25"/>
      <c r="D139" s="8" t="str">
        <f t="shared" si="12"/>
        <v/>
      </c>
      <c r="E139" s="9" t="str">
        <f>IF(A139="","",D139-子基金及业绩基准周净值!AI177)</f>
        <v/>
      </c>
      <c r="F139" s="12" t="str">
        <f>IF(A139="","",(MAX(C$3:C139)-C139)/MAX(C$3:C139))</f>
        <v/>
      </c>
      <c r="G139" s="12" t="str">
        <f>IF(A139="","",MAX(F$4:F139))</f>
        <v/>
      </c>
      <c r="H139" s="13"/>
      <c r="I139" s="14" t="str">
        <f t="shared" si="13"/>
        <v/>
      </c>
      <c r="J139" s="14" t="str">
        <f t="shared" si="14"/>
        <v/>
      </c>
      <c r="K139" s="15" t="str">
        <f t="shared" si="15"/>
        <v/>
      </c>
    </row>
    <row r="140" spans="1:11">
      <c r="A140" s="7" t="str">
        <f>IF(子基金及业绩基准周净值!A178="","",子基金及业绩基准周净值!A178)</f>
        <v/>
      </c>
      <c r="B140" s="1" t="str">
        <f>IF(A140="","",VLOOKUP($A140,子基金及业绩基准周净值!$A:$AV,17))</f>
        <v/>
      </c>
      <c r="C140" s="25"/>
      <c r="D140" s="8" t="str">
        <f t="shared" si="12"/>
        <v/>
      </c>
      <c r="E140" s="9" t="str">
        <f>IF(A140="","",D140-子基金及业绩基准周净值!AI178)</f>
        <v/>
      </c>
      <c r="F140" s="12" t="str">
        <f>IF(A140="","",(MAX(C$3:C140)-C140)/MAX(C$3:C140))</f>
        <v/>
      </c>
      <c r="G140" s="12" t="str">
        <f>IF(A140="","",MAX(F$4:F140))</f>
        <v/>
      </c>
      <c r="H140" s="13"/>
      <c r="I140" s="14" t="str">
        <f t="shared" si="13"/>
        <v/>
      </c>
      <c r="J140" s="14" t="str">
        <f t="shared" si="14"/>
        <v/>
      </c>
      <c r="K140" s="15" t="str">
        <f t="shared" si="15"/>
        <v/>
      </c>
    </row>
    <row r="141" spans="1:11">
      <c r="A141" s="7" t="str">
        <f>IF(子基金及业绩基准周净值!A179="","",子基金及业绩基准周净值!A179)</f>
        <v/>
      </c>
      <c r="B141" s="1" t="str">
        <f>IF(A141="","",VLOOKUP($A141,子基金及业绩基准周净值!$A:$AV,17))</f>
        <v/>
      </c>
      <c r="C141" s="25"/>
      <c r="D141" s="8" t="str">
        <f t="shared" si="12"/>
        <v/>
      </c>
      <c r="E141" s="9" t="str">
        <f>IF(A141="","",D141-子基金及业绩基准周净值!AI179)</f>
        <v/>
      </c>
      <c r="F141" s="12" t="str">
        <f>IF(A141="","",(MAX(C$3:C141)-C141)/MAX(C$3:C141))</f>
        <v/>
      </c>
      <c r="G141" s="12" t="str">
        <f>IF(A141="","",MAX(F$4:F141))</f>
        <v/>
      </c>
      <c r="H141" s="13"/>
      <c r="I141" s="14" t="str">
        <f t="shared" si="13"/>
        <v/>
      </c>
      <c r="J141" s="14" t="str">
        <f t="shared" si="14"/>
        <v/>
      </c>
      <c r="K141" s="15" t="str">
        <f t="shared" si="15"/>
        <v/>
      </c>
    </row>
    <row r="142" spans="1:11">
      <c r="A142" s="7" t="str">
        <f>IF(子基金及业绩基准周净值!A180="","",子基金及业绩基准周净值!A180)</f>
        <v/>
      </c>
      <c r="B142" s="1" t="str">
        <f>IF(A142="","",VLOOKUP($A142,子基金及业绩基准周净值!$A:$AV,17))</f>
        <v/>
      </c>
      <c r="C142" s="25"/>
      <c r="D142" s="8" t="str">
        <f t="shared" si="12"/>
        <v/>
      </c>
      <c r="E142" s="9" t="str">
        <f>IF(A142="","",D142-子基金及业绩基准周净值!AI180)</f>
        <v/>
      </c>
      <c r="F142" s="12" t="str">
        <f>IF(A142="","",(MAX(C$3:C142)-C142)/MAX(C$3:C142))</f>
        <v/>
      </c>
      <c r="G142" s="12" t="str">
        <f>IF(A142="","",MAX(F$4:F142))</f>
        <v/>
      </c>
      <c r="H142" s="13"/>
      <c r="I142" s="14" t="str">
        <f t="shared" si="13"/>
        <v/>
      </c>
      <c r="J142" s="14" t="str">
        <f t="shared" si="14"/>
        <v/>
      </c>
      <c r="K142" s="15" t="str">
        <f t="shared" si="15"/>
        <v/>
      </c>
    </row>
    <row r="143" spans="1:11">
      <c r="A143" s="7" t="str">
        <f>IF(子基金及业绩基准周净值!A181="","",子基金及业绩基准周净值!A181)</f>
        <v/>
      </c>
      <c r="B143" s="1" t="str">
        <f>IF(A143="","",VLOOKUP($A143,子基金及业绩基准周净值!$A:$AV,17))</f>
        <v/>
      </c>
      <c r="C143" s="25"/>
      <c r="D143" s="8" t="str">
        <f t="shared" si="12"/>
        <v/>
      </c>
      <c r="E143" s="9" t="str">
        <f>IF(A143="","",D143-子基金及业绩基准周净值!AI181)</f>
        <v/>
      </c>
      <c r="F143" s="12" t="str">
        <f>IF(A143="","",(MAX(C$3:C143)-C143)/MAX(C$3:C143))</f>
        <v/>
      </c>
      <c r="G143" s="12" t="str">
        <f>IF(A143="","",MAX(F$4:F143))</f>
        <v/>
      </c>
      <c r="H143" s="13"/>
      <c r="I143" s="14" t="str">
        <f t="shared" si="13"/>
        <v/>
      </c>
      <c r="J143" s="14" t="str">
        <f t="shared" si="14"/>
        <v/>
      </c>
      <c r="K143" s="15" t="str">
        <f t="shared" si="15"/>
        <v/>
      </c>
    </row>
    <row r="144" spans="1:11">
      <c r="A144" s="7" t="str">
        <f>IF(子基金及业绩基准周净值!A182="","",子基金及业绩基准周净值!A182)</f>
        <v/>
      </c>
      <c r="B144" s="1" t="str">
        <f>IF(A144="","",VLOOKUP($A144,子基金及业绩基准周净值!$A:$AV,17))</f>
        <v/>
      </c>
      <c r="C144" s="25"/>
      <c r="D144" s="8" t="str">
        <f t="shared" si="12"/>
        <v/>
      </c>
      <c r="E144" s="9" t="str">
        <f>IF(A144="","",D144-子基金及业绩基准周净值!AI182)</f>
        <v/>
      </c>
      <c r="F144" s="12" t="str">
        <f>IF(A144="","",(MAX(C$3:C144)-C144)/MAX(C$3:C144))</f>
        <v/>
      </c>
      <c r="G144" s="12" t="str">
        <f>IF(A144="","",MAX(F$4:F144))</f>
        <v/>
      </c>
      <c r="H144" s="13"/>
      <c r="I144" s="14" t="str">
        <f t="shared" si="13"/>
        <v/>
      </c>
      <c r="J144" s="14" t="str">
        <f t="shared" si="14"/>
        <v/>
      </c>
      <c r="K144" s="15" t="str">
        <f t="shared" si="15"/>
        <v/>
      </c>
    </row>
    <row r="145" spans="1:11">
      <c r="A145" s="7" t="str">
        <f>IF(子基金及业绩基准周净值!A183="","",子基金及业绩基准周净值!A183)</f>
        <v/>
      </c>
      <c r="B145" s="1" t="str">
        <f>IF(A145="","",VLOOKUP($A145,子基金及业绩基准周净值!$A:$AV,17))</f>
        <v/>
      </c>
      <c r="C145" s="25"/>
      <c r="D145" s="8" t="str">
        <f t="shared" si="12"/>
        <v/>
      </c>
      <c r="E145" s="9" t="str">
        <f>IF(A145="","",D145-子基金及业绩基准周净值!AI183)</f>
        <v/>
      </c>
      <c r="F145" s="12" t="str">
        <f>IF(A145="","",(MAX(C$3:C145)-C145)/MAX(C$3:C145))</f>
        <v/>
      </c>
      <c r="G145" s="12" t="str">
        <f>IF(A145="","",MAX(F$4:F145))</f>
        <v/>
      </c>
      <c r="H145" s="13"/>
      <c r="I145" s="14" t="str">
        <f t="shared" si="13"/>
        <v/>
      </c>
      <c r="J145" s="14" t="str">
        <f t="shared" si="14"/>
        <v/>
      </c>
      <c r="K145" s="15" t="str">
        <f t="shared" si="15"/>
        <v/>
      </c>
    </row>
    <row r="146" spans="1:11">
      <c r="A146" s="7" t="str">
        <f>IF(子基金及业绩基准周净值!A184="","",子基金及业绩基准周净值!A184)</f>
        <v/>
      </c>
      <c r="B146" s="1" t="str">
        <f>IF(A146="","",VLOOKUP($A146,子基金及业绩基准周净值!$A:$AV,17))</f>
        <v/>
      </c>
      <c r="C146" s="25"/>
      <c r="D146" s="8" t="str">
        <f t="shared" si="12"/>
        <v/>
      </c>
      <c r="E146" s="9" t="str">
        <f>IF(A146="","",D146-子基金及业绩基准周净值!AI184)</f>
        <v/>
      </c>
      <c r="F146" s="12" t="str">
        <f>IF(A146="","",(MAX(C$3:C146)-C146)/MAX(C$3:C146))</f>
        <v/>
      </c>
      <c r="G146" s="12" t="str">
        <f>IF(A146="","",MAX(F$4:F146))</f>
        <v/>
      </c>
      <c r="H146" s="13"/>
      <c r="I146" s="14" t="str">
        <f t="shared" si="13"/>
        <v/>
      </c>
      <c r="J146" s="14" t="str">
        <f t="shared" si="14"/>
        <v/>
      </c>
      <c r="K146" s="15" t="str">
        <f t="shared" si="15"/>
        <v/>
      </c>
    </row>
    <row r="147" spans="1:11">
      <c r="A147" s="7" t="str">
        <f>IF(子基金及业绩基准周净值!A185="","",子基金及业绩基准周净值!A185)</f>
        <v/>
      </c>
      <c r="B147" s="1" t="str">
        <f>IF(A147="","",VLOOKUP($A147,子基金及业绩基准周净值!$A:$AV,17))</f>
        <v/>
      </c>
      <c r="C147" s="25"/>
      <c r="D147" s="8" t="str">
        <f t="shared" si="12"/>
        <v/>
      </c>
      <c r="E147" s="9" t="str">
        <f>IF(A147="","",D147-子基金及业绩基准周净值!AI185)</f>
        <v/>
      </c>
      <c r="F147" s="12" t="str">
        <f>IF(A147="","",(MAX(C$3:C147)-C147)/MAX(C$3:C147))</f>
        <v/>
      </c>
      <c r="G147" s="12" t="str">
        <f>IF(A147="","",MAX(F$4:F147))</f>
        <v/>
      </c>
      <c r="H147" s="13"/>
      <c r="I147" s="14" t="str">
        <f t="shared" si="13"/>
        <v/>
      </c>
      <c r="J147" s="14" t="str">
        <f t="shared" si="14"/>
        <v/>
      </c>
      <c r="K147" s="15" t="str">
        <f t="shared" si="15"/>
        <v/>
      </c>
    </row>
    <row r="148" spans="1:11">
      <c r="A148" s="7" t="str">
        <f>IF(子基金及业绩基准周净值!A186="","",子基金及业绩基准周净值!A186)</f>
        <v/>
      </c>
      <c r="B148" s="1" t="str">
        <f>IF(A148="","",VLOOKUP($A148,子基金及业绩基准周净值!$A:$AV,17))</f>
        <v/>
      </c>
      <c r="C148" s="25"/>
      <c r="D148" s="8" t="str">
        <f t="shared" si="12"/>
        <v/>
      </c>
      <c r="E148" s="9" t="str">
        <f>IF(A148="","",D148-子基金及业绩基准周净值!AI186)</f>
        <v/>
      </c>
      <c r="F148" s="12" t="str">
        <f>IF(A148="","",(MAX(C$3:C148)-C148)/MAX(C$3:C148))</f>
        <v/>
      </c>
      <c r="G148" s="12" t="str">
        <f>IF(A148="","",MAX(F$4:F148))</f>
        <v/>
      </c>
      <c r="I148" s="14" t="str">
        <f t="shared" si="13"/>
        <v/>
      </c>
      <c r="J148" s="14" t="str">
        <f t="shared" si="14"/>
        <v/>
      </c>
      <c r="K148" s="15" t="str">
        <f t="shared" si="15"/>
        <v/>
      </c>
    </row>
    <row r="149" spans="1:11">
      <c r="A149" s="7" t="str">
        <f>IF(子基金及业绩基准周净值!A187="","",子基金及业绩基准周净值!A187)</f>
        <v/>
      </c>
      <c r="B149" s="1" t="str">
        <f>IF(A149="","",VLOOKUP($A149,子基金及业绩基准周净值!$A:$AV,17))</f>
        <v/>
      </c>
      <c r="C149" s="25"/>
      <c r="D149" s="8" t="str">
        <f t="shared" si="12"/>
        <v/>
      </c>
      <c r="E149" s="9" t="str">
        <f>IF(A149="","",D149-子基金及业绩基准周净值!AI187)</f>
        <v/>
      </c>
      <c r="F149" s="12" t="str">
        <f>IF(A149="","",(MAX(C$3:C149)-C149)/MAX(C$3:C149))</f>
        <v/>
      </c>
      <c r="G149" s="12" t="str">
        <f>IF(A149="","",MAX(F$4:F149))</f>
        <v/>
      </c>
      <c r="I149" s="14" t="str">
        <f t="shared" si="13"/>
        <v/>
      </c>
      <c r="J149" s="14" t="str">
        <f t="shared" si="14"/>
        <v/>
      </c>
      <c r="K149" s="15" t="str">
        <f t="shared" si="15"/>
        <v/>
      </c>
    </row>
    <row r="150" spans="1:11">
      <c r="A150" s="7" t="str">
        <f>IF(子基金及业绩基准周净值!A188="","",子基金及业绩基准周净值!A188)</f>
        <v/>
      </c>
      <c r="B150" s="1" t="str">
        <f>IF(A150="","",VLOOKUP($A150,子基金及业绩基准周净值!$A:$AV,17))</f>
        <v/>
      </c>
      <c r="C150" s="25"/>
      <c r="D150" s="8" t="str">
        <f t="shared" si="12"/>
        <v/>
      </c>
      <c r="E150" s="9" t="str">
        <f>IF(A150="","",D150-子基金及业绩基准周净值!AI188)</f>
        <v/>
      </c>
      <c r="F150" s="12" t="str">
        <f>IF(A150="","",(MAX(C$3:C150)-C150)/MAX(C$3:C150))</f>
        <v/>
      </c>
      <c r="G150" s="12" t="str">
        <f>IF(A150="","",MAX(F$4:F150))</f>
        <v/>
      </c>
      <c r="I150" s="14" t="str">
        <f t="shared" si="13"/>
        <v/>
      </c>
      <c r="J150" s="14" t="str">
        <f t="shared" si="14"/>
        <v/>
      </c>
      <c r="K150" s="15" t="str">
        <f t="shared" si="15"/>
        <v/>
      </c>
    </row>
    <row r="151" spans="1:11">
      <c r="A151" s="7" t="str">
        <f>IF(子基金及业绩基准周净值!A189="","",子基金及业绩基准周净值!A189)</f>
        <v/>
      </c>
      <c r="B151" s="1" t="str">
        <f>IF(A151="","",VLOOKUP($A151,子基金及业绩基准周净值!$A:$AV,17))</f>
        <v/>
      </c>
      <c r="C151" s="25"/>
      <c r="D151" s="8" t="str">
        <f t="shared" si="12"/>
        <v/>
      </c>
      <c r="E151" s="9" t="str">
        <f>IF(A151="","",D151-子基金及业绩基准周净值!AI189)</f>
        <v/>
      </c>
      <c r="F151" s="12" t="str">
        <f>IF(A151="","",(MAX(C$3:C151)-C151)/MAX(C$3:C151))</f>
        <v/>
      </c>
      <c r="G151" s="12" t="str">
        <f>IF(A151="","",MAX(F$4:F151))</f>
        <v/>
      </c>
      <c r="I151" s="14" t="str">
        <f t="shared" si="13"/>
        <v/>
      </c>
      <c r="J151" s="14" t="str">
        <f t="shared" si="14"/>
        <v/>
      </c>
      <c r="K151" s="15" t="str">
        <f t="shared" si="15"/>
        <v/>
      </c>
    </row>
    <row r="152" spans="1:11">
      <c r="A152" s="7" t="str">
        <f>IF(子基金及业绩基准周净值!A190="","",子基金及业绩基准周净值!A190)</f>
        <v/>
      </c>
      <c r="B152" s="1" t="str">
        <f>IF(A152="","",VLOOKUP($A152,子基金及业绩基准周净值!$A:$AV,17))</f>
        <v/>
      </c>
      <c r="C152" s="25"/>
      <c r="D152" s="8" t="str">
        <f t="shared" si="12"/>
        <v/>
      </c>
      <c r="E152" s="9" t="str">
        <f>IF(A152="","",D152-子基金及业绩基准周净值!AI190)</f>
        <v/>
      </c>
      <c r="F152" s="12" t="str">
        <f>IF(A152="","",(MAX(C$3:C152)-C152)/MAX(C$3:C152))</f>
        <v/>
      </c>
      <c r="G152" s="12" t="str">
        <f>IF(A152="","",MAX(F$4:F152))</f>
        <v/>
      </c>
      <c r="I152" s="14" t="str">
        <f t="shared" si="13"/>
        <v/>
      </c>
      <c r="J152" s="14" t="str">
        <f t="shared" si="14"/>
        <v/>
      </c>
      <c r="K152" s="15" t="str">
        <f t="shared" si="15"/>
        <v/>
      </c>
    </row>
    <row r="153" spans="1:11">
      <c r="A153" s="7" t="str">
        <f>IF(子基金及业绩基准周净值!A191="","",子基金及业绩基准周净值!A191)</f>
        <v/>
      </c>
      <c r="B153" s="1" t="str">
        <f>IF(A153="","",VLOOKUP($A153,子基金及业绩基准周净值!$A:$AV,17))</f>
        <v/>
      </c>
      <c r="C153" s="25"/>
      <c r="D153" s="8" t="str">
        <f t="shared" si="12"/>
        <v/>
      </c>
      <c r="E153" s="9" t="str">
        <f>IF(A153="","",D153-子基金及业绩基准周净值!AI191)</f>
        <v/>
      </c>
      <c r="F153" s="12" t="str">
        <f>IF(A153="","",(MAX(C$3:C153)-C153)/MAX(C$3:C153))</f>
        <v/>
      </c>
      <c r="G153" s="12" t="str">
        <f>IF(A153="","",MAX(F$4:F153))</f>
        <v/>
      </c>
      <c r="I153" s="14" t="str">
        <f t="shared" si="13"/>
        <v/>
      </c>
      <c r="J153" s="14" t="str">
        <f t="shared" si="14"/>
        <v/>
      </c>
      <c r="K153" s="15" t="str">
        <f t="shared" si="15"/>
        <v/>
      </c>
    </row>
    <row r="154" spans="1:11">
      <c r="A154" s="7" t="str">
        <f>IF(子基金及业绩基准周净值!A192="","",子基金及业绩基准周净值!A192)</f>
        <v/>
      </c>
      <c r="B154" s="1" t="str">
        <f>IF(A154="","",VLOOKUP($A154,子基金及业绩基准周净值!$A:$AV,17))</f>
        <v/>
      </c>
      <c r="C154" s="25"/>
      <c r="D154" s="8" t="str">
        <f t="shared" si="12"/>
        <v/>
      </c>
      <c r="E154" s="9" t="str">
        <f>IF(A154="","",D154-子基金及业绩基准周净值!AI192)</f>
        <v/>
      </c>
      <c r="F154" s="12" t="str">
        <f>IF(A154="","",(MAX(C$3:C154)-C154)/MAX(C$3:C154))</f>
        <v/>
      </c>
      <c r="G154" s="12" t="str">
        <f>IF(A154="","",MAX(F$4:F154))</f>
        <v/>
      </c>
      <c r="I154" s="14" t="str">
        <f t="shared" si="13"/>
        <v/>
      </c>
      <c r="J154" s="14" t="str">
        <f t="shared" si="14"/>
        <v/>
      </c>
      <c r="K154" s="15" t="str">
        <f t="shared" si="15"/>
        <v/>
      </c>
    </row>
    <row r="155" spans="1:11">
      <c r="A155" s="7" t="str">
        <f>IF(子基金及业绩基准周净值!A193="","",子基金及业绩基准周净值!A193)</f>
        <v/>
      </c>
      <c r="B155" s="1" t="str">
        <f>IF(A155="","",VLOOKUP($A155,子基金及业绩基准周净值!$A:$AV,17))</f>
        <v/>
      </c>
      <c r="C155" s="25"/>
      <c r="D155" s="8" t="str">
        <f t="shared" si="12"/>
        <v/>
      </c>
      <c r="E155" s="9" t="str">
        <f>IF(A155="","",D155-子基金及业绩基准周净值!AI193)</f>
        <v/>
      </c>
      <c r="F155" s="12" t="str">
        <f>IF(A155="","",(MAX(C$3:C155)-C155)/MAX(C$3:C155))</f>
        <v/>
      </c>
      <c r="G155" s="12" t="str">
        <f>IF(A155="","",MAX(F$4:F155))</f>
        <v/>
      </c>
      <c r="I155" s="14" t="str">
        <f t="shared" si="13"/>
        <v/>
      </c>
      <c r="J155" s="14" t="str">
        <f t="shared" si="14"/>
        <v/>
      </c>
      <c r="K155" s="15" t="str">
        <f t="shared" si="15"/>
        <v/>
      </c>
    </row>
    <row r="156" spans="1:11">
      <c r="A156" s="7" t="str">
        <f>IF(子基金及业绩基准周净值!A194="","",子基金及业绩基准周净值!A194)</f>
        <v/>
      </c>
      <c r="B156" s="1" t="str">
        <f>IF(A156="","",VLOOKUP($A156,子基金及业绩基准周净值!$A:$AV,17))</f>
        <v/>
      </c>
      <c r="C156" s="25"/>
      <c r="D156" s="8" t="str">
        <f t="shared" si="12"/>
        <v/>
      </c>
      <c r="E156" s="9" t="str">
        <f>IF(A156="","",D156-子基金及业绩基准周净值!AI194)</f>
        <v/>
      </c>
      <c r="F156" s="12" t="str">
        <f>IF(A156="","",(MAX(C$3:C156)-C156)/MAX(C$3:C156))</f>
        <v/>
      </c>
      <c r="G156" s="12" t="str">
        <f>IF(A156="","",MAX(F$4:F156))</f>
        <v/>
      </c>
      <c r="I156" s="14" t="str">
        <f t="shared" si="13"/>
        <v/>
      </c>
      <c r="J156" s="14" t="str">
        <f t="shared" si="14"/>
        <v/>
      </c>
      <c r="K156" s="15" t="str">
        <f t="shared" si="15"/>
        <v/>
      </c>
    </row>
    <row r="157" spans="1:11">
      <c r="A157" s="7" t="str">
        <f>IF(子基金及业绩基准周净值!A195="","",子基金及业绩基准周净值!A195)</f>
        <v/>
      </c>
      <c r="B157" s="1" t="str">
        <f>IF(A157="","",VLOOKUP($A157,子基金及业绩基准周净值!$A:$AV,17))</f>
        <v/>
      </c>
      <c r="C157" s="25"/>
      <c r="D157" s="8" t="str">
        <f t="shared" si="12"/>
        <v/>
      </c>
      <c r="E157" s="9" t="str">
        <f>IF(A157="","",D157-子基金及业绩基准周净值!AI195)</f>
        <v/>
      </c>
      <c r="F157" s="12" t="str">
        <f>IF(A157="","",(MAX(C$3:C157)-C157)/MAX(C$3:C157))</f>
        <v/>
      </c>
      <c r="G157" s="12" t="str">
        <f>IF(A157="","",MAX(F$4:F157))</f>
        <v/>
      </c>
      <c r="I157" s="14" t="str">
        <f t="shared" si="13"/>
        <v/>
      </c>
      <c r="J157" s="14" t="str">
        <f t="shared" si="14"/>
        <v/>
      </c>
      <c r="K157" s="15" t="str">
        <f t="shared" si="15"/>
        <v/>
      </c>
    </row>
    <row r="158" spans="1:11">
      <c r="A158" s="7" t="str">
        <f>IF(子基金及业绩基准周净值!A196="","",子基金及业绩基准周净值!A196)</f>
        <v/>
      </c>
      <c r="B158" s="1" t="str">
        <f>IF(A158="","",VLOOKUP($A158,子基金及业绩基准周净值!$A:$AV,17))</f>
        <v/>
      </c>
      <c r="C158" s="25"/>
      <c r="D158" s="8" t="str">
        <f t="shared" si="12"/>
        <v/>
      </c>
      <c r="E158" s="9" t="str">
        <f>IF(A158="","",D158-子基金及业绩基准周净值!AI196)</f>
        <v/>
      </c>
      <c r="F158" s="12" t="str">
        <f>IF(A158="","",(MAX(C$3:C158)-C158)/MAX(C$3:C158))</f>
        <v/>
      </c>
      <c r="G158" s="12" t="str">
        <f>IF(A158="","",MAX(F$4:F158))</f>
        <v/>
      </c>
      <c r="I158" s="14" t="str">
        <f t="shared" si="13"/>
        <v/>
      </c>
      <c r="J158" s="14" t="str">
        <f t="shared" si="14"/>
        <v/>
      </c>
      <c r="K158" s="15" t="str">
        <f t="shared" si="15"/>
        <v/>
      </c>
    </row>
    <row r="159" spans="1:11">
      <c r="A159" s="7" t="str">
        <f>IF(子基金及业绩基准周净值!A197="","",子基金及业绩基准周净值!A197)</f>
        <v/>
      </c>
      <c r="B159" s="1" t="str">
        <f>IF(A159="","",VLOOKUP($A159,子基金及业绩基准周净值!$A:$AV,17))</f>
        <v/>
      </c>
      <c r="C159" s="25"/>
      <c r="D159" s="8" t="str">
        <f t="shared" si="12"/>
        <v/>
      </c>
      <c r="E159" s="9" t="str">
        <f>IF(A159="","",D159-子基金及业绩基准周净值!AI197)</f>
        <v/>
      </c>
      <c r="F159" s="12" t="str">
        <f>IF(A159="","",(MAX(C$3:C159)-C159)/MAX(C$3:C159))</f>
        <v/>
      </c>
      <c r="G159" s="12" t="str">
        <f>IF(A159="","",MAX(F$4:F159))</f>
        <v/>
      </c>
      <c r="I159" s="14" t="str">
        <f t="shared" si="13"/>
        <v/>
      </c>
      <c r="J159" s="14" t="str">
        <f t="shared" si="14"/>
        <v/>
      </c>
      <c r="K159" s="15" t="str">
        <f t="shared" si="15"/>
        <v/>
      </c>
    </row>
    <row r="160" spans="1:11">
      <c r="A160" s="7" t="str">
        <f>IF(子基金及业绩基准周净值!A198="","",子基金及业绩基准周净值!A198)</f>
        <v/>
      </c>
      <c r="B160" s="1" t="str">
        <f>IF(A160="","",VLOOKUP($A160,子基金及业绩基准周净值!$A:$AV,17))</f>
        <v/>
      </c>
      <c r="C160" s="25"/>
      <c r="D160" s="8" t="str">
        <f t="shared" si="12"/>
        <v/>
      </c>
      <c r="E160" s="9" t="str">
        <f>IF(A160="","",D160-子基金及业绩基准周净值!AI198)</f>
        <v/>
      </c>
      <c r="F160" s="12" t="str">
        <f>IF(A160="","",(MAX(C$3:C160)-C160)/MAX(C$3:C160))</f>
        <v/>
      </c>
      <c r="G160" s="12" t="str">
        <f>IF(A160="","",MAX(F$4:F160))</f>
        <v/>
      </c>
      <c r="I160" s="14" t="str">
        <f t="shared" si="13"/>
        <v/>
      </c>
      <c r="J160" s="14" t="str">
        <f t="shared" si="14"/>
        <v/>
      </c>
      <c r="K160" s="15" t="str">
        <f t="shared" si="15"/>
        <v/>
      </c>
    </row>
    <row r="161" spans="1:11">
      <c r="A161" s="7" t="str">
        <f>IF(子基金及业绩基准周净值!A199="","",子基金及业绩基准周净值!A199)</f>
        <v/>
      </c>
      <c r="B161" s="1" t="str">
        <f>IF(A161="","",VLOOKUP($A161,子基金及业绩基准周净值!$A:$AV,17))</f>
        <v/>
      </c>
      <c r="C161" s="25"/>
      <c r="D161" s="8" t="str">
        <f t="shared" si="12"/>
        <v/>
      </c>
      <c r="E161" s="9" t="str">
        <f>IF(A161="","",D161-子基金及业绩基准周净值!AI199)</f>
        <v/>
      </c>
      <c r="F161" s="12" t="str">
        <f>IF(A161="","",(MAX(C$3:C161)-C161)/MAX(C$3:C161))</f>
        <v/>
      </c>
      <c r="G161" s="12" t="str">
        <f>IF(A161="","",MAX(F$4:F161))</f>
        <v/>
      </c>
      <c r="I161" s="14" t="str">
        <f t="shared" si="13"/>
        <v/>
      </c>
      <c r="J161" s="14" t="str">
        <f t="shared" si="14"/>
        <v/>
      </c>
      <c r="K161" s="15" t="str">
        <f t="shared" si="15"/>
        <v/>
      </c>
    </row>
    <row r="162" spans="1:11">
      <c r="A162" s="7" t="str">
        <f>IF(子基金及业绩基准周净值!A200="","",子基金及业绩基准周净值!A200)</f>
        <v/>
      </c>
      <c r="B162" s="1" t="str">
        <f>IF(A162="","",VLOOKUP($A162,子基金及业绩基准周净值!$A:$AV,17))</f>
        <v/>
      </c>
      <c r="C162" s="25"/>
      <c r="D162" s="8" t="str">
        <f t="shared" si="12"/>
        <v/>
      </c>
      <c r="E162" s="9" t="str">
        <f>IF(A162="","",D162-子基金及业绩基准周净值!AI200)</f>
        <v/>
      </c>
      <c r="F162" s="12" t="str">
        <f>IF(A162="","",(MAX(C$3:C162)-C162)/MAX(C$3:C162))</f>
        <v/>
      </c>
      <c r="G162" s="12" t="str">
        <f>IF(A162="","",MAX(F$4:F162))</f>
        <v/>
      </c>
      <c r="I162" s="14" t="str">
        <f t="shared" si="13"/>
        <v/>
      </c>
      <c r="J162" s="14" t="str">
        <f t="shared" si="14"/>
        <v/>
      </c>
      <c r="K162" s="15" t="str">
        <f t="shared" si="15"/>
        <v/>
      </c>
    </row>
    <row r="163" spans="1:11">
      <c r="A163" s="7" t="str">
        <f>IF(子基金及业绩基准周净值!A201="","",子基金及业绩基准周净值!A201)</f>
        <v/>
      </c>
      <c r="B163" s="1" t="str">
        <f>IF(A163="","",VLOOKUP($A163,子基金及业绩基准周净值!$A:$AV,17))</f>
        <v/>
      </c>
      <c r="C163" s="25"/>
      <c r="D163" s="8" t="str">
        <f t="shared" si="12"/>
        <v/>
      </c>
      <c r="E163" s="9" t="str">
        <f>IF(A163="","",D163-子基金及业绩基准周净值!AI201)</f>
        <v/>
      </c>
      <c r="F163" s="12" t="str">
        <f>IF(A163="","",(MAX(C$3:C163)-C163)/MAX(C$3:C163))</f>
        <v/>
      </c>
      <c r="G163" s="12" t="str">
        <f>IF(A163="","",MAX(F$4:F163))</f>
        <v/>
      </c>
      <c r="I163" s="14" t="str">
        <f t="shared" si="13"/>
        <v/>
      </c>
      <c r="J163" s="14" t="str">
        <f t="shared" si="14"/>
        <v/>
      </c>
      <c r="K163" s="15" t="str">
        <f t="shared" si="15"/>
        <v/>
      </c>
    </row>
    <row r="164" spans="1:11">
      <c r="A164" s="7" t="str">
        <f>IF(子基金及业绩基准周净值!A202="","",子基金及业绩基准周净值!A202)</f>
        <v/>
      </c>
      <c r="B164" s="1" t="str">
        <f>IF(A164="","",VLOOKUP($A164,子基金及业绩基准周净值!$A:$AV,17))</f>
        <v/>
      </c>
      <c r="C164" s="25"/>
      <c r="D164" s="8" t="str">
        <f t="shared" si="12"/>
        <v/>
      </c>
      <c r="E164" s="9" t="str">
        <f>IF(A164="","",D164-子基金及业绩基准周净值!AI202)</f>
        <v/>
      </c>
      <c r="F164" s="12" t="str">
        <f>IF(A164="","",(MAX(C$3:C164)-C164)/MAX(C$3:C164))</f>
        <v/>
      </c>
      <c r="G164" s="12" t="str">
        <f>IF(A164="","",MAX(F$4:F164))</f>
        <v/>
      </c>
      <c r="I164" s="14" t="str">
        <f t="shared" si="13"/>
        <v/>
      </c>
      <c r="J164" s="14" t="str">
        <f t="shared" si="14"/>
        <v/>
      </c>
      <c r="K164" s="15" t="str">
        <f t="shared" si="15"/>
        <v/>
      </c>
    </row>
    <row r="165" spans="1:11">
      <c r="A165" s="7" t="str">
        <f>IF(子基金及业绩基准周净值!A203="","",子基金及业绩基准周净值!A203)</f>
        <v/>
      </c>
      <c r="B165" s="1" t="str">
        <f>IF(A165="","",VLOOKUP($A165,子基金及业绩基准周净值!$A:$AV,17))</f>
        <v/>
      </c>
      <c r="C165" s="25"/>
      <c r="D165" s="8" t="str">
        <f t="shared" si="12"/>
        <v/>
      </c>
      <c r="E165" s="9" t="str">
        <f>IF(A165="","",D165-子基金及业绩基准周净值!AI203)</f>
        <v/>
      </c>
      <c r="F165" s="12" t="str">
        <f>IF(A165="","",(MAX(C$3:C165)-C165)/MAX(C$3:C165))</f>
        <v/>
      </c>
      <c r="G165" s="12" t="str">
        <f>IF(A165="","",MAX(F$4:F165))</f>
        <v/>
      </c>
      <c r="I165" s="14" t="str">
        <f t="shared" si="13"/>
        <v/>
      </c>
      <c r="J165" s="14" t="str">
        <f t="shared" si="14"/>
        <v/>
      </c>
      <c r="K165" s="15" t="str">
        <f t="shared" si="15"/>
        <v/>
      </c>
    </row>
    <row r="166" spans="1:11">
      <c r="A166" s="7" t="str">
        <f>IF(子基金及业绩基准周净值!A204="","",子基金及业绩基准周净值!A204)</f>
        <v/>
      </c>
      <c r="B166" s="1" t="str">
        <f>IF(A166="","",VLOOKUP($A166,子基金及业绩基准周净值!$A:$AV,17))</f>
        <v/>
      </c>
      <c r="C166" s="25"/>
      <c r="D166" s="8" t="str">
        <f t="shared" si="12"/>
        <v/>
      </c>
      <c r="E166" s="9" t="str">
        <f>IF(A166="","",D166-子基金及业绩基准周净值!AI204)</f>
        <v/>
      </c>
      <c r="F166" s="12" t="str">
        <f>IF(A166="","",(MAX(C$3:C166)-C166)/MAX(C$3:C166))</f>
        <v/>
      </c>
      <c r="G166" s="12" t="str">
        <f>IF(A166="","",MAX(F$4:F166))</f>
        <v/>
      </c>
      <c r="I166" s="14" t="str">
        <f t="shared" si="13"/>
        <v/>
      </c>
      <c r="J166" s="14" t="str">
        <f t="shared" si="14"/>
        <v/>
      </c>
      <c r="K166" s="15" t="str">
        <f t="shared" si="15"/>
        <v/>
      </c>
    </row>
    <row r="167" spans="1:11">
      <c r="A167" s="7" t="str">
        <f>IF(子基金及业绩基准周净值!A205="","",子基金及业绩基准周净值!A205)</f>
        <v/>
      </c>
      <c r="B167" s="1" t="str">
        <f>IF(A167="","",VLOOKUP($A167,子基金及业绩基准周净值!$A:$AV,17))</f>
        <v/>
      </c>
      <c r="C167" s="25"/>
      <c r="D167" s="8" t="str">
        <f t="shared" si="12"/>
        <v/>
      </c>
      <c r="E167" s="9" t="str">
        <f>IF(A167="","",D167-子基金及业绩基准周净值!AI205)</f>
        <v/>
      </c>
      <c r="F167" s="12" t="str">
        <f>IF(A167="","",(MAX(C$3:C167)-C167)/MAX(C$3:C167))</f>
        <v/>
      </c>
      <c r="G167" s="12" t="str">
        <f>IF(A167="","",MAX(F$4:F167))</f>
        <v/>
      </c>
      <c r="I167" s="14" t="str">
        <f t="shared" si="13"/>
        <v/>
      </c>
      <c r="J167" s="14" t="str">
        <f t="shared" si="14"/>
        <v/>
      </c>
      <c r="K167" s="15" t="str">
        <f t="shared" si="15"/>
        <v/>
      </c>
    </row>
    <row r="168" spans="1:11">
      <c r="A168" s="7" t="str">
        <f>IF(子基金及业绩基准周净值!A206="","",子基金及业绩基准周净值!A206)</f>
        <v/>
      </c>
      <c r="B168" s="1" t="str">
        <f>IF(A168="","",VLOOKUP($A168,子基金及业绩基准周净值!$A:$AV,17))</f>
        <v/>
      </c>
      <c r="C168" s="25"/>
      <c r="D168" s="8" t="str">
        <f t="shared" si="12"/>
        <v/>
      </c>
      <c r="E168" s="9" t="str">
        <f>IF(A168="","",D168-子基金及业绩基准周净值!AI206)</f>
        <v/>
      </c>
      <c r="F168" s="12" t="str">
        <f>IF(A168="","",(MAX(C$3:C168)-C168)/MAX(C$3:C168))</f>
        <v/>
      </c>
      <c r="G168" s="12" t="str">
        <f>IF(A168="","",MAX(F$4:F168))</f>
        <v/>
      </c>
      <c r="I168" s="14" t="str">
        <f t="shared" si="13"/>
        <v/>
      </c>
      <c r="J168" s="14" t="str">
        <f t="shared" si="14"/>
        <v/>
      </c>
      <c r="K168" s="15" t="str">
        <f t="shared" si="15"/>
        <v/>
      </c>
    </row>
    <row r="169" spans="1:11">
      <c r="A169" s="7" t="str">
        <f>IF(子基金及业绩基准周净值!A207="","",子基金及业绩基准周净值!A207)</f>
        <v/>
      </c>
      <c r="B169" s="1" t="str">
        <f>IF(A169="","",VLOOKUP($A169,子基金及业绩基准周净值!$A:$AV,17))</f>
        <v/>
      </c>
      <c r="C169" s="25"/>
      <c r="D169" s="8" t="str">
        <f t="shared" si="12"/>
        <v/>
      </c>
      <c r="E169" s="9" t="str">
        <f>IF(A169="","",D169-子基金及业绩基准周净值!AI207)</f>
        <v/>
      </c>
      <c r="F169" s="12" t="str">
        <f>IF(A169="","",(MAX(C$3:C169)-C169)/MAX(C$3:C169))</f>
        <v/>
      </c>
      <c r="G169" s="12" t="str">
        <f>IF(A169="","",MAX(F$4:F169))</f>
        <v/>
      </c>
      <c r="I169" s="14" t="str">
        <f t="shared" si="13"/>
        <v/>
      </c>
      <c r="J169" s="14" t="str">
        <f t="shared" si="14"/>
        <v/>
      </c>
      <c r="K169" s="15" t="str">
        <f t="shared" si="15"/>
        <v/>
      </c>
    </row>
    <row r="170" spans="1:11">
      <c r="A170" s="7" t="str">
        <f>IF(子基金及业绩基准周净值!A208="","",子基金及业绩基准周净值!A208)</f>
        <v/>
      </c>
      <c r="B170" s="1" t="str">
        <f>IF(A170="","",VLOOKUP($A170,子基金及业绩基准周净值!$A:$AV,17))</f>
        <v/>
      </c>
      <c r="C170" s="25"/>
      <c r="D170" s="8" t="str">
        <f t="shared" si="12"/>
        <v/>
      </c>
      <c r="E170" s="9" t="str">
        <f>IF(A170="","",D170-子基金及业绩基准周净值!AI208)</f>
        <v/>
      </c>
      <c r="F170" s="12" t="str">
        <f>IF(A170="","",(MAX(C$3:C170)-C170)/MAX(C$3:C170))</f>
        <v/>
      </c>
      <c r="G170" s="12" t="str">
        <f>IF(A170="","",MAX(F$4:F170))</f>
        <v/>
      </c>
      <c r="I170" s="14" t="str">
        <f t="shared" si="13"/>
        <v/>
      </c>
      <c r="J170" s="14" t="str">
        <f t="shared" si="14"/>
        <v/>
      </c>
      <c r="K170" s="15" t="str">
        <f t="shared" si="15"/>
        <v/>
      </c>
    </row>
    <row r="171" spans="1:11">
      <c r="A171" s="7" t="str">
        <f>IF(子基金及业绩基准周净值!A209="","",子基金及业绩基准周净值!A209)</f>
        <v/>
      </c>
      <c r="B171" s="1" t="str">
        <f>IF(A171="","",VLOOKUP($A171,子基金及业绩基准周净值!$A:$AV,17))</f>
        <v/>
      </c>
      <c r="C171" s="25"/>
      <c r="D171" s="8" t="str">
        <f t="shared" si="12"/>
        <v/>
      </c>
      <c r="E171" s="9" t="str">
        <f>IF(A171="","",D171-子基金及业绩基准周净值!AI209)</f>
        <v/>
      </c>
      <c r="F171" s="12" t="str">
        <f>IF(A171="","",(MAX(C$3:C171)-C171)/MAX(C$3:C171))</f>
        <v/>
      </c>
      <c r="G171" s="12" t="str">
        <f>IF(A171="","",MAX(F$4:F171))</f>
        <v/>
      </c>
      <c r="I171" s="14" t="str">
        <f t="shared" si="13"/>
        <v/>
      </c>
      <c r="J171" s="14" t="str">
        <f t="shared" si="14"/>
        <v/>
      </c>
      <c r="K171" s="15" t="str">
        <f t="shared" si="15"/>
        <v/>
      </c>
    </row>
    <row r="172" spans="1:11">
      <c r="A172" s="7" t="str">
        <f>IF(子基金及业绩基准周净值!A210="","",子基金及业绩基准周净值!A210)</f>
        <v/>
      </c>
      <c r="B172" s="1" t="str">
        <f>IF(A172="","",VLOOKUP($A172,子基金及业绩基准周净值!$A:$AV,17))</f>
        <v/>
      </c>
      <c r="C172" s="25"/>
      <c r="D172" s="8" t="str">
        <f t="shared" si="12"/>
        <v/>
      </c>
      <c r="E172" s="9" t="str">
        <f>IF(A172="","",D172-子基金及业绩基准周净值!AI210)</f>
        <v/>
      </c>
      <c r="F172" s="12" t="str">
        <f>IF(A172="","",(MAX(C$3:C172)-C172)/MAX(C$3:C172))</f>
        <v/>
      </c>
      <c r="G172" s="12" t="str">
        <f>IF(A172="","",MAX(F$4:F172))</f>
        <v/>
      </c>
      <c r="I172" s="14" t="str">
        <f t="shared" si="13"/>
        <v/>
      </c>
      <c r="J172" s="14" t="str">
        <f t="shared" si="14"/>
        <v/>
      </c>
      <c r="K172" s="15" t="str">
        <f t="shared" si="15"/>
        <v/>
      </c>
    </row>
    <row r="173" spans="1:11">
      <c r="A173" s="7" t="str">
        <f>IF(子基金及业绩基准周净值!A211="","",子基金及业绩基准周净值!A211)</f>
        <v/>
      </c>
      <c r="B173" s="1" t="str">
        <f>IF(A173="","",VLOOKUP($A173,子基金及业绩基准周净值!$A:$AV,17))</f>
        <v/>
      </c>
      <c r="C173" s="25"/>
      <c r="D173" s="8" t="str">
        <f t="shared" si="12"/>
        <v/>
      </c>
      <c r="E173" s="9" t="str">
        <f>IF(A173="","",D173-子基金及业绩基准周净值!AI211)</f>
        <v/>
      </c>
      <c r="F173" s="12" t="str">
        <f>IF(A173="","",(MAX(C$3:C173)-C173)/MAX(C$3:C173))</f>
        <v/>
      </c>
      <c r="G173" s="12" t="str">
        <f>IF(A173="","",MAX(F$4:F173))</f>
        <v/>
      </c>
      <c r="I173" s="14" t="str">
        <f t="shared" si="13"/>
        <v/>
      </c>
      <c r="J173" s="14" t="str">
        <f t="shared" si="14"/>
        <v/>
      </c>
      <c r="K173" s="15" t="str">
        <f t="shared" si="15"/>
        <v/>
      </c>
    </row>
    <row r="174" spans="1:11">
      <c r="A174" s="7" t="str">
        <f>IF(子基金及业绩基准周净值!A212="","",子基金及业绩基准周净值!A212)</f>
        <v/>
      </c>
      <c r="B174" s="1" t="str">
        <f>IF(A174="","",VLOOKUP($A174,子基金及业绩基准周净值!$A:$AV,17))</f>
        <v/>
      </c>
      <c r="C174" s="25"/>
      <c r="D174" s="8" t="str">
        <f t="shared" si="12"/>
        <v/>
      </c>
      <c r="E174" s="9" t="str">
        <f>IF(A174="","",D174-子基金及业绩基准周净值!AI212)</f>
        <v/>
      </c>
      <c r="F174" s="12" t="str">
        <f>IF(A174="","",(MAX(C$3:C174)-C174)/MAX(C$3:C174))</f>
        <v/>
      </c>
      <c r="G174" s="12" t="str">
        <f>IF(A174="","",MAX(F$4:F174))</f>
        <v/>
      </c>
      <c r="I174" s="14" t="str">
        <f t="shared" si="13"/>
        <v/>
      </c>
      <c r="J174" s="14" t="str">
        <f t="shared" si="14"/>
        <v/>
      </c>
      <c r="K174" s="15" t="str">
        <f t="shared" si="15"/>
        <v/>
      </c>
    </row>
    <row r="175" spans="1:11">
      <c r="A175" s="7" t="str">
        <f>IF(子基金及业绩基准周净值!A213="","",子基金及业绩基准周净值!A213)</f>
        <v/>
      </c>
      <c r="B175" s="1" t="str">
        <f>IF(A175="","",VLOOKUP($A175,子基金及业绩基准周净值!$A:$AV,17))</f>
        <v/>
      </c>
      <c r="C175" s="25"/>
      <c r="D175" s="8" t="str">
        <f t="shared" si="12"/>
        <v/>
      </c>
      <c r="E175" s="9" t="str">
        <f>IF(A175="","",D175-子基金及业绩基准周净值!AI213)</f>
        <v/>
      </c>
      <c r="F175" s="12" t="str">
        <f>IF(A175="","",(MAX(C$3:C175)-C175)/MAX(C$3:C175))</f>
        <v/>
      </c>
      <c r="G175" s="12" t="str">
        <f>IF(A175="","",MAX(F$4:F175))</f>
        <v/>
      </c>
      <c r="I175" s="14" t="str">
        <f t="shared" si="13"/>
        <v/>
      </c>
      <c r="J175" s="14" t="str">
        <f t="shared" si="14"/>
        <v/>
      </c>
      <c r="K175" s="15" t="str">
        <f t="shared" si="15"/>
        <v/>
      </c>
    </row>
    <row r="176" spans="1:11">
      <c r="A176" s="7" t="str">
        <f>IF(子基金及业绩基准周净值!A214="","",子基金及业绩基准周净值!A214)</f>
        <v/>
      </c>
      <c r="B176" s="1" t="str">
        <f>IF(A176="","",VLOOKUP($A176,子基金及业绩基准周净值!$A:$AV,17))</f>
        <v/>
      </c>
      <c r="C176" s="25"/>
      <c r="D176" s="8" t="str">
        <f t="shared" si="12"/>
        <v/>
      </c>
      <c r="E176" s="9" t="str">
        <f>IF(A176="","",D176-子基金及业绩基准周净值!AI214)</f>
        <v/>
      </c>
      <c r="F176" s="12" t="str">
        <f>IF(A176="","",(MAX(C$3:C176)-C176)/MAX(C$3:C176))</f>
        <v/>
      </c>
      <c r="G176" s="12" t="str">
        <f>IF(A176="","",MAX(F$4:F176))</f>
        <v/>
      </c>
      <c r="I176" s="14" t="str">
        <f t="shared" si="13"/>
        <v/>
      </c>
      <c r="J176" s="14" t="str">
        <f t="shared" si="14"/>
        <v/>
      </c>
      <c r="K176" s="15" t="str">
        <f t="shared" si="15"/>
        <v/>
      </c>
    </row>
    <row r="177" spans="1:11">
      <c r="A177" s="7" t="str">
        <f>IF(子基金及业绩基准周净值!A215="","",子基金及业绩基准周净值!A215)</f>
        <v/>
      </c>
      <c r="B177" s="1" t="str">
        <f>IF(A177="","",VLOOKUP($A177,子基金及业绩基准周净值!$A:$AV,17))</f>
        <v/>
      </c>
      <c r="C177" s="25"/>
      <c r="D177" s="8" t="str">
        <f t="shared" si="12"/>
        <v/>
      </c>
      <c r="E177" s="9" t="str">
        <f>IF(A177="","",D177-子基金及业绩基准周净值!AI215)</f>
        <v/>
      </c>
      <c r="F177" s="12" t="str">
        <f>IF(A177="","",(MAX(C$3:C177)-C177)/MAX(C$3:C177))</f>
        <v/>
      </c>
      <c r="G177" s="12" t="str">
        <f>IF(A177="","",MAX(F$4:F177))</f>
        <v/>
      </c>
      <c r="I177" s="14" t="str">
        <f t="shared" si="13"/>
        <v/>
      </c>
      <c r="J177" s="14" t="str">
        <f t="shared" si="14"/>
        <v/>
      </c>
      <c r="K177" s="15" t="str">
        <f t="shared" si="15"/>
        <v/>
      </c>
    </row>
    <row r="178" spans="1:11">
      <c r="A178" s="7" t="str">
        <f>IF(子基金及业绩基准周净值!A216="","",子基金及业绩基准周净值!A216)</f>
        <v/>
      </c>
      <c r="B178" s="1" t="str">
        <f>IF(A178="","",VLOOKUP($A178,子基金及业绩基准周净值!$A:$AV,17))</f>
        <v/>
      </c>
      <c r="C178" s="25"/>
      <c r="D178" s="8" t="str">
        <f t="shared" si="12"/>
        <v/>
      </c>
      <c r="E178" s="9" t="str">
        <f>IF(A178="","",D178-子基金及业绩基准周净值!AI216)</f>
        <v/>
      </c>
      <c r="F178" s="12" t="str">
        <f>IF(A178="","",(MAX(C$3:C178)-C178)/MAX(C$3:C178))</f>
        <v/>
      </c>
      <c r="G178" s="12" t="str">
        <f>IF(A178="","",MAX(F$4:F178))</f>
        <v/>
      </c>
      <c r="I178" s="14" t="str">
        <f t="shared" si="13"/>
        <v/>
      </c>
      <c r="J178" s="14" t="str">
        <f t="shared" si="14"/>
        <v/>
      </c>
      <c r="K178" s="15" t="str">
        <f t="shared" si="15"/>
        <v/>
      </c>
    </row>
    <row r="179" spans="1:11">
      <c r="A179" s="7" t="str">
        <f>IF(子基金及业绩基准周净值!A217="","",子基金及业绩基准周净值!A217)</f>
        <v/>
      </c>
      <c r="B179" s="1" t="str">
        <f>IF(A179="","",VLOOKUP($A179,子基金及业绩基准周净值!$A:$AV,17))</f>
        <v/>
      </c>
      <c r="C179" s="25"/>
      <c r="D179" s="8" t="str">
        <f t="shared" si="12"/>
        <v/>
      </c>
      <c r="E179" s="9" t="str">
        <f>IF(A179="","",D179-子基金及业绩基准周净值!AI217)</f>
        <v/>
      </c>
      <c r="F179" s="12" t="str">
        <f>IF(A179="","",(MAX(C$3:C179)-C179)/MAX(C$3:C179))</f>
        <v/>
      </c>
      <c r="G179" s="12" t="str">
        <f>IF(A179="","",MAX(F$4:F179))</f>
        <v/>
      </c>
      <c r="I179" s="14" t="str">
        <f t="shared" si="13"/>
        <v/>
      </c>
      <c r="J179" s="14" t="str">
        <f t="shared" si="14"/>
        <v/>
      </c>
      <c r="K179" s="15" t="str">
        <f t="shared" si="15"/>
        <v/>
      </c>
    </row>
    <row r="180" spans="1:11">
      <c r="A180" s="7" t="str">
        <f>IF(子基金及业绩基准周净值!A218="","",子基金及业绩基准周净值!A218)</f>
        <v/>
      </c>
      <c r="B180" s="1" t="str">
        <f>IF(A180="","",VLOOKUP($A180,子基金及业绩基准周净值!$A:$AV,17))</f>
        <v/>
      </c>
      <c r="C180" s="25"/>
      <c r="D180" s="8" t="str">
        <f t="shared" si="12"/>
        <v/>
      </c>
      <c r="E180" s="9" t="str">
        <f>IF(A180="","",D180-子基金及业绩基准周净值!AI218)</f>
        <v/>
      </c>
      <c r="F180" s="12" t="str">
        <f>IF(A180="","",(MAX(C$3:C180)-C180)/MAX(C$3:C180))</f>
        <v/>
      </c>
      <c r="G180" s="12" t="str">
        <f>IF(A180="","",MAX(F$4:F180))</f>
        <v/>
      </c>
      <c r="I180" s="14" t="str">
        <f t="shared" si="13"/>
        <v/>
      </c>
      <c r="J180" s="14" t="str">
        <f t="shared" si="14"/>
        <v/>
      </c>
      <c r="K180" s="15" t="str">
        <f t="shared" si="15"/>
        <v/>
      </c>
    </row>
    <row r="181" spans="1:11">
      <c r="A181" s="7" t="str">
        <f>IF(子基金及业绩基准周净值!A219="","",子基金及业绩基准周净值!A219)</f>
        <v/>
      </c>
      <c r="B181" s="1" t="str">
        <f>IF(A181="","",VLOOKUP($A181,子基金及业绩基准周净值!$A:$AV,17))</f>
        <v/>
      </c>
      <c r="C181" s="25"/>
      <c r="D181" s="8" t="str">
        <f t="shared" si="12"/>
        <v/>
      </c>
      <c r="E181" s="9" t="str">
        <f>IF(A181="","",D181-子基金及业绩基准周净值!AI219)</f>
        <v/>
      </c>
      <c r="F181" s="12" t="str">
        <f>IF(A181="","",(MAX(C$3:C181)-C181)/MAX(C$3:C181))</f>
        <v/>
      </c>
      <c r="G181" s="12" t="str">
        <f>IF(A181="","",MAX(F$4:F181))</f>
        <v/>
      </c>
      <c r="I181" s="14" t="str">
        <f t="shared" si="13"/>
        <v/>
      </c>
      <c r="J181" s="14" t="str">
        <f t="shared" si="14"/>
        <v/>
      </c>
      <c r="K181" s="15" t="str">
        <f t="shared" si="15"/>
        <v/>
      </c>
    </row>
    <row r="182" spans="1:11">
      <c r="A182" s="7" t="str">
        <f>IF(子基金及业绩基准周净值!A220="","",子基金及业绩基准周净值!A220)</f>
        <v/>
      </c>
      <c r="B182" s="1" t="str">
        <f>IF(A182="","",VLOOKUP($A182,子基金及业绩基准周净值!$A:$AV,17))</f>
        <v/>
      </c>
      <c r="C182" s="25"/>
      <c r="D182" s="8" t="str">
        <f t="shared" si="12"/>
        <v/>
      </c>
      <c r="E182" s="9" t="str">
        <f>IF(A182="","",D182-子基金及业绩基准周净值!AI220)</f>
        <v/>
      </c>
      <c r="F182" s="12" t="str">
        <f>IF(A182="","",(MAX(C$3:C182)-C182)/MAX(C$3:C182))</f>
        <v/>
      </c>
      <c r="G182" s="12" t="str">
        <f>IF(A182="","",MAX(F$4:F182))</f>
        <v/>
      </c>
      <c r="I182" s="14" t="str">
        <f t="shared" si="13"/>
        <v/>
      </c>
      <c r="J182" s="14" t="str">
        <f t="shared" si="14"/>
        <v/>
      </c>
      <c r="K182" s="15" t="str">
        <f t="shared" si="15"/>
        <v/>
      </c>
    </row>
    <row r="183" spans="1:11">
      <c r="A183" s="7" t="str">
        <f>IF(子基金及业绩基准周净值!A221="","",子基金及业绩基准周净值!A221)</f>
        <v/>
      </c>
      <c r="B183" s="1" t="str">
        <f>IF(A183="","",VLOOKUP($A183,子基金及业绩基准周净值!$A:$AV,17))</f>
        <v/>
      </c>
      <c r="C183" s="25"/>
      <c r="D183" s="8" t="str">
        <f t="shared" si="12"/>
        <v/>
      </c>
      <c r="E183" s="9" t="str">
        <f>IF(A183="","",D183-子基金及业绩基准周净值!AI221)</f>
        <v/>
      </c>
      <c r="F183" s="12" t="str">
        <f>IF(A183="","",(MAX(C$3:C183)-C183)/MAX(C$3:C183))</f>
        <v/>
      </c>
      <c r="G183" s="12" t="str">
        <f>IF(A183="","",MAX(F$4:F183))</f>
        <v/>
      </c>
      <c r="I183" s="14" t="str">
        <f t="shared" si="13"/>
        <v/>
      </c>
      <c r="J183" s="14" t="str">
        <f t="shared" si="14"/>
        <v/>
      </c>
      <c r="K183" s="15" t="str">
        <f t="shared" si="15"/>
        <v/>
      </c>
    </row>
    <row r="184" spans="1:11">
      <c r="A184" s="7" t="str">
        <f>IF(子基金及业绩基准周净值!A222="","",子基金及业绩基准周净值!A222)</f>
        <v/>
      </c>
      <c r="B184" s="1" t="str">
        <f>IF(A184="","",VLOOKUP($A184,子基金及业绩基准周净值!$A:$AV,17))</f>
        <v/>
      </c>
      <c r="C184" s="25"/>
      <c r="D184" s="8" t="str">
        <f t="shared" si="12"/>
        <v/>
      </c>
      <c r="E184" s="9" t="str">
        <f>IF(A184="","",D184-子基金及业绩基准周净值!AI222)</f>
        <v/>
      </c>
      <c r="F184" s="12" t="str">
        <f>IF(A184="","",(MAX(C$3:C184)-C184)/MAX(C$3:C184))</f>
        <v/>
      </c>
      <c r="G184" s="12" t="str">
        <f>IF(A184="","",MAX(F$4:F184))</f>
        <v/>
      </c>
      <c r="I184" s="14" t="str">
        <f t="shared" si="13"/>
        <v/>
      </c>
      <c r="J184" s="14" t="str">
        <f t="shared" si="14"/>
        <v/>
      </c>
      <c r="K184" s="15" t="str">
        <f t="shared" si="15"/>
        <v/>
      </c>
    </row>
    <row r="185" spans="1:11">
      <c r="A185" s="7" t="str">
        <f>IF(子基金及业绩基准周净值!A223="","",子基金及业绩基准周净值!A223)</f>
        <v/>
      </c>
      <c r="B185" s="1" t="str">
        <f>IF(A185="","",VLOOKUP($A185,子基金及业绩基准周净值!$A:$AV,17))</f>
        <v/>
      </c>
      <c r="C185" s="25"/>
      <c r="D185" s="8" t="str">
        <f t="shared" si="12"/>
        <v/>
      </c>
      <c r="E185" s="9" t="str">
        <f>IF(A185="","",D185-子基金及业绩基准周净值!AI223)</f>
        <v/>
      </c>
      <c r="F185" s="12" t="str">
        <f>IF(A185="","",(MAX(C$3:C185)-C185)/MAX(C$3:C185))</f>
        <v/>
      </c>
      <c r="G185" s="12" t="str">
        <f>IF(A185="","",MAX(F$4:F185))</f>
        <v/>
      </c>
      <c r="I185" s="14" t="str">
        <f t="shared" si="13"/>
        <v/>
      </c>
      <c r="J185" s="14" t="str">
        <f t="shared" si="14"/>
        <v/>
      </c>
      <c r="K185" s="15" t="str">
        <f t="shared" si="15"/>
        <v/>
      </c>
    </row>
    <row r="186" spans="1:11">
      <c r="A186" s="7" t="str">
        <f>IF(子基金及业绩基准周净值!A224="","",子基金及业绩基准周净值!A224)</f>
        <v/>
      </c>
      <c r="B186" s="1" t="str">
        <f>IF(A186="","",VLOOKUP($A186,子基金及业绩基准周净值!$A:$AV,17))</f>
        <v/>
      </c>
      <c r="C186" s="25"/>
      <c r="D186" s="8" t="str">
        <f t="shared" si="12"/>
        <v/>
      </c>
      <c r="E186" s="9" t="str">
        <f>IF(A186="","",D186-子基金及业绩基准周净值!AI224)</f>
        <v/>
      </c>
      <c r="F186" s="12" t="str">
        <f>IF(A186="","",(MAX(C$3:C186)-C186)/MAX(C$3:C186))</f>
        <v/>
      </c>
      <c r="G186" s="12" t="str">
        <f>IF(A186="","",MAX(F$4:F186))</f>
        <v/>
      </c>
      <c r="I186" s="14" t="str">
        <f t="shared" si="13"/>
        <v/>
      </c>
      <c r="J186" s="14" t="str">
        <f t="shared" si="14"/>
        <v/>
      </c>
      <c r="K186" s="15" t="str">
        <f t="shared" si="15"/>
        <v/>
      </c>
    </row>
    <row r="187" spans="1:11">
      <c r="A187" s="7" t="str">
        <f>IF(子基金及业绩基准周净值!A225="","",子基金及业绩基准周净值!A225)</f>
        <v/>
      </c>
      <c r="B187" s="1" t="str">
        <f>IF(A187="","",VLOOKUP($A187,子基金及业绩基准周净值!$A:$AV,17))</f>
        <v/>
      </c>
      <c r="C187" s="25"/>
      <c r="D187" s="8" t="str">
        <f t="shared" si="12"/>
        <v/>
      </c>
      <c r="E187" s="9" t="str">
        <f>IF(A187="","",D187-子基金及业绩基准周净值!AI225)</f>
        <v/>
      </c>
      <c r="F187" s="12" t="str">
        <f>IF(A187="","",(MAX(C$3:C187)-C187)/MAX(C$3:C187))</f>
        <v/>
      </c>
      <c r="G187" s="12" t="str">
        <f>IF(A187="","",MAX(F$4:F187))</f>
        <v/>
      </c>
      <c r="I187" s="14" t="str">
        <f t="shared" si="13"/>
        <v/>
      </c>
      <c r="J187" s="14" t="str">
        <f t="shared" si="14"/>
        <v/>
      </c>
      <c r="K187" s="15" t="str">
        <f t="shared" si="15"/>
        <v/>
      </c>
    </row>
    <row r="188" spans="1:11">
      <c r="A188" s="7" t="str">
        <f>IF(子基金及业绩基准周净值!A226="","",子基金及业绩基准周净值!A226)</f>
        <v/>
      </c>
      <c r="B188" s="1" t="str">
        <f>IF(A188="","",VLOOKUP($A188,子基金及业绩基准周净值!$A:$AV,17))</f>
        <v/>
      </c>
      <c r="C188" s="25"/>
      <c r="D188" s="8" t="str">
        <f t="shared" si="12"/>
        <v/>
      </c>
      <c r="E188" s="9" t="str">
        <f>IF(A188="","",D188-子基金及业绩基准周净值!AI226)</f>
        <v/>
      </c>
      <c r="F188" s="12" t="str">
        <f>IF(A188="","",(MAX(C$3:C188)-C188)/MAX(C$3:C188))</f>
        <v/>
      </c>
      <c r="G188" s="12" t="str">
        <f>IF(A188="","",MAX(F$4:F188))</f>
        <v/>
      </c>
      <c r="I188" s="14" t="str">
        <f t="shared" si="13"/>
        <v/>
      </c>
      <c r="J188" s="14" t="str">
        <f t="shared" si="14"/>
        <v/>
      </c>
      <c r="K188" s="15" t="str">
        <f t="shared" si="15"/>
        <v/>
      </c>
    </row>
    <row r="189" spans="1:11">
      <c r="A189" s="7" t="str">
        <f>IF(子基金及业绩基准周净值!A227="","",子基金及业绩基准周净值!A227)</f>
        <v/>
      </c>
      <c r="B189" s="1" t="str">
        <f>IF(A189="","",VLOOKUP($A189,子基金及业绩基准周净值!$A:$AV,17))</f>
        <v/>
      </c>
      <c r="C189" s="25"/>
      <c r="D189" s="8" t="str">
        <f t="shared" si="12"/>
        <v/>
      </c>
      <c r="E189" s="9" t="str">
        <f>IF(A189="","",D189-子基金及业绩基准周净值!AI227)</f>
        <v/>
      </c>
      <c r="F189" s="12" t="str">
        <f>IF(A189="","",(MAX(C$3:C189)-C189)/MAX(C$3:C189))</f>
        <v/>
      </c>
      <c r="G189" s="12" t="str">
        <f>IF(A189="","",MAX(F$4:F189))</f>
        <v/>
      </c>
      <c r="I189" s="14" t="str">
        <f t="shared" si="13"/>
        <v/>
      </c>
      <c r="J189" s="14" t="str">
        <f t="shared" si="14"/>
        <v/>
      </c>
      <c r="K189" s="15" t="str">
        <f t="shared" si="15"/>
        <v/>
      </c>
    </row>
    <row r="190" spans="1:11">
      <c r="A190" s="7" t="str">
        <f>IF(子基金及业绩基准周净值!A228="","",子基金及业绩基准周净值!A228)</f>
        <v/>
      </c>
      <c r="B190" s="1" t="str">
        <f>IF(A190="","",VLOOKUP($A190,子基金及业绩基准周净值!$A:$AV,17))</f>
        <v/>
      </c>
      <c r="C190" s="25"/>
      <c r="D190" s="8" t="str">
        <f t="shared" si="12"/>
        <v/>
      </c>
      <c r="E190" s="9" t="str">
        <f>IF(A190="","",D190-子基金及业绩基准周净值!AI228)</f>
        <v/>
      </c>
      <c r="F190" s="12" t="str">
        <f>IF(A190="","",(MAX(C$3:C190)-C190)/MAX(C$3:C190))</f>
        <v/>
      </c>
      <c r="G190" s="12" t="str">
        <f>IF(A190="","",MAX(F$4:F190))</f>
        <v/>
      </c>
      <c r="I190" s="14" t="str">
        <f t="shared" si="13"/>
        <v/>
      </c>
      <c r="J190" s="14" t="str">
        <f t="shared" si="14"/>
        <v/>
      </c>
      <c r="K190" s="15" t="str">
        <f t="shared" si="15"/>
        <v/>
      </c>
    </row>
    <row r="191" spans="1:11">
      <c r="A191" s="7" t="str">
        <f>IF(子基金及业绩基准周净值!A229="","",子基金及业绩基准周净值!A229)</f>
        <v/>
      </c>
      <c r="B191" s="1" t="str">
        <f>IF(A191="","",VLOOKUP($A191,子基金及业绩基准周净值!$A:$AV,17))</f>
        <v/>
      </c>
      <c r="C191" s="25"/>
      <c r="D191" s="8" t="str">
        <f t="shared" si="12"/>
        <v/>
      </c>
      <c r="E191" s="9" t="str">
        <f>IF(A191="","",D191-子基金及业绩基准周净值!AI229)</f>
        <v/>
      </c>
      <c r="F191" s="12" t="str">
        <f>IF(A191="","",(MAX(C$3:C191)-C191)/MAX(C$3:C191))</f>
        <v/>
      </c>
      <c r="G191" s="12" t="str">
        <f>IF(A191="","",MAX(F$4:F191))</f>
        <v/>
      </c>
      <c r="I191" s="14" t="str">
        <f t="shared" si="13"/>
        <v/>
      </c>
      <c r="J191" s="14" t="str">
        <f t="shared" si="14"/>
        <v/>
      </c>
      <c r="K191" s="15" t="str">
        <f t="shared" si="15"/>
        <v/>
      </c>
    </row>
    <row r="192" spans="1:11">
      <c r="A192" s="7" t="str">
        <f>IF(子基金及业绩基准周净值!A230="","",子基金及业绩基准周净值!A230)</f>
        <v/>
      </c>
      <c r="B192" s="1" t="str">
        <f>IF(A192="","",VLOOKUP($A192,子基金及业绩基准周净值!$A:$AV,17))</f>
        <v/>
      </c>
      <c r="C192" s="25"/>
      <c r="D192" s="8" t="str">
        <f t="shared" si="12"/>
        <v/>
      </c>
      <c r="E192" s="9" t="str">
        <f>IF(A192="","",D192-子基金及业绩基准周净值!AI230)</f>
        <v/>
      </c>
      <c r="F192" s="12" t="str">
        <f>IF(A192="","",(MAX(C$3:C192)-C192)/MAX(C$3:C192))</f>
        <v/>
      </c>
      <c r="G192" s="12" t="str">
        <f>IF(A192="","",MAX(F$4:F192))</f>
        <v/>
      </c>
      <c r="I192" s="14" t="str">
        <f t="shared" si="13"/>
        <v/>
      </c>
      <c r="J192" s="14" t="str">
        <f t="shared" si="14"/>
        <v/>
      </c>
      <c r="K192" s="15" t="str">
        <f t="shared" si="15"/>
        <v/>
      </c>
    </row>
    <row r="193" spans="1:11">
      <c r="A193" s="7" t="str">
        <f>IF(子基金及业绩基准周净值!A231="","",子基金及业绩基准周净值!A231)</f>
        <v/>
      </c>
      <c r="B193" s="1" t="str">
        <f>IF(A193="","",VLOOKUP($A193,子基金及业绩基准周净值!$A:$AV,17))</f>
        <v/>
      </c>
      <c r="C193" s="25"/>
      <c r="D193" s="8" t="str">
        <f t="shared" si="12"/>
        <v/>
      </c>
      <c r="E193" s="9" t="str">
        <f>IF(A193="","",D193-子基金及业绩基准周净值!AI231)</f>
        <v/>
      </c>
      <c r="F193" s="12" t="str">
        <f>IF(A193="","",(MAX(C$3:C193)-C193)/MAX(C$3:C193))</f>
        <v/>
      </c>
      <c r="G193" s="12" t="str">
        <f>IF(A193="","",MAX(F$4:F193))</f>
        <v/>
      </c>
      <c r="I193" s="14" t="str">
        <f t="shared" si="13"/>
        <v/>
      </c>
      <c r="J193" s="14" t="str">
        <f t="shared" si="14"/>
        <v/>
      </c>
      <c r="K193" s="15" t="str">
        <f t="shared" si="15"/>
        <v/>
      </c>
    </row>
    <row r="194" spans="1:11">
      <c r="A194" s="7" t="str">
        <f>IF(子基金及业绩基准周净值!A232="","",子基金及业绩基准周净值!A232)</f>
        <v/>
      </c>
      <c r="B194" s="1" t="str">
        <f>IF(A194="","",VLOOKUP($A194,子基金及业绩基准周净值!$A:$AV,17))</f>
        <v/>
      </c>
      <c r="C194" s="25"/>
      <c r="D194" s="8" t="str">
        <f t="shared" si="12"/>
        <v/>
      </c>
      <c r="E194" s="9" t="str">
        <f>IF(A194="","",D194-子基金及业绩基准周净值!AI232)</f>
        <v/>
      </c>
      <c r="F194" s="12" t="str">
        <f>IF(A194="","",(MAX(C$3:C194)-C194)/MAX(C$3:C194))</f>
        <v/>
      </c>
      <c r="G194" s="12" t="str">
        <f>IF(A194="","",MAX(F$4:F194))</f>
        <v/>
      </c>
      <c r="I194" s="14" t="str">
        <f t="shared" si="13"/>
        <v/>
      </c>
      <c r="J194" s="14" t="str">
        <f t="shared" si="14"/>
        <v/>
      </c>
      <c r="K194" s="15" t="str">
        <f t="shared" si="15"/>
        <v/>
      </c>
    </row>
    <row r="195" spans="1:11">
      <c r="A195" s="7" t="str">
        <f>IF(子基金及业绩基准周净值!A233="","",子基金及业绩基准周净值!A233)</f>
        <v/>
      </c>
      <c r="B195" s="1" t="str">
        <f>IF(A195="","",VLOOKUP($A195,子基金及业绩基准周净值!$A:$AV,17))</f>
        <v/>
      </c>
      <c r="C195" s="25"/>
      <c r="D195" s="8" t="str">
        <f t="shared" si="12"/>
        <v/>
      </c>
      <c r="E195" s="9" t="str">
        <f>IF(A195="","",D195-子基金及业绩基准周净值!AI233)</f>
        <v/>
      </c>
      <c r="F195" s="12" t="str">
        <f>IF(A195="","",(MAX(C$3:C195)-C195)/MAX(C$3:C195))</f>
        <v/>
      </c>
      <c r="G195" s="12" t="str">
        <f>IF(A195="","",MAX(F$4:F195))</f>
        <v/>
      </c>
      <c r="I195" s="14" t="str">
        <f t="shared" si="13"/>
        <v/>
      </c>
      <c r="J195" s="14" t="str">
        <f t="shared" si="14"/>
        <v/>
      </c>
      <c r="K195" s="15" t="str">
        <f t="shared" si="15"/>
        <v/>
      </c>
    </row>
    <row r="196" spans="1:11">
      <c r="A196" s="7" t="str">
        <f>IF(子基金及业绩基准周净值!A234="","",子基金及业绩基准周净值!A234)</f>
        <v/>
      </c>
      <c r="B196" s="1" t="str">
        <f>IF(A196="","",VLOOKUP($A196,子基金及业绩基准周净值!$A:$AV,17))</f>
        <v/>
      </c>
      <c r="C196" s="25"/>
      <c r="D196" s="8" t="str">
        <f t="shared" si="12"/>
        <v/>
      </c>
      <c r="E196" s="9" t="str">
        <f>IF(A196="","",D196-子基金及业绩基准周净值!AI234)</f>
        <v/>
      </c>
      <c r="F196" s="12" t="str">
        <f>IF(A196="","",(MAX(C$3:C196)-C196)/MAX(C$3:C196))</f>
        <v/>
      </c>
      <c r="G196" s="12" t="str">
        <f>IF(A196="","",MAX(F$4:F196))</f>
        <v/>
      </c>
      <c r="I196" s="14" t="str">
        <f t="shared" si="13"/>
        <v/>
      </c>
      <c r="J196" s="14" t="str">
        <f t="shared" si="14"/>
        <v/>
      </c>
      <c r="K196" s="15" t="str">
        <f t="shared" si="15"/>
        <v/>
      </c>
    </row>
    <row r="197" spans="1:11">
      <c r="A197" s="7" t="str">
        <f>IF(子基金及业绩基准周净值!A235="","",子基金及业绩基准周净值!A235)</f>
        <v/>
      </c>
      <c r="B197" s="1" t="str">
        <f>IF(A197="","",VLOOKUP($A197,子基金及业绩基准周净值!$A:$AV,17))</f>
        <v/>
      </c>
      <c r="C197" s="25"/>
      <c r="D197" s="8" t="str">
        <f t="shared" ref="D197:D260" si="16">IF(A197="","",(B197-B196)/B196)</f>
        <v/>
      </c>
      <c r="E197" s="9" t="str">
        <f>IF(A197="","",D197-子基金及业绩基准周净值!AI235)</f>
        <v/>
      </c>
      <c r="F197" s="12" t="str">
        <f>IF(A197="","",(MAX(C$3:C197)-C197)/MAX(C$3:C197))</f>
        <v/>
      </c>
      <c r="G197" s="12" t="str">
        <f>IF(A197="","",MAX(F$4:F197))</f>
        <v/>
      </c>
      <c r="I197" s="14" t="str">
        <f t="shared" ref="I197:I260" si="17">IF(B197="","",IF(D197&lt;-3%,"是","否"))</f>
        <v/>
      </c>
      <c r="J197" s="14" t="str">
        <f t="shared" ref="J197:J260" si="18">IF(A197="","",IF(G197&gt;5%,"是","否"))</f>
        <v/>
      </c>
      <c r="K197" s="15" t="str">
        <f t="shared" ref="K197:K260" si="19">IF(A197="","",IF(H197&gt;=4,"是","否"))</f>
        <v/>
      </c>
    </row>
    <row r="198" spans="1:11">
      <c r="A198" s="7" t="str">
        <f>IF(子基金及业绩基准周净值!A236="","",子基金及业绩基准周净值!A236)</f>
        <v/>
      </c>
      <c r="B198" s="1" t="str">
        <f>IF(A198="","",VLOOKUP($A198,子基金及业绩基准周净值!$A:$AV,17))</f>
        <v/>
      </c>
      <c r="C198" s="25"/>
      <c r="D198" s="8" t="str">
        <f t="shared" si="16"/>
        <v/>
      </c>
      <c r="E198" s="9" t="str">
        <f>IF(A198="","",D198-子基金及业绩基准周净值!AI236)</f>
        <v/>
      </c>
      <c r="F198" s="12" t="str">
        <f>IF(A198="","",(MAX(C$3:C198)-C198)/MAX(C$3:C198))</f>
        <v/>
      </c>
      <c r="G198" s="12" t="str">
        <f>IF(A198="","",MAX(F$4:F198))</f>
        <v/>
      </c>
      <c r="I198" s="14" t="str">
        <f t="shared" si="17"/>
        <v/>
      </c>
      <c r="J198" s="14" t="str">
        <f t="shared" si="18"/>
        <v/>
      </c>
      <c r="K198" s="15" t="str">
        <f t="shared" si="19"/>
        <v/>
      </c>
    </row>
    <row r="199" spans="1:11">
      <c r="A199" s="7" t="str">
        <f>IF(子基金及业绩基准周净值!A237="","",子基金及业绩基准周净值!A237)</f>
        <v/>
      </c>
      <c r="B199" s="1" t="str">
        <f>IF(A199="","",VLOOKUP($A199,子基金及业绩基准周净值!$A:$AV,17))</f>
        <v/>
      </c>
      <c r="C199" s="25"/>
      <c r="D199" s="8" t="str">
        <f t="shared" si="16"/>
        <v/>
      </c>
      <c r="E199" s="9" t="str">
        <f>IF(A199="","",D199-子基金及业绩基准周净值!AI237)</f>
        <v/>
      </c>
      <c r="F199" s="12" t="str">
        <f>IF(A199="","",(MAX(C$3:C199)-C199)/MAX(C$3:C199))</f>
        <v/>
      </c>
      <c r="G199" s="12" t="str">
        <f>IF(A199="","",MAX(F$4:F199))</f>
        <v/>
      </c>
      <c r="I199" s="14" t="str">
        <f t="shared" si="17"/>
        <v/>
      </c>
      <c r="J199" s="14" t="str">
        <f t="shared" si="18"/>
        <v/>
      </c>
      <c r="K199" s="15" t="str">
        <f t="shared" si="19"/>
        <v/>
      </c>
    </row>
    <row r="200" spans="1:11">
      <c r="A200" s="7" t="str">
        <f>IF(子基金及业绩基准周净值!A238="","",子基金及业绩基准周净值!A238)</f>
        <v/>
      </c>
      <c r="B200" s="1" t="str">
        <f>IF(A200="","",VLOOKUP($A200,子基金及业绩基准周净值!$A:$AV,17))</f>
        <v/>
      </c>
      <c r="C200" s="25"/>
      <c r="D200" s="8" t="str">
        <f t="shared" si="16"/>
        <v/>
      </c>
      <c r="E200" s="9" t="str">
        <f>IF(A200="","",D200-子基金及业绩基准周净值!AI238)</f>
        <v/>
      </c>
      <c r="F200" s="12" t="str">
        <f>IF(A200="","",(MAX(C$3:C200)-C200)/MAX(C$3:C200))</f>
        <v/>
      </c>
      <c r="G200" s="12" t="str">
        <f>IF(A200="","",MAX(F$4:F200))</f>
        <v/>
      </c>
      <c r="I200" s="14" t="str">
        <f t="shared" si="17"/>
        <v/>
      </c>
      <c r="J200" s="14" t="str">
        <f t="shared" si="18"/>
        <v/>
      </c>
      <c r="K200" s="15" t="str">
        <f t="shared" si="19"/>
        <v/>
      </c>
    </row>
    <row r="201" spans="1:11">
      <c r="A201" s="7" t="str">
        <f>IF(子基金及业绩基准周净值!A239="","",子基金及业绩基准周净值!A239)</f>
        <v/>
      </c>
      <c r="B201" s="1" t="str">
        <f>IF(A201="","",VLOOKUP($A201,子基金及业绩基准周净值!$A:$AV,17))</f>
        <v/>
      </c>
      <c r="C201" s="25"/>
      <c r="D201" s="8" t="str">
        <f t="shared" si="16"/>
        <v/>
      </c>
      <c r="E201" s="9" t="str">
        <f>IF(A201="","",D201-子基金及业绩基准周净值!AI239)</f>
        <v/>
      </c>
      <c r="F201" s="12" t="str">
        <f>IF(A201="","",(MAX(C$3:C201)-C201)/MAX(C$3:C201))</f>
        <v/>
      </c>
      <c r="G201" s="12" t="str">
        <f>IF(A201="","",MAX(F$4:F201))</f>
        <v/>
      </c>
      <c r="I201" s="14" t="str">
        <f t="shared" si="17"/>
        <v/>
      </c>
      <c r="J201" s="14" t="str">
        <f t="shared" si="18"/>
        <v/>
      </c>
      <c r="K201" s="15" t="str">
        <f t="shared" si="19"/>
        <v/>
      </c>
    </row>
    <row r="202" spans="1:11">
      <c r="A202" s="7" t="str">
        <f>IF(子基金及业绩基准周净值!A240="","",子基金及业绩基准周净值!A240)</f>
        <v/>
      </c>
      <c r="B202" s="1" t="str">
        <f>IF(A202="","",VLOOKUP($A202,子基金及业绩基准周净值!$A:$AV,17))</f>
        <v/>
      </c>
      <c r="C202" s="25"/>
      <c r="D202" s="8" t="str">
        <f t="shared" si="16"/>
        <v/>
      </c>
      <c r="E202" s="9" t="str">
        <f>IF(A202="","",D202-子基金及业绩基准周净值!AI240)</f>
        <v/>
      </c>
      <c r="F202" s="12" t="str">
        <f>IF(A202="","",(MAX(C$3:C202)-C202)/MAX(C$3:C202))</f>
        <v/>
      </c>
      <c r="G202" s="12" t="str">
        <f>IF(A202="","",MAX(F$4:F202))</f>
        <v/>
      </c>
      <c r="I202" s="14" t="str">
        <f t="shared" si="17"/>
        <v/>
      </c>
      <c r="J202" s="14" t="str">
        <f t="shared" si="18"/>
        <v/>
      </c>
      <c r="K202" s="15" t="str">
        <f t="shared" si="19"/>
        <v/>
      </c>
    </row>
    <row r="203" spans="1:11">
      <c r="A203" s="7" t="str">
        <f>IF(子基金及业绩基准周净值!A241="","",子基金及业绩基准周净值!A241)</f>
        <v/>
      </c>
      <c r="B203" s="1" t="str">
        <f>IF(A203="","",VLOOKUP($A203,子基金及业绩基准周净值!$A:$AV,17))</f>
        <v/>
      </c>
      <c r="C203" s="25"/>
      <c r="D203" s="8" t="str">
        <f t="shared" si="16"/>
        <v/>
      </c>
      <c r="E203" s="9" t="str">
        <f>IF(A203="","",D203-子基金及业绩基准周净值!AI241)</f>
        <v/>
      </c>
      <c r="F203" s="12" t="str">
        <f>IF(A203="","",(MAX(C$3:C203)-C203)/MAX(C$3:C203))</f>
        <v/>
      </c>
      <c r="G203" s="12" t="str">
        <f>IF(A203="","",MAX(F$4:F203))</f>
        <v/>
      </c>
      <c r="I203" s="14" t="str">
        <f t="shared" si="17"/>
        <v/>
      </c>
      <c r="J203" s="14" t="str">
        <f t="shared" si="18"/>
        <v/>
      </c>
      <c r="K203" s="15" t="str">
        <f t="shared" si="19"/>
        <v/>
      </c>
    </row>
    <row r="204" spans="1:11">
      <c r="A204" s="7" t="str">
        <f>IF(子基金及业绩基准周净值!A242="","",子基金及业绩基准周净值!A242)</f>
        <v/>
      </c>
      <c r="B204" s="1" t="str">
        <f>IF(A204="","",VLOOKUP($A204,子基金及业绩基准周净值!$A:$AV,17))</f>
        <v/>
      </c>
      <c r="C204" s="25"/>
      <c r="D204" s="8" t="str">
        <f t="shared" si="16"/>
        <v/>
      </c>
      <c r="E204" s="9" t="str">
        <f>IF(A204="","",D204-子基金及业绩基准周净值!AI242)</f>
        <v/>
      </c>
      <c r="F204" s="12" t="str">
        <f>IF(A204="","",(MAX(C$3:C204)-C204)/MAX(C$3:C204))</f>
        <v/>
      </c>
      <c r="G204" s="12" t="str">
        <f>IF(A204="","",MAX(F$4:F204))</f>
        <v/>
      </c>
      <c r="I204" s="14" t="str">
        <f t="shared" si="17"/>
        <v/>
      </c>
      <c r="J204" s="14" t="str">
        <f t="shared" si="18"/>
        <v/>
      </c>
      <c r="K204" s="15" t="str">
        <f t="shared" si="19"/>
        <v/>
      </c>
    </row>
    <row r="205" spans="1:11">
      <c r="A205" s="7" t="str">
        <f>IF(子基金及业绩基准周净值!A243="","",子基金及业绩基准周净值!A243)</f>
        <v/>
      </c>
      <c r="B205" s="1" t="str">
        <f>IF(A205="","",VLOOKUP($A205,子基金及业绩基准周净值!$A:$AV,17))</f>
        <v/>
      </c>
      <c r="C205" s="25"/>
      <c r="D205" s="8" t="str">
        <f t="shared" si="16"/>
        <v/>
      </c>
      <c r="E205" s="9" t="str">
        <f>IF(A205="","",D205-子基金及业绩基准周净值!AI243)</f>
        <v/>
      </c>
      <c r="F205" s="12" t="str">
        <f>IF(A205="","",(MAX(C$3:C205)-C205)/MAX(C$3:C205))</f>
        <v/>
      </c>
      <c r="G205" s="12" t="str">
        <f>IF(A205="","",MAX(F$4:F205))</f>
        <v/>
      </c>
      <c r="I205" s="14" t="str">
        <f t="shared" si="17"/>
        <v/>
      </c>
      <c r="J205" s="14" t="str">
        <f t="shared" si="18"/>
        <v/>
      </c>
      <c r="K205" s="15" t="str">
        <f t="shared" si="19"/>
        <v/>
      </c>
    </row>
    <row r="206" spans="1:11">
      <c r="A206" s="7" t="str">
        <f>IF(子基金及业绩基准周净值!A244="","",子基金及业绩基准周净值!A244)</f>
        <v/>
      </c>
      <c r="B206" s="1" t="str">
        <f>IF(A206="","",VLOOKUP($A206,子基金及业绩基准周净值!$A:$AV,17))</f>
        <v/>
      </c>
      <c r="C206" s="25"/>
      <c r="D206" s="8" t="str">
        <f t="shared" si="16"/>
        <v/>
      </c>
      <c r="E206" s="9" t="str">
        <f>IF(A206="","",D206-子基金及业绩基准周净值!AI244)</f>
        <v/>
      </c>
      <c r="F206" s="12" t="str">
        <f>IF(A206="","",(MAX(C$3:C206)-C206)/MAX(C$3:C206))</f>
        <v/>
      </c>
      <c r="G206" s="12" t="str">
        <f>IF(A206="","",MAX(F$4:F206))</f>
        <v/>
      </c>
      <c r="I206" s="14" t="str">
        <f t="shared" si="17"/>
        <v/>
      </c>
      <c r="J206" s="14" t="str">
        <f t="shared" si="18"/>
        <v/>
      </c>
      <c r="K206" s="15" t="str">
        <f t="shared" si="19"/>
        <v/>
      </c>
    </row>
    <row r="207" spans="1:11">
      <c r="A207" s="7" t="str">
        <f>IF(子基金及业绩基准周净值!A245="","",子基金及业绩基准周净值!A245)</f>
        <v/>
      </c>
      <c r="B207" s="1" t="str">
        <f>IF(A207="","",VLOOKUP($A207,子基金及业绩基准周净值!$A:$AV,17))</f>
        <v/>
      </c>
      <c r="C207" s="25"/>
      <c r="D207" s="8" t="str">
        <f t="shared" si="16"/>
        <v/>
      </c>
      <c r="E207" s="9" t="str">
        <f>IF(A207="","",D207-子基金及业绩基准周净值!AI245)</f>
        <v/>
      </c>
      <c r="F207" s="12" t="str">
        <f>IF(A207="","",(MAX(C$3:C207)-C207)/MAX(C$3:C207))</f>
        <v/>
      </c>
      <c r="G207" s="12" t="str">
        <f>IF(A207="","",MAX(F$4:F207))</f>
        <v/>
      </c>
      <c r="I207" s="14" t="str">
        <f t="shared" si="17"/>
        <v/>
      </c>
      <c r="J207" s="14" t="str">
        <f t="shared" si="18"/>
        <v/>
      </c>
      <c r="K207" s="15" t="str">
        <f t="shared" si="19"/>
        <v/>
      </c>
    </row>
    <row r="208" spans="1:11">
      <c r="A208" s="7" t="str">
        <f>IF(子基金及业绩基准周净值!A246="","",子基金及业绩基准周净值!A246)</f>
        <v/>
      </c>
      <c r="B208" s="1" t="str">
        <f>IF(A208="","",VLOOKUP($A208,子基金及业绩基准周净值!$A:$AV,17))</f>
        <v/>
      </c>
      <c r="C208" s="25"/>
      <c r="D208" s="8" t="str">
        <f t="shared" si="16"/>
        <v/>
      </c>
      <c r="E208" s="9" t="str">
        <f>IF(A208="","",D208-子基金及业绩基准周净值!AI246)</f>
        <v/>
      </c>
      <c r="F208" s="12" t="str">
        <f>IF(A208="","",(MAX(C$3:C208)-C208)/MAX(C$3:C208))</f>
        <v/>
      </c>
      <c r="G208" s="12" t="str">
        <f>IF(A208="","",MAX(F$4:F208))</f>
        <v/>
      </c>
      <c r="I208" s="14" t="str">
        <f t="shared" si="17"/>
        <v/>
      </c>
      <c r="J208" s="14" t="str">
        <f t="shared" si="18"/>
        <v/>
      </c>
      <c r="K208" s="15" t="str">
        <f t="shared" si="19"/>
        <v/>
      </c>
    </row>
    <row r="209" spans="1:11">
      <c r="A209" s="7" t="str">
        <f>IF(子基金及业绩基准周净值!A247="","",子基金及业绩基准周净值!A247)</f>
        <v/>
      </c>
      <c r="B209" s="1" t="str">
        <f>IF(A209="","",VLOOKUP($A209,子基金及业绩基准周净值!$A:$AV,17))</f>
        <v/>
      </c>
      <c r="C209" s="25"/>
      <c r="D209" s="8" t="str">
        <f t="shared" si="16"/>
        <v/>
      </c>
      <c r="E209" s="9" t="str">
        <f>IF(A209="","",D209-子基金及业绩基准周净值!AI247)</f>
        <v/>
      </c>
      <c r="F209" s="12" t="str">
        <f>IF(A209="","",(MAX(C$3:C209)-C209)/MAX(C$3:C209))</f>
        <v/>
      </c>
      <c r="G209" s="12" t="str">
        <f>IF(A209="","",MAX(F$4:F209))</f>
        <v/>
      </c>
      <c r="I209" s="14" t="str">
        <f t="shared" si="17"/>
        <v/>
      </c>
      <c r="J209" s="14" t="str">
        <f t="shared" si="18"/>
        <v/>
      </c>
      <c r="K209" s="15" t="str">
        <f t="shared" si="19"/>
        <v/>
      </c>
    </row>
    <row r="210" spans="1:11">
      <c r="A210" s="7" t="str">
        <f>IF(子基金及业绩基准周净值!A248="","",子基金及业绩基准周净值!A248)</f>
        <v/>
      </c>
      <c r="B210" s="1" t="str">
        <f>IF(A210="","",VLOOKUP($A210,子基金及业绩基准周净值!$A:$AV,17))</f>
        <v/>
      </c>
      <c r="C210" s="25"/>
      <c r="D210" s="8" t="str">
        <f t="shared" si="16"/>
        <v/>
      </c>
      <c r="E210" s="9" t="str">
        <f>IF(A210="","",D210-子基金及业绩基准周净值!AI248)</f>
        <v/>
      </c>
      <c r="F210" s="12" t="str">
        <f>IF(A210="","",(MAX(C$3:C210)-C210)/MAX(C$3:C210))</f>
        <v/>
      </c>
      <c r="G210" s="12" t="str">
        <f>IF(A210="","",MAX(F$4:F210))</f>
        <v/>
      </c>
      <c r="I210" s="14" t="str">
        <f t="shared" si="17"/>
        <v/>
      </c>
      <c r="J210" s="14" t="str">
        <f t="shared" si="18"/>
        <v/>
      </c>
      <c r="K210" s="15" t="str">
        <f t="shared" si="19"/>
        <v/>
      </c>
    </row>
    <row r="211" spans="1:11">
      <c r="A211" s="7" t="str">
        <f>IF(子基金及业绩基准周净值!A249="","",子基金及业绩基准周净值!A249)</f>
        <v/>
      </c>
      <c r="B211" s="1" t="str">
        <f>IF(A211="","",VLOOKUP($A211,子基金及业绩基准周净值!$A:$AV,17))</f>
        <v/>
      </c>
      <c r="C211" s="25"/>
      <c r="D211" s="8" t="str">
        <f t="shared" si="16"/>
        <v/>
      </c>
      <c r="E211" s="9" t="str">
        <f>IF(A211="","",D211-子基金及业绩基准周净值!AI249)</f>
        <v/>
      </c>
      <c r="F211" s="12" t="str">
        <f>IF(A211="","",(MAX(C$3:C211)-C211)/MAX(C$3:C211))</f>
        <v/>
      </c>
      <c r="G211" s="12" t="str">
        <f>IF(A211="","",MAX(F$4:F211))</f>
        <v/>
      </c>
      <c r="I211" s="14" t="str">
        <f t="shared" si="17"/>
        <v/>
      </c>
      <c r="J211" s="14" t="str">
        <f t="shared" si="18"/>
        <v/>
      </c>
      <c r="K211" s="15" t="str">
        <f t="shared" si="19"/>
        <v/>
      </c>
    </row>
    <row r="212" spans="1:11">
      <c r="A212" s="7" t="str">
        <f>IF(子基金及业绩基准周净值!A250="","",子基金及业绩基准周净值!A250)</f>
        <v/>
      </c>
      <c r="B212" s="1" t="str">
        <f>IF(A212="","",VLOOKUP($A212,子基金及业绩基准周净值!$A:$AV,17))</f>
        <v/>
      </c>
      <c r="C212" s="25"/>
      <c r="D212" s="8" t="str">
        <f t="shared" si="16"/>
        <v/>
      </c>
      <c r="E212" s="9" t="str">
        <f>IF(A212="","",D212-子基金及业绩基准周净值!AI250)</f>
        <v/>
      </c>
      <c r="F212" s="12" t="str">
        <f>IF(A212="","",(MAX(C$3:C212)-C212)/MAX(C$3:C212))</f>
        <v/>
      </c>
      <c r="G212" s="12" t="str">
        <f>IF(A212="","",MAX(F$4:F212))</f>
        <v/>
      </c>
      <c r="I212" s="14" t="str">
        <f t="shared" si="17"/>
        <v/>
      </c>
      <c r="J212" s="14" t="str">
        <f t="shared" si="18"/>
        <v/>
      </c>
      <c r="K212" s="15" t="str">
        <f t="shared" si="19"/>
        <v/>
      </c>
    </row>
    <row r="213" spans="1:11">
      <c r="A213" s="7" t="str">
        <f>IF(子基金及业绩基准周净值!A251="","",子基金及业绩基准周净值!A251)</f>
        <v/>
      </c>
      <c r="B213" s="1" t="str">
        <f>IF(A213="","",VLOOKUP($A213,子基金及业绩基准周净值!$A:$AV,17))</f>
        <v/>
      </c>
      <c r="C213" s="25"/>
      <c r="D213" s="8" t="str">
        <f t="shared" si="16"/>
        <v/>
      </c>
      <c r="E213" s="9" t="str">
        <f>IF(A213="","",D213-子基金及业绩基准周净值!AI251)</f>
        <v/>
      </c>
      <c r="F213" s="12" t="str">
        <f>IF(A213="","",(MAX(C$3:C213)-C213)/MAX(C$3:C213))</f>
        <v/>
      </c>
      <c r="G213" s="12" t="str">
        <f>IF(A213="","",MAX(F$4:F213))</f>
        <v/>
      </c>
      <c r="I213" s="14" t="str">
        <f t="shared" si="17"/>
        <v/>
      </c>
      <c r="J213" s="14" t="str">
        <f t="shared" si="18"/>
        <v/>
      </c>
      <c r="K213" s="15" t="str">
        <f t="shared" si="19"/>
        <v/>
      </c>
    </row>
    <row r="214" spans="1:11">
      <c r="A214" s="7" t="str">
        <f>IF(子基金及业绩基准周净值!A252="","",子基金及业绩基准周净值!A252)</f>
        <v/>
      </c>
      <c r="B214" s="1" t="str">
        <f>IF(A214="","",VLOOKUP($A214,子基金及业绩基准周净值!$A:$AV,17))</f>
        <v/>
      </c>
      <c r="C214" s="25"/>
      <c r="D214" s="8" t="str">
        <f t="shared" si="16"/>
        <v/>
      </c>
      <c r="E214" s="9" t="str">
        <f>IF(A214="","",D214-子基金及业绩基准周净值!AI252)</f>
        <v/>
      </c>
      <c r="F214" s="12" t="str">
        <f>IF(A214="","",(MAX(C$3:C214)-C214)/MAX(C$3:C214))</f>
        <v/>
      </c>
      <c r="G214" s="12" t="str">
        <f>IF(A214="","",MAX(F$4:F214))</f>
        <v/>
      </c>
      <c r="I214" s="14" t="str">
        <f t="shared" si="17"/>
        <v/>
      </c>
      <c r="J214" s="14" t="str">
        <f t="shared" si="18"/>
        <v/>
      </c>
      <c r="K214" s="15" t="str">
        <f t="shared" si="19"/>
        <v/>
      </c>
    </row>
    <row r="215" spans="1:11">
      <c r="A215" s="7" t="str">
        <f>IF(子基金及业绩基准周净值!A253="","",子基金及业绩基准周净值!A253)</f>
        <v/>
      </c>
      <c r="B215" s="1" t="str">
        <f>IF(A215="","",VLOOKUP($A215,子基金及业绩基准周净值!$A:$AV,17))</f>
        <v/>
      </c>
      <c r="C215" s="25"/>
      <c r="D215" s="8" t="str">
        <f t="shared" si="16"/>
        <v/>
      </c>
      <c r="E215" s="9" t="str">
        <f>IF(A215="","",D215-子基金及业绩基准周净值!AI253)</f>
        <v/>
      </c>
      <c r="F215" s="12" t="str">
        <f>IF(A215="","",(MAX(C$3:C215)-C215)/MAX(C$3:C215))</f>
        <v/>
      </c>
      <c r="G215" s="12" t="str">
        <f>IF(A215="","",MAX(F$4:F215))</f>
        <v/>
      </c>
      <c r="I215" s="14" t="str">
        <f t="shared" si="17"/>
        <v/>
      </c>
      <c r="J215" s="14" t="str">
        <f t="shared" si="18"/>
        <v/>
      </c>
      <c r="K215" s="15" t="str">
        <f t="shared" si="19"/>
        <v/>
      </c>
    </row>
    <row r="216" spans="1:11">
      <c r="A216" s="7" t="str">
        <f>IF(子基金及业绩基准周净值!A254="","",子基金及业绩基准周净值!A254)</f>
        <v/>
      </c>
      <c r="B216" s="1" t="str">
        <f>IF(A216="","",VLOOKUP($A216,子基金及业绩基准周净值!$A:$AV,17))</f>
        <v/>
      </c>
      <c r="C216" s="25"/>
      <c r="D216" s="8" t="str">
        <f t="shared" si="16"/>
        <v/>
      </c>
      <c r="E216" s="9" t="str">
        <f>IF(A216="","",D216-子基金及业绩基准周净值!AI254)</f>
        <v/>
      </c>
      <c r="F216" s="12" t="str">
        <f>IF(A216="","",(MAX(C$3:C216)-C216)/MAX(C$3:C216))</f>
        <v/>
      </c>
      <c r="G216" s="12" t="str">
        <f>IF(A216="","",MAX(F$4:F216))</f>
        <v/>
      </c>
      <c r="I216" s="14" t="str">
        <f t="shared" si="17"/>
        <v/>
      </c>
      <c r="J216" s="14" t="str">
        <f t="shared" si="18"/>
        <v/>
      </c>
      <c r="K216" s="15" t="str">
        <f t="shared" si="19"/>
        <v/>
      </c>
    </row>
    <row r="217" spans="1:11">
      <c r="A217" s="7" t="str">
        <f>IF(子基金及业绩基准周净值!A255="","",子基金及业绩基准周净值!A255)</f>
        <v/>
      </c>
      <c r="B217" s="1" t="str">
        <f>IF(A217="","",VLOOKUP($A217,子基金及业绩基准周净值!$A:$AV,17))</f>
        <v/>
      </c>
      <c r="C217" s="25"/>
      <c r="D217" s="8" t="str">
        <f t="shared" si="16"/>
        <v/>
      </c>
      <c r="E217" s="9" t="str">
        <f>IF(A217="","",D217-子基金及业绩基准周净值!AI255)</f>
        <v/>
      </c>
      <c r="F217" s="12" t="str">
        <f>IF(A217="","",(MAX(C$3:C217)-C217)/MAX(C$3:C217))</f>
        <v/>
      </c>
      <c r="G217" s="12" t="str">
        <f>IF(A217="","",MAX(F$4:F217))</f>
        <v/>
      </c>
      <c r="I217" s="14" t="str">
        <f t="shared" si="17"/>
        <v/>
      </c>
      <c r="J217" s="14" t="str">
        <f t="shared" si="18"/>
        <v/>
      </c>
      <c r="K217" s="15" t="str">
        <f t="shared" si="19"/>
        <v/>
      </c>
    </row>
    <row r="218" spans="1:11">
      <c r="A218" s="7" t="str">
        <f>IF(子基金及业绩基准周净值!A256="","",子基金及业绩基准周净值!A256)</f>
        <v/>
      </c>
      <c r="B218" s="1" t="str">
        <f>IF(A218="","",VLOOKUP($A218,子基金及业绩基准周净值!$A:$AV,17))</f>
        <v/>
      </c>
      <c r="C218" s="25"/>
      <c r="D218" s="8" t="str">
        <f t="shared" si="16"/>
        <v/>
      </c>
      <c r="E218" s="9" t="str">
        <f>IF(A218="","",D218-子基金及业绩基准周净值!AI256)</f>
        <v/>
      </c>
      <c r="F218" s="12" t="str">
        <f>IF(A218="","",(MAX(C$3:C218)-C218)/MAX(C$3:C218))</f>
        <v/>
      </c>
      <c r="G218" s="12" t="str">
        <f>IF(A218="","",MAX(F$4:F218))</f>
        <v/>
      </c>
      <c r="I218" s="14" t="str">
        <f t="shared" si="17"/>
        <v/>
      </c>
      <c r="J218" s="14" t="str">
        <f t="shared" si="18"/>
        <v/>
      </c>
      <c r="K218" s="15" t="str">
        <f t="shared" si="19"/>
        <v/>
      </c>
    </row>
    <row r="219" spans="1:11">
      <c r="A219" s="7" t="str">
        <f>IF(子基金及业绩基准周净值!A257="","",子基金及业绩基准周净值!A257)</f>
        <v/>
      </c>
      <c r="B219" s="1" t="str">
        <f>IF(A219="","",VLOOKUP($A219,子基金及业绩基准周净值!$A:$AV,17))</f>
        <v/>
      </c>
      <c r="C219" s="25"/>
      <c r="D219" s="8" t="str">
        <f t="shared" si="16"/>
        <v/>
      </c>
      <c r="E219" s="9" t="str">
        <f>IF(A219="","",D219-子基金及业绩基准周净值!AI257)</f>
        <v/>
      </c>
      <c r="F219" s="12" t="str">
        <f>IF(A219="","",(MAX(C$3:C219)-C219)/MAX(C$3:C219))</f>
        <v/>
      </c>
      <c r="G219" s="12" t="str">
        <f>IF(A219="","",MAX(F$4:F219))</f>
        <v/>
      </c>
      <c r="I219" s="14" t="str">
        <f t="shared" si="17"/>
        <v/>
      </c>
      <c r="J219" s="14" t="str">
        <f t="shared" si="18"/>
        <v/>
      </c>
      <c r="K219" s="15" t="str">
        <f t="shared" si="19"/>
        <v/>
      </c>
    </row>
    <row r="220" spans="1:11">
      <c r="A220" s="7" t="str">
        <f>IF(子基金及业绩基准周净值!A258="","",子基金及业绩基准周净值!A258)</f>
        <v/>
      </c>
      <c r="B220" s="1" t="str">
        <f>IF(A220="","",VLOOKUP($A220,子基金及业绩基准周净值!$A:$AV,17))</f>
        <v/>
      </c>
      <c r="C220" s="25"/>
      <c r="D220" s="8" t="str">
        <f t="shared" si="16"/>
        <v/>
      </c>
      <c r="E220" s="9" t="str">
        <f>IF(A220="","",D220-子基金及业绩基准周净值!AI258)</f>
        <v/>
      </c>
      <c r="F220" s="12" t="str">
        <f>IF(A220="","",(MAX(C$3:C220)-C220)/MAX(C$3:C220))</f>
        <v/>
      </c>
      <c r="G220" s="12" t="str">
        <f>IF(A220="","",MAX(F$4:F220))</f>
        <v/>
      </c>
      <c r="I220" s="14" t="str">
        <f t="shared" si="17"/>
        <v/>
      </c>
      <c r="J220" s="14" t="str">
        <f t="shared" si="18"/>
        <v/>
      </c>
      <c r="K220" s="15" t="str">
        <f t="shared" si="19"/>
        <v/>
      </c>
    </row>
    <row r="221" spans="1:11">
      <c r="A221" s="7" t="str">
        <f>IF(子基金及业绩基准周净值!A259="","",子基金及业绩基准周净值!A259)</f>
        <v/>
      </c>
      <c r="B221" s="1" t="str">
        <f>IF(A221="","",VLOOKUP($A221,子基金及业绩基准周净值!$A:$AV,17))</f>
        <v/>
      </c>
      <c r="C221" s="25"/>
      <c r="D221" s="8" t="str">
        <f t="shared" si="16"/>
        <v/>
      </c>
      <c r="E221" s="9" t="str">
        <f>IF(A221="","",D221-子基金及业绩基准周净值!AI259)</f>
        <v/>
      </c>
      <c r="F221" s="12" t="str">
        <f>IF(A221="","",(MAX(C$3:C221)-C221)/MAX(C$3:C221))</f>
        <v/>
      </c>
      <c r="G221" s="12" t="str">
        <f>IF(A221="","",MAX(F$4:F221))</f>
        <v/>
      </c>
      <c r="I221" s="14" t="str">
        <f t="shared" si="17"/>
        <v/>
      </c>
      <c r="J221" s="14" t="str">
        <f t="shared" si="18"/>
        <v/>
      </c>
      <c r="K221" s="15" t="str">
        <f t="shared" si="19"/>
        <v/>
      </c>
    </row>
    <row r="222" spans="1:11">
      <c r="A222" s="7" t="str">
        <f>IF(子基金及业绩基准周净值!A260="","",子基金及业绩基准周净值!A260)</f>
        <v/>
      </c>
      <c r="B222" s="1" t="str">
        <f>IF(A222="","",VLOOKUP($A222,子基金及业绩基准周净值!$A:$AV,17))</f>
        <v/>
      </c>
      <c r="C222" s="25"/>
      <c r="D222" s="8" t="str">
        <f t="shared" si="16"/>
        <v/>
      </c>
      <c r="E222" s="9" t="str">
        <f>IF(A222="","",D222-子基金及业绩基准周净值!AI260)</f>
        <v/>
      </c>
      <c r="F222" s="12" t="str">
        <f>IF(A222="","",(MAX(C$3:C222)-C222)/MAX(C$3:C222))</f>
        <v/>
      </c>
      <c r="G222" s="12" t="str">
        <f>IF(A222="","",MAX(F$4:F222))</f>
        <v/>
      </c>
      <c r="I222" s="14" t="str">
        <f t="shared" si="17"/>
        <v/>
      </c>
      <c r="J222" s="14" t="str">
        <f t="shared" si="18"/>
        <v/>
      </c>
      <c r="K222" s="15" t="str">
        <f t="shared" si="19"/>
        <v/>
      </c>
    </row>
    <row r="223" spans="1:11">
      <c r="A223" s="7" t="str">
        <f>IF(子基金及业绩基准周净值!A261="","",子基金及业绩基准周净值!A261)</f>
        <v/>
      </c>
      <c r="B223" s="1" t="str">
        <f>IF(A223="","",VLOOKUP($A223,子基金及业绩基准周净值!$A:$AV,17))</f>
        <v/>
      </c>
      <c r="C223" s="25"/>
      <c r="D223" s="8" t="str">
        <f t="shared" si="16"/>
        <v/>
      </c>
      <c r="E223" s="9" t="str">
        <f>IF(A223="","",D223-子基金及业绩基准周净值!AI261)</f>
        <v/>
      </c>
      <c r="F223" s="12" t="str">
        <f>IF(A223="","",(MAX(C$3:C223)-C223)/MAX(C$3:C223))</f>
        <v/>
      </c>
      <c r="G223" s="12" t="str">
        <f>IF(A223="","",MAX(F$4:F223))</f>
        <v/>
      </c>
      <c r="I223" s="14" t="str">
        <f t="shared" si="17"/>
        <v/>
      </c>
      <c r="J223" s="14" t="str">
        <f t="shared" si="18"/>
        <v/>
      </c>
      <c r="K223" s="15" t="str">
        <f t="shared" si="19"/>
        <v/>
      </c>
    </row>
    <row r="224" spans="1:11">
      <c r="A224" s="7" t="str">
        <f>IF(子基金及业绩基准周净值!A262="","",子基金及业绩基准周净值!A262)</f>
        <v/>
      </c>
      <c r="B224" s="1" t="str">
        <f>IF(A224="","",VLOOKUP($A224,子基金及业绩基准周净值!$A:$AV,17))</f>
        <v/>
      </c>
      <c r="C224" s="25"/>
      <c r="D224" s="8" t="str">
        <f t="shared" si="16"/>
        <v/>
      </c>
      <c r="E224" s="9" t="str">
        <f>IF(A224="","",D224-子基金及业绩基准周净值!AI262)</f>
        <v/>
      </c>
      <c r="F224" s="12" t="str">
        <f>IF(A224="","",(MAX(C$3:C224)-C224)/MAX(C$3:C224))</f>
        <v/>
      </c>
      <c r="G224" s="12" t="str">
        <f>IF(A224="","",MAX(F$4:F224))</f>
        <v/>
      </c>
      <c r="I224" s="14" t="str">
        <f t="shared" si="17"/>
        <v/>
      </c>
      <c r="J224" s="14" t="str">
        <f t="shared" si="18"/>
        <v/>
      </c>
      <c r="K224" s="15" t="str">
        <f t="shared" si="19"/>
        <v/>
      </c>
    </row>
    <row r="225" spans="1:11">
      <c r="A225" s="7" t="str">
        <f>IF(子基金及业绩基准周净值!A263="","",子基金及业绩基准周净值!A263)</f>
        <v/>
      </c>
      <c r="B225" s="1" t="str">
        <f>IF(A225="","",VLOOKUP($A225,子基金及业绩基准周净值!$A:$AV,17))</f>
        <v/>
      </c>
      <c r="C225" s="25"/>
      <c r="D225" s="8" t="str">
        <f t="shared" si="16"/>
        <v/>
      </c>
      <c r="E225" s="9" t="str">
        <f>IF(A225="","",D225-子基金及业绩基准周净值!AI263)</f>
        <v/>
      </c>
      <c r="F225" s="12" t="str">
        <f>IF(A225="","",(MAX(C$3:C225)-C225)/MAX(C$3:C225))</f>
        <v/>
      </c>
      <c r="G225" s="12" t="str">
        <f>IF(A225="","",MAX(F$4:F225))</f>
        <v/>
      </c>
      <c r="I225" s="14" t="str">
        <f t="shared" si="17"/>
        <v/>
      </c>
      <c r="J225" s="14" t="str">
        <f t="shared" si="18"/>
        <v/>
      </c>
      <c r="K225" s="15" t="str">
        <f t="shared" si="19"/>
        <v/>
      </c>
    </row>
    <row r="226" spans="1:11">
      <c r="A226" s="7" t="str">
        <f>IF(子基金及业绩基准周净值!A264="","",子基金及业绩基准周净值!A264)</f>
        <v/>
      </c>
      <c r="B226" s="1" t="str">
        <f>IF(A226="","",VLOOKUP($A226,子基金及业绩基准周净值!$A:$AV,17))</f>
        <v/>
      </c>
      <c r="C226" s="25"/>
      <c r="D226" s="8" t="str">
        <f t="shared" si="16"/>
        <v/>
      </c>
      <c r="E226" s="9" t="str">
        <f>IF(A226="","",D226-子基金及业绩基准周净值!AI264)</f>
        <v/>
      </c>
      <c r="F226" s="12" t="str">
        <f>IF(A226="","",(MAX(C$3:C226)-C226)/MAX(C$3:C226))</f>
        <v/>
      </c>
      <c r="G226" s="12" t="str">
        <f>IF(A226="","",MAX(F$4:F226))</f>
        <v/>
      </c>
      <c r="I226" s="14" t="str">
        <f t="shared" si="17"/>
        <v/>
      </c>
      <c r="J226" s="14" t="str">
        <f t="shared" si="18"/>
        <v/>
      </c>
      <c r="K226" s="15" t="str">
        <f t="shared" si="19"/>
        <v/>
      </c>
    </row>
    <row r="227" spans="1:11">
      <c r="A227" s="7" t="str">
        <f>IF(子基金及业绩基准周净值!A265="","",子基金及业绩基准周净值!A265)</f>
        <v/>
      </c>
      <c r="B227" s="1" t="str">
        <f>IF(A227="","",VLOOKUP($A227,子基金及业绩基准周净值!$A:$AV,17))</f>
        <v/>
      </c>
      <c r="C227" s="25"/>
      <c r="D227" s="8" t="str">
        <f t="shared" si="16"/>
        <v/>
      </c>
      <c r="E227" s="9" t="str">
        <f>IF(A227="","",D227-子基金及业绩基准周净值!AI265)</f>
        <v/>
      </c>
      <c r="F227" s="12" t="str">
        <f>IF(A227="","",(MAX(C$3:C227)-C227)/MAX(C$3:C227))</f>
        <v/>
      </c>
      <c r="G227" s="12" t="str">
        <f>IF(A227="","",MAX(F$4:F227))</f>
        <v/>
      </c>
      <c r="I227" s="14" t="str">
        <f t="shared" si="17"/>
        <v/>
      </c>
      <c r="J227" s="14" t="str">
        <f t="shared" si="18"/>
        <v/>
      </c>
      <c r="K227" s="15" t="str">
        <f t="shared" si="19"/>
        <v/>
      </c>
    </row>
    <row r="228" spans="1:11">
      <c r="A228" s="7" t="str">
        <f>IF(子基金及业绩基准周净值!A266="","",子基金及业绩基准周净值!A266)</f>
        <v/>
      </c>
      <c r="B228" s="1" t="str">
        <f>IF(A228="","",VLOOKUP($A228,子基金及业绩基准周净值!$A:$AV,17))</f>
        <v/>
      </c>
      <c r="C228" s="25"/>
      <c r="D228" s="8" t="str">
        <f t="shared" si="16"/>
        <v/>
      </c>
      <c r="E228" s="9" t="str">
        <f>IF(A228="","",D228-子基金及业绩基准周净值!AI266)</f>
        <v/>
      </c>
      <c r="F228" s="12" t="str">
        <f>IF(A228="","",(MAX(C$3:C228)-C228)/MAX(C$3:C228))</f>
        <v/>
      </c>
      <c r="G228" s="12" t="str">
        <f>IF(A228="","",MAX(F$4:F228))</f>
        <v/>
      </c>
      <c r="I228" s="14" t="str">
        <f t="shared" si="17"/>
        <v/>
      </c>
      <c r="J228" s="14" t="str">
        <f t="shared" si="18"/>
        <v/>
      </c>
      <c r="K228" s="15" t="str">
        <f t="shared" si="19"/>
        <v/>
      </c>
    </row>
    <row r="229" spans="1:11">
      <c r="A229" s="7" t="str">
        <f>IF(子基金及业绩基准周净值!A267="","",子基金及业绩基准周净值!A267)</f>
        <v/>
      </c>
      <c r="B229" s="1" t="str">
        <f>IF(A229="","",VLOOKUP($A229,子基金及业绩基准周净值!$A:$AV,17))</f>
        <v/>
      </c>
      <c r="C229" s="25"/>
      <c r="D229" s="8" t="str">
        <f t="shared" si="16"/>
        <v/>
      </c>
      <c r="E229" s="9" t="str">
        <f>IF(A229="","",D229-子基金及业绩基准周净值!AI267)</f>
        <v/>
      </c>
      <c r="F229" s="12" t="str">
        <f>IF(A229="","",(MAX(C$3:C229)-C229)/MAX(C$3:C229))</f>
        <v/>
      </c>
      <c r="G229" s="12" t="str">
        <f>IF(A229="","",MAX(F$4:F229))</f>
        <v/>
      </c>
      <c r="I229" s="14" t="str">
        <f t="shared" si="17"/>
        <v/>
      </c>
      <c r="J229" s="14" t="str">
        <f t="shared" si="18"/>
        <v/>
      </c>
      <c r="K229" s="15" t="str">
        <f t="shared" si="19"/>
        <v/>
      </c>
    </row>
    <row r="230" spans="1:11">
      <c r="A230" s="7" t="str">
        <f>IF(子基金及业绩基准周净值!A268="","",子基金及业绩基准周净值!A268)</f>
        <v/>
      </c>
      <c r="B230" s="1" t="str">
        <f>IF(A230="","",VLOOKUP($A230,子基金及业绩基准周净值!$A:$AV,17))</f>
        <v/>
      </c>
      <c r="C230" s="25"/>
      <c r="D230" s="8" t="str">
        <f t="shared" si="16"/>
        <v/>
      </c>
      <c r="E230" s="9" t="str">
        <f>IF(A230="","",D230-子基金及业绩基准周净值!AI268)</f>
        <v/>
      </c>
      <c r="F230" s="12" t="str">
        <f>IF(A230="","",(MAX(C$3:C230)-C230)/MAX(C$3:C230))</f>
        <v/>
      </c>
      <c r="G230" s="12" t="str">
        <f>IF(A230="","",MAX(F$4:F230))</f>
        <v/>
      </c>
      <c r="I230" s="14" t="str">
        <f t="shared" si="17"/>
        <v/>
      </c>
      <c r="J230" s="14" t="str">
        <f t="shared" si="18"/>
        <v/>
      </c>
      <c r="K230" s="15" t="str">
        <f t="shared" si="19"/>
        <v/>
      </c>
    </row>
    <row r="231" spans="1:11">
      <c r="A231" s="7" t="str">
        <f>IF(子基金及业绩基准周净值!A269="","",子基金及业绩基准周净值!A269)</f>
        <v/>
      </c>
      <c r="B231" s="1" t="str">
        <f>IF(A231="","",VLOOKUP($A231,子基金及业绩基准周净值!$A:$AV,17))</f>
        <v/>
      </c>
      <c r="C231" s="25"/>
      <c r="D231" s="8" t="str">
        <f t="shared" si="16"/>
        <v/>
      </c>
      <c r="E231" s="9" t="str">
        <f>IF(A231="","",D231-子基金及业绩基准周净值!AI269)</f>
        <v/>
      </c>
      <c r="F231" s="12" t="str">
        <f>IF(A231="","",(MAX(C$3:C231)-C231)/MAX(C$3:C231))</f>
        <v/>
      </c>
      <c r="G231" s="12" t="str">
        <f>IF(A231="","",MAX(F$4:F231))</f>
        <v/>
      </c>
      <c r="I231" s="14" t="str">
        <f t="shared" si="17"/>
        <v/>
      </c>
      <c r="J231" s="14" t="str">
        <f t="shared" si="18"/>
        <v/>
      </c>
      <c r="K231" s="15" t="str">
        <f t="shared" si="19"/>
        <v/>
      </c>
    </row>
    <row r="232" spans="1:11">
      <c r="A232" s="7" t="str">
        <f>IF(子基金及业绩基准周净值!A270="","",子基金及业绩基准周净值!A270)</f>
        <v/>
      </c>
      <c r="B232" s="1" t="str">
        <f>IF(A232="","",VLOOKUP($A232,子基金及业绩基准周净值!$A:$AV,17))</f>
        <v/>
      </c>
      <c r="C232" s="25"/>
      <c r="D232" s="8" t="str">
        <f t="shared" si="16"/>
        <v/>
      </c>
      <c r="E232" s="9" t="str">
        <f>IF(A232="","",D232-子基金及业绩基准周净值!AI270)</f>
        <v/>
      </c>
      <c r="F232" s="12" t="str">
        <f>IF(A232="","",(MAX(C$3:C232)-C232)/MAX(C$3:C232))</f>
        <v/>
      </c>
      <c r="G232" s="12" t="str">
        <f>IF(A232="","",MAX(F$4:F232))</f>
        <v/>
      </c>
      <c r="I232" s="14" t="str">
        <f t="shared" si="17"/>
        <v/>
      </c>
      <c r="J232" s="14" t="str">
        <f t="shared" si="18"/>
        <v/>
      </c>
      <c r="K232" s="15" t="str">
        <f t="shared" si="19"/>
        <v/>
      </c>
    </row>
    <row r="233" spans="1:11">
      <c r="A233" s="7" t="str">
        <f>IF(子基金及业绩基准周净值!A271="","",子基金及业绩基准周净值!A271)</f>
        <v/>
      </c>
      <c r="B233" s="1" t="str">
        <f>IF(A233="","",VLOOKUP($A233,子基金及业绩基准周净值!$A:$AV,17))</f>
        <v/>
      </c>
      <c r="C233" s="25"/>
      <c r="D233" s="8" t="str">
        <f t="shared" si="16"/>
        <v/>
      </c>
      <c r="E233" s="9" t="str">
        <f>IF(A233="","",D233-子基金及业绩基准周净值!AI271)</f>
        <v/>
      </c>
      <c r="F233" s="12" t="str">
        <f>IF(A233="","",(MAX(C$3:C233)-C233)/MAX(C$3:C233))</f>
        <v/>
      </c>
      <c r="G233" s="12" t="str">
        <f>IF(A233="","",MAX(F$4:F233))</f>
        <v/>
      </c>
      <c r="I233" s="14" t="str">
        <f t="shared" si="17"/>
        <v/>
      </c>
      <c r="J233" s="14" t="str">
        <f t="shared" si="18"/>
        <v/>
      </c>
      <c r="K233" s="15" t="str">
        <f t="shared" si="19"/>
        <v/>
      </c>
    </row>
    <row r="234" spans="1:11">
      <c r="A234" s="7" t="str">
        <f>IF(子基金及业绩基准周净值!A272="","",子基金及业绩基准周净值!A272)</f>
        <v/>
      </c>
      <c r="B234" s="1" t="str">
        <f>IF(A234="","",VLOOKUP($A234,子基金及业绩基准周净值!$A:$AV,17))</f>
        <v/>
      </c>
      <c r="C234" s="25"/>
      <c r="D234" s="8" t="str">
        <f t="shared" si="16"/>
        <v/>
      </c>
      <c r="E234" s="9" t="str">
        <f>IF(A234="","",D234-子基金及业绩基准周净值!AI272)</f>
        <v/>
      </c>
      <c r="F234" s="12" t="str">
        <f>IF(A234="","",(MAX(C$3:C234)-C234)/MAX(C$3:C234))</f>
        <v/>
      </c>
      <c r="G234" s="12" t="str">
        <f>IF(A234="","",MAX(F$4:F234))</f>
        <v/>
      </c>
      <c r="I234" s="14" t="str">
        <f t="shared" si="17"/>
        <v/>
      </c>
      <c r="J234" s="14" t="str">
        <f t="shared" si="18"/>
        <v/>
      </c>
      <c r="K234" s="15" t="str">
        <f t="shared" si="19"/>
        <v/>
      </c>
    </row>
    <row r="235" spans="1:11">
      <c r="A235" s="7" t="str">
        <f>IF(子基金及业绩基准周净值!A273="","",子基金及业绩基准周净值!A273)</f>
        <v/>
      </c>
      <c r="B235" s="1" t="str">
        <f>IF(A235="","",VLOOKUP($A235,子基金及业绩基准周净值!$A:$AV,17))</f>
        <v/>
      </c>
      <c r="C235" s="25"/>
      <c r="D235" s="8" t="str">
        <f t="shared" si="16"/>
        <v/>
      </c>
      <c r="E235" s="9" t="str">
        <f>IF(A235="","",D235-子基金及业绩基准周净值!AI273)</f>
        <v/>
      </c>
      <c r="F235" s="12" t="str">
        <f>IF(A235="","",(MAX(C$3:C235)-C235)/MAX(C$3:C235))</f>
        <v/>
      </c>
      <c r="G235" s="12" t="str">
        <f>IF(A235="","",MAX(F$4:F235))</f>
        <v/>
      </c>
      <c r="I235" s="14" t="str">
        <f t="shared" si="17"/>
        <v/>
      </c>
      <c r="J235" s="14" t="str">
        <f t="shared" si="18"/>
        <v/>
      </c>
      <c r="K235" s="15" t="str">
        <f t="shared" si="19"/>
        <v/>
      </c>
    </row>
    <row r="236" spans="1:11">
      <c r="A236" s="7" t="str">
        <f>IF(子基金及业绩基准周净值!A274="","",子基金及业绩基准周净值!A274)</f>
        <v/>
      </c>
      <c r="B236" s="1" t="str">
        <f>IF(A236="","",VLOOKUP($A236,子基金及业绩基准周净值!$A:$AV,17))</f>
        <v/>
      </c>
      <c r="C236" s="25"/>
      <c r="D236" s="8" t="str">
        <f t="shared" si="16"/>
        <v/>
      </c>
      <c r="E236" s="9" t="str">
        <f>IF(A236="","",D236-子基金及业绩基准周净值!AI274)</f>
        <v/>
      </c>
      <c r="F236" s="12" t="str">
        <f>IF(A236="","",(MAX(C$3:C236)-C236)/MAX(C$3:C236))</f>
        <v/>
      </c>
      <c r="G236" s="12" t="str">
        <f>IF(A236="","",MAX(F$4:F236))</f>
        <v/>
      </c>
      <c r="I236" s="14" t="str">
        <f t="shared" si="17"/>
        <v/>
      </c>
      <c r="J236" s="14" t="str">
        <f t="shared" si="18"/>
        <v/>
      </c>
      <c r="K236" s="15" t="str">
        <f t="shared" si="19"/>
        <v/>
      </c>
    </row>
    <row r="237" spans="1:11">
      <c r="A237" s="7" t="str">
        <f>IF(子基金及业绩基准周净值!A275="","",子基金及业绩基准周净值!A275)</f>
        <v/>
      </c>
      <c r="B237" s="1" t="str">
        <f>IF(A237="","",VLOOKUP($A237,子基金及业绩基准周净值!$A:$AV,17))</f>
        <v/>
      </c>
      <c r="C237" s="25"/>
      <c r="D237" s="8" t="str">
        <f t="shared" si="16"/>
        <v/>
      </c>
      <c r="E237" s="9" t="str">
        <f>IF(A237="","",D237-子基金及业绩基准周净值!AI275)</f>
        <v/>
      </c>
      <c r="F237" s="12" t="str">
        <f>IF(A237="","",(MAX(C$3:C237)-C237)/MAX(C$3:C237))</f>
        <v/>
      </c>
      <c r="G237" s="12" t="str">
        <f>IF(A237="","",MAX(F$4:F237))</f>
        <v/>
      </c>
      <c r="I237" s="14" t="str">
        <f t="shared" si="17"/>
        <v/>
      </c>
      <c r="J237" s="14" t="str">
        <f t="shared" si="18"/>
        <v/>
      </c>
      <c r="K237" s="15" t="str">
        <f t="shared" si="19"/>
        <v/>
      </c>
    </row>
    <row r="238" spans="1:11">
      <c r="A238" s="7" t="str">
        <f>IF(子基金及业绩基准周净值!A276="","",子基金及业绩基准周净值!A276)</f>
        <v/>
      </c>
      <c r="B238" s="1" t="str">
        <f>IF(A238="","",VLOOKUP($A238,子基金及业绩基准周净值!$A:$AV,17))</f>
        <v/>
      </c>
      <c r="C238" s="25"/>
      <c r="D238" s="8" t="str">
        <f t="shared" si="16"/>
        <v/>
      </c>
      <c r="E238" s="9" t="str">
        <f>IF(A238="","",D238-子基金及业绩基准周净值!AI276)</f>
        <v/>
      </c>
      <c r="F238" s="12" t="str">
        <f>IF(A238="","",(MAX(C$3:C238)-C238)/MAX(C$3:C238))</f>
        <v/>
      </c>
      <c r="G238" s="12" t="str">
        <f>IF(A238="","",MAX(F$4:F238))</f>
        <v/>
      </c>
      <c r="I238" s="14" t="str">
        <f t="shared" si="17"/>
        <v/>
      </c>
      <c r="J238" s="14" t="str">
        <f t="shared" si="18"/>
        <v/>
      </c>
      <c r="K238" s="15" t="str">
        <f t="shared" si="19"/>
        <v/>
      </c>
    </row>
    <row r="239" spans="1:11">
      <c r="A239" s="7" t="str">
        <f>IF(子基金及业绩基准周净值!A277="","",子基金及业绩基准周净值!A277)</f>
        <v/>
      </c>
      <c r="B239" s="1" t="str">
        <f>IF(A239="","",VLOOKUP($A239,子基金及业绩基准周净值!$A:$AV,17))</f>
        <v/>
      </c>
      <c r="C239" s="25"/>
      <c r="D239" s="8" t="str">
        <f t="shared" si="16"/>
        <v/>
      </c>
      <c r="E239" s="9" t="str">
        <f>IF(A239="","",D239-子基金及业绩基准周净值!AI277)</f>
        <v/>
      </c>
      <c r="F239" s="12" t="str">
        <f>IF(A239="","",(MAX(C$3:C239)-C239)/MAX(C$3:C239))</f>
        <v/>
      </c>
      <c r="G239" s="12" t="str">
        <f>IF(A239="","",MAX(F$4:F239))</f>
        <v/>
      </c>
      <c r="I239" s="14" t="str">
        <f t="shared" si="17"/>
        <v/>
      </c>
      <c r="J239" s="14" t="str">
        <f t="shared" si="18"/>
        <v/>
      </c>
      <c r="K239" s="15" t="str">
        <f t="shared" si="19"/>
        <v/>
      </c>
    </row>
    <row r="240" spans="1:11">
      <c r="A240" s="7" t="str">
        <f>IF(子基金及业绩基准周净值!A278="","",子基金及业绩基准周净值!A278)</f>
        <v/>
      </c>
      <c r="B240" s="1" t="str">
        <f>IF(A240="","",VLOOKUP($A240,子基金及业绩基准周净值!$A:$AV,17))</f>
        <v/>
      </c>
      <c r="C240" s="25"/>
      <c r="D240" s="8" t="str">
        <f t="shared" si="16"/>
        <v/>
      </c>
      <c r="E240" s="9" t="str">
        <f>IF(A240="","",D240-子基金及业绩基准周净值!AI278)</f>
        <v/>
      </c>
      <c r="F240" s="12" t="str">
        <f>IF(A240="","",(MAX(C$3:C240)-C240)/MAX(C$3:C240))</f>
        <v/>
      </c>
      <c r="G240" s="12" t="str">
        <f>IF(A240="","",MAX(F$4:F240))</f>
        <v/>
      </c>
      <c r="I240" s="14" t="str">
        <f t="shared" si="17"/>
        <v/>
      </c>
      <c r="J240" s="14" t="str">
        <f t="shared" si="18"/>
        <v/>
      </c>
      <c r="K240" s="15" t="str">
        <f t="shared" si="19"/>
        <v/>
      </c>
    </row>
    <row r="241" spans="1:11">
      <c r="A241" s="7" t="str">
        <f>IF(子基金及业绩基准周净值!A279="","",子基金及业绩基准周净值!A279)</f>
        <v/>
      </c>
      <c r="B241" s="1" t="str">
        <f>IF(A241="","",VLOOKUP($A241,子基金及业绩基准周净值!$A:$AV,17))</f>
        <v/>
      </c>
      <c r="C241" s="25"/>
      <c r="D241" s="8" t="str">
        <f t="shared" si="16"/>
        <v/>
      </c>
      <c r="E241" s="9" t="str">
        <f>IF(A241="","",D241-子基金及业绩基准周净值!AI279)</f>
        <v/>
      </c>
      <c r="F241" s="12" t="str">
        <f>IF(A241="","",(MAX(C$3:C241)-C241)/MAX(C$3:C241))</f>
        <v/>
      </c>
      <c r="G241" s="12" t="str">
        <f>IF(A241="","",MAX(F$4:F241))</f>
        <v/>
      </c>
      <c r="I241" s="14" t="str">
        <f t="shared" si="17"/>
        <v/>
      </c>
      <c r="J241" s="14" t="str">
        <f t="shared" si="18"/>
        <v/>
      </c>
      <c r="K241" s="15" t="str">
        <f t="shared" si="19"/>
        <v/>
      </c>
    </row>
    <row r="242" spans="1:11">
      <c r="A242" s="7" t="str">
        <f>IF(子基金及业绩基准周净值!A280="","",子基金及业绩基准周净值!A280)</f>
        <v/>
      </c>
      <c r="B242" s="1" t="str">
        <f>IF(A242="","",VLOOKUP($A242,子基金及业绩基准周净值!$A:$AV,17))</f>
        <v/>
      </c>
      <c r="C242" s="25"/>
      <c r="D242" s="8" t="str">
        <f t="shared" si="16"/>
        <v/>
      </c>
      <c r="E242" s="9" t="str">
        <f>IF(A242="","",D242-子基金及业绩基准周净值!AI280)</f>
        <v/>
      </c>
      <c r="F242" s="12" t="str">
        <f>IF(A242="","",(MAX(C$3:C242)-C242)/MAX(C$3:C242))</f>
        <v/>
      </c>
      <c r="G242" s="12" t="str">
        <f>IF(A242="","",MAX(F$4:F242))</f>
        <v/>
      </c>
      <c r="I242" s="14" t="str">
        <f t="shared" si="17"/>
        <v/>
      </c>
      <c r="J242" s="14" t="str">
        <f t="shared" si="18"/>
        <v/>
      </c>
      <c r="K242" s="15" t="str">
        <f t="shared" si="19"/>
        <v/>
      </c>
    </row>
    <row r="243" spans="1:11">
      <c r="A243" s="7" t="str">
        <f>IF(子基金及业绩基准周净值!A281="","",子基金及业绩基准周净值!A281)</f>
        <v/>
      </c>
      <c r="B243" s="1" t="str">
        <f>IF(A243="","",VLOOKUP($A243,子基金及业绩基准周净值!$A:$AV,17))</f>
        <v/>
      </c>
      <c r="C243" s="25"/>
      <c r="D243" s="8" t="str">
        <f t="shared" si="16"/>
        <v/>
      </c>
      <c r="E243" s="9" t="str">
        <f>IF(A243="","",D243-子基金及业绩基准周净值!AI281)</f>
        <v/>
      </c>
      <c r="F243" s="12" t="str">
        <f>IF(A243="","",(MAX(C$3:C243)-C243)/MAX(C$3:C243))</f>
        <v/>
      </c>
      <c r="G243" s="12" t="str">
        <f>IF(A243="","",MAX(F$4:F243))</f>
        <v/>
      </c>
      <c r="I243" s="14" t="str">
        <f t="shared" si="17"/>
        <v/>
      </c>
      <c r="J243" s="14" t="str">
        <f t="shared" si="18"/>
        <v/>
      </c>
      <c r="K243" s="15" t="str">
        <f t="shared" si="19"/>
        <v/>
      </c>
    </row>
    <row r="244" spans="1:11">
      <c r="A244" s="7" t="str">
        <f>IF(子基金及业绩基准周净值!A282="","",子基金及业绩基准周净值!A282)</f>
        <v/>
      </c>
      <c r="B244" s="1" t="str">
        <f>IF(A244="","",VLOOKUP($A244,子基金及业绩基准周净值!$A:$AV,17))</f>
        <v/>
      </c>
      <c r="C244" s="25"/>
      <c r="D244" s="8" t="str">
        <f t="shared" si="16"/>
        <v/>
      </c>
      <c r="E244" s="9" t="str">
        <f>IF(A244="","",D244-子基金及业绩基准周净值!AI282)</f>
        <v/>
      </c>
      <c r="F244" s="12" t="str">
        <f>IF(A244="","",(MAX(C$3:C244)-C244)/MAX(C$3:C244))</f>
        <v/>
      </c>
      <c r="G244" s="12" t="str">
        <f>IF(A244="","",MAX(F$4:F244))</f>
        <v/>
      </c>
      <c r="I244" s="14" t="str">
        <f t="shared" si="17"/>
        <v/>
      </c>
      <c r="J244" s="14" t="str">
        <f t="shared" si="18"/>
        <v/>
      </c>
      <c r="K244" s="15" t="str">
        <f t="shared" si="19"/>
        <v/>
      </c>
    </row>
    <row r="245" spans="1:11">
      <c r="A245" s="7" t="str">
        <f>IF(子基金及业绩基准周净值!A283="","",子基金及业绩基准周净值!A283)</f>
        <v/>
      </c>
      <c r="B245" s="1" t="str">
        <f>IF(A245="","",VLOOKUP($A245,子基金及业绩基准周净值!$A:$AV,17))</f>
        <v/>
      </c>
      <c r="C245" s="25"/>
      <c r="D245" s="8" t="str">
        <f t="shared" si="16"/>
        <v/>
      </c>
      <c r="E245" s="9" t="str">
        <f>IF(A245="","",D245-子基金及业绩基准周净值!AI283)</f>
        <v/>
      </c>
      <c r="F245" s="12" t="str">
        <f>IF(A245="","",(MAX(C$3:C245)-C245)/MAX(C$3:C245))</f>
        <v/>
      </c>
      <c r="G245" s="12" t="str">
        <f>IF(A245="","",MAX(F$4:F245))</f>
        <v/>
      </c>
      <c r="I245" s="14" t="str">
        <f t="shared" si="17"/>
        <v/>
      </c>
      <c r="J245" s="14" t="str">
        <f t="shared" si="18"/>
        <v/>
      </c>
      <c r="K245" s="15" t="str">
        <f t="shared" si="19"/>
        <v/>
      </c>
    </row>
    <row r="246" spans="1:11">
      <c r="A246" s="7" t="str">
        <f>IF(子基金及业绩基准周净值!A284="","",子基金及业绩基准周净值!A284)</f>
        <v/>
      </c>
      <c r="B246" s="1" t="str">
        <f>IF(A246="","",VLOOKUP($A246,子基金及业绩基准周净值!$A:$AV,17))</f>
        <v/>
      </c>
      <c r="C246" s="25"/>
      <c r="D246" s="8" t="str">
        <f t="shared" si="16"/>
        <v/>
      </c>
      <c r="E246" s="9" t="str">
        <f>IF(A246="","",D246-子基金及业绩基准周净值!AI284)</f>
        <v/>
      </c>
      <c r="F246" s="12" t="str">
        <f>IF(A246="","",(MAX(C$3:C246)-C246)/MAX(C$3:C246))</f>
        <v/>
      </c>
      <c r="G246" s="12" t="str">
        <f>IF(A246="","",MAX(F$4:F246))</f>
        <v/>
      </c>
      <c r="I246" s="14" t="str">
        <f t="shared" si="17"/>
        <v/>
      </c>
      <c r="J246" s="14" t="str">
        <f t="shared" si="18"/>
        <v/>
      </c>
      <c r="K246" s="15" t="str">
        <f t="shared" si="19"/>
        <v/>
      </c>
    </row>
    <row r="247" spans="1:11">
      <c r="A247" s="7" t="str">
        <f>IF(子基金及业绩基准周净值!A285="","",子基金及业绩基准周净值!A285)</f>
        <v/>
      </c>
      <c r="B247" s="1" t="str">
        <f>IF(A247="","",VLOOKUP($A247,子基金及业绩基准周净值!$A:$AV,17))</f>
        <v/>
      </c>
      <c r="C247" s="25"/>
      <c r="D247" s="8" t="str">
        <f t="shared" si="16"/>
        <v/>
      </c>
      <c r="E247" s="9" t="str">
        <f>IF(A247="","",D247-子基金及业绩基准周净值!AI285)</f>
        <v/>
      </c>
      <c r="F247" s="12" t="str">
        <f>IF(A247="","",(MAX(C$3:C247)-C247)/MAX(C$3:C247))</f>
        <v/>
      </c>
      <c r="G247" s="12" t="str">
        <f>IF(A247="","",MAX(F$4:F247))</f>
        <v/>
      </c>
      <c r="I247" s="14" t="str">
        <f t="shared" si="17"/>
        <v/>
      </c>
      <c r="J247" s="14" t="str">
        <f t="shared" si="18"/>
        <v/>
      </c>
      <c r="K247" s="15" t="str">
        <f t="shared" si="19"/>
        <v/>
      </c>
    </row>
    <row r="248" spans="1:11">
      <c r="A248" s="7" t="str">
        <f>IF(子基金及业绩基准周净值!A286="","",子基金及业绩基准周净值!A286)</f>
        <v/>
      </c>
      <c r="B248" s="1" t="str">
        <f>IF(A248="","",VLOOKUP($A248,子基金及业绩基准周净值!$A:$AV,17))</f>
        <v/>
      </c>
      <c r="C248" s="25"/>
      <c r="D248" s="8" t="str">
        <f t="shared" si="16"/>
        <v/>
      </c>
      <c r="E248" s="9" t="str">
        <f>IF(A248="","",D248-子基金及业绩基准周净值!AI286)</f>
        <v/>
      </c>
      <c r="F248" s="12" t="str">
        <f>IF(A248="","",(MAX(C$3:C248)-C248)/MAX(C$3:C248))</f>
        <v/>
      </c>
      <c r="G248" s="12" t="str">
        <f>IF(A248="","",MAX(F$4:F248))</f>
        <v/>
      </c>
      <c r="I248" s="14" t="str">
        <f t="shared" si="17"/>
        <v/>
      </c>
      <c r="J248" s="14" t="str">
        <f t="shared" si="18"/>
        <v/>
      </c>
      <c r="K248" s="15" t="str">
        <f t="shared" si="19"/>
        <v/>
      </c>
    </row>
    <row r="249" spans="1:11">
      <c r="A249" s="7" t="str">
        <f>IF(子基金及业绩基准周净值!A287="","",子基金及业绩基准周净值!A287)</f>
        <v/>
      </c>
      <c r="B249" s="1" t="str">
        <f>IF(A249="","",VLOOKUP($A249,子基金及业绩基准周净值!$A:$AV,17))</f>
        <v/>
      </c>
      <c r="C249" s="25"/>
      <c r="D249" s="8" t="str">
        <f t="shared" si="16"/>
        <v/>
      </c>
      <c r="E249" s="9" t="str">
        <f>IF(A249="","",D249-子基金及业绩基准周净值!AI287)</f>
        <v/>
      </c>
      <c r="F249" s="12" t="str">
        <f>IF(A249="","",(MAX(C$3:C249)-C249)/MAX(C$3:C249))</f>
        <v/>
      </c>
      <c r="G249" s="12" t="str">
        <f>IF(A249="","",MAX(F$4:F249))</f>
        <v/>
      </c>
      <c r="I249" s="14" t="str">
        <f t="shared" si="17"/>
        <v/>
      </c>
      <c r="J249" s="14" t="str">
        <f t="shared" si="18"/>
        <v/>
      </c>
      <c r="K249" s="15" t="str">
        <f t="shared" si="19"/>
        <v/>
      </c>
    </row>
    <row r="250" spans="1:11">
      <c r="A250" s="7" t="str">
        <f>IF(子基金及业绩基准周净值!A288="","",子基金及业绩基准周净值!A288)</f>
        <v/>
      </c>
      <c r="B250" s="1" t="str">
        <f>IF(A250="","",VLOOKUP($A250,子基金及业绩基准周净值!$A:$AV,17))</f>
        <v/>
      </c>
      <c r="C250" s="25"/>
      <c r="D250" s="8" t="str">
        <f t="shared" si="16"/>
        <v/>
      </c>
      <c r="E250" s="9" t="str">
        <f>IF(A250="","",D250-子基金及业绩基准周净值!AI288)</f>
        <v/>
      </c>
      <c r="F250" s="12" t="str">
        <f>IF(A250="","",(MAX(C$3:C250)-C250)/MAX(C$3:C250))</f>
        <v/>
      </c>
      <c r="G250" s="12" t="str">
        <f>IF(A250="","",MAX(F$4:F250))</f>
        <v/>
      </c>
      <c r="I250" s="14" t="str">
        <f t="shared" si="17"/>
        <v/>
      </c>
      <c r="J250" s="14" t="str">
        <f t="shared" si="18"/>
        <v/>
      </c>
      <c r="K250" s="15" t="str">
        <f t="shared" si="19"/>
        <v/>
      </c>
    </row>
    <row r="251" spans="1:11">
      <c r="A251" s="7" t="str">
        <f>IF(子基金及业绩基准周净值!A289="","",子基金及业绩基准周净值!A289)</f>
        <v/>
      </c>
      <c r="B251" s="1" t="str">
        <f>IF(A251="","",VLOOKUP($A251,子基金及业绩基准周净值!$A:$AV,17))</f>
        <v/>
      </c>
      <c r="C251" s="25"/>
      <c r="D251" s="8" t="str">
        <f t="shared" si="16"/>
        <v/>
      </c>
      <c r="E251" s="9" t="str">
        <f>IF(A251="","",D251-子基金及业绩基准周净值!AI289)</f>
        <v/>
      </c>
      <c r="F251" s="12" t="str">
        <f>IF(A251="","",(MAX(C$3:C251)-C251)/MAX(C$3:C251))</f>
        <v/>
      </c>
      <c r="G251" s="12" t="str">
        <f>IF(A251="","",MAX(F$4:F251))</f>
        <v/>
      </c>
      <c r="I251" s="14" t="str">
        <f t="shared" si="17"/>
        <v/>
      </c>
      <c r="J251" s="14" t="str">
        <f t="shared" si="18"/>
        <v/>
      </c>
      <c r="K251" s="15" t="str">
        <f t="shared" si="19"/>
        <v/>
      </c>
    </row>
    <row r="252" spans="1:11">
      <c r="A252" s="7" t="str">
        <f>IF(子基金及业绩基准周净值!A290="","",子基金及业绩基准周净值!A290)</f>
        <v/>
      </c>
      <c r="B252" s="1" t="str">
        <f>IF(A252="","",VLOOKUP($A252,子基金及业绩基准周净值!$A:$AV,17))</f>
        <v/>
      </c>
      <c r="C252" s="25"/>
      <c r="D252" s="8" t="str">
        <f t="shared" si="16"/>
        <v/>
      </c>
      <c r="E252" s="9" t="str">
        <f>IF(A252="","",D252-子基金及业绩基准周净值!AI290)</f>
        <v/>
      </c>
      <c r="F252" s="12" t="str">
        <f>IF(A252="","",(MAX(C$3:C252)-C252)/MAX(C$3:C252))</f>
        <v/>
      </c>
      <c r="G252" s="12" t="str">
        <f>IF(A252="","",MAX(F$4:F252))</f>
        <v/>
      </c>
      <c r="I252" s="14" t="str">
        <f t="shared" si="17"/>
        <v/>
      </c>
      <c r="J252" s="14" t="str">
        <f t="shared" si="18"/>
        <v/>
      </c>
      <c r="K252" s="15" t="str">
        <f t="shared" si="19"/>
        <v/>
      </c>
    </row>
    <row r="253" spans="1:11">
      <c r="A253" s="7" t="str">
        <f>IF(子基金及业绩基准周净值!A291="","",子基金及业绩基准周净值!A291)</f>
        <v/>
      </c>
      <c r="B253" s="1" t="str">
        <f>IF(A253="","",VLOOKUP($A253,子基金及业绩基准周净值!$A:$AV,17))</f>
        <v/>
      </c>
      <c r="C253" s="25"/>
      <c r="D253" s="8" t="str">
        <f t="shared" si="16"/>
        <v/>
      </c>
      <c r="E253" s="9" t="str">
        <f>IF(A253="","",D253-子基金及业绩基准周净值!AI291)</f>
        <v/>
      </c>
      <c r="F253" s="12" t="str">
        <f>IF(A253="","",(MAX(C$3:C253)-C253)/MAX(C$3:C253))</f>
        <v/>
      </c>
      <c r="G253" s="12" t="str">
        <f>IF(A253="","",MAX(F$4:F253))</f>
        <v/>
      </c>
      <c r="I253" s="14" t="str">
        <f t="shared" si="17"/>
        <v/>
      </c>
      <c r="J253" s="14" t="str">
        <f t="shared" si="18"/>
        <v/>
      </c>
      <c r="K253" s="15" t="str">
        <f t="shared" si="19"/>
        <v/>
      </c>
    </row>
    <row r="254" spans="1:11">
      <c r="A254" s="7" t="str">
        <f>IF(子基金及业绩基准周净值!A292="","",子基金及业绩基准周净值!A292)</f>
        <v/>
      </c>
      <c r="B254" s="1" t="str">
        <f>IF(A254="","",VLOOKUP($A254,子基金及业绩基准周净值!$A:$AV,17))</f>
        <v/>
      </c>
      <c r="C254" s="25"/>
      <c r="D254" s="8" t="str">
        <f t="shared" si="16"/>
        <v/>
      </c>
      <c r="E254" s="9" t="str">
        <f>IF(A254="","",D254-子基金及业绩基准周净值!AI292)</f>
        <v/>
      </c>
      <c r="F254" s="12" t="str">
        <f>IF(A254="","",(MAX(C$3:C254)-C254)/MAX(C$3:C254))</f>
        <v/>
      </c>
      <c r="G254" s="12" t="str">
        <f>IF(A254="","",MAX(F$4:F254))</f>
        <v/>
      </c>
      <c r="I254" s="14" t="str">
        <f t="shared" si="17"/>
        <v/>
      </c>
      <c r="J254" s="14" t="str">
        <f t="shared" si="18"/>
        <v/>
      </c>
      <c r="K254" s="15" t="str">
        <f t="shared" si="19"/>
        <v/>
      </c>
    </row>
    <row r="255" spans="1:11">
      <c r="A255" s="7" t="str">
        <f>IF(子基金及业绩基准周净值!A293="","",子基金及业绩基准周净值!A293)</f>
        <v/>
      </c>
      <c r="B255" s="1" t="str">
        <f>IF(A255="","",VLOOKUP($A255,子基金及业绩基准周净值!$A:$AV,17))</f>
        <v/>
      </c>
      <c r="C255" s="25"/>
      <c r="D255" s="8" t="str">
        <f t="shared" si="16"/>
        <v/>
      </c>
      <c r="E255" s="9" t="str">
        <f>IF(A255="","",D255-子基金及业绩基准周净值!AI293)</f>
        <v/>
      </c>
      <c r="F255" s="12" t="str">
        <f>IF(A255="","",(MAX(C$3:C255)-C255)/MAX(C$3:C255))</f>
        <v/>
      </c>
      <c r="G255" s="12" t="str">
        <f>IF(A255="","",MAX(F$4:F255))</f>
        <v/>
      </c>
      <c r="I255" s="14" t="str">
        <f t="shared" si="17"/>
        <v/>
      </c>
      <c r="J255" s="14" t="str">
        <f t="shared" si="18"/>
        <v/>
      </c>
      <c r="K255" s="15" t="str">
        <f t="shared" si="19"/>
        <v/>
      </c>
    </row>
    <row r="256" spans="1:11">
      <c r="A256" s="7" t="str">
        <f>IF(子基金及业绩基准周净值!A294="","",子基金及业绩基准周净值!A294)</f>
        <v/>
      </c>
      <c r="B256" s="1" t="str">
        <f>IF(A256="","",VLOOKUP($A256,子基金及业绩基准周净值!$A:$AV,17))</f>
        <v/>
      </c>
      <c r="C256" s="25"/>
      <c r="D256" s="8" t="str">
        <f t="shared" si="16"/>
        <v/>
      </c>
      <c r="E256" s="9" t="str">
        <f>IF(A256="","",D256-子基金及业绩基准周净值!AI294)</f>
        <v/>
      </c>
      <c r="F256" s="12" t="str">
        <f>IF(A256="","",(MAX(C$3:C256)-C256)/MAX(C$3:C256))</f>
        <v/>
      </c>
      <c r="G256" s="12" t="str">
        <f>IF(A256="","",MAX(F$4:F256))</f>
        <v/>
      </c>
      <c r="I256" s="14" t="str">
        <f t="shared" si="17"/>
        <v/>
      </c>
      <c r="J256" s="14" t="str">
        <f t="shared" si="18"/>
        <v/>
      </c>
      <c r="K256" s="15" t="str">
        <f t="shared" si="19"/>
        <v/>
      </c>
    </row>
    <row r="257" spans="1:11">
      <c r="A257" s="7" t="str">
        <f>IF(子基金及业绩基准周净值!A295="","",子基金及业绩基准周净值!A295)</f>
        <v/>
      </c>
      <c r="B257" s="1" t="str">
        <f>IF(A257="","",VLOOKUP($A257,子基金及业绩基准周净值!$A:$AV,17))</f>
        <v/>
      </c>
      <c r="C257" s="25"/>
      <c r="D257" s="8" t="str">
        <f t="shared" si="16"/>
        <v/>
      </c>
      <c r="E257" s="9" t="str">
        <f>IF(A257="","",D257-子基金及业绩基准周净值!AI295)</f>
        <v/>
      </c>
      <c r="F257" s="12" t="str">
        <f>IF(A257="","",(MAX(C$3:C257)-C257)/MAX(C$3:C257))</f>
        <v/>
      </c>
      <c r="G257" s="12" t="str">
        <f>IF(A257="","",MAX(F$4:F257))</f>
        <v/>
      </c>
      <c r="I257" s="14" t="str">
        <f t="shared" si="17"/>
        <v/>
      </c>
      <c r="J257" s="14" t="str">
        <f t="shared" si="18"/>
        <v/>
      </c>
      <c r="K257" s="15" t="str">
        <f t="shared" si="19"/>
        <v/>
      </c>
    </row>
    <row r="258" spans="1:11">
      <c r="A258" s="7" t="str">
        <f>IF(子基金及业绩基准周净值!A296="","",子基金及业绩基准周净值!A296)</f>
        <v/>
      </c>
      <c r="B258" s="1" t="str">
        <f>IF(A258="","",VLOOKUP($A258,子基金及业绩基准周净值!$A:$AV,17))</f>
        <v/>
      </c>
      <c r="C258" s="25"/>
      <c r="D258" s="8" t="str">
        <f t="shared" si="16"/>
        <v/>
      </c>
      <c r="E258" s="9" t="str">
        <f>IF(A258="","",D258-子基金及业绩基准周净值!AI296)</f>
        <v/>
      </c>
      <c r="F258" s="12" t="str">
        <f>IF(A258="","",(MAX(C$3:C258)-C258)/MAX(C$3:C258))</f>
        <v/>
      </c>
      <c r="G258" s="12" t="str">
        <f>IF(A258="","",MAX(F$4:F258))</f>
        <v/>
      </c>
      <c r="I258" s="14" t="str">
        <f t="shared" si="17"/>
        <v/>
      </c>
      <c r="J258" s="14" t="str">
        <f t="shared" si="18"/>
        <v/>
      </c>
      <c r="K258" s="15" t="str">
        <f t="shared" si="19"/>
        <v/>
      </c>
    </row>
    <row r="259" spans="1:11">
      <c r="A259" s="7" t="str">
        <f>IF(子基金及业绩基准周净值!A297="","",子基金及业绩基准周净值!A297)</f>
        <v/>
      </c>
      <c r="B259" s="1" t="str">
        <f>IF(A259="","",VLOOKUP($A259,子基金及业绩基准周净值!$A:$AV,17))</f>
        <v/>
      </c>
      <c r="C259" s="25"/>
      <c r="D259" s="8" t="str">
        <f t="shared" si="16"/>
        <v/>
      </c>
      <c r="E259" s="9" t="str">
        <f>IF(A259="","",D259-子基金及业绩基准周净值!AI297)</f>
        <v/>
      </c>
      <c r="F259" s="12" t="str">
        <f>IF(A259="","",(MAX(C$3:C259)-C259)/MAX(C$3:C259))</f>
        <v/>
      </c>
      <c r="G259" s="12" t="str">
        <f>IF(A259="","",MAX(F$4:F259))</f>
        <v/>
      </c>
      <c r="I259" s="14" t="str">
        <f t="shared" si="17"/>
        <v/>
      </c>
      <c r="J259" s="14" t="str">
        <f t="shared" si="18"/>
        <v/>
      </c>
      <c r="K259" s="15" t="str">
        <f t="shared" si="19"/>
        <v/>
      </c>
    </row>
    <row r="260" spans="1:11">
      <c r="A260" s="7" t="str">
        <f>IF(子基金及业绩基准周净值!A298="","",子基金及业绩基准周净值!A298)</f>
        <v/>
      </c>
      <c r="B260" s="1" t="str">
        <f>IF(A260="","",VLOOKUP($A260,子基金及业绩基准周净值!$A:$AV,17))</f>
        <v/>
      </c>
      <c r="C260" s="25"/>
      <c r="D260" s="8" t="str">
        <f t="shared" si="16"/>
        <v/>
      </c>
      <c r="E260" s="9" t="str">
        <f>IF(A260="","",D260-子基金及业绩基准周净值!AI298)</f>
        <v/>
      </c>
      <c r="F260" s="12" t="str">
        <f>IF(A260="","",(MAX(C$3:C260)-C260)/MAX(C$3:C260))</f>
        <v/>
      </c>
      <c r="G260" s="12" t="str">
        <f>IF(A260="","",MAX(F$4:F260))</f>
        <v/>
      </c>
      <c r="I260" s="14" t="str">
        <f t="shared" si="17"/>
        <v/>
      </c>
      <c r="J260" s="14" t="str">
        <f t="shared" si="18"/>
        <v/>
      </c>
      <c r="K260" s="15" t="str">
        <f t="shared" si="19"/>
        <v/>
      </c>
    </row>
    <row r="261" spans="1:11">
      <c r="A261" s="7" t="str">
        <f>IF(子基金及业绩基准周净值!A299="","",子基金及业绩基准周净值!A299)</f>
        <v/>
      </c>
      <c r="B261" s="1" t="str">
        <f>IF(A261="","",VLOOKUP($A261,子基金及业绩基准周净值!$A:$AV,17))</f>
        <v/>
      </c>
      <c r="C261" s="25"/>
      <c r="D261" s="8" t="str">
        <f t="shared" ref="D261:D308" si="20">IF(A261="","",(B261-B260)/B260)</f>
        <v/>
      </c>
      <c r="E261" s="9" t="str">
        <f>IF(A261="","",D261-子基金及业绩基准周净值!AI299)</f>
        <v/>
      </c>
      <c r="F261" s="12" t="str">
        <f>IF(A261="","",(MAX(C$3:C261)-C261)/MAX(C$3:C261))</f>
        <v/>
      </c>
      <c r="G261" s="12" t="str">
        <f>IF(A261="","",MAX(F$4:F261))</f>
        <v/>
      </c>
      <c r="I261" s="14" t="str">
        <f t="shared" ref="I261:I308" si="21">IF(B261="","",IF(D261&lt;-3%,"是","否"))</f>
        <v/>
      </c>
      <c r="J261" s="14" t="str">
        <f t="shared" ref="J261:J308" si="22">IF(A261="","",IF(G261&gt;5%,"是","否"))</f>
        <v/>
      </c>
      <c r="K261" s="15" t="str">
        <f t="shared" ref="K261:K308" si="23">IF(A261="","",IF(H261&gt;=4,"是","否"))</f>
        <v/>
      </c>
    </row>
    <row r="262" spans="1:11">
      <c r="A262" s="7" t="str">
        <f>IF(子基金及业绩基准周净值!A300="","",子基金及业绩基准周净值!A300)</f>
        <v/>
      </c>
      <c r="B262" s="1" t="str">
        <f>IF(A262="","",VLOOKUP($A262,子基金及业绩基准周净值!$A:$AV,17))</f>
        <v/>
      </c>
      <c r="C262" s="25"/>
      <c r="D262" s="8" t="str">
        <f t="shared" si="20"/>
        <v/>
      </c>
      <c r="E262" s="9" t="str">
        <f>IF(A262="","",D262-子基金及业绩基准周净值!AI300)</f>
        <v/>
      </c>
      <c r="F262" s="12" t="str">
        <f>IF(A262="","",(MAX(C$3:C262)-C262)/MAX(C$3:C262))</f>
        <v/>
      </c>
      <c r="G262" s="12" t="str">
        <f>IF(A262="","",MAX(F$4:F262))</f>
        <v/>
      </c>
      <c r="I262" s="14" t="str">
        <f t="shared" si="21"/>
        <v/>
      </c>
      <c r="J262" s="14" t="str">
        <f t="shared" si="22"/>
        <v/>
      </c>
      <c r="K262" s="15" t="str">
        <f t="shared" si="23"/>
        <v/>
      </c>
    </row>
    <row r="263" spans="1:11">
      <c r="A263" s="7" t="str">
        <f>IF(子基金及业绩基准周净值!A301="","",子基金及业绩基准周净值!A301)</f>
        <v/>
      </c>
      <c r="B263" s="1" t="str">
        <f>IF(A263="","",VLOOKUP($A263,子基金及业绩基准周净值!$A:$AV,17))</f>
        <v/>
      </c>
      <c r="C263" s="25"/>
      <c r="D263" s="8" t="str">
        <f t="shared" si="20"/>
        <v/>
      </c>
      <c r="E263" s="9" t="str">
        <f>IF(A263="","",D263-子基金及业绩基准周净值!AI301)</f>
        <v/>
      </c>
      <c r="F263" s="12" t="str">
        <f>IF(A263="","",(MAX(C$3:C263)-C263)/MAX(C$3:C263))</f>
        <v/>
      </c>
      <c r="G263" s="12" t="str">
        <f>IF(A263="","",MAX(F$4:F263))</f>
        <v/>
      </c>
      <c r="I263" s="14" t="str">
        <f t="shared" si="21"/>
        <v/>
      </c>
      <c r="J263" s="14" t="str">
        <f t="shared" si="22"/>
        <v/>
      </c>
      <c r="K263" s="15" t="str">
        <f t="shared" si="23"/>
        <v/>
      </c>
    </row>
    <row r="264" spans="1:11">
      <c r="A264" s="7" t="str">
        <f>IF(子基金及业绩基准周净值!A302="","",子基金及业绩基准周净值!A302)</f>
        <v/>
      </c>
      <c r="B264" s="1" t="str">
        <f>IF(A264="","",VLOOKUP($A264,子基金及业绩基准周净值!$A:$AV,17))</f>
        <v/>
      </c>
      <c r="C264" s="25"/>
      <c r="D264" s="8" t="str">
        <f t="shared" si="20"/>
        <v/>
      </c>
      <c r="E264" s="9" t="str">
        <f>IF(A264="","",D264-子基金及业绩基准周净值!AI302)</f>
        <v/>
      </c>
      <c r="F264" s="12" t="str">
        <f>IF(A264="","",(MAX(C$3:C264)-C264)/MAX(C$3:C264))</f>
        <v/>
      </c>
      <c r="G264" s="12" t="str">
        <f>IF(A264="","",MAX(F$4:F264))</f>
        <v/>
      </c>
      <c r="I264" s="14" t="str">
        <f t="shared" si="21"/>
        <v/>
      </c>
      <c r="J264" s="14" t="str">
        <f t="shared" si="22"/>
        <v/>
      </c>
      <c r="K264" s="15" t="str">
        <f t="shared" si="23"/>
        <v/>
      </c>
    </row>
    <row r="265" spans="1:11">
      <c r="A265" s="7" t="str">
        <f>IF(子基金及业绩基准周净值!A303="","",子基金及业绩基准周净值!A303)</f>
        <v/>
      </c>
      <c r="B265" s="1" t="str">
        <f>IF(A265="","",VLOOKUP($A265,子基金及业绩基准周净值!$A:$AV,17))</f>
        <v/>
      </c>
      <c r="C265" s="25"/>
      <c r="D265" s="8" t="str">
        <f t="shared" si="20"/>
        <v/>
      </c>
      <c r="E265" s="9" t="str">
        <f>IF(A265="","",D265-子基金及业绩基准周净值!AI303)</f>
        <v/>
      </c>
      <c r="F265" s="12" t="str">
        <f>IF(A265="","",(MAX(C$3:C265)-C265)/MAX(C$3:C265))</f>
        <v/>
      </c>
      <c r="G265" s="12" t="str">
        <f>IF(A265="","",MAX(F$4:F265))</f>
        <v/>
      </c>
      <c r="I265" s="14" t="str">
        <f t="shared" si="21"/>
        <v/>
      </c>
      <c r="J265" s="14" t="str">
        <f t="shared" si="22"/>
        <v/>
      </c>
      <c r="K265" s="15" t="str">
        <f t="shared" si="23"/>
        <v/>
      </c>
    </row>
    <row r="266" spans="1:11">
      <c r="A266" s="7" t="str">
        <f>IF(子基金及业绩基准周净值!A304="","",子基金及业绩基准周净值!A304)</f>
        <v/>
      </c>
      <c r="B266" s="1" t="str">
        <f>IF(A266="","",VLOOKUP($A266,子基金及业绩基准周净值!$A:$AV,17))</f>
        <v/>
      </c>
      <c r="C266" s="25"/>
      <c r="D266" s="8" t="str">
        <f t="shared" si="20"/>
        <v/>
      </c>
      <c r="E266" s="9" t="str">
        <f>IF(A266="","",D266-子基金及业绩基准周净值!AI304)</f>
        <v/>
      </c>
      <c r="F266" s="12" t="str">
        <f>IF(A266="","",(MAX(C$3:C266)-C266)/MAX(C$3:C266))</f>
        <v/>
      </c>
      <c r="G266" s="12" t="str">
        <f>IF(A266="","",MAX(F$4:F266))</f>
        <v/>
      </c>
      <c r="I266" s="14" t="str">
        <f t="shared" si="21"/>
        <v/>
      </c>
      <c r="J266" s="14" t="str">
        <f t="shared" si="22"/>
        <v/>
      </c>
      <c r="K266" s="15" t="str">
        <f t="shared" si="23"/>
        <v/>
      </c>
    </row>
    <row r="267" spans="1:11">
      <c r="A267" s="7" t="str">
        <f>IF(子基金及业绩基准周净值!A305="","",子基金及业绩基准周净值!A305)</f>
        <v/>
      </c>
      <c r="B267" s="1" t="str">
        <f>IF(A267="","",VLOOKUP($A267,子基金及业绩基准周净值!$A:$AV,17))</f>
        <v/>
      </c>
      <c r="C267" s="25"/>
      <c r="D267" s="8" t="str">
        <f t="shared" si="20"/>
        <v/>
      </c>
      <c r="E267" s="9" t="str">
        <f>IF(A267="","",D267-子基金及业绩基准周净值!AI305)</f>
        <v/>
      </c>
      <c r="F267" s="12" t="str">
        <f>IF(A267="","",(MAX(C$3:C267)-C267)/MAX(C$3:C267))</f>
        <v/>
      </c>
      <c r="G267" s="12" t="str">
        <f>IF(A267="","",MAX(F$4:F267))</f>
        <v/>
      </c>
      <c r="I267" s="14" t="str">
        <f t="shared" si="21"/>
        <v/>
      </c>
      <c r="J267" s="14" t="str">
        <f t="shared" si="22"/>
        <v/>
      </c>
      <c r="K267" s="15" t="str">
        <f t="shared" si="23"/>
        <v/>
      </c>
    </row>
    <row r="268" spans="1:11">
      <c r="A268" s="7" t="str">
        <f>IF(子基金及业绩基准周净值!A306="","",子基金及业绩基准周净值!A306)</f>
        <v/>
      </c>
      <c r="B268" s="1" t="str">
        <f>IF(A268="","",VLOOKUP($A268,子基金及业绩基准周净值!$A:$AV,17))</f>
        <v/>
      </c>
      <c r="C268" s="25"/>
      <c r="D268" s="8" t="str">
        <f t="shared" si="20"/>
        <v/>
      </c>
      <c r="E268" s="9" t="str">
        <f>IF(A268="","",D268-子基金及业绩基准周净值!AI306)</f>
        <v/>
      </c>
      <c r="F268" s="12" t="str">
        <f>IF(A268="","",(MAX(C$3:C268)-C268)/MAX(C$3:C268))</f>
        <v/>
      </c>
      <c r="G268" s="12" t="str">
        <f>IF(A268="","",MAX(F$4:F268))</f>
        <v/>
      </c>
      <c r="I268" s="14" t="str">
        <f t="shared" si="21"/>
        <v/>
      </c>
      <c r="J268" s="14" t="str">
        <f t="shared" si="22"/>
        <v/>
      </c>
      <c r="K268" s="15" t="str">
        <f t="shared" si="23"/>
        <v/>
      </c>
    </row>
    <row r="269" spans="1:11">
      <c r="A269" s="7" t="str">
        <f>IF(子基金及业绩基准周净值!A307="","",子基金及业绩基准周净值!A307)</f>
        <v/>
      </c>
      <c r="B269" s="1" t="str">
        <f>IF(A269="","",VLOOKUP($A269,子基金及业绩基准周净值!$A:$AV,17))</f>
        <v/>
      </c>
      <c r="C269" s="25"/>
      <c r="D269" s="8" t="str">
        <f t="shared" si="20"/>
        <v/>
      </c>
      <c r="E269" s="9" t="str">
        <f>IF(A269="","",D269-子基金及业绩基准周净值!AI307)</f>
        <v/>
      </c>
      <c r="F269" s="12" t="str">
        <f>IF(A269="","",(MAX(C$3:C269)-C269)/MAX(C$3:C269))</f>
        <v/>
      </c>
      <c r="G269" s="12" t="str">
        <f>IF(A269="","",MAX(F$4:F269))</f>
        <v/>
      </c>
      <c r="I269" s="14" t="str">
        <f t="shared" si="21"/>
        <v/>
      </c>
      <c r="J269" s="14" t="str">
        <f t="shared" si="22"/>
        <v/>
      </c>
      <c r="K269" s="15" t="str">
        <f t="shared" si="23"/>
        <v/>
      </c>
    </row>
    <row r="270" spans="1:11">
      <c r="A270" s="7" t="str">
        <f>IF(子基金及业绩基准周净值!A308="","",子基金及业绩基准周净值!A308)</f>
        <v/>
      </c>
      <c r="B270" s="1" t="str">
        <f>IF(A270="","",VLOOKUP($A270,子基金及业绩基准周净值!$A:$AV,17))</f>
        <v/>
      </c>
      <c r="C270" s="25"/>
      <c r="D270" s="8" t="str">
        <f t="shared" si="20"/>
        <v/>
      </c>
      <c r="E270" s="9" t="str">
        <f>IF(A270="","",D270-子基金及业绩基准周净值!AI308)</f>
        <v/>
      </c>
      <c r="F270" s="12" t="str">
        <f>IF(A270="","",(MAX(C$3:C270)-C270)/MAX(C$3:C270))</f>
        <v/>
      </c>
      <c r="G270" s="12" t="str">
        <f>IF(A270="","",MAX(F$4:F270))</f>
        <v/>
      </c>
      <c r="I270" s="14" t="str">
        <f t="shared" si="21"/>
        <v/>
      </c>
      <c r="J270" s="14" t="str">
        <f t="shared" si="22"/>
        <v/>
      </c>
      <c r="K270" s="15" t="str">
        <f t="shared" si="23"/>
        <v/>
      </c>
    </row>
    <row r="271" spans="1:11">
      <c r="A271" s="7" t="str">
        <f>IF(子基金及业绩基准周净值!A309="","",子基金及业绩基准周净值!A309)</f>
        <v/>
      </c>
      <c r="B271" s="1" t="str">
        <f>IF(A271="","",VLOOKUP($A271,子基金及业绩基准周净值!$A:$AV,17))</f>
        <v/>
      </c>
      <c r="C271" s="25"/>
      <c r="D271" s="8" t="str">
        <f t="shared" si="20"/>
        <v/>
      </c>
      <c r="E271" s="9" t="str">
        <f>IF(A271="","",D271-子基金及业绩基准周净值!AI309)</f>
        <v/>
      </c>
      <c r="F271" s="12" t="str">
        <f>IF(A271="","",(MAX(C$3:C271)-C271)/MAX(C$3:C271))</f>
        <v/>
      </c>
      <c r="G271" s="12" t="str">
        <f>IF(A271="","",MAX(F$4:F271))</f>
        <v/>
      </c>
      <c r="I271" s="14" t="str">
        <f t="shared" si="21"/>
        <v/>
      </c>
      <c r="J271" s="14" t="str">
        <f t="shared" si="22"/>
        <v/>
      </c>
      <c r="K271" s="15" t="str">
        <f t="shared" si="23"/>
        <v/>
      </c>
    </row>
    <row r="272" spans="1:11">
      <c r="A272" s="7" t="str">
        <f>IF(子基金及业绩基准周净值!A310="","",子基金及业绩基准周净值!A310)</f>
        <v/>
      </c>
      <c r="B272" s="1" t="str">
        <f>IF(A272="","",VLOOKUP($A272,子基金及业绩基准周净值!$A:$AV,17))</f>
        <v/>
      </c>
      <c r="C272" s="25"/>
      <c r="D272" s="8" t="str">
        <f t="shared" si="20"/>
        <v/>
      </c>
      <c r="E272" s="9" t="str">
        <f>IF(A272="","",D272-子基金及业绩基准周净值!AI310)</f>
        <v/>
      </c>
      <c r="F272" s="12" t="str">
        <f>IF(A272="","",(MAX(C$3:C272)-C272)/MAX(C$3:C272))</f>
        <v/>
      </c>
      <c r="G272" s="12" t="str">
        <f>IF(A272="","",MAX(F$4:F272))</f>
        <v/>
      </c>
      <c r="I272" s="14" t="str">
        <f t="shared" si="21"/>
        <v/>
      </c>
      <c r="J272" s="14" t="str">
        <f t="shared" si="22"/>
        <v/>
      </c>
      <c r="K272" s="15" t="str">
        <f t="shared" si="23"/>
        <v/>
      </c>
    </row>
    <row r="273" spans="1:11">
      <c r="A273" s="7" t="str">
        <f>IF(子基金及业绩基准周净值!A311="","",子基金及业绩基准周净值!A311)</f>
        <v/>
      </c>
      <c r="B273" s="1" t="str">
        <f>IF(A273="","",VLOOKUP($A273,子基金及业绩基准周净值!$A:$AV,17))</f>
        <v/>
      </c>
      <c r="C273" s="25"/>
      <c r="D273" s="8" t="str">
        <f t="shared" si="20"/>
        <v/>
      </c>
      <c r="E273" s="9" t="str">
        <f>IF(A273="","",D273-子基金及业绩基准周净值!AI311)</f>
        <v/>
      </c>
      <c r="F273" s="12" t="str">
        <f>IF(A273="","",(MAX(C$3:C273)-C273)/MAX(C$3:C273))</f>
        <v/>
      </c>
      <c r="G273" s="12" t="str">
        <f>IF(A273="","",MAX(F$4:F273))</f>
        <v/>
      </c>
      <c r="I273" s="14" t="str">
        <f t="shared" si="21"/>
        <v/>
      </c>
      <c r="J273" s="14" t="str">
        <f t="shared" si="22"/>
        <v/>
      </c>
      <c r="K273" s="15" t="str">
        <f t="shared" si="23"/>
        <v/>
      </c>
    </row>
    <row r="274" spans="1:11">
      <c r="A274" s="7" t="str">
        <f>IF(子基金及业绩基准周净值!A312="","",子基金及业绩基准周净值!A312)</f>
        <v/>
      </c>
      <c r="B274" s="1" t="str">
        <f>IF(A274="","",VLOOKUP($A274,子基金及业绩基准周净值!$A:$AV,17))</f>
        <v/>
      </c>
      <c r="C274" s="25"/>
      <c r="D274" s="8" t="str">
        <f t="shared" si="20"/>
        <v/>
      </c>
      <c r="E274" s="9" t="str">
        <f>IF(A274="","",D274-子基金及业绩基准周净值!AI312)</f>
        <v/>
      </c>
      <c r="F274" s="12" t="str">
        <f>IF(A274="","",(MAX(C$3:C274)-C274)/MAX(C$3:C274))</f>
        <v/>
      </c>
      <c r="G274" s="12" t="str">
        <f>IF(A274="","",MAX(F$4:F274))</f>
        <v/>
      </c>
      <c r="I274" s="14" t="str">
        <f t="shared" si="21"/>
        <v/>
      </c>
      <c r="J274" s="14" t="str">
        <f t="shared" si="22"/>
        <v/>
      </c>
      <c r="K274" s="15" t="str">
        <f t="shared" si="23"/>
        <v/>
      </c>
    </row>
    <row r="275" spans="1:11">
      <c r="A275" s="7" t="str">
        <f>IF(子基金及业绩基准周净值!A313="","",子基金及业绩基准周净值!A313)</f>
        <v/>
      </c>
      <c r="B275" s="1" t="str">
        <f>IF(A275="","",VLOOKUP($A275,子基金及业绩基准周净值!$A:$AV,17))</f>
        <v/>
      </c>
      <c r="C275" s="25"/>
      <c r="D275" s="8" t="str">
        <f t="shared" si="20"/>
        <v/>
      </c>
      <c r="E275" s="9" t="str">
        <f>IF(A275="","",D275-子基金及业绩基准周净值!AI313)</f>
        <v/>
      </c>
      <c r="F275" s="12" t="str">
        <f>IF(A275="","",(MAX(C$3:C275)-C275)/MAX(C$3:C275))</f>
        <v/>
      </c>
      <c r="G275" s="12" t="str">
        <f>IF(A275="","",MAX(F$4:F275))</f>
        <v/>
      </c>
      <c r="I275" s="14" t="str">
        <f t="shared" si="21"/>
        <v/>
      </c>
      <c r="J275" s="14" t="str">
        <f t="shared" si="22"/>
        <v/>
      </c>
      <c r="K275" s="15" t="str">
        <f t="shared" si="23"/>
        <v/>
      </c>
    </row>
    <row r="276" spans="1:11">
      <c r="A276" s="7" t="str">
        <f>IF(子基金及业绩基准周净值!A314="","",子基金及业绩基准周净值!A314)</f>
        <v/>
      </c>
      <c r="B276" s="1" t="str">
        <f>IF(A276="","",VLOOKUP($A276,子基金及业绩基准周净值!$A:$AV,17))</f>
        <v/>
      </c>
      <c r="C276" s="25"/>
      <c r="D276" s="8" t="str">
        <f t="shared" si="20"/>
        <v/>
      </c>
      <c r="E276" s="9" t="str">
        <f>IF(A276="","",D276-子基金及业绩基准周净值!AI314)</f>
        <v/>
      </c>
      <c r="F276" s="12" t="str">
        <f>IF(A276="","",(MAX(C$3:C276)-C276)/MAX(C$3:C276))</f>
        <v/>
      </c>
      <c r="G276" s="12" t="str">
        <f>IF(A276="","",MAX(F$4:F276))</f>
        <v/>
      </c>
      <c r="I276" s="14" t="str">
        <f t="shared" si="21"/>
        <v/>
      </c>
      <c r="J276" s="14" t="str">
        <f t="shared" si="22"/>
        <v/>
      </c>
      <c r="K276" s="15" t="str">
        <f t="shared" si="23"/>
        <v/>
      </c>
    </row>
    <row r="277" spans="1:11">
      <c r="A277" s="7" t="str">
        <f>IF(子基金及业绩基准周净值!A315="","",子基金及业绩基准周净值!A315)</f>
        <v/>
      </c>
      <c r="B277" s="1" t="str">
        <f>IF(A277="","",VLOOKUP($A277,子基金及业绩基准周净值!$A:$AV,17))</f>
        <v/>
      </c>
      <c r="C277" s="25"/>
      <c r="D277" s="8" t="str">
        <f t="shared" si="20"/>
        <v/>
      </c>
      <c r="E277" s="9" t="str">
        <f>IF(A277="","",D277-子基金及业绩基准周净值!AI315)</f>
        <v/>
      </c>
      <c r="F277" s="12" t="str">
        <f>IF(A277="","",(MAX(C$3:C277)-C277)/MAX(C$3:C277))</f>
        <v/>
      </c>
      <c r="G277" s="12" t="str">
        <f>IF(A277="","",MAX(F$4:F277))</f>
        <v/>
      </c>
      <c r="I277" s="14" t="str">
        <f t="shared" si="21"/>
        <v/>
      </c>
      <c r="J277" s="14" t="str">
        <f t="shared" si="22"/>
        <v/>
      </c>
      <c r="K277" s="15" t="str">
        <f t="shared" si="23"/>
        <v/>
      </c>
    </row>
    <row r="278" spans="1:11">
      <c r="A278" s="7" t="str">
        <f>IF(子基金及业绩基准周净值!A316="","",子基金及业绩基准周净值!A316)</f>
        <v/>
      </c>
      <c r="B278" s="1" t="str">
        <f>IF(A278="","",VLOOKUP($A278,子基金及业绩基准周净值!$A:$AV,17))</f>
        <v/>
      </c>
      <c r="C278" s="25"/>
      <c r="D278" s="8" t="str">
        <f t="shared" si="20"/>
        <v/>
      </c>
      <c r="E278" s="9" t="str">
        <f>IF(A278="","",D278-子基金及业绩基准周净值!AI316)</f>
        <v/>
      </c>
      <c r="F278" s="12" t="str">
        <f>IF(A278="","",(MAX(C$3:C278)-C278)/MAX(C$3:C278))</f>
        <v/>
      </c>
      <c r="G278" s="12" t="str">
        <f>IF(A278="","",MAX(F$4:F278))</f>
        <v/>
      </c>
      <c r="I278" s="14" t="str">
        <f t="shared" si="21"/>
        <v/>
      </c>
      <c r="J278" s="14" t="str">
        <f t="shared" si="22"/>
        <v/>
      </c>
      <c r="K278" s="15" t="str">
        <f t="shared" si="23"/>
        <v/>
      </c>
    </row>
    <row r="279" spans="1:11">
      <c r="A279" s="7" t="str">
        <f>IF(子基金及业绩基准周净值!A317="","",子基金及业绩基准周净值!A317)</f>
        <v/>
      </c>
      <c r="B279" s="1" t="str">
        <f>IF(A279="","",VLOOKUP($A279,子基金及业绩基准周净值!$A:$AV,17))</f>
        <v/>
      </c>
      <c r="C279" s="25"/>
      <c r="D279" s="8" t="str">
        <f t="shared" si="20"/>
        <v/>
      </c>
      <c r="E279" s="9" t="str">
        <f>IF(A279="","",D279-子基金及业绩基准周净值!AI317)</f>
        <v/>
      </c>
      <c r="F279" s="12" t="str">
        <f>IF(A279="","",(MAX(C$3:C279)-C279)/MAX(C$3:C279))</f>
        <v/>
      </c>
      <c r="G279" s="12" t="str">
        <f>IF(A279="","",MAX(F$4:F279))</f>
        <v/>
      </c>
      <c r="I279" s="14" t="str">
        <f t="shared" si="21"/>
        <v/>
      </c>
      <c r="J279" s="14" t="str">
        <f t="shared" si="22"/>
        <v/>
      </c>
      <c r="K279" s="15" t="str">
        <f t="shared" si="23"/>
        <v/>
      </c>
    </row>
    <row r="280" spans="1:11">
      <c r="A280" s="7" t="str">
        <f>IF(子基金及业绩基准周净值!A318="","",子基金及业绩基准周净值!A318)</f>
        <v/>
      </c>
      <c r="B280" s="1" t="str">
        <f>IF(A280="","",VLOOKUP($A280,子基金及业绩基准周净值!$A:$AV,17))</f>
        <v/>
      </c>
      <c r="C280" s="25"/>
      <c r="D280" s="8" t="str">
        <f t="shared" si="20"/>
        <v/>
      </c>
      <c r="E280" s="9" t="str">
        <f>IF(A280="","",D280-子基金及业绩基准周净值!AI318)</f>
        <v/>
      </c>
      <c r="F280" s="12" t="str">
        <f>IF(A280="","",(MAX(C$3:C280)-C280)/MAX(C$3:C280))</f>
        <v/>
      </c>
      <c r="G280" s="12" t="str">
        <f>IF(A280="","",MAX(F$4:F280))</f>
        <v/>
      </c>
      <c r="I280" s="14" t="str">
        <f t="shared" si="21"/>
        <v/>
      </c>
      <c r="J280" s="14" t="str">
        <f t="shared" si="22"/>
        <v/>
      </c>
      <c r="K280" s="15" t="str">
        <f t="shared" si="23"/>
        <v/>
      </c>
    </row>
    <row r="281" spans="1:11">
      <c r="A281" s="7" t="str">
        <f>IF(子基金及业绩基准周净值!A319="","",子基金及业绩基准周净值!A319)</f>
        <v/>
      </c>
      <c r="B281" s="1" t="str">
        <f>IF(A281="","",VLOOKUP($A281,子基金及业绩基准周净值!$A:$AV,17))</f>
        <v/>
      </c>
      <c r="C281" s="25"/>
      <c r="D281" s="8" t="str">
        <f t="shared" si="20"/>
        <v/>
      </c>
      <c r="E281" s="9" t="str">
        <f>IF(A281="","",D281-子基金及业绩基准周净值!AI319)</f>
        <v/>
      </c>
      <c r="F281" s="12" t="str">
        <f>IF(A281="","",(MAX(C$3:C281)-C281)/MAX(C$3:C281))</f>
        <v/>
      </c>
      <c r="G281" s="12" t="str">
        <f>IF(A281="","",MAX(F$4:F281))</f>
        <v/>
      </c>
      <c r="I281" s="14" t="str">
        <f t="shared" si="21"/>
        <v/>
      </c>
      <c r="J281" s="14" t="str">
        <f t="shared" si="22"/>
        <v/>
      </c>
      <c r="K281" s="15" t="str">
        <f t="shared" si="23"/>
        <v/>
      </c>
    </row>
    <row r="282" spans="1:11">
      <c r="A282" s="7" t="str">
        <f>IF(子基金及业绩基准周净值!A320="","",子基金及业绩基准周净值!A320)</f>
        <v/>
      </c>
      <c r="B282" s="1" t="str">
        <f>IF(A282="","",VLOOKUP($A282,子基金及业绩基准周净值!$A:$AV,17))</f>
        <v/>
      </c>
      <c r="C282" s="25"/>
      <c r="D282" s="8" t="str">
        <f t="shared" si="20"/>
        <v/>
      </c>
      <c r="E282" s="9" t="str">
        <f>IF(A282="","",D282-子基金及业绩基准周净值!AI320)</f>
        <v/>
      </c>
      <c r="F282" s="12" t="str">
        <f>IF(A282="","",(MAX(C$3:C282)-C282)/MAX(C$3:C282))</f>
        <v/>
      </c>
      <c r="G282" s="12" t="str">
        <f>IF(A282="","",MAX(F$4:F282))</f>
        <v/>
      </c>
      <c r="I282" s="14" t="str">
        <f t="shared" si="21"/>
        <v/>
      </c>
      <c r="J282" s="14" t="str">
        <f t="shared" si="22"/>
        <v/>
      </c>
      <c r="K282" s="15" t="str">
        <f t="shared" si="23"/>
        <v/>
      </c>
    </row>
    <row r="283" spans="1:11">
      <c r="A283" s="7" t="str">
        <f>IF(子基金及业绩基准周净值!A321="","",子基金及业绩基准周净值!A321)</f>
        <v/>
      </c>
      <c r="B283" s="1" t="str">
        <f>IF(A283="","",VLOOKUP($A283,子基金及业绩基准周净值!$A:$AV,17))</f>
        <v/>
      </c>
      <c r="C283" s="25"/>
      <c r="D283" s="8" t="str">
        <f t="shared" si="20"/>
        <v/>
      </c>
      <c r="E283" s="9" t="str">
        <f>IF(A283="","",D283-子基金及业绩基准周净值!AI321)</f>
        <v/>
      </c>
      <c r="F283" s="12" t="str">
        <f>IF(A283="","",(MAX(C$3:C283)-C283)/MAX(C$3:C283))</f>
        <v/>
      </c>
      <c r="G283" s="12" t="str">
        <f>IF(A283="","",MAX(F$4:F283))</f>
        <v/>
      </c>
      <c r="I283" s="14" t="str">
        <f t="shared" si="21"/>
        <v/>
      </c>
      <c r="J283" s="14" t="str">
        <f t="shared" si="22"/>
        <v/>
      </c>
      <c r="K283" s="15" t="str">
        <f t="shared" si="23"/>
        <v/>
      </c>
    </row>
    <row r="284" spans="1:11">
      <c r="A284" s="7" t="str">
        <f>IF(子基金及业绩基准周净值!A322="","",子基金及业绩基准周净值!A322)</f>
        <v/>
      </c>
      <c r="B284" s="1" t="str">
        <f>IF(A284="","",VLOOKUP($A284,子基金及业绩基准周净值!$A:$AV,17))</f>
        <v/>
      </c>
      <c r="C284" s="25"/>
      <c r="D284" s="8" t="str">
        <f t="shared" si="20"/>
        <v/>
      </c>
      <c r="E284" s="9" t="str">
        <f>IF(A284="","",D284-子基金及业绩基准周净值!AI322)</f>
        <v/>
      </c>
      <c r="F284" s="12" t="str">
        <f>IF(A284="","",(MAX(C$3:C284)-C284)/MAX(C$3:C284))</f>
        <v/>
      </c>
      <c r="G284" s="12" t="str">
        <f>IF(A284="","",MAX(F$4:F284))</f>
        <v/>
      </c>
      <c r="I284" s="14" t="str">
        <f t="shared" si="21"/>
        <v/>
      </c>
      <c r="J284" s="14" t="str">
        <f t="shared" si="22"/>
        <v/>
      </c>
      <c r="K284" s="15" t="str">
        <f t="shared" si="23"/>
        <v/>
      </c>
    </row>
    <row r="285" spans="1:11">
      <c r="A285" s="7" t="str">
        <f>IF(子基金及业绩基准周净值!A323="","",子基金及业绩基准周净值!A323)</f>
        <v/>
      </c>
      <c r="B285" s="1" t="str">
        <f>IF(A285="","",VLOOKUP($A285,子基金及业绩基准周净值!$A:$AV,17))</f>
        <v/>
      </c>
      <c r="C285" s="25"/>
      <c r="D285" s="8" t="str">
        <f t="shared" si="20"/>
        <v/>
      </c>
      <c r="E285" s="9" t="str">
        <f>IF(A285="","",D285-子基金及业绩基准周净值!AI323)</f>
        <v/>
      </c>
      <c r="F285" s="12" t="str">
        <f>IF(A285="","",(MAX(C$3:C285)-C285)/MAX(C$3:C285))</f>
        <v/>
      </c>
      <c r="G285" s="12" t="str">
        <f>IF(A285="","",MAX(F$4:F285))</f>
        <v/>
      </c>
      <c r="I285" s="14" t="str">
        <f t="shared" si="21"/>
        <v/>
      </c>
      <c r="J285" s="14" t="str">
        <f t="shared" si="22"/>
        <v/>
      </c>
      <c r="K285" s="15" t="str">
        <f t="shared" si="23"/>
        <v/>
      </c>
    </row>
    <row r="286" spans="1:11">
      <c r="A286" s="7" t="str">
        <f>IF(子基金及业绩基准周净值!A324="","",子基金及业绩基准周净值!A324)</f>
        <v/>
      </c>
      <c r="B286" s="1" t="str">
        <f>IF(A286="","",VLOOKUP($A286,子基金及业绩基准周净值!$A:$AV,17))</f>
        <v/>
      </c>
      <c r="C286" s="25"/>
      <c r="D286" s="8" t="str">
        <f t="shared" si="20"/>
        <v/>
      </c>
      <c r="E286" s="9" t="str">
        <f>IF(A286="","",D286-子基金及业绩基准周净值!AI324)</f>
        <v/>
      </c>
      <c r="F286" s="12" t="str">
        <f>IF(A286="","",(MAX(C$3:C286)-C286)/MAX(C$3:C286))</f>
        <v/>
      </c>
      <c r="G286" s="12" t="str">
        <f>IF(A286="","",MAX(F$4:F286))</f>
        <v/>
      </c>
      <c r="I286" s="14" t="str">
        <f t="shared" si="21"/>
        <v/>
      </c>
      <c r="J286" s="14" t="str">
        <f t="shared" si="22"/>
        <v/>
      </c>
      <c r="K286" s="15" t="str">
        <f t="shared" si="23"/>
        <v/>
      </c>
    </row>
    <row r="287" spans="1:11">
      <c r="A287" s="7" t="str">
        <f>IF(子基金及业绩基准周净值!A325="","",子基金及业绩基准周净值!A325)</f>
        <v/>
      </c>
      <c r="B287" s="1" t="str">
        <f>IF(A287="","",VLOOKUP($A287,子基金及业绩基准周净值!$A:$AV,17))</f>
        <v/>
      </c>
      <c r="C287" s="25"/>
      <c r="D287" s="8" t="str">
        <f t="shared" si="20"/>
        <v/>
      </c>
      <c r="E287" s="9" t="str">
        <f>IF(A287="","",D287-子基金及业绩基准周净值!AI325)</f>
        <v/>
      </c>
      <c r="F287" s="12" t="str">
        <f>IF(A287="","",(MAX(C$3:C287)-C287)/MAX(C$3:C287))</f>
        <v/>
      </c>
      <c r="G287" s="12" t="str">
        <f>IF(A287="","",MAX(F$4:F287))</f>
        <v/>
      </c>
      <c r="I287" s="14" t="str">
        <f t="shared" si="21"/>
        <v/>
      </c>
      <c r="J287" s="14" t="str">
        <f t="shared" si="22"/>
        <v/>
      </c>
      <c r="K287" s="15" t="str">
        <f t="shared" si="23"/>
        <v/>
      </c>
    </row>
    <row r="288" spans="1:11">
      <c r="A288" s="7" t="str">
        <f>IF(子基金及业绩基准周净值!A326="","",子基金及业绩基准周净值!A326)</f>
        <v/>
      </c>
      <c r="B288" s="1" t="str">
        <f>IF(A288="","",VLOOKUP($A288,子基金及业绩基准周净值!$A:$AV,17))</f>
        <v/>
      </c>
      <c r="C288" s="25"/>
      <c r="D288" s="8" t="str">
        <f t="shared" si="20"/>
        <v/>
      </c>
      <c r="E288" s="9" t="str">
        <f>IF(A288="","",D288-子基金及业绩基准周净值!AI326)</f>
        <v/>
      </c>
      <c r="F288" s="12" t="str">
        <f>IF(A288="","",(MAX(C$3:C288)-C288)/MAX(C$3:C288))</f>
        <v/>
      </c>
      <c r="G288" s="12" t="str">
        <f>IF(A288="","",MAX(F$4:F288))</f>
        <v/>
      </c>
      <c r="I288" s="14" t="str">
        <f t="shared" si="21"/>
        <v/>
      </c>
      <c r="J288" s="14" t="str">
        <f t="shared" si="22"/>
        <v/>
      </c>
      <c r="K288" s="15" t="str">
        <f t="shared" si="23"/>
        <v/>
      </c>
    </row>
    <row r="289" spans="1:11">
      <c r="A289" s="7" t="str">
        <f>IF(子基金及业绩基准周净值!A327="","",子基金及业绩基准周净值!A327)</f>
        <v/>
      </c>
      <c r="B289" s="1" t="str">
        <f>IF(A289="","",VLOOKUP($A289,子基金及业绩基准周净值!$A:$AV,17))</f>
        <v/>
      </c>
      <c r="C289" s="25"/>
      <c r="D289" s="8" t="str">
        <f t="shared" si="20"/>
        <v/>
      </c>
      <c r="E289" s="9" t="str">
        <f>IF(A289="","",D289-子基金及业绩基准周净值!AI327)</f>
        <v/>
      </c>
      <c r="F289" s="12" t="str">
        <f>IF(A289="","",(MAX(C$3:C289)-C289)/MAX(C$3:C289))</f>
        <v/>
      </c>
      <c r="G289" s="12" t="str">
        <f>IF(A289="","",MAX(F$4:F289))</f>
        <v/>
      </c>
      <c r="I289" s="14" t="str">
        <f t="shared" si="21"/>
        <v/>
      </c>
      <c r="J289" s="14" t="str">
        <f t="shared" si="22"/>
        <v/>
      </c>
      <c r="K289" s="15" t="str">
        <f t="shared" si="23"/>
        <v/>
      </c>
    </row>
    <row r="290" spans="1:11">
      <c r="A290" s="7" t="str">
        <f>IF(子基金及业绩基准周净值!A328="","",子基金及业绩基准周净值!A328)</f>
        <v/>
      </c>
      <c r="B290" s="1" t="str">
        <f>IF(A290="","",VLOOKUP($A290,子基金及业绩基准周净值!$A:$AV,17))</f>
        <v/>
      </c>
      <c r="C290" s="25"/>
      <c r="D290" s="8" t="str">
        <f t="shared" si="20"/>
        <v/>
      </c>
      <c r="E290" s="9" t="str">
        <f>IF(A290="","",D290-子基金及业绩基准周净值!AI328)</f>
        <v/>
      </c>
      <c r="F290" s="12" t="str">
        <f>IF(A290="","",(MAX(C$3:C290)-C290)/MAX(C$3:C290))</f>
        <v/>
      </c>
      <c r="G290" s="12" t="str">
        <f>IF(A290="","",MAX(F$4:F290))</f>
        <v/>
      </c>
      <c r="I290" s="14" t="str">
        <f t="shared" si="21"/>
        <v/>
      </c>
      <c r="J290" s="14" t="str">
        <f t="shared" si="22"/>
        <v/>
      </c>
      <c r="K290" s="15" t="str">
        <f t="shared" si="23"/>
        <v/>
      </c>
    </row>
    <row r="291" spans="1:11">
      <c r="A291" s="7" t="str">
        <f>IF(子基金及业绩基准周净值!A329="","",子基金及业绩基准周净值!A329)</f>
        <v/>
      </c>
      <c r="B291" s="1" t="str">
        <f>IF(A291="","",VLOOKUP($A291,子基金及业绩基准周净值!$A:$AV,17))</f>
        <v/>
      </c>
      <c r="C291" s="25"/>
      <c r="D291" s="8" t="str">
        <f t="shared" si="20"/>
        <v/>
      </c>
      <c r="E291" s="9" t="str">
        <f>IF(A291="","",D291-子基金及业绩基准周净值!AI329)</f>
        <v/>
      </c>
      <c r="F291" s="12" t="str">
        <f>IF(A291="","",(MAX(C$3:C291)-C291)/MAX(C$3:C291))</f>
        <v/>
      </c>
      <c r="G291" s="12" t="str">
        <f>IF(A291="","",MAX(F$4:F291))</f>
        <v/>
      </c>
      <c r="I291" s="14" t="str">
        <f t="shared" si="21"/>
        <v/>
      </c>
      <c r="J291" s="14" t="str">
        <f t="shared" si="22"/>
        <v/>
      </c>
      <c r="K291" s="15" t="str">
        <f t="shared" si="23"/>
        <v/>
      </c>
    </row>
    <row r="292" spans="1:11">
      <c r="A292" s="7" t="str">
        <f>IF(子基金及业绩基准周净值!A330="","",子基金及业绩基准周净值!A330)</f>
        <v/>
      </c>
      <c r="B292" s="1" t="str">
        <f>IF(A292="","",VLOOKUP($A292,子基金及业绩基准周净值!$A:$AV,17))</f>
        <v/>
      </c>
      <c r="C292" s="25"/>
      <c r="D292" s="8" t="str">
        <f t="shared" si="20"/>
        <v/>
      </c>
      <c r="E292" s="9" t="str">
        <f>IF(A292="","",D292-子基金及业绩基准周净值!AI330)</f>
        <v/>
      </c>
      <c r="F292" s="12" t="str">
        <f>IF(A292="","",(MAX(C$3:C292)-C292)/MAX(C$3:C292))</f>
        <v/>
      </c>
      <c r="G292" s="12" t="str">
        <f>IF(A292="","",MAX(F$4:F292))</f>
        <v/>
      </c>
      <c r="I292" s="14" t="str">
        <f t="shared" si="21"/>
        <v/>
      </c>
      <c r="J292" s="14" t="str">
        <f t="shared" si="22"/>
        <v/>
      </c>
      <c r="K292" s="15" t="str">
        <f t="shared" si="23"/>
        <v/>
      </c>
    </row>
    <row r="293" spans="1:11">
      <c r="A293" s="7" t="str">
        <f>IF(子基金及业绩基准周净值!A331="","",子基金及业绩基准周净值!A331)</f>
        <v/>
      </c>
      <c r="B293" s="1" t="str">
        <f>IF(A293="","",VLOOKUP($A293,子基金及业绩基准周净值!$A:$AV,17))</f>
        <v/>
      </c>
      <c r="C293" s="25"/>
      <c r="D293" s="8" t="str">
        <f t="shared" si="20"/>
        <v/>
      </c>
      <c r="E293" s="9" t="str">
        <f>IF(A293="","",D293-子基金及业绩基准周净值!AI331)</f>
        <v/>
      </c>
      <c r="F293" s="12" t="str">
        <f>IF(A293="","",(MAX(C$3:C293)-C293)/MAX(C$3:C293))</f>
        <v/>
      </c>
      <c r="G293" s="12" t="str">
        <f>IF(A293="","",MAX(F$4:F293))</f>
        <v/>
      </c>
      <c r="I293" s="14" t="str">
        <f t="shared" si="21"/>
        <v/>
      </c>
      <c r="J293" s="14" t="str">
        <f t="shared" si="22"/>
        <v/>
      </c>
      <c r="K293" s="15" t="str">
        <f t="shared" si="23"/>
        <v/>
      </c>
    </row>
    <row r="294" spans="1:11">
      <c r="A294" s="7" t="str">
        <f>IF(子基金及业绩基准周净值!A332="","",子基金及业绩基准周净值!A332)</f>
        <v/>
      </c>
      <c r="B294" s="1" t="str">
        <f>IF(A294="","",VLOOKUP($A294,子基金及业绩基准周净值!$A:$AV,17))</f>
        <v/>
      </c>
      <c r="C294" s="25"/>
      <c r="D294" s="8" t="str">
        <f t="shared" si="20"/>
        <v/>
      </c>
      <c r="E294" s="9" t="str">
        <f>IF(A294="","",D294-子基金及业绩基准周净值!AI332)</f>
        <v/>
      </c>
      <c r="F294" s="12" t="str">
        <f>IF(A294="","",(MAX(C$3:C294)-C294)/MAX(C$3:C294))</f>
        <v/>
      </c>
      <c r="G294" s="12" t="str">
        <f>IF(A294="","",MAX(F$4:F294))</f>
        <v/>
      </c>
      <c r="I294" s="14" t="str">
        <f t="shared" si="21"/>
        <v/>
      </c>
      <c r="J294" s="14" t="str">
        <f t="shared" si="22"/>
        <v/>
      </c>
      <c r="K294" s="15" t="str">
        <f t="shared" si="23"/>
        <v/>
      </c>
    </row>
    <row r="295" spans="1:11">
      <c r="A295" s="7" t="str">
        <f>IF(子基金及业绩基准周净值!A333="","",子基金及业绩基准周净值!A333)</f>
        <v/>
      </c>
      <c r="B295" s="1" t="str">
        <f>IF(A295="","",VLOOKUP($A295,子基金及业绩基准周净值!$A:$AV,17))</f>
        <v/>
      </c>
      <c r="C295" s="25"/>
      <c r="D295" s="8" t="str">
        <f t="shared" si="20"/>
        <v/>
      </c>
      <c r="E295" s="9" t="str">
        <f>IF(A295="","",D295-子基金及业绩基准周净值!AI333)</f>
        <v/>
      </c>
      <c r="F295" s="12" t="str">
        <f>IF(A295="","",(MAX(C$3:C295)-C295)/MAX(C$3:C295))</f>
        <v/>
      </c>
      <c r="G295" s="12" t="str">
        <f>IF(A295="","",MAX(F$4:F295))</f>
        <v/>
      </c>
      <c r="I295" s="14" t="str">
        <f t="shared" si="21"/>
        <v/>
      </c>
      <c r="J295" s="14" t="str">
        <f t="shared" si="22"/>
        <v/>
      </c>
      <c r="K295" s="15" t="str">
        <f t="shared" si="23"/>
        <v/>
      </c>
    </row>
    <row r="296" spans="1:11">
      <c r="A296" s="7" t="str">
        <f>IF(子基金及业绩基准周净值!A334="","",子基金及业绩基准周净值!A334)</f>
        <v/>
      </c>
      <c r="B296" s="1" t="str">
        <f>IF(A296="","",VLOOKUP($A296,子基金及业绩基准周净值!$A:$AV,17))</f>
        <v/>
      </c>
      <c r="C296" s="25"/>
      <c r="D296" s="8" t="str">
        <f t="shared" si="20"/>
        <v/>
      </c>
      <c r="E296" s="9" t="str">
        <f>IF(A296="","",D296-子基金及业绩基准周净值!AI334)</f>
        <v/>
      </c>
      <c r="F296" s="12" t="str">
        <f>IF(A296="","",(MAX(C$3:C296)-C296)/MAX(C$3:C296))</f>
        <v/>
      </c>
      <c r="G296" s="12" t="str">
        <f>IF(A296="","",MAX(F$4:F296))</f>
        <v/>
      </c>
      <c r="I296" s="14" t="str">
        <f t="shared" si="21"/>
        <v/>
      </c>
      <c r="J296" s="14" t="str">
        <f t="shared" si="22"/>
        <v/>
      </c>
      <c r="K296" s="15" t="str">
        <f t="shared" si="23"/>
        <v/>
      </c>
    </row>
    <row r="297" spans="1:11">
      <c r="A297" s="7" t="str">
        <f>IF(子基金及业绩基准周净值!A335="","",子基金及业绩基准周净值!A335)</f>
        <v/>
      </c>
      <c r="B297" s="1" t="str">
        <f>IF(A297="","",VLOOKUP($A297,子基金及业绩基准周净值!$A:$AV,17))</f>
        <v/>
      </c>
      <c r="C297" s="25"/>
      <c r="D297" s="8" t="str">
        <f t="shared" si="20"/>
        <v/>
      </c>
      <c r="E297" s="9" t="str">
        <f>IF(A297="","",D297-子基金及业绩基准周净值!AI335)</f>
        <v/>
      </c>
      <c r="F297" s="12" t="str">
        <f>IF(A297="","",(MAX(C$3:C297)-C297)/MAX(C$3:C297))</f>
        <v/>
      </c>
      <c r="G297" s="12" t="str">
        <f>IF(A297="","",MAX(F$4:F297))</f>
        <v/>
      </c>
      <c r="I297" s="14" t="str">
        <f t="shared" si="21"/>
        <v/>
      </c>
      <c r="J297" s="14" t="str">
        <f t="shared" si="22"/>
        <v/>
      </c>
      <c r="K297" s="15" t="str">
        <f t="shared" si="23"/>
        <v/>
      </c>
    </row>
    <row r="298" spans="1:11">
      <c r="A298" s="7" t="str">
        <f>IF(子基金及业绩基准周净值!A336="","",子基金及业绩基准周净值!A336)</f>
        <v/>
      </c>
      <c r="B298" s="1" t="str">
        <f>IF(A298="","",VLOOKUP($A298,子基金及业绩基准周净值!$A:$AV,17))</f>
        <v/>
      </c>
      <c r="C298" s="25"/>
      <c r="D298" s="8" t="str">
        <f t="shared" si="20"/>
        <v/>
      </c>
      <c r="E298" s="9" t="str">
        <f>IF(A298="","",D298-子基金及业绩基准周净值!AI336)</f>
        <v/>
      </c>
      <c r="F298" s="12" t="str">
        <f>IF(A298="","",(MAX(C$3:C298)-C298)/MAX(C$3:C298))</f>
        <v/>
      </c>
      <c r="G298" s="12" t="str">
        <f>IF(A298="","",MAX(F$4:F298))</f>
        <v/>
      </c>
      <c r="I298" s="14" t="str">
        <f t="shared" si="21"/>
        <v/>
      </c>
      <c r="J298" s="14" t="str">
        <f t="shared" si="22"/>
        <v/>
      </c>
      <c r="K298" s="15" t="str">
        <f t="shared" si="23"/>
        <v/>
      </c>
    </row>
    <row r="299" spans="1:11">
      <c r="A299" s="7" t="str">
        <f>IF(子基金及业绩基准周净值!A337="","",子基金及业绩基准周净值!A337)</f>
        <v/>
      </c>
      <c r="B299" s="1" t="str">
        <f>IF(A299="","",VLOOKUP($A299,子基金及业绩基准周净值!$A:$AV,17))</f>
        <v/>
      </c>
      <c r="C299" s="25"/>
      <c r="D299" s="8" t="str">
        <f t="shared" si="20"/>
        <v/>
      </c>
      <c r="E299" s="9" t="str">
        <f>IF(A299="","",D299-子基金及业绩基准周净值!AI337)</f>
        <v/>
      </c>
      <c r="F299" s="12" t="str">
        <f>IF(A299="","",(MAX(C$3:C299)-C299)/MAX(C$3:C299))</f>
        <v/>
      </c>
      <c r="G299" s="12" t="str">
        <f>IF(A299="","",MAX(F$4:F299))</f>
        <v/>
      </c>
      <c r="I299" s="14" t="str">
        <f t="shared" si="21"/>
        <v/>
      </c>
      <c r="J299" s="14" t="str">
        <f t="shared" si="22"/>
        <v/>
      </c>
      <c r="K299" s="15" t="str">
        <f t="shared" si="23"/>
        <v/>
      </c>
    </row>
    <row r="300" spans="1:11">
      <c r="A300" s="7" t="str">
        <f>IF(子基金及业绩基准周净值!A338="","",子基金及业绩基准周净值!A338)</f>
        <v/>
      </c>
      <c r="B300" s="1" t="str">
        <f>IF(A300="","",VLOOKUP($A300,子基金及业绩基准周净值!$A:$AV,17))</f>
        <v/>
      </c>
      <c r="C300" s="25"/>
      <c r="D300" s="8" t="str">
        <f t="shared" si="20"/>
        <v/>
      </c>
      <c r="E300" s="9" t="str">
        <f>IF(A300="","",D300-子基金及业绩基准周净值!AI338)</f>
        <v/>
      </c>
      <c r="F300" s="12" t="str">
        <f>IF(A300="","",(MAX(C$3:C300)-C300)/MAX(C$3:C300))</f>
        <v/>
      </c>
      <c r="G300" s="12" t="str">
        <f>IF(A300="","",MAX(F$4:F300))</f>
        <v/>
      </c>
      <c r="I300" s="14" t="str">
        <f t="shared" si="21"/>
        <v/>
      </c>
      <c r="J300" s="14" t="str">
        <f t="shared" si="22"/>
        <v/>
      </c>
      <c r="K300" s="15" t="str">
        <f t="shared" si="23"/>
        <v/>
      </c>
    </row>
    <row r="301" spans="1:11">
      <c r="A301" s="7" t="str">
        <f>IF(子基金及业绩基准周净值!A339="","",子基金及业绩基准周净值!A339)</f>
        <v/>
      </c>
      <c r="B301" s="1" t="str">
        <f>IF(A301="","",VLOOKUP($A301,子基金及业绩基准周净值!$A:$AV,17))</f>
        <v/>
      </c>
      <c r="C301" s="25"/>
      <c r="D301" s="8" t="str">
        <f t="shared" si="20"/>
        <v/>
      </c>
      <c r="E301" s="9" t="str">
        <f>IF(A301="","",D301-子基金及业绩基准周净值!AI339)</f>
        <v/>
      </c>
      <c r="F301" s="12" t="str">
        <f>IF(A301="","",(MAX(C$3:C301)-C301)/MAX(C$3:C301))</f>
        <v/>
      </c>
      <c r="G301" s="12" t="str">
        <f>IF(A301="","",MAX(F$4:F301))</f>
        <v/>
      </c>
      <c r="I301" s="14" t="str">
        <f t="shared" si="21"/>
        <v/>
      </c>
      <c r="J301" s="14" t="str">
        <f t="shared" si="22"/>
        <v/>
      </c>
      <c r="K301" s="15" t="str">
        <f t="shared" si="23"/>
        <v/>
      </c>
    </row>
    <row r="302" spans="1:11">
      <c r="A302" s="7" t="str">
        <f>IF(子基金及业绩基准周净值!A340="","",子基金及业绩基准周净值!A340)</f>
        <v/>
      </c>
      <c r="B302" s="1" t="str">
        <f>IF(A302="","",VLOOKUP($A302,子基金及业绩基准周净值!$A:$AV,17))</f>
        <v/>
      </c>
      <c r="C302" s="25"/>
      <c r="D302" s="8" t="str">
        <f t="shared" si="20"/>
        <v/>
      </c>
      <c r="E302" s="9" t="str">
        <f>IF(A302="","",D302-子基金及业绩基准周净值!AI340)</f>
        <v/>
      </c>
      <c r="F302" s="12" t="str">
        <f>IF(A302="","",(MAX(C$3:C302)-C302)/MAX(C$3:C302))</f>
        <v/>
      </c>
      <c r="G302" s="12" t="str">
        <f>IF(A302="","",MAX(F$4:F302))</f>
        <v/>
      </c>
      <c r="I302" s="14" t="str">
        <f t="shared" si="21"/>
        <v/>
      </c>
      <c r="J302" s="14" t="str">
        <f t="shared" si="22"/>
        <v/>
      </c>
      <c r="K302" s="15" t="str">
        <f t="shared" si="23"/>
        <v/>
      </c>
    </row>
    <row r="303" spans="1:11">
      <c r="A303" s="7" t="str">
        <f>IF(子基金及业绩基准周净值!A341="","",子基金及业绩基准周净值!A341)</f>
        <v/>
      </c>
      <c r="B303" s="1" t="str">
        <f>IF(A303="","",VLOOKUP($A303,子基金及业绩基准周净值!$A:$AV,17))</f>
        <v/>
      </c>
      <c r="C303" s="25"/>
      <c r="D303" s="8" t="str">
        <f t="shared" si="20"/>
        <v/>
      </c>
      <c r="E303" s="9" t="str">
        <f>IF(A303="","",D303-子基金及业绩基准周净值!AI341)</f>
        <v/>
      </c>
      <c r="F303" s="12" t="str">
        <f>IF(A303="","",(MAX(C$3:C303)-C303)/MAX(C$3:C303))</f>
        <v/>
      </c>
      <c r="G303" s="12" t="str">
        <f>IF(A303="","",MAX(F$4:F303))</f>
        <v/>
      </c>
      <c r="I303" s="14" t="str">
        <f t="shared" si="21"/>
        <v/>
      </c>
      <c r="J303" s="14" t="str">
        <f t="shared" si="22"/>
        <v/>
      </c>
      <c r="K303" s="15" t="str">
        <f t="shared" si="23"/>
        <v/>
      </c>
    </row>
    <row r="304" spans="1:11">
      <c r="A304" s="7" t="str">
        <f>IF(子基金及业绩基准周净值!A342="","",子基金及业绩基准周净值!A342)</f>
        <v/>
      </c>
      <c r="B304" s="1" t="str">
        <f>IF(A304="","",VLOOKUP($A304,子基金及业绩基准周净值!$A:$AV,17))</f>
        <v/>
      </c>
      <c r="C304" s="25"/>
      <c r="D304" s="8" t="str">
        <f t="shared" si="20"/>
        <v/>
      </c>
      <c r="E304" s="9" t="str">
        <f>IF(A304="","",D304-子基金及业绩基准周净值!AI342)</f>
        <v/>
      </c>
      <c r="F304" s="12" t="str">
        <f>IF(A304="","",(MAX(C$3:C304)-C304)/MAX(C$3:C304))</f>
        <v/>
      </c>
      <c r="G304" s="12" t="str">
        <f>IF(A304="","",MAX(F$4:F304))</f>
        <v/>
      </c>
      <c r="I304" s="14" t="str">
        <f t="shared" si="21"/>
        <v/>
      </c>
      <c r="J304" s="14" t="str">
        <f t="shared" si="22"/>
        <v/>
      </c>
      <c r="K304" s="15" t="str">
        <f t="shared" si="23"/>
        <v/>
      </c>
    </row>
    <row r="305" spans="1:11">
      <c r="A305" s="7" t="str">
        <f>IF(子基金及业绩基准周净值!A343="","",子基金及业绩基准周净值!A343)</f>
        <v/>
      </c>
      <c r="B305" s="1" t="str">
        <f>IF(A305="","",VLOOKUP($A305,子基金及业绩基准周净值!$A:$AV,17))</f>
        <v/>
      </c>
      <c r="C305" s="25"/>
      <c r="D305" s="8" t="str">
        <f t="shared" si="20"/>
        <v/>
      </c>
      <c r="E305" s="9" t="str">
        <f>IF(A305="","",D305-子基金及业绩基准周净值!AI343)</f>
        <v/>
      </c>
      <c r="F305" s="12" t="str">
        <f>IF(A305="","",(MAX(C$3:C305)-C305)/MAX(C$3:C305))</f>
        <v/>
      </c>
      <c r="G305" s="12" t="str">
        <f>IF(A305="","",MAX(F$4:F305))</f>
        <v/>
      </c>
      <c r="I305" s="14" t="str">
        <f t="shared" si="21"/>
        <v/>
      </c>
      <c r="J305" s="14" t="str">
        <f t="shared" si="22"/>
        <v/>
      </c>
      <c r="K305" s="15" t="str">
        <f t="shared" si="23"/>
        <v/>
      </c>
    </row>
    <row r="306" spans="1:11">
      <c r="A306" s="7" t="str">
        <f>IF(子基金及业绩基准周净值!A344="","",子基金及业绩基准周净值!A344)</f>
        <v/>
      </c>
      <c r="B306" s="1" t="str">
        <f>IF(A306="","",VLOOKUP($A306,子基金及业绩基准周净值!$A:$AV,17))</f>
        <v/>
      </c>
      <c r="C306" s="25"/>
      <c r="D306" s="8" t="str">
        <f t="shared" si="20"/>
        <v/>
      </c>
      <c r="E306" s="9" t="str">
        <f>IF(A306="","",D306-子基金及业绩基准周净值!AI344)</f>
        <v/>
      </c>
      <c r="F306" s="12" t="str">
        <f>IF(A306="","",(MAX(C$3:C306)-C306)/MAX(C$3:C306))</f>
        <v/>
      </c>
      <c r="G306" s="12" t="str">
        <f>IF(A306="","",MAX(F$4:F306))</f>
        <v/>
      </c>
      <c r="I306" s="14" t="str">
        <f t="shared" si="21"/>
        <v/>
      </c>
      <c r="J306" s="14" t="str">
        <f t="shared" si="22"/>
        <v/>
      </c>
      <c r="K306" s="15" t="str">
        <f t="shared" si="23"/>
        <v/>
      </c>
    </row>
    <row r="307" spans="1:11">
      <c r="A307" s="7" t="str">
        <f>IF(子基金及业绩基准周净值!A345="","",子基金及业绩基准周净值!A345)</f>
        <v/>
      </c>
      <c r="B307" s="1" t="str">
        <f>IF(A307="","",VLOOKUP($A307,子基金及业绩基准周净值!$A:$AV,17))</f>
        <v/>
      </c>
      <c r="C307" s="25"/>
      <c r="D307" s="8" t="str">
        <f t="shared" si="20"/>
        <v/>
      </c>
      <c r="E307" s="9" t="str">
        <f>IF(A307="","",D307-子基金及业绩基准周净值!AI345)</f>
        <v/>
      </c>
      <c r="F307" s="12" t="str">
        <f>IF(A307="","",(MAX(C$3:C307)-C307)/MAX(C$3:C307))</f>
        <v/>
      </c>
      <c r="G307" s="12" t="str">
        <f>IF(A307="","",MAX(F$4:F307))</f>
        <v/>
      </c>
      <c r="I307" s="14" t="str">
        <f t="shared" si="21"/>
        <v/>
      </c>
      <c r="J307" s="14" t="str">
        <f t="shared" si="22"/>
        <v/>
      </c>
      <c r="K307" s="15" t="str">
        <f t="shared" si="23"/>
        <v/>
      </c>
    </row>
    <row r="308" spans="1:11">
      <c r="A308" s="7" t="str">
        <f>IF(子基金及业绩基准周净值!A346="","",子基金及业绩基准周净值!A346)</f>
        <v/>
      </c>
      <c r="B308" s="1" t="str">
        <f>IF(A308="","",VLOOKUP($A308,子基金及业绩基准周净值!$A:$AV,17))</f>
        <v/>
      </c>
      <c r="C308" s="25"/>
      <c r="D308" s="8" t="str">
        <f t="shared" si="20"/>
        <v/>
      </c>
      <c r="E308" s="9" t="str">
        <f>IF(A308="","",D308-子基金及业绩基准周净值!AI346)</f>
        <v/>
      </c>
      <c r="F308" s="12" t="str">
        <f>IF(A308="","",(MAX(C$3:C308)-C308)/MAX(C$3:C308))</f>
        <v/>
      </c>
      <c r="G308" s="12" t="str">
        <f>IF(A308="","",MAX(F$4:F308))</f>
        <v/>
      </c>
      <c r="I308" s="14" t="str">
        <f t="shared" si="21"/>
        <v/>
      </c>
      <c r="J308" s="14" t="str">
        <f t="shared" si="22"/>
        <v/>
      </c>
      <c r="K308" s="15" t="str">
        <f t="shared" si="23"/>
        <v/>
      </c>
    </row>
  </sheetData>
  <conditionalFormatting sqref="L32">
    <cfRule type="containsText" dxfId="0" priority="1" operator="between" text="是">
      <formula>NOT(ISERROR(SEARCH("是",L32)))</formula>
    </cfRule>
  </conditionalFormatting>
  <conditionalFormatting sqref="I4:I308">
    <cfRule type="containsText" dxfId="0" priority="2" operator="between" text="是">
      <formula>NOT(ISERROR(SEARCH("是",I4)))</formula>
    </cfRule>
  </conditionalFormatting>
  <conditionalFormatting sqref="K3:K1048576">
    <cfRule type="containsText" dxfId="0" priority="3" operator="between" text="是">
      <formula>NOT(ISERROR(SEARCH("是",K3)))</formula>
    </cfRule>
  </conditionalFormatting>
  <pageMargins left="0.7" right="0.7" top="0.75" bottom="0.75" header="0.3" footer="0.3"/>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K308"/>
  <sheetViews>
    <sheetView topLeftCell="A5" workbookViewId="0">
      <selection activeCell="G33" sqref="G33"/>
    </sheetView>
  </sheetViews>
  <sheetFormatPr defaultColWidth="9" defaultRowHeight="16.8"/>
  <cols>
    <col min="1" max="1" width="11.125" customWidth="1"/>
    <col min="2" max="2" width="21.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319</v>
      </c>
      <c r="C2" s="5" t="s">
        <v>310</v>
      </c>
      <c r="D2" s="6" t="s">
        <v>311</v>
      </c>
      <c r="F2" s="5" t="s">
        <v>22</v>
      </c>
      <c r="G2" s="10" t="s">
        <v>312</v>
      </c>
      <c r="H2" s="11" t="s">
        <v>313</v>
      </c>
      <c r="I2" s="11" t="s">
        <v>314</v>
      </c>
      <c r="J2" s="11" t="s">
        <v>315</v>
      </c>
      <c r="K2" s="5" t="s">
        <v>316</v>
      </c>
    </row>
    <row r="3" spans="1:2">
      <c r="A3" s="7">
        <f>IF(子基金及业绩基准周净值!A43="","",子基金及业绩基准周净值!A43)</f>
        <v>45744</v>
      </c>
      <c r="B3" s="1">
        <f>IF(A3="","",VLOOKUP($A3,子基金及业绩基准周净值!$A:$AV,18))</f>
        <v>1.0051</v>
      </c>
    </row>
    <row r="4" spans="1:10">
      <c r="A4" s="7">
        <f>IF(子基金及业绩基准周净值!A44="","",子基金及业绩基准周净值!A44)</f>
        <v>45750</v>
      </c>
      <c r="B4" s="1">
        <f>IF(A4="","",VLOOKUP($A4,子基金及业绩基准周净值!$A:$AV,18))</f>
        <v>1.0074</v>
      </c>
      <c r="C4" s="8">
        <f>IF(A4="","",(B4-B3)/B3)</f>
        <v>0.00228832951945077</v>
      </c>
      <c r="D4" s="9">
        <f>IF(A4="","",C4-(子基金及业绩基准周净值!AH44/子基金及业绩基准周净值!AH43-1))</f>
        <v>0.000829816225979084</v>
      </c>
      <c r="E4" s="12">
        <f>IF(A4="","",(MAX(B$3:B4)-B4)/MAX(B$3:B4))</f>
        <v>0</v>
      </c>
      <c r="F4" s="12">
        <f>IF(A4="","",MAX(E$4:E4))</f>
        <v>0</v>
      </c>
      <c r="G4" s="13">
        <v>0</v>
      </c>
      <c r="H4" s="14" t="str">
        <f>IF(B4="","",IF(C4&lt;-3%,"是","否"))</f>
        <v>否</v>
      </c>
      <c r="I4" s="14" t="str">
        <f>IF(A4="","",IF(F4&gt;5%,"是","否"))</f>
        <v>否</v>
      </c>
      <c r="J4" s="15" t="str">
        <f>IF(A4="","",IF(G4&gt;=4,"是","否"))</f>
        <v>否</v>
      </c>
    </row>
    <row r="5" spans="1:10">
      <c r="A5" s="7">
        <f>IF(子基金及业绩基准周净值!A45="","",子基金及业绩基准周净值!A45)</f>
        <v>45758</v>
      </c>
      <c r="B5" s="1">
        <f>IF(A5="","",VLOOKUP($A5,子基金及业绩基准周净值!$A:$AV,18))</f>
        <v>1.0125</v>
      </c>
      <c r="C5" s="8">
        <f t="shared" ref="C5:C68" si="0">IF(A5="","",(B5-B4)/B4)</f>
        <v>0.0050625372245383</v>
      </c>
      <c r="D5" s="9">
        <f>IF(A5="","",C5-(子基金及业绩基准周净值!AH45/子基金及业绩基准周净值!AH44-1))</f>
        <v>0.0112315032500899</v>
      </c>
      <c r="E5" s="12">
        <f>IF(A5="","",(MAX(B$3:B5)-B5)/MAX(B$3:B5))</f>
        <v>0</v>
      </c>
      <c r="F5" s="12">
        <f>IF(A5="","",MAX(E$4:E5))</f>
        <v>0</v>
      </c>
      <c r="G5" s="13">
        <v>0</v>
      </c>
      <c r="H5" s="14" t="str">
        <f t="shared" ref="H5:H68" si="1">IF(B5="","",IF(C5&lt;-3%,"是","否"))</f>
        <v>否</v>
      </c>
      <c r="I5" s="14" t="str">
        <f t="shared" ref="I5:I68" si="2">IF(A5="","",IF(F5&gt;5%,"是","否"))</f>
        <v>否</v>
      </c>
      <c r="J5" s="15" t="str">
        <f t="shared" ref="J5:J68" si="3">IF(A5="","",IF(G5&gt;=4,"是","否"))</f>
        <v>否</v>
      </c>
    </row>
    <row r="6" spans="1:10">
      <c r="A6" s="7">
        <f>IF(子基金及业绩基准周净值!A46="","",子基金及业绩基准周净值!A46)</f>
        <v>45765</v>
      </c>
      <c r="B6" s="1">
        <f>IF(A6="","",VLOOKUP($A6,子基金及业绩基准周净值!$A:$AV,18))</f>
        <v>1.0126</v>
      </c>
      <c r="C6" s="8">
        <f t="shared" si="0"/>
        <v>9.87654320987546e-5</v>
      </c>
      <c r="D6" s="9">
        <f>IF(A6="","",C6-(子基金及业绩基准周净值!AH46/子基金及业绩基准周净值!AH45-1))</f>
        <v>-0.00417051300373416</v>
      </c>
      <c r="E6" s="12">
        <f>IF(A6="","",(MAX(B$3:B6)-B6)/MAX(B$3:B6))</f>
        <v>0</v>
      </c>
      <c r="F6" s="12">
        <f>IF(A6="","",MAX(E$4:E6))</f>
        <v>0</v>
      </c>
      <c r="G6" s="13">
        <v>1</v>
      </c>
      <c r="H6" s="14" t="str">
        <f t="shared" si="1"/>
        <v>否</v>
      </c>
      <c r="I6" s="14" t="str">
        <f t="shared" si="2"/>
        <v>否</v>
      </c>
      <c r="J6" s="15" t="str">
        <f t="shared" si="3"/>
        <v>否</v>
      </c>
    </row>
    <row r="7" spans="1:10">
      <c r="A7" s="7">
        <f>IF(子基金及业绩基准周净值!A47="","",子基金及业绩基准周净值!A47)</f>
        <v>45772</v>
      </c>
      <c r="B7" s="1">
        <f>IF(A7="","",VLOOKUP($A7,子基金及业绩基准周净值!$A:$AV,18))</f>
        <v>1.0125</v>
      </c>
      <c r="C7" s="8">
        <f t="shared" si="0"/>
        <v>-9.87556784515001e-5</v>
      </c>
      <c r="D7" s="9">
        <f>IF(A7="","",C7-(子基金及业绩基准周净值!AH47/子基金及业绩基准周净值!AH46-1))</f>
        <v>-0.00248087337798883</v>
      </c>
      <c r="E7" s="12">
        <f>IF(A7="","",(MAX(B$3:B7)-B7)/MAX(B$3:B7))</f>
        <v>9.87556784515001e-5</v>
      </c>
      <c r="F7" s="12">
        <f>IF(A7="","",MAX(E$4:E7))</f>
        <v>9.87556784515001e-5</v>
      </c>
      <c r="G7" s="13">
        <v>2</v>
      </c>
      <c r="H7" s="14" t="str">
        <f t="shared" si="1"/>
        <v>否</v>
      </c>
      <c r="I7" s="14" t="str">
        <f t="shared" si="2"/>
        <v>否</v>
      </c>
      <c r="J7" s="15" t="str">
        <f t="shared" si="3"/>
        <v>否</v>
      </c>
    </row>
    <row r="8" spans="1:10">
      <c r="A8" s="7">
        <f>IF(子基金及业绩基准周净值!A48="","",子基金及业绩基准周净值!A48)</f>
        <v>45786</v>
      </c>
      <c r="B8" s="1">
        <f>IF(A8="","",VLOOKUP($A8,子基金及业绩基准周净值!$A:$AV,18))</f>
        <v>1.0153</v>
      </c>
      <c r="C8" s="8">
        <f t="shared" si="0"/>
        <v>0.00276543209876557</v>
      </c>
      <c r="D8" s="9">
        <f>IF(A8="","",C8-(子基金及业绩基准周净值!AH48/子基金及业绩基准周净值!AH47-1))</f>
        <v>-0.00390443400373819</v>
      </c>
      <c r="E8" s="12">
        <f>IF(A8="","",(MAX(B$3:B8)-B8)/MAX(B$3:B8))</f>
        <v>0</v>
      </c>
      <c r="F8" s="12">
        <f>IF(A8="","",MAX(E$4:E8))</f>
        <v>9.87556784515001e-5</v>
      </c>
      <c r="G8" s="13">
        <v>3</v>
      </c>
      <c r="H8" s="14" t="str">
        <f t="shared" si="1"/>
        <v>否</v>
      </c>
      <c r="I8" s="14" t="str">
        <f t="shared" si="2"/>
        <v>否</v>
      </c>
      <c r="J8" s="15" t="str">
        <f t="shared" si="3"/>
        <v>否</v>
      </c>
    </row>
    <row r="9" spans="1:10">
      <c r="A9" s="7">
        <f>IF(子基金及业绩基准周净值!A49="","",子基金及业绩基准周净值!A49)</f>
        <v>45793</v>
      </c>
      <c r="B9" s="1">
        <f>IF(A9="","",VLOOKUP($A9,子基金及业绩基准周净值!$A:$AV,18))</f>
        <v>1.0089</v>
      </c>
      <c r="C9" s="8">
        <f t="shared" si="0"/>
        <v>-0.00630355559933043</v>
      </c>
      <c r="D9" s="9">
        <f>IF(A9="","",C9-(子基金及业绩基准周净值!AH49/子基金及业绩基准周净值!AH48-1))</f>
        <v>-0.0162299573835702</v>
      </c>
      <c r="E9" s="12">
        <f>IF(A9="","",(MAX(B$3:B9)-B9)/MAX(B$3:B9))</f>
        <v>0.00630355559933043</v>
      </c>
      <c r="F9" s="12">
        <f>IF(A9="","",MAX(E$4:E9))</f>
        <v>0.00630355559933043</v>
      </c>
      <c r="G9" s="13">
        <v>4</v>
      </c>
      <c r="H9" s="14" t="str">
        <f t="shared" si="1"/>
        <v>否</v>
      </c>
      <c r="I9" s="14" t="str">
        <f t="shared" si="2"/>
        <v>否</v>
      </c>
      <c r="J9" s="15" t="str">
        <f t="shared" si="3"/>
        <v>是</v>
      </c>
    </row>
    <row r="10" spans="1:10">
      <c r="A10" s="7">
        <f>IF(子基金及业绩基准周净值!A50="","",子基金及业绩基准周净值!A50)</f>
        <v>45800</v>
      </c>
      <c r="B10" s="1">
        <f>IF(A10="","",VLOOKUP($A10,子基金及业绩基准周净值!$A:$AV,18))</f>
        <v>1.0039</v>
      </c>
      <c r="C10" s="8">
        <f t="shared" si="0"/>
        <v>-0.00495589255624928</v>
      </c>
      <c r="D10" s="9">
        <f>IF(A10="","",C10-(子基金及业绩基准周净值!AH50/子基金及业绩基准周净值!AH49-1))</f>
        <v>0.00215243750068007</v>
      </c>
      <c r="E10" s="12">
        <f>IF(A10="","",(MAX(B$3:B10)-B10)/MAX(B$3:B10))</f>
        <v>0.0112282084113071</v>
      </c>
      <c r="F10" s="12">
        <f>IF(A10="","",MAX(E$4:E10))</f>
        <v>0.0112282084113071</v>
      </c>
      <c r="G10" s="13">
        <v>0</v>
      </c>
      <c r="H10" s="14" t="str">
        <f t="shared" si="1"/>
        <v>否</v>
      </c>
      <c r="I10" s="14" t="str">
        <f t="shared" si="2"/>
        <v>否</v>
      </c>
      <c r="J10" s="15" t="str">
        <f t="shared" si="3"/>
        <v>否</v>
      </c>
    </row>
    <row r="11" spans="1:10">
      <c r="A11" s="7">
        <f>IF(子基金及业绩基准周净值!A51="","",子基金及业绩基准周净值!A51)</f>
        <v>45807</v>
      </c>
      <c r="B11" s="1">
        <f>IF(A11="","",VLOOKUP($A11,子基金及业绩基准周净值!$A:$AV,18))</f>
        <v>1.0013</v>
      </c>
      <c r="C11" s="8">
        <f t="shared" si="0"/>
        <v>-0.00258989939236969</v>
      </c>
      <c r="D11" s="9">
        <f>IF(A11="","",C11-(子基金及业绩基准周净值!AH51/子基金及业绩基准周净值!AH50-1))</f>
        <v>-0.00405288690069821</v>
      </c>
      <c r="E11" s="12">
        <f>IF(A11="","",(MAX(B$3:B11)-B11)/MAX(B$3:B11))</f>
        <v>0.0137890278735349</v>
      </c>
      <c r="F11" s="12">
        <f>IF(A11="","",MAX(E$4:E11))</f>
        <v>0.0137890278735349</v>
      </c>
      <c r="G11" s="13">
        <v>1</v>
      </c>
      <c r="H11" s="14" t="str">
        <f t="shared" si="1"/>
        <v>否</v>
      </c>
      <c r="I11" s="14" t="str">
        <f t="shared" si="2"/>
        <v>否</v>
      </c>
      <c r="J11" s="15" t="str">
        <f t="shared" si="3"/>
        <v>否</v>
      </c>
    </row>
    <row r="12" spans="1:10">
      <c r="A12" s="7">
        <f>IF(子基金及业绩基准周净值!A52="","",子基金及业绩基准周净值!A52)</f>
        <v>45814</v>
      </c>
      <c r="B12" s="1">
        <f>IF(A12="","",VLOOKUP($A12,子基金及业绩基准周净值!$A:$AV,18))</f>
        <v>1.0002</v>
      </c>
      <c r="C12" s="8">
        <f t="shared" si="0"/>
        <v>-0.00109857185658654</v>
      </c>
      <c r="D12" s="9">
        <f>IF(A12="","",C12-(子基金及业绩基准周净值!AH52/子基金及业绩基准周净值!AH51-1))</f>
        <v>-0.00456086406385899</v>
      </c>
      <c r="E12" s="12">
        <f>IF(A12="","",(MAX(B$3:B12)-B12)/MAX(B$3:B12))</f>
        <v>0.0148724514921699</v>
      </c>
      <c r="F12" s="12">
        <f>IF(A12="","",MAX(E$4:E12))</f>
        <v>0.0148724514921699</v>
      </c>
      <c r="G12" s="13">
        <v>2</v>
      </c>
      <c r="H12" s="14" t="str">
        <f t="shared" si="1"/>
        <v>否</v>
      </c>
      <c r="I12" s="14" t="str">
        <f t="shared" si="2"/>
        <v>否</v>
      </c>
      <c r="J12" s="15" t="str">
        <f t="shared" si="3"/>
        <v>否</v>
      </c>
    </row>
    <row r="13" spans="1:10">
      <c r="A13" s="7">
        <f>IF(子基金及业绩基准周净值!A53="","",子基金及业绩基准周净值!A53)</f>
        <v>45821</v>
      </c>
      <c r="B13" s="1">
        <f>IF(A13="","",VLOOKUP($A13,子基金及业绩基准周净值!$A:$AV,18))</f>
        <v>1.0006</v>
      </c>
      <c r="C13" s="8">
        <f t="shared" si="0"/>
        <v>0.000399920015996757</v>
      </c>
      <c r="D13" s="9">
        <f>IF(A13="","",C13-(子基金及业绩基准周净值!AH53/子基金及业绩基准周净值!AH52-1))</f>
        <v>0.000230035414540807</v>
      </c>
      <c r="E13" s="12">
        <f>IF(A13="","",(MAX(B$3:B13)-B13)/MAX(B$3:B13))</f>
        <v>0.0144784792672118</v>
      </c>
      <c r="F13" s="12">
        <f>IF(A13="","",MAX(E$4:E13))</f>
        <v>0.0148724514921699</v>
      </c>
      <c r="G13" s="13">
        <v>0</v>
      </c>
      <c r="H13" s="14" t="str">
        <f t="shared" si="1"/>
        <v>否</v>
      </c>
      <c r="I13" s="14" t="str">
        <f t="shared" si="2"/>
        <v>否</v>
      </c>
      <c r="J13" s="15" t="str">
        <f t="shared" si="3"/>
        <v>否</v>
      </c>
    </row>
    <row r="14" spans="1:10">
      <c r="A14" s="7">
        <f>IF(子基金及业绩基准周净值!A54="","",子基金及业绩基准周净值!A54)</f>
        <v>45828</v>
      </c>
      <c r="B14" s="1">
        <f>IF(A14="","",VLOOKUP($A14,子基金及业绩基准周净值!$A:$AV,18))</f>
        <v>0.9986</v>
      </c>
      <c r="C14" s="8">
        <f t="shared" si="0"/>
        <v>-0.00199880071956815</v>
      </c>
      <c r="D14" s="9">
        <f>IF(A14="","",C14-(子基金及业绩基准周净值!AH54/子基金及业绩基准周净值!AH53-1))</f>
        <v>-0.000923787202931514</v>
      </c>
      <c r="E14" s="12">
        <f>IF(A14="","",(MAX(B$3:B14)-B14)/MAX(B$3:B14))</f>
        <v>0.0164483403920024</v>
      </c>
      <c r="F14" s="12">
        <f>IF(A14="","",MAX(E$4:E14))</f>
        <v>0.0164483403920024</v>
      </c>
      <c r="G14" s="13">
        <v>1</v>
      </c>
      <c r="H14" s="14" t="str">
        <f t="shared" si="1"/>
        <v>否</v>
      </c>
      <c r="I14" s="14" t="str">
        <f t="shared" si="2"/>
        <v>否</v>
      </c>
      <c r="J14" s="15" t="str">
        <f t="shared" si="3"/>
        <v>否</v>
      </c>
    </row>
    <row r="15" spans="1:10">
      <c r="A15" s="7">
        <f>IF(子基金及业绩基准周净值!A55="","",子基金及业绩基准周净值!A55)</f>
        <v>45835</v>
      </c>
      <c r="B15" s="1">
        <f>IF(A15="","",VLOOKUP($A15,子基金及业绩基准周净值!$A:$AV,18))</f>
        <v>1.0022</v>
      </c>
      <c r="C15" s="8">
        <f t="shared" si="0"/>
        <v>0.00360504706589219</v>
      </c>
      <c r="D15" s="9">
        <f>IF(A15="","",C15-(子基金及业绩基准周净值!AH55/子基金及业绩基准周净值!AH54-1))</f>
        <v>-0.000531290038203481</v>
      </c>
      <c r="E15" s="12">
        <f>IF(A15="","",(MAX(B$3:B15)-B15)/MAX(B$3:B15))</f>
        <v>0.0129025903673792</v>
      </c>
      <c r="F15" s="12">
        <f>IF(A15="","",MAX(E$4:E15))</f>
        <v>0.0164483403920024</v>
      </c>
      <c r="G15" s="13">
        <v>2</v>
      </c>
      <c r="H15" s="14" t="str">
        <f t="shared" si="1"/>
        <v>否</v>
      </c>
      <c r="I15" s="14" t="str">
        <f t="shared" si="2"/>
        <v>否</v>
      </c>
      <c r="J15" s="15" t="str">
        <f t="shared" si="3"/>
        <v>否</v>
      </c>
    </row>
    <row r="16" spans="1:10">
      <c r="A16" s="7">
        <f>IF(子基金及业绩基准周净值!A56="","",子基金及业绩基准周净值!A56)</f>
        <v>45842</v>
      </c>
      <c r="B16" s="1">
        <f>IF(A16="","",VLOOKUP($A16,子基金及业绩基准周净值!$A:$AV,18))</f>
        <v>1.0026</v>
      </c>
      <c r="C16" s="8">
        <f t="shared" si="0"/>
        <v>0.000399121931750106</v>
      </c>
      <c r="D16" s="9">
        <f>IF(A16="","",C16-(子基金及业绩基准周净值!AH56/子基金及业绩基准周净值!AH55-1))</f>
        <v>-0.00426987850409795</v>
      </c>
      <c r="E16" s="12">
        <f>IF(A16="","",(MAX(B$3:B16)-B16)/MAX(B$3:B16))</f>
        <v>0.0125086181424211</v>
      </c>
      <c r="F16" s="12">
        <f>IF(A16="","",MAX(E$4:E16))</f>
        <v>0.0164483403920024</v>
      </c>
      <c r="G16" s="13">
        <v>3</v>
      </c>
      <c r="H16" s="14" t="str">
        <f t="shared" si="1"/>
        <v>否</v>
      </c>
      <c r="I16" s="14" t="str">
        <f t="shared" si="2"/>
        <v>否</v>
      </c>
      <c r="J16" s="15" t="str">
        <f t="shared" si="3"/>
        <v>否</v>
      </c>
    </row>
    <row r="17" spans="1:10">
      <c r="A17" s="7">
        <f>IF(子基金及业绩基准周净值!A57="","",子基金及业绩基准周净值!A57)</f>
        <v>45849</v>
      </c>
      <c r="B17" s="1">
        <f>IF(A17="","",VLOOKUP($A17,子基金及业绩基准周净值!$A:$AV,18))</f>
        <v>1.0037</v>
      </c>
      <c r="C17" s="8">
        <f t="shared" si="0"/>
        <v>0.00109714741671664</v>
      </c>
      <c r="D17" s="9">
        <f>IF(A17="","",C17-(子基金及业绩基准周净值!AH57/子基金及业绩基准周净值!AH56-1))</f>
        <v>-0.00145891915728723</v>
      </c>
      <c r="E17" s="12">
        <f>IF(A17="","",(MAX(B$3:B17)-B17)/MAX(B$3:B17))</f>
        <v>0.0114251945237861</v>
      </c>
      <c r="F17" s="12">
        <f>IF(A17="","",MAX(E$4:E17))</f>
        <v>0.0164483403920024</v>
      </c>
      <c r="G17" s="13">
        <v>4</v>
      </c>
      <c r="H17" s="14" t="str">
        <f t="shared" si="1"/>
        <v>否</v>
      </c>
      <c r="I17" s="14" t="str">
        <f t="shared" si="2"/>
        <v>否</v>
      </c>
      <c r="J17" s="15" t="str">
        <f t="shared" si="3"/>
        <v>是</v>
      </c>
    </row>
    <row r="18" spans="1:10">
      <c r="A18" s="7">
        <f>IF(子基金及业绩基准周净值!A58="","",子基金及业绩基准周净值!A58)</f>
        <v>45856</v>
      </c>
      <c r="B18" s="1">
        <f>IF(A18="","",VLOOKUP($A18,子基金及业绩基准周净值!$A:$AV,18))</f>
        <v>1.0006</v>
      </c>
      <c r="C18" s="8">
        <f t="shared" si="0"/>
        <v>-0.00308857228255465</v>
      </c>
      <c r="D18" s="9">
        <f>IF(A18="","",C18-(子基金及业绩基准周净值!AH58/子基金及业绩基准周净值!AH57-1))</f>
        <v>-0.00735179167012</v>
      </c>
      <c r="E18" s="12">
        <f>IF(A18="","",(MAX(B$3:B18)-B18)/MAX(B$3:B18))</f>
        <v>0.0144784792672118</v>
      </c>
      <c r="F18" s="12">
        <f>IF(A18="","",MAX(E$4:E18))</f>
        <v>0.0164483403920024</v>
      </c>
      <c r="G18" s="13">
        <v>5</v>
      </c>
      <c r="H18" s="14" t="str">
        <f t="shared" si="1"/>
        <v>否</v>
      </c>
      <c r="I18" s="14" t="str">
        <f t="shared" si="2"/>
        <v>否</v>
      </c>
      <c r="J18" s="15" t="str">
        <f t="shared" si="3"/>
        <v>是</v>
      </c>
    </row>
    <row r="19" spans="1:10">
      <c r="A19" s="7">
        <f>IF(子基金及业绩基准周净值!A59="","",子基金及业绩基准周净值!A59)</f>
        <v>45863</v>
      </c>
      <c r="B19" s="1">
        <f>IF(A19="","",VLOOKUP($A19,子基金及业绩基准周净值!$A:$AV,18))</f>
        <v>1.0029</v>
      </c>
      <c r="C19" s="8">
        <f t="shared" si="0"/>
        <v>0.00229862082750347</v>
      </c>
      <c r="D19" s="9">
        <f>IF(A19="","",C19-(子基金及业绩基准周净值!AH59/子基金及业绩基准周净值!AH58-1))</f>
        <v>0.00233597902340802</v>
      </c>
      <c r="E19" s="12">
        <f>IF(A19="","",(MAX(B$3:B19)-B19)/MAX(B$3:B19))</f>
        <v>0.0122131389737025</v>
      </c>
      <c r="F19" s="12">
        <f>IF(A19="","",MAX(E$4:E19))</f>
        <v>0.0164483403920024</v>
      </c>
      <c r="G19" s="13">
        <v>0</v>
      </c>
      <c r="H19" s="14" t="str">
        <f t="shared" si="1"/>
        <v>否</v>
      </c>
      <c r="I19" s="14" t="str">
        <f t="shared" si="2"/>
        <v>否</v>
      </c>
      <c r="J19" s="15" t="str">
        <f t="shared" si="3"/>
        <v>否</v>
      </c>
    </row>
    <row r="20" spans="1:10">
      <c r="A20" s="7">
        <f>IF(子基金及业绩基准周净值!A60="","",子基金及业绩基准周净值!A60)</f>
        <v>45870</v>
      </c>
      <c r="B20" s="1">
        <f>IF(A20="","",VLOOKUP($A20,子基金及业绩基准周净值!$A:$AV,18))</f>
        <v>1.0142</v>
      </c>
      <c r="C20" s="8">
        <f t="shared" si="0"/>
        <v>0.0112673247582013</v>
      </c>
      <c r="D20" s="9">
        <f>IF(A20="","",C20-(子基金及业绩基准周净值!AH60/子基金及业绩基准周净值!AH59-1))</f>
        <v>0.00751602148107938</v>
      </c>
      <c r="E20" s="12">
        <f>IF(A20="","",(MAX(B$3:B20)-B20)/MAX(B$3:B20))</f>
        <v>0.00108342361863499</v>
      </c>
      <c r="F20" s="12">
        <f>IF(A20="","",MAX(E$4:E20))</f>
        <v>0.0164483403920024</v>
      </c>
      <c r="G20" s="13">
        <v>0</v>
      </c>
      <c r="H20" s="14" t="str">
        <f t="shared" si="1"/>
        <v>否</v>
      </c>
      <c r="I20" s="14" t="str">
        <f t="shared" si="2"/>
        <v>否</v>
      </c>
      <c r="J20" s="15" t="str">
        <f t="shared" si="3"/>
        <v>否</v>
      </c>
    </row>
    <row r="21" spans="1:10">
      <c r="A21" s="7">
        <f>IF(子基金及业绩基准周净值!A61="","",子基金及业绩基准周净值!A61)</f>
        <v>45877</v>
      </c>
      <c r="B21" s="1">
        <f>IF(A21="","",VLOOKUP($A21,子基金及业绩基准周净值!$A:$AV,18))</f>
        <v>1.014</v>
      </c>
      <c r="C21" s="8">
        <f t="shared" si="0"/>
        <v>-0.000197199763360262</v>
      </c>
      <c r="D21" s="9">
        <f>IF(A21="","",C21-(子基金及业绩基准周净值!AH61/子基金及业绩基准周净值!AH60-1))</f>
        <v>-0.00626117446382542</v>
      </c>
      <c r="E21" s="12">
        <f>IF(A21="","",(MAX(B$3:B21)-B21)/MAX(B$3:B21))</f>
        <v>0.00128040973111403</v>
      </c>
      <c r="F21" s="12">
        <f>IF(A21="","",MAX(E$4:E21))</f>
        <v>0.0164483403920024</v>
      </c>
      <c r="G21" s="13">
        <v>1</v>
      </c>
      <c r="H21" s="14" t="str">
        <f t="shared" si="1"/>
        <v>否</v>
      </c>
      <c r="I21" s="14" t="str">
        <f t="shared" si="2"/>
        <v>否</v>
      </c>
      <c r="J21" s="15" t="str">
        <f t="shared" si="3"/>
        <v>否</v>
      </c>
    </row>
    <row r="22" spans="1:10">
      <c r="A22" s="7">
        <f>IF(子基金及业绩基准周净值!A62="","",子基金及业绩基准周净值!A62)</f>
        <v>45884</v>
      </c>
      <c r="B22" s="1">
        <f>IF(A22="","",VLOOKUP($A22,子基金及业绩基准周净值!$A:$AV,18))</f>
        <v>1.0144</v>
      </c>
      <c r="C22" s="8">
        <f t="shared" si="0"/>
        <v>0.000394477317554197</v>
      </c>
      <c r="D22" s="9">
        <f>IF(A22="","",C22-(子基金及业绩基准周净值!AH62/子基金及业绩基准周净值!AH61-1))</f>
        <v>-0.0020706132888852</v>
      </c>
      <c r="E22" s="12">
        <f>IF(A22="","",(MAX(B$3:B22)-B22)/MAX(B$3:B22))</f>
        <v>0.000886437506155937</v>
      </c>
      <c r="F22" s="12">
        <f>IF(A22="","",MAX(E$4:E22))</f>
        <v>0.0164483403920024</v>
      </c>
      <c r="G22" s="13">
        <v>2</v>
      </c>
      <c r="H22" s="14" t="str">
        <f t="shared" si="1"/>
        <v>否</v>
      </c>
      <c r="I22" s="14" t="str">
        <f t="shared" si="2"/>
        <v>否</v>
      </c>
      <c r="J22" s="15" t="str">
        <f t="shared" si="3"/>
        <v>否</v>
      </c>
    </row>
    <row r="23" spans="1:10">
      <c r="A23" s="7">
        <f>IF(子基金及业绩基准周净值!A63="","",子基金及业绩基准周净值!A63)</f>
        <v>45891</v>
      </c>
      <c r="B23" s="1">
        <f>IF(A23="","",VLOOKUP($A23,子基金及业绩基准周净值!$A:$AV,18))</f>
        <v>1.017</v>
      </c>
      <c r="C23" s="8">
        <f t="shared" si="0"/>
        <v>0.00256309148264978</v>
      </c>
      <c r="D23" s="9">
        <f>IF(A23="","",C23-(子基金及业绩基准周净值!AH63/子基金及业绩基准周净值!AH62-1))</f>
        <v>-0.00239018678561974</v>
      </c>
      <c r="E23" s="12">
        <f>IF(A23="","",(MAX(B$3:B23)-B23)/MAX(B$3:B23))</f>
        <v>0</v>
      </c>
      <c r="F23" s="12">
        <f>IF(A23="","",MAX(E$4:E23))</f>
        <v>0.0164483403920024</v>
      </c>
      <c r="G23" s="13">
        <v>3</v>
      </c>
      <c r="H23" s="14" t="str">
        <f t="shared" si="1"/>
        <v>否</v>
      </c>
      <c r="I23" s="14" t="str">
        <f t="shared" si="2"/>
        <v>否</v>
      </c>
      <c r="J23" s="15" t="str">
        <f t="shared" si="3"/>
        <v>否</v>
      </c>
    </row>
    <row r="24" spans="1:10">
      <c r="A24" s="7">
        <f>IF(子基金及业绩基准周净值!A64="","",子基金及业绩基准周净值!A64)</f>
        <v>45898</v>
      </c>
      <c r="B24" s="1">
        <f>IF(A24="","",VLOOKUP($A24,子基金及业绩基准周净值!$A:$AV,18))</f>
        <v>1.0157</v>
      </c>
      <c r="C24" s="8">
        <f t="shared" si="0"/>
        <v>-0.0012782694198622</v>
      </c>
      <c r="D24" s="9">
        <f>IF(A24="","",C24-(子基金及业绩基准周净值!AH64/子基金及业绩基准周净值!AH63-1))</f>
        <v>-0.000986090346878799</v>
      </c>
      <c r="E24" s="12">
        <f>IF(A24="","",(MAX(B$3:B24)-B24)/MAX(B$3:B24))</f>
        <v>0.0012782694198622</v>
      </c>
      <c r="F24" s="12">
        <f>IF(A24="","",MAX(E$4:E24))</f>
        <v>0.0164483403920024</v>
      </c>
      <c r="G24" s="13">
        <v>4</v>
      </c>
      <c r="H24" s="14" t="str">
        <f t="shared" si="1"/>
        <v>否</v>
      </c>
      <c r="I24" s="14" t="str">
        <f t="shared" si="2"/>
        <v>否</v>
      </c>
      <c r="J24" s="15" t="str">
        <f t="shared" si="3"/>
        <v>是</v>
      </c>
    </row>
    <row r="25" spans="1:10">
      <c r="A25" s="7">
        <f>IF(子基金及业绩基准周净值!A65="","",子基金及业绩基准周净值!A65)</f>
        <v>45905</v>
      </c>
      <c r="B25" s="1">
        <f>IF(A25="","",VLOOKUP($A25,子基金及业绩基准周净值!$A:$AV,18))</f>
        <v>1.02</v>
      </c>
      <c r="C25" s="8">
        <f t="shared" si="0"/>
        <v>0.00423353352367822</v>
      </c>
      <c r="D25" s="9">
        <f>IF(A25="","",C25-(子基金及业绩基准周净值!AH65/子基金及业绩基准周净值!AH64-1))</f>
        <v>0.00250982912622771</v>
      </c>
      <c r="E25" s="12">
        <f>IF(A25="","",(MAX(B$3:B25)-B25)/MAX(B$3:B25))</f>
        <v>0</v>
      </c>
      <c r="F25" s="12">
        <f>IF(A25="","",MAX(E$4:E25))</f>
        <v>0.0164483403920024</v>
      </c>
      <c r="G25" s="13">
        <v>0</v>
      </c>
      <c r="H25" s="14" t="str">
        <f t="shared" si="1"/>
        <v>否</v>
      </c>
      <c r="I25" s="14" t="str">
        <f t="shared" si="2"/>
        <v>否</v>
      </c>
      <c r="J25" s="15" t="str">
        <f t="shared" si="3"/>
        <v>否</v>
      </c>
    </row>
    <row r="26" spans="1:10">
      <c r="A26" s="7">
        <f>IF(子基金及业绩基准周净值!A66="","",子基金及业绩基准周净值!A66)</f>
        <v>45912</v>
      </c>
      <c r="B26" s="1">
        <f>IF(A26="","",VLOOKUP($A26,子基金及业绩基准周净值!$A:$AV,18))</f>
        <v>1.02</v>
      </c>
      <c r="C26" s="8">
        <f t="shared" si="0"/>
        <v>0</v>
      </c>
      <c r="D26" s="9">
        <f>IF(A26="","",C26-(子基金及业绩基准周净值!AH66/子基金及业绩基准周净值!AH65-1))</f>
        <v>-0.0048318915025356</v>
      </c>
      <c r="E26" s="12">
        <f>IF(A26="","",(MAX(B$3:B26)-B26)/MAX(B$3:B26))</f>
        <v>0</v>
      </c>
      <c r="F26" s="12">
        <f>IF(A26="","",MAX(E$4:E26))</f>
        <v>0.0164483403920024</v>
      </c>
      <c r="G26" s="13">
        <v>1</v>
      </c>
      <c r="H26" s="14" t="str">
        <f t="shared" si="1"/>
        <v>否</v>
      </c>
      <c r="I26" s="14" t="str">
        <f t="shared" si="2"/>
        <v>否</v>
      </c>
      <c r="J26" s="15" t="str">
        <f t="shared" si="3"/>
        <v>否</v>
      </c>
    </row>
    <row r="27" spans="1:10">
      <c r="A27" s="7">
        <f>IF(子基金及业绩基准周净值!A67="","",子基金及业绩基准周净值!A67)</f>
        <v>45919</v>
      </c>
      <c r="B27" s="1">
        <f>IF(A27="","",VLOOKUP($A27,子基金及业绩基准周净值!$A:$AV,18))</f>
        <v>1.0224</v>
      </c>
      <c r="C27" s="8">
        <f t="shared" si="0"/>
        <v>0.00235294117647055</v>
      </c>
      <c r="D27" s="9">
        <f>IF(A27="","",C27-(子基金及业绩基准周净值!AH67/子基金及业绩基准周净值!AH66-1))</f>
        <v>0.00132292852668413</v>
      </c>
      <c r="E27" s="12">
        <f>IF(A27="","",(MAX(B$3:B27)-B27)/MAX(B$3:B27))</f>
        <v>0</v>
      </c>
      <c r="F27" s="12">
        <f>IF(A27="","",MAX(E$4:E27))</f>
        <v>0.0164483403920024</v>
      </c>
      <c r="G27" s="13">
        <v>0</v>
      </c>
      <c r="H27" s="14" t="str">
        <f t="shared" si="1"/>
        <v>否</v>
      </c>
      <c r="I27" s="14" t="str">
        <f t="shared" si="2"/>
        <v>否</v>
      </c>
      <c r="J27" s="15" t="str">
        <f t="shared" si="3"/>
        <v>否</v>
      </c>
    </row>
    <row r="28" spans="1:10">
      <c r="A28" s="7">
        <f>IF(子基金及业绩基准周净值!A68="","",子基金及业绩基准周净值!A68)</f>
        <v>45926</v>
      </c>
      <c r="B28" s="1">
        <f>IF(A28="","",VLOOKUP($A28,子基金及业绩基准周净值!$A:$AV,18))</f>
        <v>1.0303</v>
      </c>
      <c r="C28" s="8">
        <f t="shared" si="0"/>
        <v>0.00772691705790299</v>
      </c>
      <c r="D28" s="9">
        <f>IF(A28="","",C28-(子基金及业绩基准周净值!AH68/子基金及业绩基准周净值!AH67-1))</f>
        <v>0.00781190964546444</v>
      </c>
      <c r="E28" s="12">
        <f>IF(A28="","",(MAX(B$3:B28)-B28)/MAX(B$3:B28))</f>
        <v>0</v>
      </c>
      <c r="F28" s="12">
        <f>IF(A28="","",MAX(E$4:E28))</f>
        <v>0.0164483403920024</v>
      </c>
      <c r="G28" s="13">
        <v>0</v>
      </c>
      <c r="H28" s="14" t="str">
        <f t="shared" si="1"/>
        <v>否</v>
      </c>
      <c r="I28" s="14" t="str">
        <f t="shared" si="2"/>
        <v>否</v>
      </c>
      <c r="J28" s="15" t="str">
        <f t="shared" si="3"/>
        <v>否</v>
      </c>
    </row>
    <row r="29" spans="1:10">
      <c r="A29" s="7">
        <f>IF(子基金及业绩基准周净值!A69="","",子基金及业绩基准周净值!A69)</f>
        <v>45940</v>
      </c>
      <c r="B29" s="1">
        <f>IF(A29="","",VLOOKUP($A29,子基金及业绩基准周净值!$A:$AV,18))</f>
        <v>1.0286</v>
      </c>
      <c r="C29" s="8">
        <f t="shared" si="0"/>
        <v>-0.00165000485295548</v>
      </c>
      <c r="D29" s="9">
        <f>IF(A29="","",C29-(子基金及业绩基准周净值!AH69/子基金及业绩基准周净值!AH68-1))</f>
        <v>-0.00783943796569915</v>
      </c>
      <c r="E29" s="12">
        <f>IF(A29="","",(MAX(B$3:B29)-B29)/MAX(B$3:B29))</f>
        <v>0.00165000485295548</v>
      </c>
      <c r="F29" s="12">
        <f>IF(A29="","",MAX(E$4:E29))</f>
        <v>0.0164483403920024</v>
      </c>
      <c r="G29" s="13">
        <v>1</v>
      </c>
      <c r="H29" s="14" t="str">
        <f t="shared" si="1"/>
        <v>否</v>
      </c>
      <c r="I29" s="14" t="str">
        <f t="shared" si="2"/>
        <v>否</v>
      </c>
      <c r="J29" s="15" t="str">
        <f t="shared" si="3"/>
        <v>否</v>
      </c>
    </row>
    <row r="30" spans="1:10">
      <c r="A30" s="7">
        <f>IF(子基金及业绩基准周净值!A70="","",子基金及业绩基准周净值!A70)</f>
        <v>45947</v>
      </c>
      <c r="B30" s="1">
        <f>IF(A30="","",VLOOKUP($A30,子基金及业绩基准周净值!$A:$AV,18))</f>
        <v>1.0294</v>
      </c>
      <c r="C30" s="8">
        <f t="shared" si="0"/>
        <v>0.000777756173439757</v>
      </c>
      <c r="D30" s="9">
        <f>IF(A30="","",C30-(子基金及业绩基准周净值!AH70/子基金及业绩基准周净值!AH69-1))</f>
        <v>0.0061346730740057</v>
      </c>
      <c r="E30" s="12">
        <f>IF(A30="","",(MAX(B$3:B30)-B30)/MAX(B$3:B30))</f>
        <v>0.000873531980976318</v>
      </c>
      <c r="F30" s="12">
        <f>IF(A30="","",MAX(E$4:E30))</f>
        <v>0.0164483403920024</v>
      </c>
      <c r="G30" s="13">
        <v>0</v>
      </c>
      <c r="H30" s="14" t="str">
        <f t="shared" si="1"/>
        <v>否</v>
      </c>
      <c r="I30" s="14" t="str">
        <f t="shared" si="2"/>
        <v>否</v>
      </c>
      <c r="J30" s="15" t="str">
        <f t="shared" si="3"/>
        <v>否</v>
      </c>
    </row>
    <row r="31" spans="1:10">
      <c r="A31" s="7">
        <f>IF(子基金及业绩基准周净值!A71="","",子基金及业绩基准周净值!A71)</f>
        <v>45954</v>
      </c>
      <c r="B31" s="1">
        <f>IF(A31="","",VLOOKUP($A31,子基金及业绩基准周净值!$A:$AV,18))</f>
        <v>1.0321</v>
      </c>
      <c r="C31" s="8">
        <f t="shared" si="0"/>
        <v>0.00262288711870985</v>
      </c>
      <c r="D31" s="9">
        <f>IF(A31="","",C31-(子基金及业绩基准周净值!AH71/子基金及业绩基准周净值!AH70-1))</f>
        <v>-0.00646085286384111</v>
      </c>
      <c r="E31" s="12">
        <f>IF(A31="","",(MAX(B$3:B31)-B31)/MAX(B$3:B31))</f>
        <v>0</v>
      </c>
      <c r="F31" s="12">
        <f>IF(A31="","",MAX(E$4:E31))</f>
        <v>0.0164483403920024</v>
      </c>
      <c r="G31" s="13">
        <v>1</v>
      </c>
      <c r="H31" s="14" t="str">
        <f t="shared" si="1"/>
        <v>否</v>
      </c>
      <c r="I31" s="14" t="str">
        <f t="shared" si="2"/>
        <v>否</v>
      </c>
      <c r="J31" s="15" t="str">
        <f t="shared" si="3"/>
        <v>否</v>
      </c>
    </row>
    <row r="32" spans="1:10">
      <c r="A32" s="7">
        <f>IF(子基金及业绩基准周净值!A72="","",子基金及业绩基准周净值!A72)</f>
        <v>45961</v>
      </c>
      <c r="B32" s="1">
        <f>IF(A32="","",VLOOKUP($A32,子基金及业绩基准周净值!$A:$AV,18))</f>
        <v>1.0292</v>
      </c>
      <c r="C32" s="8">
        <f t="shared" si="0"/>
        <v>-0.00280980525142925</v>
      </c>
      <c r="D32" s="9">
        <f>IF(A32="","",C32-(子基金及业绩基准周净值!AH72/子基金及业绩基准周净值!AH71-1))</f>
        <v>-0.00577392918017559</v>
      </c>
      <c r="E32" s="12">
        <f>IF(A32="","",(MAX(B$3:B32)-B32)/MAX(B$3:B32))</f>
        <v>0.00280980525142925</v>
      </c>
      <c r="F32" s="12">
        <f>IF(A32="","",MAX(E$4:E32))</f>
        <v>0.0164483403920024</v>
      </c>
      <c r="G32" s="13">
        <v>2</v>
      </c>
      <c r="H32" s="14" t="str">
        <f t="shared" si="1"/>
        <v>否</v>
      </c>
      <c r="I32" s="14" t="str">
        <f t="shared" si="2"/>
        <v>否</v>
      </c>
      <c r="J32" s="15" t="str">
        <f t="shared" si="3"/>
        <v>否</v>
      </c>
    </row>
    <row r="33" spans="1:10">
      <c r="A33" s="7" t="str">
        <f>IF(子基金及业绩基准周净值!A73="","",子基金及业绩基准周净值!A73)</f>
        <v/>
      </c>
      <c r="B33" s="1" t="str">
        <f>IF(A33="","",VLOOKUP($A33,子基金及业绩基准周净值!$A:$AV,18))</f>
        <v/>
      </c>
      <c r="C33" s="8" t="str">
        <f t="shared" si="0"/>
        <v/>
      </c>
      <c r="D33" s="9" t="str">
        <f>IF(A33="","",C33-(子基金及业绩基准周净值!AH73/子基金及业绩基准周净值!AH72-1))</f>
        <v/>
      </c>
      <c r="E33" s="12" t="str">
        <f>IF(A33="","",(MAX(B$3:B33)-B33)/MAX(B$3:B33))</f>
        <v/>
      </c>
      <c r="F33" s="12" t="str">
        <f>IF(A33="","",MAX(E$4:E33))</f>
        <v/>
      </c>
      <c r="G33" s="13"/>
      <c r="H33" s="14" t="str">
        <f t="shared" si="1"/>
        <v/>
      </c>
      <c r="I33" s="14" t="str">
        <f t="shared" si="2"/>
        <v/>
      </c>
      <c r="J33" s="15" t="str">
        <f t="shared" si="3"/>
        <v/>
      </c>
    </row>
    <row r="34" spans="1:10">
      <c r="A34" s="7" t="str">
        <f>IF(子基金及业绩基准周净值!A74="","",子基金及业绩基准周净值!A74)</f>
        <v/>
      </c>
      <c r="B34" s="1" t="str">
        <f>IF(A34="","",VLOOKUP($A34,子基金及业绩基准周净值!$A:$AV,18))</f>
        <v/>
      </c>
      <c r="C34" s="8" t="str">
        <f t="shared" si="0"/>
        <v/>
      </c>
      <c r="D34" s="9" t="str">
        <f>IF(A34="","",C34-(子基金及业绩基准周净值!AH74/子基金及业绩基准周净值!AH73-1))</f>
        <v/>
      </c>
      <c r="E34" s="12" t="str">
        <f>IF(A34="","",(MAX(B$3:B34)-B34)/MAX(B$3:B34))</f>
        <v/>
      </c>
      <c r="F34" s="12" t="str">
        <f>IF(A34="","",MAX(E$4:E34))</f>
        <v/>
      </c>
      <c r="G34" s="13"/>
      <c r="H34" s="14" t="str">
        <f t="shared" si="1"/>
        <v/>
      </c>
      <c r="I34" s="14" t="str">
        <f t="shared" si="2"/>
        <v/>
      </c>
      <c r="J34" s="15" t="str">
        <f t="shared" si="3"/>
        <v/>
      </c>
    </row>
    <row r="35" spans="1:10">
      <c r="A35" s="7" t="str">
        <f>IF(子基金及业绩基准周净值!A75="","",子基金及业绩基准周净值!A75)</f>
        <v/>
      </c>
      <c r="B35" s="1" t="str">
        <f>IF(A35="","",VLOOKUP($A35,子基金及业绩基准周净值!$A:$AV,18))</f>
        <v/>
      </c>
      <c r="C35" s="8" t="str">
        <f t="shared" si="0"/>
        <v/>
      </c>
      <c r="D35" s="9" t="str">
        <f>IF(A35="","",C35-(子基金及业绩基准周净值!AH75/子基金及业绩基准周净值!AH74-1))</f>
        <v/>
      </c>
      <c r="E35" s="12" t="str">
        <f>IF(A35="","",(MAX(B$3:B35)-B35)/MAX(B$3:B35))</f>
        <v/>
      </c>
      <c r="F35" s="12" t="str">
        <f>IF(A35="","",MAX(E$4:E35))</f>
        <v/>
      </c>
      <c r="G35" s="13"/>
      <c r="H35" s="14" t="str">
        <f t="shared" si="1"/>
        <v/>
      </c>
      <c r="I35" s="14" t="str">
        <f t="shared" si="2"/>
        <v/>
      </c>
      <c r="J35" s="15" t="str">
        <f t="shared" si="3"/>
        <v/>
      </c>
    </row>
    <row r="36" spans="1:10">
      <c r="A36" s="7" t="str">
        <f>IF(子基金及业绩基准周净值!A76="","",子基金及业绩基准周净值!A76)</f>
        <v/>
      </c>
      <c r="B36" s="1" t="str">
        <f>IF(A36="","",VLOOKUP($A36,子基金及业绩基准周净值!$A:$AV,18))</f>
        <v/>
      </c>
      <c r="C36" s="8" t="str">
        <f t="shared" si="0"/>
        <v/>
      </c>
      <c r="D36" s="9" t="str">
        <f>IF(A36="","",C36-(子基金及业绩基准周净值!AH76/子基金及业绩基准周净值!AH75-1))</f>
        <v/>
      </c>
      <c r="E36" s="12" t="str">
        <f>IF(A36="","",(MAX(B$3:B36)-B36)/MAX(B$3:B36))</f>
        <v/>
      </c>
      <c r="F36" s="12" t="str">
        <f>IF(A36="","",MAX(E$4:E36))</f>
        <v/>
      </c>
      <c r="G36" s="13"/>
      <c r="H36" s="14" t="str">
        <f t="shared" si="1"/>
        <v/>
      </c>
      <c r="I36" s="14" t="str">
        <f t="shared" si="2"/>
        <v/>
      </c>
      <c r="J36" s="15" t="str">
        <f t="shared" si="3"/>
        <v/>
      </c>
    </row>
    <row r="37" spans="1:10">
      <c r="A37" s="7" t="str">
        <f>IF(子基金及业绩基准周净值!A77="","",子基金及业绩基准周净值!A77)</f>
        <v/>
      </c>
      <c r="B37" s="1" t="str">
        <f>IF(A37="","",VLOOKUP($A37,子基金及业绩基准周净值!$A:$AV,18))</f>
        <v/>
      </c>
      <c r="C37" s="8" t="str">
        <f t="shared" si="0"/>
        <v/>
      </c>
      <c r="D37" s="9" t="str">
        <f>IF(A37="","",C37-(子基金及业绩基准周净值!AH77/子基金及业绩基准周净值!AH76-1))</f>
        <v/>
      </c>
      <c r="E37" s="12" t="str">
        <f>IF(A37="","",(MAX(B$3:B37)-B37)/MAX(B$3:B37))</f>
        <v/>
      </c>
      <c r="F37" s="12" t="str">
        <f>IF(A37="","",MAX(E$4:E37))</f>
        <v/>
      </c>
      <c r="G37" s="13"/>
      <c r="H37" s="14" t="str">
        <f t="shared" si="1"/>
        <v/>
      </c>
      <c r="I37" s="14" t="str">
        <f t="shared" si="2"/>
        <v/>
      </c>
      <c r="J37" s="15" t="str">
        <f t="shared" si="3"/>
        <v/>
      </c>
    </row>
    <row r="38" spans="1:10">
      <c r="A38" s="7" t="str">
        <f>IF(子基金及业绩基准周净值!A78="","",子基金及业绩基准周净值!A78)</f>
        <v/>
      </c>
      <c r="B38" s="1" t="str">
        <f>IF(A38="","",VLOOKUP($A38,子基金及业绩基准周净值!$A:$AV,18))</f>
        <v/>
      </c>
      <c r="C38" s="8" t="str">
        <f t="shared" si="0"/>
        <v/>
      </c>
      <c r="D38" s="9" t="str">
        <f>IF(A38="","",C38-(子基金及业绩基准周净值!AH78/子基金及业绩基准周净值!AH77-1))</f>
        <v/>
      </c>
      <c r="E38" s="12" t="str">
        <f>IF(A38="","",(MAX(B$3:B38)-B38)/MAX(B$3:B38))</f>
        <v/>
      </c>
      <c r="F38" s="12" t="str">
        <f>IF(A38="","",MAX(E$4:E38))</f>
        <v/>
      </c>
      <c r="G38" s="13"/>
      <c r="H38" s="14" t="str">
        <f t="shared" si="1"/>
        <v/>
      </c>
      <c r="I38" s="14" t="str">
        <f t="shared" si="2"/>
        <v/>
      </c>
      <c r="J38" s="15" t="str">
        <f t="shared" si="3"/>
        <v/>
      </c>
    </row>
    <row r="39" spans="1:10">
      <c r="A39" s="7" t="str">
        <f>IF(子基金及业绩基准周净值!A79="","",子基金及业绩基准周净值!A79)</f>
        <v/>
      </c>
      <c r="B39" s="1" t="str">
        <f>IF(A39="","",VLOOKUP($A39,子基金及业绩基准周净值!$A:$AV,18))</f>
        <v/>
      </c>
      <c r="C39" s="8" t="str">
        <f t="shared" si="0"/>
        <v/>
      </c>
      <c r="D39" s="9" t="str">
        <f>IF(A39="","",C39-(子基金及业绩基准周净值!AH79/子基金及业绩基准周净值!AH78-1))</f>
        <v/>
      </c>
      <c r="E39" s="12" t="str">
        <f>IF(A39="","",(MAX(B$3:B39)-B39)/MAX(B$3:B39))</f>
        <v/>
      </c>
      <c r="F39" s="12" t="str">
        <f>IF(A39="","",MAX(E$4:E39))</f>
        <v/>
      </c>
      <c r="G39" s="13"/>
      <c r="H39" s="14" t="str">
        <f t="shared" si="1"/>
        <v/>
      </c>
      <c r="I39" s="14" t="str">
        <f t="shared" si="2"/>
        <v/>
      </c>
      <c r="J39" s="15" t="str">
        <f t="shared" si="3"/>
        <v/>
      </c>
    </row>
    <row r="40" spans="1:10">
      <c r="A40" s="7" t="str">
        <f>IF(子基金及业绩基准周净值!A80="","",子基金及业绩基准周净值!A80)</f>
        <v/>
      </c>
      <c r="B40" s="1" t="str">
        <f>IF(A40="","",VLOOKUP($A40,子基金及业绩基准周净值!$A:$AV,18))</f>
        <v/>
      </c>
      <c r="C40" s="8" t="str">
        <f t="shared" si="0"/>
        <v/>
      </c>
      <c r="D40" s="9" t="str">
        <f>IF(A40="","",C40-(子基金及业绩基准周净值!AH80/子基金及业绩基准周净值!AH79-1))</f>
        <v/>
      </c>
      <c r="E40" s="12" t="str">
        <f>IF(A40="","",(MAX(B$3:B40)-B40)/MAX(B$3:B40))</f>
        <v/>
      </c>
      <c r="F40" s="12" t="str">
        <f>IF(A40="","",MAX(E$4:E40))</f>
        <v/>
      </c>
      <c r="G40" s="13"/>
      <c r="H40" s="14" t="str">
        <f t="shared" si="1"/>
        <v/>
      </c>
      <c r="I40" s="14" t="str">
        <f t="shared" si="2"/>
        <v/>
      </c>
      <c r="J40" s="15" t="str">
        <f t="shared" si="3"/>
        <v/>
      </c>
    </row>
    <row r="41" spans="1:10">
      <c r="A41" s="7" t="str">
        <f>IF(子基金及业绩基准周净值!A81="","",子基金及业绩基准周净值!A81)</f>
        <v/>
      </c>
      <c r="B41" s="1" t="str">
        <f>IF(A41="","",VLOOKUP($A41,子基金及业绩基准周净值!$A:$AV,18))</f>
        <v/>
      </c>
      <c r="C41" s="8" t="str">
        <f t="shared" si="0"/>
        <v/>
      </c>
      <c r="D41" s="9" t="str">
        <f>IF(A41="","",C41-(子基金及业绩基准周净值!AH81/子基金及业绩基准周净值!AH80-1))</f>
        <v/>
      </c>
      <c r="E41" s="12" t="str">
        <f>IF(A41="","",(MAX(B$3:B41)-B41)/MAX(B$3:B41))</f>
        <v/>
      </c>
      <c r="F41" s="12" t="str">
        <f>IF(A41="","",MAX(E$4:E41))</f>
        <v/>
      </c>
      <c r="G41" s="13"/>
      <c r="H41" s="14" t="str">
        <f t="shared" si="1"/>
        <v/>
      </c>
      <c r="I41" s="14" t="str">
        <f t="shared" si="2"/>
        <v/>
      </c>
      <c r="J41" s="15" t="str">
        <f t="shared" si="3"/>
        <v/>
      </c>
    </row>
    <row r="42" spans="1:10">
      <c r="A42" s="7" t="str">
        <f>IF(子基金及业绩基准周净值!A82="","",子基金及业绩基准周净值!A82)</f>
        <v/>
      </c>
      <c r="B42" s="1" t="str">
        <f>IF(A42="","",VLOOKUP($A42,子基金及业绩基准周净值!$A:$AV,18))</f>
        <v/>
      </c>
      <c r="C42" s="8" t="str">
        <f t="shared" si="0"/>
        <v/>
      </c>
      <c r="D42" s="9" t="str">
        <f>IF(A42="","",C42-(子基金及业绩基准周净值!AH82/子基金及业绩基准周净值!AH81-1))</f>
        <v/>
      </c>
      <c r="E42" s="12" t="str">
        <f>IF(A42="","",(MAX(B$3:B42)-B42)/MAX(B$3:B42))</f>
        <v/>
      </c>
      <c r="F42" s="12" t="str">
        <f>IF(A42="","",MAX(E$4:E42))</f>
        <v/>
      </c>
      <c r="G42" s="13"/>
      <c r="H42" s="14" t="str">
        <f t="shared" si="1"/>
        <v/>
      </c>
      <c r="I42" s="14" t="str">
        <f t="shared" si="2"/>
        <v/>
      </c>
      <c r="J42" s="15" t="str">
        <f t="shared" si="3"/>
        <v/>
      </c>
    </row>
    <row r="43" spans="1:10">
      <c r="A43" s="7" t="str">
        <f>IF(子基金及业绩基准周净值!A83="","",子基金及业绩基准周净值!A83)</f>
        <v/>
      </c>
      <c r="B43" s="1" t="str">
        <f>IF(A43="","",VLOOKUP($A43,子基金及业绩基准周净值!$A:$AV,18))</f>
        <v/>
      </c>
      <c r="C43" s="8" t="str">
        <f t="shared" si="0"/>
        <v/>
      </c>
      <c r="D43" s="9" t="str">
        <f>IF(A43="","",C43-(子基金及业绩基准周净值!AH83/子基金及业绩基准周净值!AH82-1))</f>
        <v/>
      </c>
      <c r="E43" s="12" t="str">
        <f>IF(A43="","",(MAX(B$3:B43)-B43)/MAX(B$3:B43))</f>
        <v/>
      </c>
      <c r="F43" s="12" t="str">
        <f>IF(A43="","",MAX(E$4:E43))</f>
        <v/>
      </c>
      <c r="G43" s="13"/>
      <c r="H43" s="14" t="str">
        <f t="shared" si="1"/>
        <v/>
      </c>
      <c r="I43" s="14" t="str">
        <f t="shared" si="2"/>
        <v/>
      </c>
      <c r="J43" s="15" t="str">
        <f t="shared" si="3"/>
        <v/>
      </c>
    </row>
    <row r="44" spans="1:10">
      <c r="A44" s="7" t="str">
        <f>IF(子基金及业绩基准周净值!A84="","",子基金及业绩基准周净值!A84)</f>
        <v/>
      </c>
      <c r="B44" s="1" t="str">
        <f>IF(A44="","",VLOOKUP($A44,子基金及业绩基准周净值!$A:$AV,18))</f>
        <v/>
      </c>
      <c r="C44" s="8" t="str">
        <f t="shared" si="0"/>
        <v/>
      </c>
      <c r="D44" s="9" t="str">
        <f>IF(A44="","",C44-(子基金及业绩基准周净值!AH84/子基金及业绩基准周净值!AH83-1))</f>
        <v/>
      </c>
      <c r="E44" s="12" t="str">
        <f>IF(A44="","",(MAX(B$3:B44)-B44)/MAX(B$3:B44))</f>
        <v/>
      </c>
      <c r="F44" s="12" t="str">
        <f>IF(A44="","",MAX(E$4:E44))</f>
        <v/>
      </c>
      <c r="G44" s="13"/>
      <c r="H44" s="14" t="str">
        <f t="shared" si="1"/>
        <v/>
      </c>
      <c r="I44" s="14" t="str">
        <f t="shared" si="2"/>
        <v/>
      </c>
      <c r="J44" s="15" t="str">
        <f t="shared" si="3"/>
        <v/>
      </c>
    </row>
    <row r="45" spans="1:10">
      <c r="A45" s="7" t="str">
        <f>IF(子基金及业绩基准周净值!A85="","",子基金及业绩基准周净值!A85)</f>
        <v/>
      </c>
      <c r="B45" s="1" t="str">
        <f>IF(A45="","",VLOOKUP($A45,子基金及业绩基准周净值!$A:$AV,18))</f>
        <v/>
      </c>
      <c r="C45" s="8" t="str">
        <f t="shared" si="0"/>
        <v/>
      </c>
      <c r="D45" s="9" t="str">
        <f>IF(A45="","",C45-(子基金及业绩基准周净值!AH85/子基金及业绩基准周净值!AH84-1))</f>
        <v/>
      </c>
      <c r="E45" s="12" t="str">
        <f>IF(A45="","",(MAX(B$3:B45)-B45)/MAX(B$3:B45))</f>
        <v/>
      </c>
      <c r="F45" s="12" t="str">
        <f>IF(A45="","",MAX(E$4:E45))</f>
        <v/>
      </c>
      <c r="G45" s="13"/>
      <c r="H45" s="14" t="str">
        <f t="shared" si="1"/>
        <v/>
      </c>
      <c r="I45" s="14" t="str">
        <f t="shared" si="2"/>
        <v/>
      </c>
      <c r="J45" s="15" t="str">
        <f t="shared" si="3"/>
        <v/>
      </c>
    </row>
    <row r="46" spans="1:10">
      <c r="A46" s="7" t="str">
        <f>IF(子基金及业绩基准周净值!A86="","",子基金及业绩基准周净值!A86)</f>
        <v/>
      </c>
      <c r="B46" s="1" t="str">
        <f>IF(A46="","",VLOOKUP($A46,子基金及业绩基准周净值!$A:$AV,18))</f>
        <v/>
      </c>
      <c r="C46" s="8" t="str">
        <f t="shared" si="0"/>
        <v/>
      </c>
      <c r="D46" s="9" t="str">
        <f>IF(A46="","",C46-(子基金及业绩基准周净值!AH86/子基金及业绩基准周净值!AH85-1))</f>
        <v/>
      </c>
      <c r="E46" s="12" t="str">
        <f>IF(A46="","",(MAX(B$3:B46)-B46)/MAX(B$3:B46))</f>
        <v/>
      </c>
      <c r="F46" s="12" t="str">
        <f>IF(A46="","",MAX(E$4:E46))</f>
        <v/>
      </c>
      <c r="G46" s="13"/>
      <c r="H46" s="14" t="str">
        <f t="shared" si="1"/>
        <v/>
      </c>
      <c r="I46" s="14" t="str">
        <f t="shared" si="2"/>
        <v/>
      </c>
      <c r="J46" s="15" t="str">
        <f t="shared" si="3"/>
        <v/>
      </c>
    </row>
    <row r="47" spans="1:10">
      <c r="A47" s="7" t="str">
        <f>IF(子基金及业绩基准周净值!A87="","",子基金及业绩基准周净值!A87)</f>
        <v/>
      </c>
      <c r="B47" s="1" t="str">
        <f>IF(A47="","",VLOOKUP($A47,子基金及业绩基准周净值!$A:$AV,18))</f>
        <v/>
      </c>
      <c r="C47" s="8" t="str">
        <f t="shared" si="0"/>
        <v/>
      </c>
      <c r="D47" s="9" t="str">
        <f>IF(A47="","",C47-(子基金及业绩基准周净值!AH87/子基金及业绩基准周净值!AH86-1))</f>
        <v/>
      </c>
      <c r="E47" s="12" t="str">
        <f>IF(A47="","",(MAX(B$3:B47)-B47)/MAX(B$3:B47))</f>
        <v/>
      </c>
      <c r="F47" s="12" t="str">
        <f>IF(A47="","",MAX(E$4:E47))</f>
        <v/>
      </c>
      <c r="G47" s="13"/>
      <c r="H47" s="14" t="str">
        <f t="shared" si="1"/>
        <v/>
      </c>
      <c r="I47" s="14" t="str">
        <f t="shared" si="2"/>
        <v/>
      </c>
      <c r="J47" s="15" t="str">
        <f t="shared" si="3"/>
        <v/>
      </c>
    </row>
    <row r="48" spans="1:10">
      <c r="A48" s="7" t="str">
        <f>IF(子基金及业绩基准周净值!A88="","",子基金及业绩基准周净值!A88)</f>
        <v/>
      </c>
      <c r="B48" s="1" t="str">
        <f>IF(A48="","",VLOOKUP($A48,子基金及业绩基准周净值!$A:$AV,18))</f>
        <v/>
      </c>
      <c r="C48" s="8" t="str">
        <f t="shared" si="0"/>
        <v/>
      </c>
      <c r="D48" s="9" t="str">
        <f>IF(A48="","",C48-(子基金及业绩基准周净值!AH88/子基金及业绩基准周净值!AH87-1))</f>
        <v/>
      </c>
      <c r="E48" s="12" t="str">
        <f>IF(A48="","",(MAX(B$3:B48)-B48)/MAX(B$3:B48))</f>
        <v/>
      </c>
      <c r="F48" s="12" t="str">
        <f>IF(A48="","",MAX(E$4:E48))</f>
        <v/>
      </c>
      <c r="G48" s="13"/>
      <c r="H48" s="14" t="str">
        <f t="shared" si="1"/>
        <v/>
      </c>
      <c r="I48" s="14" t="str">
        <f t="shared" si="2"/>
        <v/>
      </c>
      <c r="J48" s="15" t="str">
        <f t="shared" si="3"/>
        <v/>
      </c>
    </row>
    <row r="49" spans="1:10">
      <c r="A49" s="7" t="str">
        <f>IF(子基金及业绩基准周净值!A89="","",子基金及业绩基准周净值!A89)</f>
        <v/>
      </c>
      <c r="B49" s="1" t="str">
        <f>IF(A49="","",VLOOKUP($A49,子基金及业绩基准周净值!$A:$AV,18))</f>
        <v/>
      </c>
      <c r="C49" s="8" t="str">
        <f t="shared" si="0"/>
        <v/>
      </c>
      <c r="D49" s="9" t="str">
        <f>IF(A49="","",C49-(子基金及业绩基准周净值!AH89/子基金及业绩基准周净值!AH88-1))</f>
        <v/>
      </c>
      <c r="E49" s="12" t="str">
        <f>IF(A49="","",(MAX(B$3:B49)-B49)/MAX(B$3:B49))</f>
        <v/>
      </c>
      <c r="F49" s="12" t="str">
        <f>IF(A49="","",MAX(E$4:E49))</f>
        <v/>
      </c>
      <c r="G49" s="13"/>
      <c r="H49" s="14" t="str">
        <f t="shared" si="1"/>
        <v/>
      </c>
      <c r="I49" s="14" t="str">
        <f t="shared" si="2"/>
        <v/>
      </c>
      <c r="J49" s="15" t="str">
        <f t="shared" si="3"/>
        <v/>
      </c>
    </row>
    <row r="50" spans="1:10">
      <c r="A50" s="7" t="str">
        <f>IF(子基金及业绩基准周净值!A90="","",子基金及业绩基准周净值!A90)</f>
        <v/>
      </c>
      <c r="B50" s="1" t="str">
        <f>IF(A50="","",VLOOKUP($A50,子基金及业绩基准周净值!$A:$AV,18))</f>
        <v/>
      </c>
      <c r="C50" s="8" t="str">
        <f t="shared" si="0"/>
        <v/>
      </c>
      <c r="D50" s="9" t="str">
        <f>IF(A50="","",C50-(子基金及业绩基准周净值!AH90/子基金及业绩基准周净值!AH89-1))</f>
        <v/>
      </c>
      <c r="E50" s="12" t="str">
        <f>IF(A50="","",(MAX(B$3:B50)-B50)/MAX(B$3:B50))</f>
        <v/>
      </c>
      <c r="F50" s="12" t="str">
        <f>IF(A50="","",MAX(E$4:E50))</f>
        <v/>
      </c>
      <c r="G50" s="13"/>
      <c r="H50" s="14" t="str">
        <f t="shared" si="1"/>
        <v/>
      </c>
      <c r="I50" s="14" t="str">
        <f t="shared" si="2"/>
        <v/>
      </c>
      <c r="J50" s="15" t="str">
        <f t="shared" si="3"/>
        <v/>
      </c>
    </row>
    <row r="51" spans="1:10">
      <c r="A51" s="7" t="str">
        <f>IF(子基金及业绩基准周净值!A91="","",子基金及业绩基准周净值!A91)</f>
        <v/>
      </c>
      <c r="B51" s="1" t="str">
        <f>IF(A51="","",VLOOKUP($A51,子基金及业绩基准周净值!$A:$AV,18))</f>
        <v/>
      </c>
      <c r="C51" s="8" t="str">
        <f t="shared" si="0"/>
        <v/>
      </c>
      <c r="D51" s="9" t="str">
        <f>IF(A51="","",C51-(子基金及业绩基准周净值!AH91/子基金及业绩基准周净值!AH90-1))</f>
        <v/>
      </c>
      <c r="E51" s="12" t="str">
        <f>IF(A51="","",(MAX(B$3:B51)-B51)/MAX(B$3:B51))</f>
        <v/>
      </c>
      <c r="F51" s="12" t="str">
        <f>IF(A51="","",MAX(E$4:E51))</f>
        <v/>
      </c>
      <c r="G51" s="13"/>
      <c r="H51" s="14" t="str">
        <f t="shared" si="1"/>
        <v/>
      </c>
      <c r="I51" s="14" t="str">
        <f t="shared" si="2"/>
        <v/>
      </c>
      <c r="J51" s="15" t="str">
        <f t="shared" si="3"/>
        <v/>
      </c>
    </row>
    <row r="52" spans="1:10">
      <c r="A52" s="7" t="str">
        <f>IF(子基金及业绩基准周净值!A92="","",子基金及业绩基准周净值!A92)</f>
        <v/>
      </c>
      <c r="B52" s="1" t="str">
        <f>IF(A52="","",VLOOKUP($A52,子基金及业绩基准周净值!$A:$AV,18))</f>
        <v/>
      </c>
      <c r="C52" s="8" t="str">
        <f t="shared" si="0"/>
        <v/>
      </c>
      <c r="D52" s="9" t="str">
        <f>IF(A52="","",C52-(子基金及业绩基准周净值!AH92/子基金及业绩基准周净值!AH91-1))</f>
        <v/>
      </c>
      <c r="E52" s="12" t="str">
        <f>IF(A52="","",(MAX(B$3:B52)-B52)/MAX(B$3:B52))</f>
        <v/>
      </c>
      <c r="F52" s="12" t="str">
        <f>IF(A52="","",MAX(E$4:E52))</f>
        <v/>
      </c>
      <c r="G52" s="13"/>
      <c r="H52" s="14" t="str">
        <f t="shared" si="1"/>
        <v/>
      </c>
      <c r="I52" s="14" t="str">
        <f t="shared" si="2"/>
        <v/>
      </c>
      <c r="J52" s="15" t="str">
        <f t="shared" si="3"/>
        <v/>
      </c>
    </row>
    <row r="53" spans="1:10">
      <c r="A53" s="7" t="str">
        <f>IF(子基金及业绩基准周净值!A93="","",子基金及业绩基准周净值!A93)</f>
        <v/>
      </c>
      <c r="B53" s="1" t="str">
        <f>IF(A53="","",VLOOKUP($A53,子基金及业绩基准周净值!$A:$AV,18))</f>
        <v/>
      </c>
      <c r="C53" s="8" t="str">
        <f t="shared" si="0"/>
        <v/>
      </c>
      <c r="D53" s="9" t="str">
        <f>IF(A53="","",C53-(子基金及业绩基准周净值!AH93/子基金及业绩基准周净值!AH92-1))</f>
        <v/>
      </c>
      <c r="E53" s="12" t="str">
        <f>IF(A53="","",(MAX(B$3:B53)-B53)/MAX(B$3:B53))</f>
        <v/>
      </c>
      <c r="F53" s="12" t="str">
        <f>IF(A53="","",MAX(E$4:E53))</f>
        <v/>
      </c>
      <c r="G53" s="13"/>
      <c r="H53" s="14" t="str">
        <f t="shared" si="1"/>
        <v/>
      </c>
      <c r="I53" s="14" t="str">
        <f t="shared" si="2"/>
        <v/>
      </c>
      <c r="J53" s="15" t="str">
        <f t="shared" si="3"/>
        <v/>
      </c>
    </row>
    <row r="54" spans="1:10">
      <c r="A54" s="7" t="str">
        <f>IF(子基金及业绩基准周净值!A94="","",子基金及业绩基准周净值!A94)</f>
        <v/>
      </c>
      <c r="B54" s="1" t="str">
        <f>IF(A54="","",VLOOKUP($A54,子基金及业绩基准周净值!$A:$AV,18))</f>
        <v/>
      </c>
      <c r="C54" s="8" t="str">
        <f t="shared" si="0"/>
        <v/>
      </c>
      <c r="D54" s="9" t="str">
        <f>IF(A54="","",C54-(子基金及业绩基准周净值!AH94/子基金及业绩基准周净值!AH93-1))</f>
        <v/>
      </c>
      <c r="E54" s="12" t="str">
        <f>IF(A54="","",(MAX(B$3:B54)-B54)/MAX(B$3:B54))</f>
        <v/>
      </c>
      <c r="F54" s="12" t="str">
        <f>IF(A54="","",MAX(E$4:E54))</f>
        <v/>
      </c>
      <c r="G54" s="13"/>
      <c r="H54" s="14" t="str">
        <f t="shared" si="1"/>
        <v/>
      </c>
      <c r="I54" s="14" t="str">
        <f t="shared" si="2"/>
        <v/>
      </c>
      <c r="J54" s="15" t="str">
        <f t="shared" si="3"/>
        <v/>
      </c>
    </row>
    <row r="55" spans="1:10">
      <c r="A55" s="7" t="str">
        <f>IF(子基金及业绩基准周净值!A95="","",子基金及业绩基准周净值!A95)</f>
        <v/>
      </c>
      <c r="B55" s="1" t="str">
        <f>IF(A55="","",VLOOKUP($A55,子基金及业绩基准周净值!$A:$AV,18))</f>
        <v/>
      </c>
      <c r="C55" s="8" t="str">
        <f t="shared" si="0"/>
        <v/>
      </c>
      <c r="D55" s="9" t="str">
        <f>IF(A55="","",C55-(子基金及业绩基准周净值!AH95/子基金及业绩基准周净值!AH94-1))</f>
        <v/>
      </c>
      <c r="E55" s="12" t="str">
        <f>IF(A55="","",(MAX(B$3:B55)-B55)/MAX(B$3:B55))</f>
        <v/>
      </c>
      <c r="F55" s="12" t="str">
        <f>IF(A55="","",MAX(E$4:E55))</f>
        <v/>
      </c>
      <c r="G55" s="13"/>
      <c r="H55" s="14" t="str">
        <f t="shared" si="1"/>
        <v/>
      </c>
      <c r="I55" s="14" t="str">
        <f t="shared" si="2"/>
        <v/>
      </c>
      <c r="J55" s="15" t="str">
        <f t="shared" si="3"/>
        <v/>
      </c>
    </row>
    <row r="56" spans="1:10">
      <c r="A56" s="7" t="str">
        <f>IF(子基金及业绩基准周净值!A96="","",子基金及业绩基准周净值!A96)</f>
        <v/>
      </c>
      <c r="B56" s="1" t="str">
        <f>IF(A56="","",VLOOKUP($A56,子基金及业绩基准周净值!$A:$AV,18))</f>
        <v/>
      </c>
      <c r="C56" s="8" t="str">
        <f t="shared" si="0"/>
        <v/>
      </c>
      <c r="D56" s="9" t="str">
        <f>IF(A56="","",C56-(子基金及业绩基准周净值!AH96/子基金及业绩基准周净值!AH95-1))</f>
        <v/>
      </c>
      <c r="E56" s="12" t="str">
        <f>IF(A56="","",(MAX(B$3:B56)-B56)/MAX(B$3:B56))</f>
        <v/>
      </c>
      <c r="F56" s="12" t="str">
        <f>IF(A56="","",MAX(E$4:E56))</f>
        <v/>
      </c>
      <c r="G56" s="13"/>
      <c r="H56" s="14" t="str">
        <f t="shared" si="1"/>
        <v/>
      </c>
      <c r="I56" s="14" t="str">
        <f t="shared" si="2"/>
        <v/>
      </c>
      <c r="J56" s="15" t="str">
        <f t="shared" si="3"/>
        <v/>
      </c>
    </row>
    <row r="57" spans="1:10">
      <c r="A57" s="7" t="str">
        <f>IF(子基金及业绩基准周净值!A97="","",子基金及业绩基准周净值!A97)</f>
        <v/>
      </c>
      <c r="B57" s="1" t="str">
        <f>IF(A57="","",VLOOKUP($A57,子基金及业绩基准周净值!$A:$AV,18))</f>
        <v/>
      </c>
      <c r="C57" s="8" t="str">
        <f t="shared" si="0"/>
        <v/>
      </c>
      <c r="D57" s="9" t="str">
        <f>IF(A57="","",C57-(子基金及业绩基准周净值!AH97/子基金及业绩基准周净值!AH96-1))</f>
        <v/>
      </c>
      <c r="E57" s="12" t="str">
        <f>IF(A57="","",(MAX(B$3:B57)-B57)/MAX(B$3:B57))</f>
        <v/>
      </c>
      <c r="F57" s="12" t="str">
        <f>IF(A57="","",MAX(E$4:E57))</f>
        <v/>
      </c>
      <c r="G57" s="13"/>
      <c r="H57" s="14" t="str">
        <f t="shared" si="1"/>
        <v/>
      </c>
      <c r="I57" s="14" t="str">
        <f t="shared" si="2"/>
        <v/>
      </c>
      <c r="J57" s="15" t="str">
        <f t="shared" si="3"/>
        <v/>
      </c>
    </row>
    <row r="58" spans="1:10">
      <c r="A58" s="7" t="str">
        <f>IF(子基金及业绩基准周净值!A98="","",子基金及业绩基准周净值!A98)</f>
        <v/>
      </c>
      <c r="B58" s="1" t="str">
        <f>IF(A58="","",VLOOKUP($A58,子基金及业绩基准周净值!$A:$AV,18))</f>
        <v/>
      </c>
      <c r="C58" s="8" t="str">
        <f t="shared" si="0"/>
        <v/>
      </c>
      <c r="D58" s="9" t="str">
        <f>IF(A58="","",C58-(子基金及业绩基准周净值!AH98/子基金及业绩基准周净值!AH97-1))</f>
        <v/>
      </c>
      <c r="E58" s="12" t="str">
        <f>IF(A58="","",(MAX(B$3:B58)-B58)/MAX(B$3:B58))</f>
        <v/>
      </c>
      <c r="F58" s="12" t="str">
        <f>IF(A58="","",MAX(E$4:E58))</f>
        <v/>
      </c>
      <c r="G58" s="13"/>
      <c r="H58" s="14" t="str">
        <f t="shared" si="1"/>
        <v/>
      </c>
      <c r="I58" s="14" t="str">
        <f t="shared" si="2"/>
        <v/>
      </c>
      <c r="J58" s="15" t="str">
        <f t="shared" si="3"/>
        <v/>
      </c>
    </row>
    <row r="59" spans="1:10">
      <c r="A59" s="7" t="str">
        <f>IF(子基金及业绩基准周净值!A99="","",子基金及业绩基准周净值!A99)</f>
        <v/>
      </c>
      <c r="B59" s="1" t="str">
        <f>IF(A59="","",VLOOKUP($A59,子基金及业绩基准周净值!$A:$AV,18))</f>
        <v/>
      </c>
      <c r="C59" s="8" t="str">
        <f t="shared" si="0"/>
        <v/>
      </c>
      <c r="D59" s="9" t="str">
        <f>IF(A59="","",C59-(子基金及业绩基准周净值!AH99/子基金及业绩基准周净值!AH98-1))</f>
        <v/>
      </c>
      <c r="E59" s="12" t="str">
        <f>IF(A59="","",(MAX(B$3:B59)-B59)/MAX(B$3:B59))</f>
        <v/>
      </c>
      <c r="F59" s="12" t="str">
        <f>IF(A59="","",MAX(E$4:E59))</f>
        <v/>
      </c>
      <c r="G59" s="13"/>
      <c r="H59" s="14" t="str">
        <f t="shared" si="1"/>
        <v/>
      </c>
      <c r="I59" s="14" t="str">
        <f t="shared" si="2"/>
        <v/>
      </c>
      <c r="J59" s="15" t="str">
        <f t="shared" si="3"/>
        <v/>
      </c>
    </row>
    <row r="60" spans="1:10">
      <c r="A60" s="7" t="str">
        <f>IF(子基金及业绩基准周净值!A100="","",子基金及业绩基准周净值!A100)</f>
        <v/>
      </c>
      <c r="B60" s="1" t="str">
        <f>IF(A60="","",VLOOKUP($A60,子基金及业绩基准周净值!$A:$AV,18))</f>
        <v/>
      </c>
      <c r="C60" s="8" t="str">
        <f t="shared" si="0"/>
        <v/>
      </c>
      <c r="D60" s="9" t="str">
        <f>IF(A60="","",C60-(子基金及业绩基准周净值!AH100/子基金及业绩基准周净值!AH99-1))</f>
        <v/>
      </c>
      <c r="E60" s="12" t="str">
        <f>IF(A60="","",(MAX(B$3:B60)-B60)/MAX(B$3:B60))</f>
        <v/>
      </c>
      <c r="F60" s="12" t="str">
        <f>IF(A60="","",MAX(E$4:E60))</f>
        <v/>
      </c>
      <c r="G60" s="13"/>
      <c r="H60" s="14" t="str">
        <f t="shared" si="1"/>
        <v/>
      </c>
      <c r="I60" s="14" t="str">
        <f t="shared" si="2"/>
        <v/>
      </c>
      <c r="J60" s="15" t="str">
        <f t="shared" si="3"/>
        <v/>
      </c>
    </row>
    <row r="61" spans="1:10">
      <c r="A61" s="7" t="str">
        <f>IF(子基金及业绩基准周净值!A101="","",子基金及业绩基准周净值!A101)</f>
        <v/>
      </c>
      <c r="B61" s="1" t="str">
        <f>IF(A61="","",VLOOKUP($A61,子基金及业绩基准周净值!$A:$AV,18))</f>
        <v/>
      </c>
      <c r="C61" s="8" t="str">
        <f t="shared" si="0"/>
        <v/>
      </c>
      <c r="D61" s="9" t="str">
        <f>IF(A61="","",C61-(子基金及业绩基准周净值!AH101/子基金及业绩基准周净值!AH100-1))</f>
        <v/>
      </c>
      <c r="E61" s="12" t="str">
        <f>IF(A61="","",(MAX(B$3:B61)-B61)/MAX(B$3:B61))</f>
        <v/>
      </c>
      <c r="F61" s="12" t="str">
        <f>IF(A61="","",MAX(E$4:E61))</f>
        <v/>
      </c>
      <c r="G61" s="13"/>
      <c r="H61" s="14" t="str">
        <f t="shared" si="1"/>
        <v/>
      </c>
      <c r="I61" s="14" t="str">
        <f t="shared" si="2"/>
        <v/>
      </c>
      <c r="J61" s="15" t="str">
        <f t="shared" si="3"/>
        <v/>
      </c>
    </row>
    <row r="62" spans="1:10">
      <c r="A62" s="7" t="str">
        <f>IF(子基金及业绩基准周净值!A102="","",子基金及业绩基准周净值!A102)</f>
        <v/>
      </c>
      <c r="B62" s="1" t="str">
        <f>IF(A62="","",VLOOKUP($A62,子基金及业绩基准周净值!$A:$AV,18))</f>
        <v/>
      </c>
      <c r="C62" s="8" t="str">
        <f t="shared" si="0"/>
        <v/>
      </c>
      <c r="D62" s="9" t="str">
        <f>IF(A62="","",C62-(子基金及业绩基准周净值!AH102/子基金及业绩基准周净值!AH101-1))</f>
        <v/>
      </c>
      <c r="E62" s="12" t="str">
        <f>IF(A62="","",(MAX(B$3:B62)-B62)/MAX(B$3:B62))</f>
        <v/>
      </c>
      <c r="F62" s="12" t="str">
        <f>IF(A62="","",MAX(E$4:E62))</f>
        <v/>
      </c>
      <c r="G62" s="13"/>
      <c r="H62" s="14" t="str">
        <f t="shared" si="1"/>
        <v/>
      </c>
      <c r="I62" s="14" t="str">
        <f t="shared" si="2"/>
        <v/>
      </c>
      <c r="J62" s="15" t="str">
        <f t="shared" si="3"/>
        <v/>
      </c>
    </row>
    <row r="63" spans="1:10">
      <c r="A63" s="7" t="str">
        <f>IF(子基金及业绩基准周净值!A103="","",子基金及业绩基准周净值!A103)</f>
        <v/>
      </c>
      <c r="B63" s="1" t="str">
        <f>IF(A63="","",VLOOKUP($A63,子基金及业绩基准周净值!$A:$AV,18))</f>
        <v/>
      </c>
      <c r="C63" s="8" t="str">
        <f t="shared" si="0"/>
        <v/>
      </c>
      <c r="D63" s="9" t="str">
        <f>IF(A63="","",C63-(子基金及业绩基准周净值!AH103/子基金及业绩基准周净值!AH102-1))</f>
        <v/>
      </c>
      <c r="E63" s="12" t="str">
        <f>IF(A63="","",(MAX(B$3:B63)-B63)/MAX(B$3:B63))</f>
        <v/>
      </c>
      <c r="F63" s="12" t="str">
        <f>IF(A63="","",MAX(E$4:E63))</f>
        <v/>
      </c>
      <c r="G63" s="13"/>
      <c r="H63" s="14" t="str">
        <f t="shared" si="1"/>
        <v/>
      </c>
      <c r="I63" s="14" t="str">
        <f t="shared" si="2"/>
        <v/>
      </c>
      <c r="J63" s="15" t="str">
        <f t="shared" si="3"/>
        <v/>
      </c>
    </row>
    <row r="64" spans="1:10">
      <c r="A64" s="7" t="str">
        <f>IF(子基金及业绩基准周净值!A104="","",子基金及业绩基准周净值!A104)</f>
        <v/>
      </c>
      <c r="B64" s="1" t="str">
        <f>IF(A64="","",VLOOKUP($A64,子基金及业绩基准周净值!$A:$AV,18))</f>
        <v/>
      </c>
      <c r="C64" s="8" t="str">
        <f t="shared" si="0"/>
        <v/>
      </c>
      <c r="D64" s="9" t="str">
        <f>IF(A64="","",C64-(子基金及业绩基准周净值!AH104/子基金及业绩基准周净值!AH103-1))</f>
        <v/>
      </c>
      <c r="E64" s="12" t="str">
        <f>IF(A64="","",(MAX(B$3:B64)-B64)/MAX(B$3:B64))</f>
        <v/>
      </c>
      <c r="F64" s="12" t="str">
        <f>IF(A64="","",MAX(E$4:E64))</f>
        <v/>
      </c>
      <c r="G64" s="13"/>
      <c r="H64" s="14" t="str">
        <f t="shared" si="1"/>
        <v/>
      </c>
      <c r="I64" s="14" t="str">
        <f t="shared" si="2"/>
        <v/>
      </c>
      <c r="J64" s="15" t="str">
        <f t="shared" si="3"/>
        <v/>
      </c>
    </row>
    <row r="65" spans="1:10">
      <c r="A65" s="7" t="str">
        <f>IF(子基金及业绩基准周净值!A105="","",子基金及业绩基准周净值!A105)</f>
        <v/>
      </c>
      <c r="B65" s="1" t="str">
        <f>IF(A65="","",VLOOKUP($A65,子基金及业绩基准周净值!$A:$AV,18))</f>
        <v/>
      </c>
      <c r="C65" s="8" t="str">
        <f t="shared" si="0"/>
        <v/>
      </c>
      <c r="D65" s="9" t="str">
        <f>IF(A65="","",C65-(子基金及业绩基准周净值!AH105/子基金及业绩基准周净值!AH104-1))</f>
        <v/>
      </c>
      <c r="E65" s="12" t="str">
        <f>IF(A65="","",(MAX(B$3:B65)-B65)/MAX(B$3:B65))</f>
        <v/>
      </c>
      <c r="F65" s="12" t="str">
        <f>IF(A65="","",MAX(E$4:E65))</f>
        <v/>
      </c>
      <c r="G65" s="13"/>
      <c r="H65" s="14" t="str">
        <f t="shared" si="1"/>
        <v/>
      </c>
      <c r="I65" s="14" t="str">
        <f t="shared" si="2"/>
        <v/>
      </c>
      <c r="J65" s="15" t="str">
        <f t="shared" si="3"/>
        <v/>
      </c>
    </row>
    <row r="66" spans="1:10">
      <c r="A66" s="7" t="str">
        <f>IF(子基金及业绩基准周净值!A106="","",子基金及业绩基准周净值!A106)</f>
        <v/>
      </c>
      <c r="B66" s="1" t="str">
        <f>IF(A66="","",VLOOKUP($A66,子基金及业绩基准周净值!$A:$AV,18))</f>
        <v/>
      </c>
      <c r="C66" s="8" t="str">
        <f t="shared" si="0"/>
        <v/>
      </c>
      <c r="D66" s="9" t="str">
        <f>IF(A66="","",C66-(子基金及业绩基准周净值!AH106/子基金及业绩基准周净值!AH105-1))</f>
        <v/>
      </c>
      <c r="E66" s="12" t="str">
        <f>IF(A66="","",(MAX(B$3:B66)-B66)/MAX(B$3:B66))</f>
        <v/>
      </c>
      <c r="F66" s="12" t="str">
        <f>IF(A66="","",MAX(E$4:E66))</f>
        <v/>
      </c>
      <c r="G66" s="13"/>
      <c r="H66" s="14" t="str">
        <f t="shared" si="1"/>
        <v/>
      </c>
      <c r="I66" s="14" t="str">
        <f t="shared" si="2"/>
        <v/>
      </c>
      <c r="J66" s="15" t="str">
        <f t="shared" si="3"/>
        <v/>
      </c>
    </row>
    <row r="67" spans="1:10">
      <c r="A67" s="7" t="str">
        <f>IF(子基金及业绩基准周净值!A107="","",子基金及业绩基准周净值!A107)</f>
        <v/>
      </c>
      <c r="B67" s="1" t="str">
        <f>IF(A67="","",VLOOKUP($A67,子基金及业绩基准周净值!$A:$AV,18))</f>
        <v/>
      </c>
      <c r="C67" s="8" t="str">
        <f t="shared" si="0"/>
        <v/>
      </c>
      <c r="D67" s="9" t="str">
        <f>IF(A67="","",C67-(子基金及业绩基准周净值!AH107/子基金及业绩基准周净值!AH106-1))</f>
        <v/>
      </c>
      <c r="E67" s="12" t="str">
        <f>IF(A67="","",(MAX(B$3:B67)-B67)/MAX(B$3:B67))</f>
        <v/>
      </c>
      <c r="F67" s="12" t="str">
        <f>IF(A67="","",MAX(E$4:E67))</f>
        <v/>
      </c>
      <c r="G67" s="13"/>
      <c r="H67" s="14" t="str">
        <f t="shared" si="1"/>
        <v/>
      </c>
      <c r="I67" s="14" t="str">
        <f t="shared" si="2"/>
        <v/>
      </c>
      <c r="J67" s="15" t="str">
        <f t="shared" si="3"/>
        <v/>
      </c>
    </row>
    <row r="68" spans="1:10">
      <c r="A68" s="7" t="str">
        <f>IF(子基金及业绩基准周净值!A108="","",子基金及业绩基准周净值!A108)</f>
        <v/>
      </c>
      <c r="B68" s="1" t="str">
        <f>IF(A68="","",VLOOKUP($A68,子基金及业绩基准周净值!$A:$AV,18))</f>
        <v/>
      </c>
      <c r="C68" s="8" t="str">
        <f t="shared" si="0"/>
        <v/>
      </c>
      <c r="D68" s="9" t="str">
        <f>IF(A68="","",C68-(子基金及业绩基准周净值!AH108/子基金及业绩基准周净值!AH107-1))</f>
        <v/>
      </c>
      <c r="E68" s="12" t="str">
        <f>IF(A68="","",(MAX(B$3:B68)-B68)/MAX(B$3:B68))</f>
        <v/>
      </c>
      <c r="F68" s="12" t="str">
        <f>IF(A68="","",MAX(E$4:E68))</f>
        <v/>
      </c>
      <c r="G68" s="13"/>
      <c r="H68" s="14" t="str">
        <f t="shared" si="1"/>
        <v/>
      </c>
      <c r="I68" s="14" t="str">
        <f t="shared" si="2"/>
        <v/>
      </c>
      <c r="J68" s="15" t="str">
        <f t="shared" si="3"/>
        <v/>
      </c>
    </row>
    <row r="69" spans="1:10">
      <c r="A69" s="7" t="str">
        <f>IF(子基金及业绩基准周净值!A109="","",子基金及业绩基准周净值!A109)</f>
        <v/>
      </c>
      <c r="B69" s="1" t="str">
        <f>IF(A69="","",VLOOKUP($A69,子基金及业绩基准周净值!$A:$AV,18))</f>
        <v/>
      </c>
      <c r="C69" s="8" t="str">
        <f t="shared" ref="C69:C132" si="4">IF(A69="","",(B69-B68)/B68)</f>
        <v/>
      </c>
      <c r="D69" s="9" t="str">
        <f>IF(A69="","",C69-(子基金及业绩基准周净值!AH109/子基金及业绩基准周净值!AH108-1))</f>
        <v/>
      </c>
      <c r="E69" s="12" t="str">
        <f>IF(A69="","",(MAX(B$3:B69)-B69)/MAX(B$3:B69))</f>
        <v/>
      </c>
      <c r="F69" s="12" t="str">
        <f>IF(A69="","",MAX(E$4:E69))</f>
        <v/>
      </c>
      <c r="G69" s="13"/>
      <c r="H69" s="14" t="str">
        <f t="shared" ref="H69:H132" si="5">IF(B69="","",IF(C69&lt;-3%,"是","否"))</f>
        <v/>
      </c>
      <c r="I69" s="14" t="str">
        <f t="shared" ref="I69:I132" si="6">IF(A69="","",IF(F69&gt;5%,"是","否"))</f>
        <v/>
      </c>
      <c r="J69" s="15" t="str">
        <f t="shared" ref="J69:J132" si="7">IF(A69="","",IF(G69&gt;=4,"是","否"))</f>
        <v/>
      </c>
    </row>
    <row r="70" spans="1:10">
      <c r="A70" s="7" t="str">
        <f>IF(子基金及业绩基准周净值!A110="","",子基金及业绩基准周净值!A110)</f>
        <v/>
      </c>
      <c r="B70" s="1" t="str">
        <f>IF(A70="","",VLOOKUP($A70,子基金及业绩基准周净值!$A:$AV,18))</f>
        <v/>
      </c>
      <c r="C70" s="8" t="str">
        <f t="shared" si="4"/>
        <v/>
      </c>
      <c r="D70" s="9" t="str">
        <f>IF(A70="","",C70-(子基金及业绩基准周净值!AH110/子基金及业绩基准周净值!AH109-1))</f>
        <v/>
      </c>
      <c r="E70" s="12" t="str">
        <f>IF(A70="","",(MAX(B$3:B70)-B70)/MAX(B$3:B70))</f>
        <v/>
      </c>
      <c r="F70" s="12" t="str">
        <f>IF(A70="","",MAX(E$4:E70))</f>
        <v/>
      </c>
      <c r="G70" s="13"/>
      <c r="H70" s="14" t="str">
        <f t="shared" si="5"/>
        <v/>
      </c>
      <c r="I70" s="14" t="str">
        <f t="shared" si="6"/>
        <v/>
      </c>
      <c r="J70" s="15" t="str">
        <f t="shared" si="7"/>
        <v/>
      </c>
    </row>
    <row r="71" spans="1:10">
      <c r="A71" s="7" t="str">
        <f>IF(子基金及业绩基准周净值!A111="","",子基金及业绩基准周净值!A111)</f>
        <v/>
      </c>
      <c r="B71" s="1" t="str">
        <f>IF(A71="","",VLOOKUP($A71,子基金及业绩基准周净值!$A:$AV,18))</f>
        <v/>
      </c>
      <c r="C71" s="8" t="str">
        <f t="shared" si="4"/>
        <v/>
      </c>
      <c r="D71" s="9" t="str">
        <f>IF(A71="","",C71-(子基金及业绩基准周净值!AH111/子基金及业绩基准周净值!AH110-1))</f>
        <v/>
      </c>
      <c r="E71" s="12" t="str">
        <f>IF(A71="","",(MAX(B$3:B71)-B71)/MAX(B$3:B71))</f>
        <v/>
      </c>
      <c r="F71" s="12" t="str">
        <f>IF(A71="","",MAX(E$4:E71))</f>
        <v/>
      </c>
      <c r="G71" s="13"/>
      <c r="H71" s="14" t="str">
        <f t="shared" si="5"/>
        <v/>
      </c>
      <c r="I71" s="14" t="str">
        <f t="shared" si="6"/>
        <v/>
      </c>
      <c r="J71" s="15" t="str">
        <f t="shared" si="7"/>
        <v/>
      </c>
    </row>
    <row r="72" spans="1:10">
      <c r="A72" s="7" t="str">
        <f>IF(子基金及业绩基准周净值!A112="","",子基金及业绩基准周净值!A112)</f>
        <v/>
      </c>
      <c r="B72" s="1" t="str">
        <f>IF(A72="","",VLOOKUP($A72,子基金及业绩基准周净值!$A:$AV,18))</f>
        <v/>
      </c>
      <c r="C72" s="8" t="str">
        <f t="shared" si="4"/>
        <v/>
      </c>
      <c r="D72" s="9" t="str">
        <f>IF(A72="","",C72-(子基金及业绩基准周净值!AH112/子基金及业绩基准周净值!AH111-1))</f>
        <v/>
      </c>
      <c r="E72" s="12" t="str">
        <f>IF(A72="","",(MAX(B$3:B72)-B72)/MAX(B$3:B72))</f>
        <v/>
      </c>
      <c r="F72" s="12" t="str">
        <f>IF(A72="","",MAX(E$4:E72))</f>
        <v/>
      </c>
      <c r="G72" s="13"/>
      <c r="H72" s="14" t="str">
        <f t="shared" si="5"/>
        <v/>
      </c>
      <c r="I72" s="14" t="str">
        <f t="shared" si="6"/>
        <v/>
      </c>
      <c r="J72" s="15" t="str">
        <f t="shared" si="7"/>
        <v/>
      </c>
    </row>
    <row r="73" spans="1:10">
      <c r="A73" s="7" t="str">
        <f>IF(子基金及业绩基准周净值!A113="","",子基金及业绩基准周净值!A113)</f>
        <v/>
      </c>
      <c r="B73" s="1" t="str">
        <f>IF(A73="","",VLOOKUP($A73,子基金及业绩基准周净值!$A:$AV,18))</f>
        <v/>
      </c>
      <c r="C73" s="8" t="str">
        <f t="shared" si="4"/>
        <v/>
      </c>
      <c r="D73" s="9" t="str">
        <f>IF(A73="","",C73-(子基金及业绩基准周净值!AH113/子基金及业绩基准周净值!AH112-1))</f>
        <v/>
      </c>
      <c r="E73" s="12" t="str">
        <f>IF(A73="","",(MAX(B$3:B73)-B73)/MAX(B$3:B73))</f>
        <v/>
      </c>
      <c r="F73" s="12" t="str">
        <f>IF(A73="","",MAX(E$4:E73))</f>
        <v/>
      </c>
      <c r="G73" s="13"/>
      <c r="H73" s="14" t="str">
        <f t="shared" si="5"/>
        <v/>
      </c>
      <c r="I73" s="14" t="str">
        <f t="shared" si="6"/>
        <v/>
      </c>
      <c r="J73" s="15" t="str">
        <f t="shared" si="7"/>
        <v/>
      </c>
    </row>
    <row r="74" spans="1:10">
      <c r="A74" s="7" t="str">
        <f>IF(子基金及业绩基准周净值!A114="","",子基金及业绩基准周净值!A114)</f>
        <v/>
      </c>
      <c r="B74" s="1" t="str">
        <f>IF(A74="","",VLOOKUP($A74,子基金及业绩基准周净值!$A:$AV,18))</f>
        <v/>
      </c>
      <c r="C74" s="8" t="str">
        <f t="shared" si="4"/>
        <v/>
      </c>
      <c r="D74" s="9" t="str">
        <f>IF(A74="","",C74-(子基金及业绩基准周净值!AH114/子基金及业绩基准周净值!AH113-1))</f>
        <v/>
      </c>
      <c r="E74" s="12" t="str">
        <f>IF(A74="","",(MAX(B$3:B74)-B74)/MAX(B$3:B74))</f>
        <v/>
      </c>
      <c r="F74" s="12" t="str">
        <f>IF(A74="","",MAX(E$4:E74))</f>
        <v/>
      </c>
      <c r="G74" s="13"/>
      <c r="H74" s="14" t="str">
        <f t="shared" si="5"/>
        <v/>
      </c>
      <c r="I74" s="14" t="str">
        <f t="shared" si="6"/>
        <v/>
      </c>
      <c r="J74" s="15" t="str">
        <f t="shared" si="7"/>
        <v/>
      </c>
    </row>
    <row r="75" spans="1:10">
      <c r="A75" s="7" t="str">
        <f>IF(子基金及业绩基准周净值!A115="","",子基金及业绩基准周净值!A115)</f>
        <v/>
      </c>
      <c r="B75" s="1" t="str">
        <f>IF(A75="","",VLOOKUP($A75,子基金及业绩基准周净值!$A:$AV,18))</f>
        <v/>
      </c>
      <c r="C75" s="8" t="str">
        <f t="shared" si="4"/>
        <v/>
      </c>
      <c r="D75" s="9" t="str">
        <f>IF(A75="","",C75-(子基金及业绩基准周净值!AH115/子基金及业绩基准周净值!AH114-1))</f>
        <v/>
      </c>
      <c r="E75" s="12" t="str">
        <f>IF(A75="","",(MAX(B$3:B75)-B75)/MAX(B$3:B75))</f>
        <v/>
      </c>
      <c r="F75" s="12" t="str">
        <f>IF(A75="","",MAX(E$4:E75))</f>
        <v/>
      </c>
      <c r="G75" s="13"/>
      <c r="H75" s="14" t="str">
        <f t="shared" si="5"/>
        <v/>
      </c>
      <c r="I75" s="14" t="str">
        <f t="shared" si="6"/>
        <v/>
      </c>
      <c r="J75" s="15" t="str">
        <f t="shared" si="7"/>
        <v/>
      </c>
    </row>
    <row r="76" spans="1:10">
      <c r="A76" s="7" t="str">
        <f>IF(子基金及业绩基准周净值!A116="","",子基金及业绩基准周净值!A116)</f>
        <v/>
      </c>
      <c r="B76" s="1" t="str">
        <f>IF(A76="","",VLOOKUP($A76,子基金及业绩基准周净值!$A:$AV,18))</f>
        <v/>
      </c>
      <c r="C76" s="8" t="str">
        <f t="shared" si="4"/>
        <v/>
      </c>
      <c r="D76" s="9" t="str">
        <f>IF(A76="","",C76-(子基金及业绩基准周净值!AH116/子基金及业绩基准周净值!AH115-1))</f>
        <v/>
      </c>
      <c r="E76" s="12" t="str">
        <f>IF(A76="","",(MAX(B$3:B76)-B76)/MAX(B$3:B76))</f>
        <v/>
      </c>
      <c r="F76" s="12" t="str">
        <f>IF(A76="","",MAX(E$4:E76))</f>
        <v/>
      </c>
      <c r="G76" s="13"/>
      <c r="H76" s="14" t="str">
        <f t="shared" si="5"/>
        <v/>
      </c>
      <c r="I76" s="14" t="str">
        <f t="shared" si="6"/>
        <v/>
      </c>
      <c r="J76" s="15" t="str">
        <f t="shared" si="7"/>
        <v/>
      </c>
    </row>
    <row r="77" spans="1:10">
      <c r="A77" s="7" t="str">
        <f>IF(子基金及业绩基准周净值!A117="","",子基金及业绩基准周净值!A117)</f>
        <v/>
      </c>
      <c r="B77" s="1" t="str">
        <f>IF(A77="","",VLOOKUP($A77,子基金及业绩基准周净值!$A:$AV,18))</f>
        <v/>
      </c>
      <c r="C77" s="8" t="str">
        <f t="shared" si="4"/>
        <v/>
      </c>
      <c r="D77" s="9" t="str">
        <f>IF(A77="","",C77-(子基金及业绩基准周净值!AH117/子基金及业绩基准周净值!AH116-1))</f>
        <v/>
      </c>
      <c r="E77" s="12" t="str">
        <f>IF(A77="","",(MAX(B$3:B77)-B77)/MAX(B$3:B77))</f>
        <v/>
      </c>
      <c r="F77" s="12" t="str">
        <f>IF(A77="","",MAX(E$4:E77))</f>
        <v/>
      </c>
      <c r="G77" s="13"/>
      <c r="H77" s="14" t="str">
        <f t="shared" si="5"/>
        <v/>
      </c>
      <c r="I77" s="14" t="str">
        <f t="shared" si="6"/>
        <v/>
      </c>
      <c r="J77" s="15" t="str">
        <f t="shared" si="7"/>
        <v/>
      </c>
    </row>
    <row r="78" spans="1:10">
      <c r="A78" s="7" t="str">
        <f>IF(子基金及业绩基准周净值!A118="","",子基金及业绩基准周净值!A118)</f>
        <v/>
      </c>
      <c r="B78" s="1" t="str">
        <f>IF(A78="","",VLOOKUP($A78,子基金及业绩基准周净值!$A:$AV,18))</f>
        <v/>
      </c>
      <c r="C78" s="8" t="str">
        <f t="shared" si="4"/>
        <v/>
      </c>
      <c r="D78" s="9" t="str">
        <f>IF(A78="","",C78-(子基金及业绩基准周净值!AH118/子基金及业绩基准周净值!AH117-1))</f>
        <v/>
      </c>
      <c r="E78" s="12" t="str">
        <f>IF(A78="","",(MAX(B$3:B78)-B78)/MAX(B$3:B78))</f>
        <v/>
      </c>
      <c r="F78" s="12" t="str">
        <f>IF(A78="","",MAX(E$4:E78))</f>
        <v/>
      </c>
      <c r="G78" s="13"/>
      <c r="H78" s="14" t="str">
        <f t="shared" si="5"/>
        <v/>
      </c>
      <c r="I78" s="14" t="str">
        <f t="shared" si="6"/>
        <v/>
      </c>
      <c r="J78" s="15" t="str">
        <f t="shared" si="7"/>
        <v/>
      </c>
    </row>
    <row r="79" spans="1:10">
      <c r="A79" s="7" t="str">
        <f>IF(子基金及业绩基准周净值!A119="","",子基金及业绩基准周净值!A119)</f>
        <v/>
      </c>
      <c r="B79" s="1" t="str">
        <f>IF(A79="","",VLOOKUP($A79,子基金及业绩基准周净值!$A:$AV,18))</f>
        <v/>
      </c>
      <c r="C79" s="8" t="str">
        <f t="shared" si="4"/>
        <v/>
      </c>
      <c r="D79" s="9" t="str">
        <f>IF(A79="","",C79-(子基金及业绩基准周净值!AH119/子基金及业绩基准周净值!AH118-1))</f>
        <v/>
      </c>
      <c r="E79" s="12" t="str">
        <f>IF(A79="","",(MAX(B$3:B79)-B79)/MAX(B$3:B79))</f>
        <v/>
      </c>
      <c r="F79" s="12" t="str">
        <f>IF(A79="","",MAX(E$4:E79))</f>
        <v/>
      </c>
      <c r="G79" s="13"/>
      <c r="H79" s="14" t="str">
        <f t="shared" si="5"/>
        <v/>
      </c>
      <c r="I79" s="14" t="str">
        <f t="shared" si="6"/>
        <v/>
      </c>
      <c r="J79" s="15" t="str">
        <f t="shared" si="7"/>
        <v/>
      </c>
    </row>
    <row r="80" spans="1:10">
      <c r="A80" s="7" t="str">
        <f>IF(子基金及业绩基准周净值!A120="","",子基金及业绩基准周净值!A120)</f>
        <v/>
      </c>
      <c r="B80" s="1" t="str">
        <f>IF(A80="","",VLOOKUP($A80,子基金及业绩基准周净值!$A:$AV,18))</f>
        <v/>
      </c>
      <c r="C80" s="8" t="str">
        <f t="shared" si="4"/>
        <v/>
      </c>
      <c r="D80" s="9" t="str">
        <f>IF(A80="","",C80-(子基金及业绩基准周净值!AH120/子基金及业绩基准周净值!AH119-1))</f>
        <v/>
      </c>
      <c r="E80" s="12" t="str">
        <f>IF(A80="","",(MAX(B$3:B80)-B80)/MAX(B$3:B80))</f>
        <v/>
      </c>
      <c r="F80" s="12" t="str">
        <f>IF(A80="","",MAX(E$4:E80))</f>
        <v/>
      </c>
      <c r="G80" s="13"/>
      <c r="H80" s="14" t="str">
        <f t="shared" si="5"/>
        <v/>
      </c>
      <c r="I80" s="14" t="str">
        <f t="shared" si="6"/>
        <v/>
      </c>
      <c r="J80" s="15" t="str">
        <f t="shared" si="7"/>
        <v/>
      </c>
    </row>
    <row r="81" spans="1:10">
      <c r="A81" s="7" t="str">
        <f>IF(子基金及业绩基准周净值!A121="","",子基金及业绩基准周净值!A121)</f>
        <v/>
      </c>
      <c r="B81" s="1" t="str">
        <f>IF(A81="","",VLOOKUP($A81,子基金及业绩基准周净值!$A:$AV,18))</f>
        <v/>
      </c>
      <c r="C81" s="8" t="str">
        <f t="shared" si="4"/>
        <v/>
      </c>
      <c r="D81" s="9" t="str">
        <f>IF(A81="","",C81-(子基金及业绩基准周净值!AH121/子基金及业绩基准周净值!AH120-1))</f>
        <v/>
      </c>
      <c r="E81" s="12" t="str">
        <f>IF(A81="","",(MAX(B$3:B81)-B81)/MAX(B$3:B81))</f>
        <v/>
      </c>
      <c r="F81" s="12" t="str">
        <f>IF(A81="","",MAX(E$4:E81))</f>
        <v/>
      </c>
      <c r="G81" s="13"/>
      <c r="H81" s="14" t="str">
        <f t="shared" si="5"/>
        <v/>
      </c>
      <c r="I81" s="14" t="str">
        <f t="shared" si="6"/>
        <v/>
      </c>
      <c r="J81" s="15" t="str">
        <f t="shared" si="7"/>
        <v/>
      </c>
    </row>
    <row r="82" spans="1:10">
      <c r="A82" s="7" t="str">
        <f>IF(子基金及业绩基准周净值!A122="","",子基金及业绩基准周净值!A122)</f>
        <v/>
      </c>
      <c r="B82" s="1" t="str">
        <f>IF(A82="","",VLOOKUP($A82,子基金及业绩基准周净值!$A:$AV,18))</f>
        <v/>
      </c>
      <c r="C82" s="8" t="str">
        <f t="shared" si="4"/>
        <v/>
      </c>
      <c r="D82" s="9" t="str">
        <f>IF(A82="","",C82-(子基金及业绩基准周净值!AH122/子基金及业绩基准周净值!AH121-1))</f>
        <v/>
      </c>
      <c r="E82" s="12" t="str">
        <f>IF(A82="","",(MAX(B$3:B82)-B82)/MAX(B$3:B82))</f>
        <v/>
      </c>
      <c r="F82" s="12" t="str">
        <f>IF(A82="","",MAX(E$4:E82))</f>
        <v/>
      </c>
      <c r="G82" s="13"/>
      <c r="H82" s="14" t="str">
        <f t="shared" si="5"/>
        <v/>
      </c>
      <c r="I82" s="14" t="str">
        <f t="shared" si="6"/>
        <v/>
      </c>
      <c r="J82" s="15" t="str">
        <f t="shared" si="7"/>
        <v/>
      </c>
    </row>
    <row r="83" spans="1:10">
      <c r="A83" s="7" t="str">
        <f>IF(子基金及业绩基准周净值!A123="","",子基金及业绩基准周净值!A123)</f>
        <v/>
      </c>
      <c r="B83" s="1" t="str">
        <f>IF(A83="","",VLOOKUP($A83,子基金及业绩基准周净值!$A:$AV,18))</f>
        <v/>
      </c>
      <c r="C83" s="8" t="str">
        <f t="shared" si="4"/>
        <v/>
      </c>
      <c r="D83" s="9" t="str">
        <f>IF(A83="","",C83-(子基金及业绩基准周净值!AH123/子基金及业绩基准周净值!AH122-1))</f>
        <v/>
      </c>
      <c r="E83" s="12" t="str">
        <f>IF(A83="","",(MAX(B$3:B83)-B83)/MAX(B$3:B83))</f>
        <v/>
      </c>
      <c r="F83" s="12" t="str">
        <f>IF(A83="","",MAX(E$4:E83))</f>
        <v/>
      </c>
      <c r="G83" s="13"/>
      <c r="H83" s="14" t="str">
        <f t="shared" si="5"/>
        <v/>
      </c>
      <c r="I83" s="14" t="str">
        <f t="shared" si="6"/>
        <v/>
      </c>
      <c r="J83" s="15" t="str">
        <f t="shared" si="7"/>
        <v/>
      </c>
    </row>
    <row r="84" spans="1:10">
      <c r="A84" s="7" t="str">
        <f>IF(子基金及业绩基准周净值!A124="","",子基金及业绩基准周净值!A124)</f>
        <v/>
      </c>
      <c r="B84" s="1" t="str">
        <f>IF(A84="","",VLOOKUP($A84,子基金及业绩基准周净值!$A:$AV,18))</f>
        <v/>
      </c>
      <c r="C84" s="8" t="str">
        <f t="shared" si="4"/>
        <v/>
      </c>
      <c r="D84" s="9" t="str">
        <f>IF(A84="","",C84-(子基金及业绩基准周净值!AH124/子基金及业绩基准周净值!AH123-1))</f>
        <v/>
      </c>
      <c r="E84" s="12" t="str">
        <f>IF(A84="","",(MAX(B$3:B84)-B84)/MAX(B$3:B84))</f>
        <v/>
      </c>
      <c r="F84" s="12" t="str">
        <f>IF(A84="","",MAX(E$4:E84))</f>
        <v/>
      </c>
      <c r="G84" s="13"/>
      <c r="H84" s="14" t="str">
        <f t="shared" si="5"/>
        <v/>
      </c>
      <c r="I84" s="14" t="str">
        <f t="shared" si="6"/>
        <v/>
      </c>
      <c r="J84" s="15" t="str">
        <f t="shared" si="7"/>
        <v/>
      </c>
    </row>
    <row r="85" spans="1:10">
      <c r="A85" s="7" t="str">
        <f>IF(子基金及业绩基准周净值!A125="","",子基金及业绩基准周净值!A125)</f>
        <v/>
      </c>
      <c r="B85" s="1" t="str">
        <f>IF(A85="","",VLOOKUP($A85,子基金及业绩基准周净值!$A:$AV,18))</f>
        <v/>
      </c>
      <c r="C85" s="8" t="str">
        <f t="shared" si="4"/>
        <v/>
      </c>
      <c r="D85" s="9" t="str">
        <f>IF(A85="","",C85-(子基金及业绩基准周净值!AH125/子基金及业绩基准周净值!AH124-1))</f>
        <v/>
      </c>
      <c r="E85" s="12" t="str">
        <f>IF(A85="","",(MAX(B$3:B85)-B85)/MAX(B$3:B85))</f>
        <v/>
      </c>
      <c r="F85" s="12" t="str">
        <f>IF(A85="","",MAX(E$4:E85))</f>
        <v/>
      </c>
      <c r="G85" s="13"/>
      <c r="H85" s="14" t="str">
        <f t="shared" si="5"/>
        <v/>
      </c>
      <c r="I85" s="14" t="str">
        <f t="shared" si="6"/>
        <v/>
      </c>
      <c r="J85" s="15" t="str">
        <f t="shared" si="7"/>
        <v/>
      </c>
    </row>
    <row r="86" spans="1:10">
      <c r="A86" s="7" t="str">
        <f>IF(子基金及业绩基准周净值!A126="","",子基金及业绩基准周净值!A126)</f>
        <v/>
      </c>
      <c r="B86" s="1" t="str">
        <f>IF(A86="","",VLOOKUP($A86,子基金及业绩基准周净值!$A:$AV,18))</f>
        <v/>
      </c>
      <c r="C86" s="8" t="str">
        <f t="shared" si="4"/>
        <v/>
      </c>
      <c r="D86" s="9" t="str">
        <f>IF(A86="","",C86-(子基金及业绩基准周净值!AH126/子基金及业绩基准周净值!AH125-1))</f>
        <v/>
      </c>
      <c r="E86" s="12" t="str">
        <f>IF(A86="","",(MAX(B$3:B86)-B86)/MAX(B$3:B86))</f>
        <v/>
      </c>
      <c r="F86" s="12" t="str">
        <f>IF(A86="","",MAX(E$4:E86))</f>
        <v/>
      </c>
      <c r="G86" s="13"/>
      <c r="H86" s="14" t="str">
        <f t="shared" si="5"/>
        <v/>
      </c>
      <c r="I86" s="14" t="str">
        <f t="shared" si="6"/>
        <v/>
      </c>
      <c r="J86" s="15" t="str">
        <f t="shared" si="7"/>
        <v/>
      </c>
    </row>
    <row r="87" spans="1:10">
      <c r="A87" s="7" t="str">
        <f>IF(子基金及业绩基准周净值!A127="","",子基金及业绩基准周净值!A127)</f>
        <v/>
      </c>
      <c r="B87" s="1" t="str">
        <f>IF(A87="","",VLOOKUP($A87,子基金及业绩基准周净值!$A:$AV,18))</f>
        <v/>
      </c>
      <c r="C87" s="8" t="str">
        <f t="shared" si="4"/>
        <v/>
      </c>
      <c r="D87" s="9" t="str">
        <f>IF(A87="","",C87-(子基金及业绩基准周净值!AH127/子基金及业绩基准周净值!AH126-1))</f>
        <v/>
      </c>
      <c r="E87" s="12" t="str">
        <f>IF(A87="","",(MAX(B$3:B87)-B87)/MAX(B$3:B87))</f>
        <v/>
      </c>
      <c r="F87" s="12" t="str">
        <f>IF(A87="","",MAX(E$4:E87))</f>
        <v/>
      </c>
      <c r="G87" s="13"/>
      <c r="H87" s="14" t="str">
        <f t="shared" si="5"/>
        <v/>
      </c>
      <c r="I87" s="14" t="str">
        <f t="shared" si="6"/>
        <v/>
      </c>
      <c r="J87" s="15" t="str">
        <f t="shared" si="7"/>
        <v/>
      </c>
    </row>
    <row r="88" spans="1:10">
      <c r="A88" s="7" t="str">
        <f>IF(子基金及业绩基准周净值!A128="","",子基金及业绩基准周净值!A128)</f>
        <v/>
      </c>
      <c r="B88" s="1" t="str">
        <f>IF(A88="","",VLOOKUP($A88,子基金及业绩基准周净值!$A:$AV,18))</f>
        <v/>
      </c>
      <c r="C88" s="8" t="str">
        <f t="shared" si="4"/>
        <v/>
      </c>
      <c r="D88" s="9" t="str">
        <f>IF(A88="","",C88-(子基金及业绩基准周净值!AH128/子基金及业绩基准周净值!AH127-1))</f>
        <v/>
      </c>
      <c r="E88" s="12" t="str">
        <f>IF(A88="","",(MAX(B$3:B88)-B88)/MAX(B$3:B88))</f>
        <v/>
      </c>
      <c r="F88" s="12" t="str">
        <f>IF(A88="","",MAX(E$4:E88))</f>
        <v/>
      </c>
      <c r="G88" s="13"/>
      <c r="H88" s="14" t="str">
        <f t="shared" si="5"/>
        <v/>
      </c>
      <c r="I88" s="14" t="str">
        <f t="shared" si="6"/>
        <v/>
      </c>
      <c r="J88" s="15" t="str">
        <f t="shared" si="7"/>
        <v/>
      </c>
    </row>
    <row r="89" spans="1:10">
      <c r="A89" s="7" t="str">
        <f>IF(子基金及业绩基准周净值!A129="","",子基金及业绩基准周净值!A129)</f>
        <v/>
      </c>
      <c r="B89" s="1" t="str">
        <f>IF(A89="","",VLOOKUP($A89,子基金及业绩基准周净值!$A:$AV,18))</f>
        <v/>
      </c>
      <c r="C89" s="8" t="str">
        <f t="shared" si="4"/>
        <v/>
      </c>
      <c r="D89" s="9" t="str">
        <f>IF(A89="","",C89-(子基金及业绩基准周净值!AH129/子基金及业绩基准周净值!AH128-1))</f>
        <v/>
      </c>
      <c r="E89" s="12" t="str">
        <f>IF(A89="","",(MAX(B$3:B89)-B89)/MAX(B$3:B89))</f>
        <v/>
      </c>
      <c r="F89" s="12" t="str">
        <f>IF(A89="","",MAX(E$4:E89))</f>
        <v/>
      </c>
      <c r="G89" s="13"/>
      <c r="H89" s="14" t="str">
        <f t="shared" si="5"/>
        <v/>
      </c>
      <c r="I89" s="14" t="str">
        <f t="shared" si="6"/>
        <v/>
      </c>
      <c r="J89" s="15" t="str">
        <f t="shared" si="7"/>
        <v/>
      </c>
    </row>
    <row r="90" spans="1:10">
      <c r="A90" s="7" t="str">
        <f>IF(子基金及业绩基准周净值!A130="","",子基金及业绩基准周净值!A130)</f>
        <v/>
      </c>
      <c r="B90" s="1" t="str">
        <f>IF(A90="","",VLOOKUP($A90,子基金及业绩基准周净值!$A:$AV,18))</f>
        <v/>
      </c>
      <c r="C90" s="8" t="str">
        <f t="shared" si="4"/>
        <v/>
      </c>
      <c r="D90" s="9" t="str">
        <f>IF(A90="","",C90-(子基金及业绩基准周净值!AH130/子基金及业绩基准周净值!AH129-1))</f>
        <v/>
      </c>
      <c r="E90" s="12" t="str">
        <f>IF(A90="","",(MAX(B$3:B90)-B90)/MAX(B$3:B90))</f>
        <v/>
      </c>
      <c r="F90" s="12" t="str">
        <f>IF(A90="","",MAX(E$4:E90))</f>
        <v/>
      </c>
      <c r="G90" s="13"/>
      <c r="H90" s="14" t="str">
        <f t="shared" si="5"/>
        <v/>
      </c>
      <c r="I90" s="14" t="str">
        <f t="shared" si="6"/>
        <v/>
      </c>
      <c r="J90" s="15" t="str">
        <f t="shared" si="7"/>
        <v/>
      </c>
    </row>
    <row r="91" spans="1:10">
      <c r="A91" s="7" t="str">
        <f>IF(子基金及业绩基准周净值!A131="","",子基金及业绩基准周净值!A131)</f>
        <v/>
      </c>
      <c r="B91" s="1" t="str">
        <f>IF(A91="","",VLOOKUP($A91,子基金及业绩基准周净值!$A:$AV,18))</f>
        <v/>
      </c>
      <c r="C91" s="8" t="str">
        <f t="shared" si="4"/>
        <v/>
      </c>
      <c r="D91" s="9" t="str">
        <f>IF(A91="","",C91-(子基金及业绩基准周净值!AH131/子基金及业绩基准周净值!AH130-1))</f>
        <v/>
      </c>
      <c r="E91" s="12" t="str">
        <f>IF(A91="","",(MAX(B$3:B91)-B91)/MAX(B$3:B91))</f>
        <v/>
      </c>
      <c r="F91" s="12" t="str">
        <f>IF(A91="","",MAX(E$4:E91))</f>
        <v/>
      </c>
      <c r="G91" s="13"/>
      <c r="H91" s="14" t="str">
        <f t="shared" si="5"/>
        <v/>
      </c>
      <c r="I91" s="14" t="str">
        <f t="shared" si="6"/>
        <v/>
      </c>
      <c r="J91" s="15" t="str">
        <f t="shared" si="7"/>
        <v/>
      </c>
    </row>
    <row r="92" spans="1:10">
      <c r="A92" s="7" t="str">
        <f>IF(子基金及业绩基准周净值!A132="","",子基金及业绩基准周净值!A132)</f>
        <v/>
      </c>
      <c r="B92" s="1" t="str">
        <f>IF(A92="","",VLOOKUP($A92,子基金及业绩基准周净值!$A:$AV,18))</f>
        <v/>
      </c>
      <c r="C92" s="8" t="str">
        <f t="shared" si="4"/>
        <v/>
      </c>
      <c r="D92" s="9" t="str">
        <f>IF(A92="","",C92-(子基金及业绩基准周净值!AH132/子基金及业绩基准周净值!AH131-1))</f>
        <v/>
      </c>
      <c r="E92" s="12" t="str">
        <f>IF(A92="","",(MAX(B$3:B92)-B92)/MAX(B$3:B92))</f>
        <v/>
      </c>
      <c r="F92" s="12" t="str">
        <f>IF(A92="","",MAX(E$4:E92))</f>
        <v/>
      </c>
      <c r="G92" s="13"/>
      <c r="H92" s="14" t="str">
        <f t="shared" si="5"/>
        <v/>
      </c>
      <c r="I92" s="14" t="str">
        <f t="shared" si="6"/>
        <v/>
      </c>
      <c r="J92" s="15" t="str">
        <f t="shared" si="7"/>
        <v/>
      </c>
    </row>
    <row r="93" spans="1:10">
      <c r="A93" s="7" t="str">
        <f>IF(子基金及业绩基准周净值!A133="","",子基金及业绩基准周净值!A133)</f>
        <v/>
      </c>
      <c r="B93" s="1" t="str">
        <f>IF(A93="","",VLOOKUP($A93,子基金及业绩基准周净值!$A:$AV,18))</f>
        <v/>
      </c>
      <c r="C93" s="8" t="str">
        <f t="shared" si="4"/>
        <v/>
      </c>
      <c r="D93" s="9" t="str">
        <f>IF(A93="","",C93-(子基金及业绩基准周净值!AH133/子基金及业绩基准周净值!AH132-1))</f>
        <v/>
      </c>
      <c r="E93" s="12" t="str">
        <f>IF(A93="","",(MAX(B$3:B93)-B93)/MAX(B$3:B93))</f>
        <v/>
      </c>
      <c r="F93" s="12" t="str">
        <f>IF(A93="","",MAX(E$4:E93))</f>
        <v/>
      </c>
      <c r="G93" s="13"/>
      <c r="H93" s="14" t="str">
        <f t="shared" si="5"/>
        <v/>
      </c>
      <c r="I93" s="14" t="str">
        <f t="shared" si="6"/>
        <v/>
      </c>
      <c r="J93" s="15" t="str">
        <f t="shared" si="7"/>
        <v/>
      </c>
    </row>
    <row r="94" spans="1:10">
      <c r="A94" s="7" t="str">
        <f>IF(子基金及业绩基准周净值!A134="","",子基金及业绩基准周净值!A134)</f>
        <v/>
      </c>
      <c r="B94" s="1" t="str">
        <f>IF(A94="","",VLOOKUP($A94,子基金及业绩基准周净值!$A:$AV,18))</f>
        <v/>
      </c>
      <c r="C94" s="8" t="str">
        <f t="shared" si="4"/>
        <v/>
      </c>
      <c r="D94" s="9" t="str">
        <f>IF(A94="","",C94-(子基金及业绩基准周净值!AH134/子基金及业绩基准周净值!AH133-1))</f>
        <v/>
      </c>
      <c r="E94" s="12" t="str">
        <f>IF(A94="","",(MAX(B$3:B94)-B94)/MAX(B$3:B94))</f>
        <v/>
      </c>
      <c r="F94" s="12" t="str">
        <f>IF(A94="","",MAX(E$4:E94))</f>
        <v/>
      </c>
      <c r="G94" s="13"/>
      <c r="H94" s="14" t="str">
        <f t="shared" si="5"/>
        <v/>
      </c>
      <c r="I94" s="14" t="str">
        <f t="shared" si="6"/>
        <v/>
      </c>
      <c r="J94" s="15" t="str">
        <f t="shared" si="7"/>
        <v/>
      </c>
    </row>
    <row r="95" spans="1:10">
      <c r="A95" s="7" t="str">
        <f>IF(子基金及业绩基准周净值!A135="","",子基金及业绩基准周净值!A135)</f>
        <v/>
      </c>
      <c r="B95" s="1" t="str">
        <f>IF(A95="","",VLOOKUP($A95,子基金及业绩基准周净值!$A:$AV,18))</f>
        <v/>
      </c>
      <c r="C95" s="8" t="str">
        <f t="shared" si="4"/>
        <v/>
      </c>
      <c r="D95" s="9" t="str">
        <f>IF(A95="","",C95-(子基金及业绩基准周净值!AH135/子基金及业绩基准周净值!AH134-1))</f>
        <v/>
      </c>
      <c r="E95" s="12" t="str">
        <f>IF(A95="","",(MAX(B$3:B95)-B95)/MAX(B$3:B95))</f>
        <v/>
      </c>
      <c r="F95" s="12" t="str">
        <f>IF(A95="","",MAX(E$4:E95))</f>
        <v/>
      </c>
      <c r="G95" s="13"/>
      <c r="H95" s="14" t="str">
        <f t="shared" si="5"/>
        <v/>
      </c>
      <c r="I95" s="14" t="str">
        <f t="shared" si="6"/>
        <v/>
      </c>
      <c r="J95" s="15" t="str">
        <f t="shared" si="7"/>
        <v/>
      </c>
    </row>
    <row r="96" spans="1:10">
      <c r="A96" s="7" t="str">
        <f>IF(子基金及业绩基准周净值!A136="","",子基金及业绩基准周净值!A136)</f>
        <v/>
      </c>
      <c r="B96" s="1" t="str">
        <f>IF(A96="","",VLOOKUP($A96,子基金及业绩基准周净值!$A:$AV,18))</f>
        <v/>
      </c>
      <c r="C96" s="8" t="str">
        <f t="shared" si="4"/>
        <v/>
      </c>
      <c r="D96" s="9" t="str">
        <f>IF(A96="","",C96-(子基金及业绩基准周净值!AH136/子基金及业绩基准周净值!AH135-1))</f>
        <v/>
      </c>
      <c r="E96" s="12" t="str">
        <f>IF(A96="","",(MAX(B$3:B96)-B96)/MAX(B$3:B96))</f>
        <v/>
      </c>
      <c r="F96" s="12" t="str">
        <f>IF(A96="","",MAX(E$4:E96))</f>
        <v/>
      </c>
      <c r="G96" s="13"/>
      <c r="H96" s="14" t="str">
        <f t="shared" si="5"/>
        <v/>
      </c>
      <c r="I96" s="14" t="str">
        <f t="shared" si="6"/>
        <v/>
      </c>
      <c r="J96" s="15" t="str">
        <f t="shared" si="7"/>
        <v/>
      </c>
    </row>
    <row r="97" spans="1:10">
      <c r="A97" s="7" t="str">
        <f>IF(子基金及业绩基准周净值!A137="","",子基金及业绩基准周净值!A137)</f>
        <v/>
      </c>
      <c r="B97" s="1" t="str">
        <f>IF(A97="","",VLOOKUP($A97,子基金及业绩基准周净值!$A:$AV,18))</f>
        <v/>
      </c>
      <c r="C97" s="8" t="str">
        <f t="shared" si="4"/>
        <v/>
      </c>
      <c r="D97" s="9" t="str">
        <f>IF(A97="","",C97-(子基金及业绩基准周净值!AH137/子基金及业绩基准周净值!AH136-1))</f>
        <v/>
      </c>
      <c r="E97" s="12" t="str">
        <f>IF(A97="","",(MAX(B$3:B97)-B97)/MAX(B$3:B97))</f>
        <v/>
      </c>
      <c r="F97" s="12" t="str">
        <f>IF(A97="","",MAX(E$4:E97))</f>
        <v/>
      </c>
      <c r="G97" s="13"/>
      <c r="H97" s="14" t="str">
        <f t="shared" si="5"/>
        <v/>
      </c>
      <c r="I97" s="14" t="str">
        <f t="shared" si="6"/>
        <v/>
      </c>
      <c r="J97" s="15" t="str">
        <f t="shared" si="7"/>
        <v/>
      </c>
    </row>
    <row r="98" spans="1:10">
      <c r="A98" s="7" t="str">
        <f>IF(子基金及业绩基准周净值!A138="","",子基金及业绩基准周净值!A138)</f>
        <v/>
      </c>
      <c r="B98" s="1" t="str">
        <f>IF(A98="","",VLOOKUP($A98,子基金及业绩基准周净值!$A:$AV,18))</f>
        <v/>
      </c>
      <c r="C98" s="8" t="str">
        <f t="shared" si="4"/>
        <v/>
      </c>
      <c r="D98" s="9" t="str">
        <f>IF(A98="","",C98-(子基金及业绩基准周净值!AH138/子基金及业绩基准周净值!AH137-1))</f>
        <v/>
      </c>
      <c r="E98" s="12" t="str">
        <f>IF(A98="","",(MAX(B$3:B98)-B98)/MAX(B$3:B98))</f>
        <v/>
      </c>
      <c r="F98" s="12" t="str">
        <f>IF(A98="","",MAX(E$4:E98))</f>
        <v/>
      </c>
      <c r="G98" s="13"/>
      <c r="H98" s="14" t="str">
        <f t="shared" si="5"/>
        <v/>
      </c>
      <c r="I98" s="14" t="str">
        <f t="shared" si="6"/>
        <v/>
      </c>
      <c r="J98" s="15" t="str">
        <f t="shared" si="7"/>
        <v/>
      </c>
    </row>
    <row r="99" spans="1:10">
      <c r="A99" s="7" t="str">
        <f>IF(子基金及业绩基准周净值!A139="","",子基金及业绩基准周净值!A139)</f>
        <v/>
      </c>
      <c r="B99" s="1" t="str">
        <f>IF(A99="","",VLOOKUP($A99,子基金及业绩基准周净值!$A:$AV,18))</f>
        <v/>
      </c>
      <c r="C99" s="8" t="str">
        <f t="shared" si="4"/>
        <v/>
      </c>
      <c r="D99" s="9" t="str">
        <f>IF(A99="","",C99-(子基金及业绩基准周净值!AH139/子基金及业绩基准周净值!AH138-1))</f>
        <v/>
      </c>
      <c r="E99" s="12" t="str">
        <f>IF(A99="","",(MAX(B$3:B99)-B99)/MAX(B$3:B99))</f>
        <v/>
      </c>
      <c r="F99" s="12" t="str">
        <f>IF(A99="","",MAX(E$4:E99))</f>
        <v/>
      </c>
      <c r="G99" s="13"/>
      <c r="H99" s="14" t="str">
        <f t="shared" si="5"/>
        <v/>
      </c>
      <c r="I99" s="14" t="str">
        <f t="shared" si="6"/>
        <v/>
      </c>
      <c r="J99" s="15" t="str">
        <f t="shared" si="7"/>
        <v/>
      </c>
    </row>
    <row r="100" spans="1:10">
      <c r="A100" s="7" t="str">
        <f>IF(子基金及业绩基准周净值!A140="","",子基金及业绩基准周净值!A140)</f>
        <v/>
      </c>
      <c r="B100" s="1" t="str">
        <f>IF(A100="","",VLOOKUP($A100,子基金及业绩基准周净值!$A:$AV,18))</f>
        <v/>
      </c>
      <c r="C100" s="8" t="str">
        <f t="shared" si="4"/>
        <v/>
      </c>
      <c r="D100" s="9" t="str">
        <f>IF(A100="","",C100-(子基金及业绩基准周净值!AH140/子基金及业绩基准周净值!AH139-1))</f>
        <v/>
      </c>
      <c r="E100" s="12" t="str">
        <f>IF(A100="","",(MAX(B$3:B100)-B100)/MAX(B$3:B100))</f>
        <v/>
      </c>
      <c r="F100" s="12" t="str">
        <f>IF(A100="","",MAX(E$4:E100))</f>
        <v/>
      </c>
      <c r="G100" s="13"/>
      <c r="H100" s="14" t="str">
        <f t="shared" si="5"/>
        <v/>
      </c>
      <c r="I100" s="14" t="str">
        <f t="shared" si="6"/>
        <v/>
      </c>
      <c r="J100" s="15" t="str">
        <f t="shared" si="7"/>
        <v/>
      </c>
    </row>
    <row r="101" spans="1:10">
      <c r="A101" s="7" t="str">
        <f>IF(子基金及业绩基准周净值!A141="","",子基金及业绩基准周净值!A141)</f>
        <v/>
      </c>
      <c r="B101" s="1" t="str">
        <f>IF(A101="","",VLOOKUP($A101,子基金及业绩基准周净值!$A:$AV,18))</f>
        <v/>
      </c>
      <c r="C101" s="8" t="str">
        <f t="shared" si="4"/>
        <v/>
      </c>
      <c r="D101" s="9" t="str">
        <f>IF(A101="","",C101-(子基金及业绩基准周净值!AH141/子基金及业绩基准周净值!AH140-1))</f>
        <v/>
      </c>
      <c r="E101" s="12" t="str">
        <f>IF(A101="","",(MAX(B$3:B101)-B101)/MAX(B$3:B101))</f>
        <v/>
      </c>
      <c r="F101" s="12" t="str">
        <f>IF(A101="","",MAX(E$4:E101))</f>
        <v/>
      </c>
      <c r="G101" s="13"/>
      <c r="H101" s="14" t="str">
        <f t="shared" si="5"/>
        <v/>
      </c>
      <c r="I101" s="14" t="str">
        <f t="shared" si="6"/>
        <v/>
      </c>
      <c r="J101" s="15" t="str">
        <f t="shared" si="7"/>
        <v/>
      </c>
    </row>
    <row r="102" spans="1:10">
      <c r="A102" s="7" t="str">
        <f>IF(子基金及业绩基准周净值!A142="","",子基金及业绩基准周净值!A142)</f>
        <v/>
      </c>
      <c r="B102" s="1" t="str">
        <f>IF(A102="","",VLOOKUP($A102,子基金及业绩基准周净值!$A:$AV,18))</f>
        <v/>
      </c>
      <c r="C102" s="8" t="str">
        <f t="shared" si="4"/>
        <v/>
      </c>
      <c r="D102" s="9" t="str">
        <f>IF(A102="","",C102-(子基金及业绩基准周净值!AH142/子基金及业绩基准周净值!AH141-1))</f>
        <v/>
      </c>
      <c r="E102" s="12" t="str">
        <f>IF(A102="","",(MAX(B$3:B102)-B102)/MAX(B$3:B102))</f>
        <v/>
      </c>
      <c r="F102" s="12" t="str">
        <f>IF(A102="","",MAX(E$4:E102))</f>
        <v/>
      </c>
      <c r="G102" s="13"/>
      <c r="H102" s="14" t="str">
        <f t="shared" si="5"/>
        <v/>
      </c>
      <c r="I102" s="14" t="str">
        <f t="shared" si="6"/>
        <v/>
      </c>
      <c r="J102" s="15" t="str">
        <f t="shared" si="7"/>
        <v/>
      </c>
    </row>
    <row r="103" spans="1:10">
      <c r="A103" s="7" t="str">
        <f>IF(子基金及业绩基准周净值!A143="","",子基金及业绩基准周净值!A143)</f>
        <v/>
      </c>
      <c r="B103" s="1" t="str">
        <f>IF(A103="","",VLOOKUP($A103,子基金及业绩基准周净值!$A:$AV,18))</f>
        <v/>
      </c>
      <c r="C103" s="8" t="str">
        <f t="shared" si="4"/>
        <v/>
      </c>
      <c r="D103" s="9" t="str">
        <f>IF(A103="","",C103-(子基金及业绩基准周净值!AH143/子基金及业绩基准周净值!AH142-1))</f>
        <v/>
      </c>
      <c r="E103" s="12" t="str">
        <f>IF(A103="","",(MAX(B$3:B103)-B103)/MAX(B$3:B103))</f>
        <v/>
      </c>
      <c r="F103" s="12" t="str">
        <f>IF(A103="","",MAX(E$4:E103))</f>
        <v/>
      </c>
      <c r="G103" s="13"/>
      <c r="H103" s="14" t="str">
        <f t="shared" si="5"/>
        <v/>
      </c>
      <c r="I103" s="14" t="str">
        <f t="shared" si="6"/>
        <v/>
      </c>
      <c r="J103" s="15" t="str">
        <f t="shared" si="7"/>
        <v/>
      </c>
    </row>
    <row r="104" spans="1:10">
      <c r="A104" s="7" t="str">
        <f>IF(子基金及业绩基准周净值!A144="","",子基金及业绩基准周净值!A144)</f>
        <v/>
      </c>
      <c r="B104" s="1" t="str">
        <f>IF(A104="","",VLOOKUP($A104,子基金及业绩基准周净值!$A:$AV,18))</f>
        <v/>
      </c>
      <c r="C104" s="8" t="str">
        <f t="shared" si="4"/>
        <v/>
      </c>
      <c r="D104" s="9" t="str">
        <f>IF(A104="","",C104-(子基金及业绩基准周净值!AH144/子基金及业绩基准周净值!AH143-1))</f>
        <v/>
      </c>
      <c r="E104" s="12" t="str">
        <f>IF(A104="","",(MAX(B$3:B104)-B104)/MAX(B$3:B104))</f>
        <v/>
      </c>
      <c r="F104" s="12" t="str">
        <f>IF(A104="","",MAX(E$4:E104))</f>
        <v/>
      </c>
      <c r="G104" s="13"/>
      <c r="H104" s="14" t="str">
        <f t="shared" si="5"/>
        <v/>
      </c>
      <c r="I104" s="14" t="str">
        <f t="shared" si="6"/>
        <v/>
      </c>
      <c r="J104" s="15" t="str">
        <f t="shared" si="7"/>
        <v/>
      </c>
    </row>
    <row r="105" spans="1:10">
      <c r="A105" s="7" t="str">
        <f>IF(子基金及业绩基准周净值!A145="","",子基金及业绩基准周净值!A145)</f>
        <v/>
      </c>
      <c r="B105" s="1" t="str">
        <f>IF(A105="","",VLOOKUP($A105,子基金及业绩基准周净值!$A:$AV,18))</f>
        <v/>
      </c>
      <c r="C105" s="8" t="str">
        <f t="shared" si="4"/>
        <v/>
      </c>
      <c r="D105" s="9" t="str">
        <f>IF(A105="","",C105-(子基金及业绩基准周净值!AH145/子基金及业绩基准周净值!AH144-1))</f>
        <v/>
      </c>
      <c r="E105" s="12" t="str">
        <f>IF(A105="","",(MAX(B$3:B105)-B105)/MAX(B$3:B105))</f>
        <v/>
      </c>
      <c r="F105" s="12" t="str">
        <f>IF(A105="","",MAX(E$4:E105))</f>
        <v/>
      </c>
      <c r="G105" s="13"/>
      <c r="H105" s="14" t="str">
        <f t="shared" si="5"/>
        <v/>
      </c>
      <c r="I105" s="14" t="str">
        <f t="shared" si="6"/>
        <v/>
      </c>
      <c r="J105" s="15" t="str">
        <f t="shared" si="7"/>
        <v/>
      </c>
    </row>
    <row r="106" spans="1:10">
      <c r="A106" s="7" t="str">
        <f>IF(子基金及业绩基准周净值!A146="","",子基金及业绩基准周净值!A146)</f>
        <v/>
      </c>
      <c r="B106" s="1" t="str">
        <f>IF(A106="","",VLOOKUP($A106,子基金及业绩基准周净值!$A:$AV,18))</f>
        <v/>
      </c>
      <c r="C106" s="8" t="str">
        <f t="shared" si="4"/>
        <v/>
      </c>
      <c r="D106" s="9" t="str">
        <f>IF(A106="","",C106-(子基金及业绩基准周净值!AH146/子基金及业绩基准周净值!AH145-1))</f>
        <v/>
      </c>
      <c r="E106" s="12" t="str">
        <f>IF(A106="","",(MAX(B$3:B106)-B106)/MAX(B$3:B106))</f>
        <v/>
      </c>
      <c r="F106" s="12" t="str">
        <f>IF(A106="","",MAX(E$4:E106))</f>
        <v/>
      </c>
      <c r="G106" s="13"/>
      <c r="H106" s="14" t="str">
        <f t="shared" si="5"/>
        <v/>
      </c>
      <c r="I106" s="14" t="str">
        <f t="shared" si="6"/>
        <v/>
      </c>
      <c r="J106" s="15" t="str">
        <f t="shared" si="7"/>
        <v/>
      </c>
    </row>
    <row r="107" spans="1:10">
      <c r="A107" s="7" t="str">
        <f>IF(子基金及业绩基准周净值!A147="","",子基金及业绩基准周净值!A147)</f>
        <v/>
      </c>
      <c r="B107" s="1" t="str">
        <f>IF(A107="","",VLOOKUP($A107,子基金及业绩基准周净值!$A:$AV,18))</f>
        <v/>
      </c>
      <c r="C107" s="8" t="str">
        <f t="shared" si="4"/>
        <v/>
      </c>
      <c r="D107" s="9" t="str">
        <f>IF(A107="","",C107-(子基金及业绩基准周净值!AH147/子基金及业绩基准周净值!AH146-1))</f>
        <v/>
      </c>
      <c r="E107" s="12" t="str">
        <f>IF(A107="","",(MAX(B$3:B107)-B107)/MAX(B$3:B107))</f>
        <v/>
      </c>
      <c r="F107" s="12" t="str">
        <f>IF(A107="","",MAX(E$4:E107))</f>
        <v/>
      </c>
      <c r="G107" s="13"/>
      <c r="H107" s="14" t="str">
        <f t="shared" si="5"/>
        <v/>
      </c>
      <c r="I107" s="14" t="str">
        <f t="shared" si="6"/>
        <v/>
      </c>
      <c r="J107" s="15" t="str">
        <f t="shared" si="7"/>
        <v/>
      </c>
    </row>
    <row r="108" spans="1:10">
      <c r="A108" s="7" t="str">
        <f>IF(子基金及业绩基准周净值!A148="","",子基金及业绩基准周净值!A148)</f>
        <v/>
      </c>
      <c r="B108" s="1" t="str">
        <f>IF(A108="","",VLOOKUP($A108,子基金及业绩基准周净值!$A:$AV,18))</f>
        <v/>
      </c>
      <c r="C108" s="8" t="str">
        <f t="shared" si="4"/>
        <v/>
      </c>
      <c r="D108" s="9" t="str">
        <f>IF(A108="","",C108-(子基金及业绩基准周净值!AH148/子基金及业绩基准周净值!AH147-1))</f>
        <v/>
      </c>
      <c r="E108" s="12" t="str">
        <f>IF(A108="","",(MAX(B$3:B108)-B108)/MAX(B$3:B108))</f>
        <v/>
      </c>
      <c r="F108" s="12" t="str">
        <f>IF(A108="","",MAX(E$4:E108))</f>
        <v/>
      </c>
      <c r="G108" s="13"/>
      <c r="H108" s="14" t="str">
        <f t="shared" si="5"/>
        <v/>
      </c>
      <c r="I108" s="14" t="str">
        <f t="shared" si="6"/>
        <v/>
      </c>
      <c r="J108" s="15" t="str">
        <f t="shared" si="7"/>
        <v/>
      </c>
    </row>
    <row r="109" spans="1:10">
      <c r="A109" s="7" t="str">
        <f>IF(子基金及业绩基准周净值!A149="","",子基金及业绩基准周净值!A149)</f>
        <v/>
      </c>
      <c r="B109" s="1" t="str">
        <f>IF(A109="","",VLOOKUP($A109,子基金及业绩基准周净值!$A:$AV,18))</f>
        <v/>
      </c>
      <c r="C109" s="8" t="str">
        <f t="shared" si="4"/>
        <v/>
      </c>
      <c r="D109" s="9" t="str">
        <f>IF(A109="","",C109-(子基金及业绩基准周净值!AH149/子基金及业绩基准周净值!AH148-1))</f>
        <v/>
      </c>
      <c r="E109" s="12" t="str">
        <f>IF(A109="","",(MAX(B$3:B109)-B109)/MAX(B$3:B109))</f>
        <v/>
      </c>
      <c r="F109" s="12" t="str">
        <f>IF(A109="","",MAX(E$4:E109))</f>
        <v/>
      </c>
      <c r="G109" s="13"/>
      <c r="H109" s="14" t="str">
        <f t="shared" si="5"/>
        <v/>
      </c>
      <c r="I109" s="14" t="str">
        <f t="shared" si="6"/>
        <v/>
      </c>
      <c r="J109" s="15" t="str">
        <f t="shared" si="7"/>
        <v/>
      </c>
    </row>
    <row r="110" spans="1:10">
      <c r="A110" s="7" t="str">
        <f>IF(子基金及业绩基准周净值!A150="","",子基金及业绩基准周净值!A150)</f>
        <v/>
      </c>
      <c r="B110" s="1" t="str">
        <f>IF(A110="","",VLOOKUP($A110,子基金及业绩基准周净值!$A:$AV,18))</f>
        <v/>
      </c>
      <c r="C110" s="8" t="str">
        <f t="shared" si="4"/>
        <v/>
      </c>
      <c r="D110" s="9" t="str">
        <f>IF(A110="","",C110-(子基金及业绩基准周净值!AH150/子基金及业绩基准周净值!AH149-1))</f>
        <v/>
      </c>
      <c r="E110" s="12" t="str">
        <f>IF(A110="","",(MAX(B$3:B110)-B110)/MAX(B$3:B110))</f>
        <v/>
      </c>
      <c r="F110" s="12" t="str">
        <f>IF(A110="","",MAX(E$4:E110))</f>
        <v/>
      </c>
      <c r="G110" s="13"/>
      <c r="H110" s="14" t="str">
        <f t="shared" si="5"/>
        <v/>
      </c>
      <c r="I110" s="14" t="str">
        <f t="shared" si="6"/>
        <v/>
      </c>
      <c r="J110" s="15" t="str">
        <f t="shared" si="7"/>
        <v/>
      </c>
    </row>
    <row r="111" spans="1:10">
      <c r="A111" s="7" t="str">
        <f>IF(子基金及业绩基准周净值!A151="","",子基金及业绩基准周净值!A151)</f>
        <v/>
      </c>
      <c r="B111" s="1" t="str">
        <f>IF(A111="","",VLOOKUP($A111,子基金及业绩基准周净值!$A:$AV,18))</f>
        <v/>
      </c>
      <c r="C111" s="8" t="str">
        <f t="shared" si="4"/>
        <v/>
      </c>
      <c r="D111" s="9" t="str">
        <f>IF(A111="","",C111-(子基金及业绩基准周净值!AH151/子基金及业绩基准周净值!AH150-1))</f>
        <v/>
      </c>
      <c r="E111" s="12" t="str">
        <f>IF(A111="","",(MAX(B$3:B111)-B111)/MAX(B$3:B111))</f>
        <v/>
      </c>
      <c r="F111" s="12" t="str">
        <f>IF(A111="","",MAX(E$4:E111))</f>
        <v/>
      </c>
      <c r="G111" s="13"/>
      <c r="H111" s="14" t="str">
        <f t="shared" si="5"/>
        <v/>
      </c>
      <c r="I111" s="14" t="str">
        <f t="shared" si="6"/>
        <v/>
      </c>
      <c r="J111" s="15" t="str">
        <f t="shared" si="7"/>
        <v/>
      </c>
    </row>
    <row r="112" spans="1:10">
      <c r="A112" s="7" t="str">
        <f>IF(子基金及业绩基准周净值!A152="","",子基金及业绩基准周净值!A152)</f>
        <v/>
      </c>
      <c r="B112" s="1" t="str">
        <f>IF(A112="","",VLOOKUP($A112,子基金及业绩基准周净值!$A:$AV,18))</f>
        <v/>
      </c>
      <c r="C112" s="8" t="str">
        <f t="shared" si="4"/>
        <v/>
      </c>
      <c r="D112" s="9" t="str">
        <f>IF(A112="","",C112-(子基金及业绩基准周净值!AH152/子基金及业绩基准周净值!AH151-1))</f>
        <v/>
      </c>
      <c r="E112" s="12" t="str">
        <f>IF(A112="","",(MAX(B$3:B112)-B112)/MAX(B$3:B112))</f>
        <v/>
      </c>
      <c r="F112" s="12" t="str">
        <f>IF(A112="","",MAX(E$4:E112))</f>
        <v/>
      </c>
      <c r="G112" s="13"/>
      <c r="H112" s="14" t="str">
        <f t="shared" si="5"/>
        <v/>
      </c>
      <c r="I112" s="14" t="str">
        <f t="shared" si="6"/>
        <v/>
      </c>
      <c r="J112" s="15" t="str">
        <f t="shared" si="7"/>
        <v/>
      </c>
    </row>
    <row r="113" spans="1:10">
      <c r="A113" s="7" t="str">
        <f>IF(子基金及业绩基准周净值!A153="","",子基金及业绩基准周净值!A153)</f>
        <v/>
      </c>
      <c r="B113" s="1" t="str">
        <f>IF(A113="","",VLOOKUP($A113,子基金及业绩基准周净值!$A:$AV,18))</f>
        <v/>
      </c>
      <c r="C113" s="8" t="str">
        <f t="shared" si="4"/>
        <v/>
      </c>
      <c r="D113" s="9" t="str">
        <f>IF(A113="","",C113-(子基金及业绩基准周净值!AH153/子基金及业绩基准周净值!AH152-1))</f>
        <v/>
      </c>
      <c r="E113" s="12" t="str">
        <f>IF(A113="","",(MAX(B$3:B113)-B113)/MAX(B$3:B113))</f>
        <v/>
      </c>
      <c r="F113" s="12" t="str">
        <f>IF(A113="","",MAX(E$4:E113))</f>
        <v/>
      </c>
      <c r="G113" s="13"/>
      <c r="H113" s="14" t="str">
        <f t="shared" si="5"/>
        <v/>
      </c>
      <c r="I113" s="14" t="str">
        <f t="shared" si="6"/>
        <v/>
      </c>
      <c r="J113" s="15" t="str">
        <f t="shared" si="7"/>
        <v/>
      </c>
    </row>
    <row r="114" spans="1:10">
      <c r="A114" s="7" t="str">
        <f>IF(子基金及业绩基准周净值!A154="","",子基金及业绩基准周净值!A154)</f>
        <v/>
      </c>
      <c r="B114" s="1" t="str">
        <f>IF(A114="","",VLOOKUP($A114,子基金及业绩基准周净值!$A:$AV,18))</f>
        <v/>
      </c>
      <c r="C114" s="8" t="str">
        <f t="shared" si="4"/>
        <v/>
      </c>
      <c r="D114" s="9" t="str">
        <f>IF(A114="","",C114-(子基金及业绩基准周净值!AH154/子基金及业绩基准周净值!AH153-1))</f>
        <v/>
      </c>
      <c r="E114" s="12" t="str">
        <f>IF(A114="","",(MAX(B$3:B114)-B114)/MAX(B$3:B114))</f>
        <v/>
      </c>
      <c r="F114" s="12" t="str">
        <f>IF(A114="","",MAX(E$4:E114))</f>
        <v/>
      </c>
      <c r="G114" s="13"/>
      <c r="H114" s="14" t="str">
        <f t="shared" si="5"/>
        <v/>
      </c>
      <c r="I114" s="14" t="str">
        <f t="shared" si="6"/>
        <v/>
      </c>
      <c r="J114" s="15" t="str">
        <f t="shared" si="7"/>
        <v/>
      </c>
    </row>
    <row r="115" spans="1:10">
      <c r="A115" s="7" t="str">
        <f>IF(子基金及业绩基准周净值!A155="","",子基金及业绩基准周净值!A155)</f>
        <v/>
      </c>
      <c r="B115" s="1" t="str">
        <f>IF(A115="","",VLOOKUP($A115,子基金及业绩基准周净值!$A:$AV,18))</f>
        <v/>
      </c>
      <c r="C115" s="8" t="str">
        <f t="shared" si="4"/>
        <v/>
      </c>
      <c r="D115" s="9" t="str">
        <f>IF(A115="","",C115-(子基金及业绩基准周净值!AH155/子基金及业绩基准周净值!AH154-1))</f>
        <v/>
      </c>
      <c r="E115" s="12" t="str">
        <f>IF(A115="","",(MAX(B$3:B115)-B115)/MAX(B$3:B115))</f>
        <v/>
      </c>
      <c r="F115" s="12" t="str">
        <f>IF(A115="","",MAX(E$4:E115))</f>
        <v/>
      </c>
      <c r="G115" s="13"/>
      <c r="H115" s="14" t="str">
        <f t="shared" si="5"/>
        <v/>
      </c>
      <c r="I115" s="14" t="str">
        <f t="shared" si="6"/>
        <v/>
      </c>
      <c r="J115" s="15" t="str">
        <f t="shared" si="7"/>
        <v/>
      </c>
    </row>
    <row r="116" spans="1:10">
      <c r="A116" s="7" t="str">
        <f>IF(子基金及业绩基准周净值!A156="","",子基金及业绩基准周净值!A156)</f>
        <v/>
      </c>
      <c r="B116" s="1" t="str">
        <f>IF(A116="","",VLOOKUP($A116,子基金及业绩基准周净值!$A:$AV,18))</f>
        <v/>
      </c>
      <c r="C116" s="8" t="str">
        <f t="shared" si="4"/>
        <v/>
      </c>
      <c r="D116" s="9" t="str">
        <f>IF(A116="","",C116-(子基金及业绩基准周净值!AH156/子基金及业绩基准周净值!AH155-1))</f>
        <v/>
      </c>
      <c r="E116" s="12" t="str">
        <f>IF(A116="","",(MAX(B$3:B116)-B116)/MAX(B$3:B116))</f>
        <v/>
      </c>
      <c r="F116" s="12" t="str">
        <f>IF(A116="","",MAX(E$4:E116))</f>
        <v/>
      </c>
      <c r="G116" s="13"/>
      <c r="H116" s="14" t="str">
        <f t="shared" si="5"/>
        <v/>
      </c>
      <c r="I116" s="14" t="str">
        <f t="shared" si="6"/>
        <v/>
      </c>
      <c r="J116" s="15" t="str">
        <f t="shared" si="7"/>
        <v/>
      </c>
    </row>
    <row r="117" spans="1:10">
      <c r="A117" s="7" t="str">
        <f>IF(子基金及业绩基准周净值!A157="","",子基金及业绩基准周净值!A157)</f>
        <v/>
      </c>
      <c r="B117" s="1" t="str">
        <f>IF(A117="","",VLOOKUP($A117,子基金及业绩基准周净值!$A:$AV,18))</f>
        <v/>
      </c>
      <c r="C117" s="8" t="str">
        <f t="shared" si="4"/>
        <v/>
      </c>
      <c r="D117" s="9" t="str">
        <f>IF(A117="","",C117-(子基金及业绩基准周净值!AH157/子基金及业绩基准周净值!AH156-1))</f>
        <v/>
      </c>
      <c r="E117" s="12" t="str">
        <f>IF(A117="","",(MAX(B$3:B117)-B117)/MAX(B$3:B117))</f>
        <v/>
      </c>
      <c r="F117" s="12" t="str">
        <f>IF(A117="","",MAX(E$4:E117))</f>
        <v/>
      </c>
      <c r="G117" s="13"/>
      <c r="H117" s="14" t="str">
        <f t="shared" si="5"/>
        <v/>
      </c>
      <c r="I117" s="14" t="str">
        <f t="shared" si="6"/>
        <v/>
      </c>
      <c r="J117" s="15" t="str">
        <f t="shared" si="7"/>
        <v/>
      </c>
    </row>
    <row r="118" spans="1:10">
      <c r="A118" s="7" t="str">
        <f>IF(子基金及业绩基准周净值!A158="","",子基金及业绩基准周净值!A158)</f>
        <v/>
      </c>
      <c r="B118" s="1" t="str">
        <f>IF(A118="","",VLOOKUP($A118,子基金及业绩基准周净值!$A:$AV,18))</f>
        <v/>
      </c>
      <c r="C118" s="8" t="str">
        <f t="shared" si="4"/>
        <v/>
      </c>
      <c r="D118" s="9" t="str">
        <f>IF(A118="","",C118-(子基金及业绩基准周净值!AH158/子基金及业绩基准周净值!AH157-1))</f>
        <v/>
      </c>
      <c r="E118" s="12" t="str">
        <f>IF(A118="","",(MAX(B$3:B118)-B118)/MAX(B$3:B118))</f>
        <v/>
      </c>
      <c r="F118" s="12" t="str">
        <f>IF(A118="","",MAX(E$4:E118))</f>
        <v/>
      </c>
      <c r="G118" s="13"/>
      <c r="H118" s="14" t="str">
        <f t="shared" si="5"/>
        <v/>
      </c>
      <c r="I118" s="14" t="str">
        <f t="shared" si="6"/>
        <v/>
      </c>
      <c r="J118" s="15" t="str">
        <f t="shared" si="7"/>
        <v/>
      </c>
    </row>
    <row r="119" spans="1:10">
      <c r="A119" s="7" t="str">
        <f>IF(子基金及业绩基准周净值!A159="","",子基金及业绩基准周净值!A159)</f>
        <v/>
      </c>
      <c r="B119" s="1" t="str">
        <f>IF(A119="","",VLOOKUP($A119,子基金及业绩基准周净值!$A:$AV,18))</f>
        <v/>
      </c>
      <c r="C119" s="8" t="str">
        <f t="shared" si="4"/>
        <v/>
      </c>
      <c r="D119" s="9" t="str">
        <f>IF(A119="","",C119-(子基金及业绩基准周净值!AH159/子基金及业绩基准周净值!AH158-1))</f>
        <v/>
      </c>
      <c r="E119" s="12" t="str">
        <f>IF(A119="","",(MAX(B$3:B119)-B119)/MAX(B$3:B119))</f>
        <v/>
      </c>
      <c r="F119" s="12" t="str">
        <f>IF(A119="","",MAX(E$4:E119))</f>
        <v/>
      </c>
      <c r="G119" s="13"/>
      <c r="H119" s="14" t="str">
        <f t="shared" si="5"/>
        <v/>
      </c>
      <c r="I119" s="14" t="str">
        <f t="shared" si="6"/>
        <v/>
      </c>
      <c r="J119" s="15" t="str">
        <f t="shared" si="7"/>
        <v/>
      </c>
    </row>
    <row r="120" spans="1:10">
      <c r="A120" s="7" t="str">
        <f>IF(子基金及业绩基准周净值!A160="","",子基金及业绩基准周净值!A160)</f>
        <v/>
      </c>
      <c r="B120" s="1" t="str">
        <f>IF(A120="","",VLOOKUP($A120,子基金及业绩基准周净值!$A:$AV,18))</f>
        <v/>
      </c>
      <c r="C120" s="8" t="str">
        <f t="shared" si="4"/>
        <v/>
      </c>
      <c r="D120" s="9" t="str">
        <f>IF(A120="","",C120-(子基金及业绩基准周净值!AH160/子基金及业绩基准周净值!AH159-1))</f>
        <v/>
      </c>
      <c r="E120" s="12" t="str">
        <f>IF(A120="","",(MAX(B$3:B120)-B120)/MAX(B$3:B120))</f>
        <v/>
      </c>
      <c r="F120" s="12" t="str">
        <f>IF(A120="","",MAX(E$4:E120))</f>
        <v/>
      </c>
      <c r="G120" s="13"/>
      <c r="H120" s="14" t="str">
        <f t="shared" si="5"/>
        <v/>
      </c>
      <c r="I120" s="14" t="str">
        <f t="shared" si="6"/>
        <v/>
      </c>
      <c r="J120" s="15" t="str">
        <f t="shared" si="7"/>
        <v/>
      </c>
    </row>
    <row r="121" spans="1:10">
      <c r="A121" s="7" t="str">
        <f>IF(子基金及业绩基准周净值!A161="","",子基金及业绩基准周净值!A161)</f>
        <v/>
      </c>
      <c r="B121" s="1" t="str">
        <f>IF(A121="","",VLOOKUP($A121,子基金及业绩基准周净值!$A:$AV,18))</f>
        <v/>
      </c>
      <c r="C121" s="8" t="str">
        <f t="shared" si="4"/>
        <v/>
      </c>
      <c r="D121" s="9" t="str">
        <f>IF(A121="","",C121-(子基金及业绩基准周净值!AH161/子基金及业绩基准周净值!AH160-1))</f>
        <v/>
      </c>
      <c r="E121" s="12" t="str">
        <f>IF(A121="","",(MAX(B$3:B121)-B121)/MAX(B$3:B121))</f>
        <v/>
      </c>
      <c r="F121" s="12" t="str">
        <f>IF(A121="","",MAX(E$4:E121))</f>
        <v/>
      </c>
      <c r="G121" s="13"/>
      <c r="H121" s="14" t="str">
        <f t="shared" si="5"/>
        <v/>
      </c>
      <c r="I121" s="14" t="str">
        <f t="shared" si="6"/>
        <v/>
      </c>
      <c r="J121" s="15" t="str">
        <f t="shared" si="7"/>
        <v/>
      </c>
    </row>
    <row r="122" spans="1:10">
      <c r="A122" s="7" t="str">
        <f>IF(子基金及业绩基准周净值!A162="","",子基金及业绩基准周净值!A162)</f>
        <v/>
      </c>
      <c r="B122" s="1" t="str">
        <f>IF(A122="","",VLOOKUP($A122,子基金及业绩基准周净值!$A:$AV,18))</f>
        <v/>
      </c>
      <c r="C122" s="8" t="str">
        <f t="shared" si="4"/>
        <v/>
      </c>
      <c r="D122" s="9" t="str">
        <f>IF(A122="","",C122-(子基金及业绩基准周净值!AH162/子基金及业绩基准周净值!AH161-1))</f>
        <v/>
      </c>
      <c r="E122" s="12" t="str">
        <f>IF(A122="","",(MAX(B$3:B122)-B122)/MAX(B$3:B122))</f>
        <v/>
      </c>
      <c r="F122" s="12" t="str">
        <f>IF(A122="","",MAX(E$4:E122))</f>
        <v/>
      </c>
      <c r="G122" s="13"/>
      <c r="H122" s="14" t="str">
        <f t="shared" si="5"/>
        <v/>
      </c>
      <c r="I122" s="14" t="str">
        <f t="shared" si="6"/>
        <v/>
      </c>
      <c r="J122" s="15" t="str">
        <f t="shared" si="7"/>
        <v/>
      </c>
    </row>
    <row r="123" spans="1:10">
      <c r="A123" s="7" t="str">
        <f>IF(子基金及业绩基准周净值!A163="","",子基金及业绩基准周净值!A163)</f>
        <v/>
      </c>
      <c r="B123" s="1" t="str">
        <f>IF(A123="","",VLOOKUP($A123,子基金及业绩基准周净值!$A:$AV,18))</f>
        <v/>
      </c>
      <c r="C123" s="8" t="str">
        <f t="shared" si="4"/>
        <v/>
      </c>
      <c r="D123" s="9" t="str">
        <f>IF(A123="","",C123-(子基金及业绩基准周净值!AH163/子基金及业绩基准周净值!AH162-1))</f>
        <v/>
      </c>
      <c r="E123" s="12" t="str">
        <f>IF(A123="","",(MAX(B$3:B123)-B123)/MAX(B$3:B123))</f>
        <v/>
      </c>
      <c r="F123" s="12" t="str">
        <f>IF(A123="","",MAX(E$4:E123))</f>
        <v/>
      </c>
      <c r="G123" s="13"/>
      <c r="H123" s="14" t="str">
        <f t="shared" si="5"/>
        <v/>
      </c>
      <c r="I123" s="14" t="str">
        <f t="shared" si="6"/>
        <v/>
      </c>
      <c r="J123" s="15" t="str">
        <f t="shared" si="7"/>
        <v/>
      </c>
    </row>
    <row r="124" spans="1:10">
      <c r="A124" s="7" t="str">
        <f>IF(子基金及业绩基准周净值!A164="","",子基金及业绩基准周净值!A164)</f>
        <v/>
      </c>
      <c r="B124" s="1" t="str">
        <f>IF(A124="","",VLOOKUP($A124,子基金及业绩基准周净值!$A:$AV,18))</f>
        <v/>
      </c>
      <c r="C124" s="8" t="str">
        <f t="shared" si="4"/>
        <v/>
      </c>
      <c r="D124" s="9" t="str">
        <f>IF(A124="","",C124-(子基金及业绩基准周净值!AH164/子基金及业绩基准周净值!AH163-1))</f>
        <v/>
      </c>
      <c r="E124" s="12" t="str">
        <f>IF(A124="","",(MAX(B$3:B124)-B124)/MAX(B$3:B124))</f>
        <v/>
      </c>
      <c r="F124" s="12" t="str">
        <f>IF(A124="","",MAX(E$4:E124))</f>
        <v/>
      </c>
      <c r="G124" s="13"/>
      <c r="H124" s="14" t="str">
        <f t="shared" si="5"/>
        <v/>
      </c>
      <c r="I124" s="14" t="str">
        <f t="shared" si="6"/>
        <v/>
      </c>
      <c r="J124" s="15" t="str">
        <f t="shared" si="7"/>
        <v/>
      </c>
    </row>
    <row r="125" spans="1:10">
      <c r="A125" s="7" t="str">
        <f>IF(子基金及业绩基准周净值!A165="","",子基金及业绩基准周净值!A165)</f>
        <v/>
      </c>
      <c r="B125" s="1" t="str">
        <f>IF(A125="","",VLOOKUP($A125,子基金及业绩基准周净值!$A:$AV,18))</f>
        <v/>
      </c>
      <c r="C125" s="8" t="str">
        <f t="shared" si="4"/>
        <v/>
      </c>
      <c r="D125" s="9" t="str">
        <f>IF(A125="","",C125-(子基金及业绩基准周净值!AH165/子基金及业绩基准周净值!AH164-1))</f>
        <v/>
      </c>
      <c r="E125" s="12" t="str">
        <f>IF(A125="","",(MAX(B$3:B125)-B125)/MAX(B$3:B125))</f>
        <v/>
      </c>
      <c r="F125" s="12" t="str">
        <f>IF(A125="","",MAX(E$4:E125))</f>
        <v/>
      </c>
      <c r="G125" s="13"/>
      <c r="H125" s="14" t="str">
        <f t="shared" si="5"/>
        <v/>
      </c>
      <c r="I125" s="14" t="str">
        <f t="shared" si="6"/>
        <v/>
      </c>
      <c r="J125" s="15" t="str">
        <f t="shared" si="7"/>
        <v/>
      </c>
    </row>
    <row r="126" spans="1:10">
      <c r="A126" s="7" t="str">
        <f>IF(子基金及业绩基准周净值!A166="","",子基金及业绩基准周净值!A166)</f>
        <v/>
      </c>
      <c r="B126" s="1" t="str">
        <f>IF(A126="","",VLOOKUP($A126,子基金及业绩基准周净值!$A:$AV,18))</f>
        <v/>
      </c>
      <c r="C126" s="8" t="str">
        <f t="shared" si="4"/>
        <v/>
      </c>
      <c r="D126" s="9" t="str">
        <f>IF(A126="","",C126-(子基金及业绩基准周净值!AH166/子基金及业绩基准周净值!AH165-1))</f>
        <v/>
      </c>
      <c r="E126" s="12" t="str">
        <f>IF(A126="","",(MAX(B$3:B126)-B126)/MAX(B$3:B126))</f>
        <v/>
      </c>
      <c r="F126" s="12" t="str">
        <f>IF(A126="","",MAX(E$4:E126))</f>
        <v/>
      </c>
      <c r="G126" s="13"/>
      <c r="H126" s="14" t="str">
        <f t="shared" si="5"/>
        <v/>
      </c>
      <c r="I126" s="14" t="str">
        <f t="shared" si="6"/>
        <v/>
      </c>
      <c r="J126" s="15" t="str">
        <f t="shared" si="7"/>
        <v/>
      </c>
    </row>
    <row r="127" spans="1:10">
      <c r="A127" s="7" t="str">
        <f>IF(子基金及业绩基准周净值!A167="","",子基金及业绩基准周净值!A167)</f>
        <v/>
      </c>
      <c r="B127" s="1" t="str">
        <f>IF(A127="","",VLOOKUP($A127,子基金及业绩基准周净值!$A:$AV,18))</f>
        <v/>
      </c>
      <c r="C127" s="8" t="str">
        <f t="shared" si="4"/>
        <v/>
      </c>
      <c r="D127" s="9" t="str">
        <f>IF(A127="","",C127-(子基金及业绩基准周净值!AH167/子基金及业绩基准周净值!AH166-1))</f>
        <v/>
      </c>
      <c r="E127" s="12" t="str">
        <f>IF(A127="","",(MAX(B$3:B127)-B127)/MAX(B$3:B127))</f>
        <v/>
      </c>
      <c r="F127" s="12" t="str">
        <f>IF(A127="","",MAX(E$4:E127))</f>
        <v/>
      </c>
      <c r="G127" s="13"/>
      <c r="H127" s="14" t="str">
        <f t="shared" si="5"/>
        <v/>
      </c>
      <c r="I127" s="14" t="str">
        <f t="shared" si="6"/>
        <v/>
      </c>
      <c r="J127" s="15" t="str">
        <f t="shared" si="7"/>
        <v/>
      </c>
    </row>
    <row r="128" spans="1:10">
      <c r="A128" s="7" t="str">
        <f>IF(子基金及业绩基准周净值!A168="","",子基金及业绩基准周净值!A168)</f>
        <v/>
      </c>
      <c r="B128" s="1" t="str">
        <f>IF(A128="","",VLOOKUP($A128,子基金及业绩基准周净值!$A:$AV,18))</f>
        <v/>
      </c>
      <c r="C128" s="8" t="str">
        <f t="shared" si="4"/>
        <v/>
      </c>
      <c r="D128" s="9" t="str">
        <f>IF(A128="","",C128-(子基金及业绩基准周净值!AH168/子基金及业绩基准周净值!AH167-1))</f>
        <v/>
      </c>
      <c r="E128" s="12" t="str">
        <f>IF(A128="","",(MAX(B$3:B128)-B128)/MAX(B$3:B128))</f>
        <v/>
      </c>
      <c r="F128" s="12" t="str">
        <f>IF(A128="","",MAX(E$4:E128))</f>
        <v/>
      </c>
      <c r="G128" s="13"/>
      <c r="H128" s="14" t="str">
        <f t="shared" si="5"/>
        <v/>
      </c>
      <c r="I128" s="14" t="str">
        <f t="shared" si="6"/>
        <v/>
      </c>
      <c r="J128" s="15" t="str">
        <f t="shared" si="7"/>
        <v/>
      </c>
    </row>
    <row r="129" spans="1:10">
      <c r="A129" s="7" t="str">
        <f>IF(子基金及业绩基准周净值!A169="","",子基金及业绩基准周净值!A169)</f>
        <v/>
      </c>
      <c r="B129" s="1" t="str">
        <f>IF(A129="","",VLOOKUP($A129,子基金及业绩基准周净值!$A:$AV,18))</f>
        <v/>
      </c>
      <c r="C129" s="8" t="str">
        <f t="shared" si="4"/>
        <v/>
      </c>
      <c r="D129" s="9" t="str">
        <f>IF(A129="","",C129-(子基金及业绩基准周净值!AH169/子基金及业绩基准周净值!AH168-1))</f>
        <v/>
      </c>
      <c r="E129" s="12" t="str">
        <f>IF(A129="","",(MAX(B$3:B129)-B129)/MAX(B$3:B129))</f>
        <v/>
      </c>
      <c r="F129" s="12" t="str">
        <f>IF(A129="","",MAX(E$4:E129))</f>
        <v/>
      </c>
      <c r="G129" s="13"/>
      <c r="H129" s="14" t="str">
        <f t="shared" si="5"/>
        <v/>
      </c>
      <c r="I129" s="14" t="str">
        <f t="shared" si="6"/>
        <v/>
      </c>
      <c r="J129" s="15" t="str">
        <f t="shared" si="7"/>
        <v/>
      </c>
    </row>
    <row r="130" spans="1:10">
      <c r="A130" s="7" t="str">
        <f>IF(子基金及业绩基准周净值!A170="","",子基金及业绩基准周净值!A170)</f>
        <v/>
      </c>
      <c r="B130" s="1" t="str">
        <f>IF(A130="","",VLOOKUP($A130,子基金及业绩基准周净值!$A:$AV,18))</f>
        <v/>
      </c>
      <c r="C130" s="8" t="str">
        <f t="shared" si="4"/>
        <v/>
      </c>
      <c r="D130" s="9" t="str">
        <f>IF(A130="","",C130-(子基金及业绩基准周净值!AH170/子基金及业绩基准周净值!AH169-1))</f>
        <v/>
      </c>
      <c r="E130" s="12" t="str">
        <f>IF(A130="","",(MAX(B$3:B130)-B130)/MAX(B$3:B130))</f>
        <v/>
      </c>
      <c r="F130" s="12" t="str">
        <f>IF(A130="","",MAX(E$4:E130))</f>
        <v/>
      </c>
      <c r="G130" s="13"/>
      <c r="H130" s="14" t="str">
        <f t="shared" si="5"/>
        <v/>
      </c>
      <c r="I130" s="14" t="str">
        <f t="shared" si="6"/>
        <v/>
      </c>
      <c r="J130" s="15" t="str">
        <f t="shared" si="7"/>
        <v/>
      </c>
    </row>
    <row r="131" spans="1:10">
      <c r="A131" s="7" t="str">
        <f>IF(子基金及业绩基准周净值!A171="","",子基金及业绩基准周净值!A171)</f>
        <v/>
      </c>
      <c r="B131" s="1" t="str">
        <f>IF(A131="","",VLOOKUP($A131,子基金及业绩基准周净值!$A:$AV,18))</f>
        <v/>
      </c>
      <c r="C131" s="8" t="str">
        <f t="shared" si="4"/>
        <v/>
      </c>
      <c r="D131" s="9" t="str">
        <f>IF(A131="","",C131-(子基金及业绩基准周净值!AH171/子基金及业绩基准周净值!AH170-1))</f>
        <v/>
      </c>
      <c r="E131" s="12" t="str">
        <f>IF(A131="","",(MAX(B$3:B131)-B131)/MAX(B$3:B131))</f>
        <v/>
      </c>
      <c r="F131" s="12" t="str">
        <f>IF(A131="","",MAX(E$4:E131))</f>
        <v/>
      </c>
      <c r="G131" s="13"/>
      <c r="H131" s="14" t="str">
        <f t="shared" si="5"/>
        <v/>
      </c>
      <c r="I131" s="14" t="str">
        <f t="shared" si="6"/>
        <v/>
      </c>
      <c r="J131" s="15" t="str">
        <f t="shared" si="7"/>
        <v/>
      </c>
    </row>
    <row r="132" spans="1:10">
      <c r="A132" s="7" t="str">
        <f>IF(子基金及业绩基准周净值!A172="","",子基金及业绩基准周净值!A172)</f>
        <v/>
      </c>
      <c r="B132" s="1" t="str">
        <f>IF(A132="","",VLOOKUP($A132,子基金及业绩基准周净值!$A:$AV,18))</f>
        <v/>
      </c>
      <c r="C132" s="8" t="str">
        <f t="shared" si="4"/>
        <v/>
      </c>
      <c r="D132" s="9" t="str">
        <f>IF(A132="","",C132-(子基金及业绩基准周净值!AH172/子基金及业绩基准周净值!AH171-1))</f>
        <v/>
      </c>
      <c r="E132" s="12" t="str">
        <f>IF(A132="","",(MAX(B$3:B132)-B132)/MAX(B$3:B132))</f>
        <v/>
      </c>
      <c r="F132" s="12" t="str">
        <f>IF(A132="","",MAX(E$4:E132))</f>
        <v/>
      </c>
      <c r="G132" s="13"/>
      <c r="H132" s="14" t="str">
        <f t="shared" si="5"/>
        <v/>
      </c>
      <c r="I132" s="14" t="str">
        <f t="shared" si="6"/>
        <v/>
      </c>
      <c r="J132" s="15" t="str">
        <f t="shared" si="7"/>
        <v/>
      </c>
    </row>
    <row r="133" spans="1:10">
      <c r="A133" s="7" t="str">
        <f>IF(子基金及业绩基准周净值!A173="","",子基金及业绩基准周净值!A173)</f>
        <v/>
      </c>
      <c r="B133" s="1" t="str">
        <f>IF(A133="","",VLOOKUP($A133,子基金及业绩基准周净值!$A:$AV,18))</f>
        <v/>
      </c>
      <c r="C133" s="8" t="str">
        <f t="shared" ref="C133:C196" si="8">IF(A133="","",(B133-B132)/B132)</f>
        <v/>
      </c>
      <c r="D133" s="9" t="str">
        <f>IF(A133="","",C133-(子基金及业绩基准周净值!AH173/子基金及业绩基准周净值!AH172-1))</f>
        <v/>
      </c>
      <c r="E133" s="12" t="str">
        <f>IF(A133="","",(MAX(B$3:B133)-B133)/MAX(B$3:B133))</f>
        <v/>
      </c>
      <c r="F133" s="12" t="str">
        <f>IF(A133="","",MAX(E$4:E133))</f>
        <v/>
      </c>
      <c r="G133" s="13"/>
      <c r="H133" s="14" t="str">
        <f t="shared" ref="H133:H196" si="9">IF(B133="","",IF(C133&lt;-3%,"是","否"))</f>
        <v/>
      </c>
      <c r="I133" s="14" t="str">
        <f t="shared" ref="I133:I196" si="10">IF(A133="","",IF(F133&gt;5%,"是","否"))</f>
        <v/>
      </c>
      <c r="J133" s="15" t="str">
        <f t="shared" ref="J133:J196" si="11">IF(A133="","",IF(G133&gt;=4,"是","否"))</f>
        <v/>
      </c>
    </row>
    <row r="134" spans="1:10">
      <c r="A134" s="7" t="str">
        <f>IF(子基金及业绩基准周净值!A174="","",子基金及业绩基准周净值!A174)</f>
        <v/>
      </c>
      <c r="B134" s="1" t="str">
        <f>IF(A134="","",VLOOKUP($A134,子基金及业绩基准周净值!$A:$AV,18))</f>
        <v/>
      </c>
      <c r="C134" s="8" t="str">
        <f t="shared" si="8"/>
        <v/>
      </c>
      <c r="D134" s="9" t="str">
        <f>IF(A134="","",C134-(子基金及业绩基准周净值!AH174/子基金及业绩基准周净值!AH173-1))</f>
        <v/>
      </c>
      <c r="E134" s="12" t="str">
        <f>IF(A134="","",(MAX(B$3:B134)-B134)/MAX(B$3:B134))</f>
        <v/>
      </c>
      <c r="F134" s="12" t="str">
        <f>IF(A134="","",MAX(E$4:E134))</f>
        <v/>
      </c>
      <c r="G134" s="13"/>
      <c r="H134" s="14" t="str">
        <f t="shared" si="9"/>
        <v/>
      </c>
      <c r="I134" s="14" t="str">
        <f t="shared" si="10"/>
        <v/>
      </c>
      <c r="J134" s="15" t="str">
        <f t="shared" si="11"/>
        <v/>
      </c>
    </row>
    <row r="135" spans="1:10">
      <c r="A135" s="7" t="str">
        <f>IF(子基金及业绩基准周净值!A175="","",子基金及业绩基准周净值!A175)</f>
        <v/>
      </c>
      <c r="B135" s="1" t="str">
        <f>IF(A135="","",VLOOKUP($A135,子基金及业绩基准周净值!$A:$AV,18))</f>
        <v/>
      </c>
      <c r="C135" s="8" t="str">
        <f t="shared" si="8"/>
        <v/>
      </c>
      <c r="D135" s="9" t="str">
        <f>IF(A135="","",C135-(子基金及业绩基准周净值!AH175/子基金及业绩基准周净值!AH174-1))</f>
        <v/>
      </c>
      <c r="E135" s="12" t="str">
        <f>IF(A135="","",(MAX(B$3:B135)-B135)/MAX(B$3:B135))</f>
        <v/>
      </c>
      <c r="F135" s="12" t="str">
        <f>IF(A135="","",MAX(E$4:E135))</f>
        <v/>
      </c>
      <c r="G135" s="13"/>
      <c r="H135" s="14" t="str">
        <f t="shared" si="9"/>
        <v/>
      </c>
      <c r="I135" s="14" t="str">
        <f t="shared" si="10"/>
        <v/>
      </c>
      <c r="J135" s="15" t="str">
        <f t="shared" si="11"/>
        <v/>
      </c>
    </row>
    <row r="136" spans="1:10">
      <c r="A136" s="7" t="str">
        <f>IF(子基金及业绩基准周净值!A176="","",子基金及业绩基准周净值!A176)</f>
        <v/>
      </c>
      <c r="B136" s="1" t="str">
        <f>IF(A136="","",VLOOKUP($A136,子基金及业绩基准周净值!$A:$AV,18))</f>
        <v/>
      </c>
      <c r="C136" s="8" t="str">
        <f t="shared" si="8"/>
        <v/>
      </c>
      <c r="D136" s="9" t="str">
        <f>IF(A136="","",C136-(子基金及业绩基准周净值!AH176/子基金及业绩基准周净值!AH175-1))</f>
        <v/>
      </c>
      <c r="E136" s="12" t="str">
        <f>IF(A136="","",(MAX(B$3:B136)-B136)/MAX(B$3:B136))</f>
        <v/>
      </c>
      <c r="F136" s="12" t="str">
        <f>IF(A136="","",MAX(E$4:E136))</f>
        <v/>
      </c>
      <c r="G136" s="13"/>
      <c r="H136" s="14" t="str">
        <f t="shared" si="9"/>
        <v/>
      </c>
      <c r="I136" s="14" t="str">
        <f t="shared" si="10"/>
        <v/>
      </c>
      <c r="J136" s="15" t="str">
        <f t="shared" si="11"/>
        <v/>
      </c>
    </row>
    <row r="137" spans="1:10">
      <c r="A137" s="7" t="str">
        <f>IF(子基金及业绩基准周净值!A177="","",子基金及业绩基准周净值!A177)</f>
        <v/>
      </c>
      <c r="B137" s="1" t="str">
        <f>IF(A137="","",VLOOKUP($A137,子基金及业绩基准周净值!$A:$AV,18))</f>
        <v/>
      </c>
      <c r="C137" s="8" t="str">
        <f t="shared" si="8"/>
        <v/>
      </c>
      <c r="D137" s="9" t="str">
        <f>IF(A137="","",C137-(子基金及业绩基准周净值!AH177/子基金及业绩基准周净值!AH176-1))</f>
        <v/>
      </c>
      <c r="E137" s="12" t="str">
        <f>IF(A137="","",(MAX(B$3:B137)-B137)/MAX(B$3:B137))</f>
        <v/>
      </c>
      <c r="F137" s="12" t="str">
        <f>IF(A137="","",MAX(E$4:E137))</f>
        <v/>
      </c>
      <c r="G137" s="13"/>
      <c r="H137" s="14" t="str">
        <f t="shared" si="9"/>
        <v/>
      </c>
      <c r="I137" s="14" t="str">
        <f t="shared" si="10"/>
        <v/>
      </c>
      <c r="J137" s="15" t="str">
        <f t="shared" si="11"/>
        <v/>
      </c>
    </row>
    <row r="138" spans="1:10">
      <c r="A138" s="7" t="str">
        <f>IF(子基金及业绩基准周净值!A178="","",子基金及业绩基准周净值!A178)</f>
        <v/>
      </c>
      <c r="B138" s="1" t="str">
        <f>IF(A138="","",VLOOKUP($A138,子基金及业绩基准周净值!$A:$AV,18))</f>
        <v/>
      </c>
      <c r="C138" s="8" t="str">
        <f t="shared" si="8"/>
        <v/>
      </c>
      <c r="D138" s="9" t="str">
        <f>IF(A138="","",C138-(子基金及业绩基准周净值!AH178/子基金及业绩基准周净值!AH177-1))</f>
        <v/>
      </c>
      <c r="E138" s="12" t="str">
        <f>IF(A138="","",(MAX(B$3:B138)-B138)/MAX(B$3:B138))</f>
        <v/>
      </c>
      <c r="F138" s="12" t="str">
        <f>IF(A138="","",MAX(E$4:E138))</f>
        <v/>
      </c>
      <c r="G138" s="13"/>
      <c r="H138" s="14" t="str">
        <f t="shared" si="9"/>
        <v/>
      </c>
      <c r="I138" s="14" t="str">
        <f t="shared" si="10"/>
        <v/>
      </c>
      <c r="J138" s="15" t="str">
        <f t="shared" si="11"/>
        <v/>
      </c>
    </row>
    <row r="139" spans="1:10">
      <c r="A139" s="7" t="str">
        <f>IF(子基金及业绩基准周净值!A179="","",子基金及业绩基准周净值!A179)</f>
        <v/>
      </c>
      <c r="B139" s="1" t="str">
        <f>IF(A139="","",VLOOKUP($A139,子基金及业绩基准周净值!$A:$AV,18))</f>
        <v/>
      </c>
      <c r="C139" s="8" t="str">
        <f t="shared" si="8"/>
        <v/>
      </c>
      <c r="D139" s="9" t="str">
        <f>IF(A139="","",C139-(子基金及业绩基准周净值!AH179/子基金及业绩基准周净值!AH178-1))</f>
        <v/>
      </c>
      <c r="E139" s="12" t="str">
        <f>IF(A139="","",(MAX(B$3:B139)-B139)/MAX(B$3:B139))</f>
        <v/>
      </c>
      <c r="F139" s="12" t="str">
        <f>IF(A139="","",MAX(E$4:E139))</f>
        <v/>
      </c>
      <c r="G139" s="13"/>
      <c r="H139" s="14" t="str">
        <f t="shared" si="9"/>
        <v/>
      </c>
      <c r="I139" s="14" t="str">
        <f t="shared" si="10"/>
        <v/>
      </c>
      <c r="J139" s="15" t="str">
        <f t="shared" si="11"/>
        <v/>
      </c>
    </row>
    <row r="140" spans="1:10">
      <c r="A140" s="7" t="str">
        <f>IF(子基金及业绩基准周净值!A180="","",子基金及业绩基准周净值!A180)</f>
        <v/>
      </c>
      <c r="B140" s="1" t="str">
        <f>IF(A140="","",VLOOKUP($A140,子基金及业绩基准周净值!$A:$AV,18))</f>
        <v/>
      </c>
      <c r="C140" s="8" t="str">
        <f t="shared" si="8"/>
        <v/>
      </c>
      <c r="D140" s="9" t="str">
        <f>IF(A140="","",C140-(子基金及业绩基准周净值!AH180/子基金及业绩基准周净值!AH179-1))</f>
        <v/>
      </c>
      <c r="E140" s="12" t="str">
        <f>IF(A140="","",(MAX(B$3:B140)-B140)/MAX(B$3:B140))</f>
        <v/>
      </c>
      <c r="F140" s="12" t="str">
        <f>IF(A140="","",MAX(E$4:E140))</f>
        <v/>
      </c>
      <c r="G140" s="13"/>
      <c r="H140" s="14" t="str">
        <f t="shared" si="9"/>
        <v/>
      </c>
      <c r="I140" s="14" t="str">
        <f t="shared" si="10"/>
        <v/>
      </c>
      <c r="J140" s="15" t="str">
        <f t="shared" si="11"/>
        <v/>
      </c>
    </row>
    <row r="141" spans="1:10">
      <c r="A141" s="7" t="str">
        <f>IF(子基金及业绩基准周净值!A181="","",子基金及业绩基准周净值!A181)</f>
        <v/>
      </c>
      <c r="B141" s="1" t="str">
        <f>IF(A141="","",VLOOKUP($A141,子基金及业绩基准周净值!$A:$AV,18))</f>
        <v/>
      </c>
      <c r="C141" s="8" t="str">
        <f t="shared" si="8"/>
        <v/>
      </c>
      <c r="D141" s="9" t="str">
        <f>IF(A141="","",C141-(子基金及业绩基准周净值!AH181/子基金及业绩基准周净值!AH180-1))</f>
        <v/>
      </c>
      <c r="E141" s="12" t="str">
        <f>IF(A141="","",(MAX(B$3:B141)-B141)/MAX(B$3:B141))</f>
        <v/>
      </c>
      <c r="F141" s="12" t="str">
        <f>IF(A141="","",MAX(E$4:E141))</f>
        <v/>
      </c>
      <c r="G141" s="13"/>
      <c r="H141" s="14" t="str">
        <f t="shared" si="9"/>
        <v/>
      </c>
      <c r="I141" s="14" t="str">
        <f t="shared" si="10"/>
        <v/>
      </c>
      <c r="J141" s="15" t="str">
        <f t="shared" si="11"/>
        <v/>
      </c>
    </row>
    <row r="142" spans="1:10">
      <c r="A142" s="7" t="str">
        <f>IF(子基金及业绩基准周净值!A182="","",子基金及业绩基准周净值!A182)</f>
        <v/>
      </c>
      <c r="B142" s="1" t="str">
        <f>IF(A142="","",VLOOKUP($A142,子基金及业绩基准周净值!$A:$AV,18))</f>
        <v/>
      </c>
      <c r="C142" s="8" t="str">
        <f t="shared" si="8"/>
        <v/>
      </c>
      <c r="D142" s="9" t="str">
        <f>IF(A142="","",C142-(子基金及业绩基准周净值!AH182/子基金及业绩基准周净值!AH181-1))</f>
        <v/>
      </c>
      <c r="E142" s="12" t="str">
        <f>IF(A142="","",(MAX(B$3:B142)-B142)/MAX(B$3:B142))</f>
        <v/>
      </c>
      <c r="F142" s="12" t="str">
        <f>IF(A142="","",MAX(E$4:E142))</f>
        <v/>
      </c>
      <c r="G142" s="13"/>
      <c r="H142" s="14" t="str">
        <f t="shared" si="9"/>
        <v/>
      </c>
      <c r="I142" s="14" t="str">
        <f t="shared" si="10"/>
        <v/>
      </c>
      <c r="J142" s="15" t="str">
        <f t="shared" si="11"/>
        <v/>
      </c>
    </row>
    <row r="143" spans="1:10">
      <c r="A143" s="7" t="str">
        <f>IF(子基金及业绩基准周净值!A183="","",子基金及业绩基准周净值!A183)</f>
        <v/>
      </c>
      <c r="B143" s="1" t="str">
        <f>IF(A143="","",VLOOKUP($A143,子基金及业绩基准周净值!$A:$AV,18))</f>
        <v/>
      </c>
      <c r="C143" s="8" t="str">
        <f t="shared" si="8"/>
        <v/>
      </c>
      <c r="D143" s="9" t="str">
        <f>IF(A143="","",C143-(子基金及业绩基准周净值!AH183/子基金及业绩基准周净值!AH182-1))</f>
        <v/>
      </c>
      <c r="E143" s="12" t="str">
        <f>IF(A143="","",(MAX(B$3:B143)-B143)/MAX(B$3:B143))</f>
        <v/>
      </c>
      <c r="F143" s="12" t="str">
        <f>IF(A143="","",MAX(E$4:E143))</f>
        <v/>
      </c>
      <c r="G143" s="13"/>
      <c r="H143" s="14" t="str">
        <f t="shared" si="9"/>
        <v/>
      </c>
      <c r="I143" s="14" t="str">
        <f t="shared" si="10"/>
        <v/>
      </c>
      <c r="J143" s="15" t="str">
        <f t="shared" si="11"/>
        <v/>
      </c>
    </row>
    <row r="144" spans="1:10">
      <c r="A144" s="7" t="str">
        <f>IF(子基金及业绩基准周净值!A184="","",子基金及业绩基准周净值!A184)</f>
        <v/>
      </c>
      <c r="B144" s="1" t="str">
        <f>IF(A144="","",VLOOKUP($A144,子基金及业绩基准周净值!$A:$AV,18))</f>
        <v/>
      </c>
      <c r="C144" s="8" t="str">
        <f t="shared" si="8"/>
        <v/>
      </c>
      <c r="D144" s="9" t="str">
        <f>IF(A144="","",C144-(子基金及业绩基准周净值!AH184/子基金及业绩基准周净值!AH183-1))</f>
        <v/>
      </c>
      <c r="E144" s="12" t="str">
        <f>IF(A144="","",(MAX(B$3:B144)-B144)/MAX(B$3:B144))</f>
        <v/>
      </c>
      <c r="F144" s="12" t="str">
        <f>IF(A144="","",MAX(E$4:E144))</f>
        <v/>
      </c>
      <c r="G144" s="13"/>
      <c r="H144" s="14" t="str">
        <f t="shared" si="9"/>
        <v/>
      </c>
      <c r="I144" s="14" t="str">
        <f t="shared" si="10"/>
        <v/>
      </c>
      <c r="J144" s="15" t="str">
        <f t="shared" si="11"/>
        <v/>
      </c>
    </row>
    <row r="145" spans="1:10">
      <c r="A145" s="7" t="str">
        <f>IF(子基金及业绩基准周净值!A185="","",子基金及业绩基准周净值!A185)</f>
        <v/>
      </c>
      <c r="B145" s="1" t="str">
        <f>IF(A145="","",VLOOKUP($A145,子基金及业绩基准周净值!$A:$AV,18))</f>
        <v/>
      </c>
      <c r="C145" s="8" t="str">
        <f t="shared" si="8"/>
        <v/>
      </c>
      <c r="D145" s="9" t="str">
        <f>IF(A145="","",C145-(子基金及业绩基准周净值!AH185/子基金及业绩基准周净值!AH184-1))</f>
        <v/>
      </c>
      <c r="E145" s="12" t="str">
        <f>IF(A145="","",(MAX(B$3:B145)-B145)/MAX(B$3:B145))</f>
        <v/>
      </c>
      <c r="F145" s="12" t="str">
        <f>IF(A145="","",MAX(E$4:E145))</f>
        <v/>
      </c>
      <c r="G145" s="13"/>
      <c r="H145" s="14" t="str">
        <f t="shared" si="9"/>
        <v/>
      </c>
      <c r="I145" s="14" t="str">
        <f t="shared" si="10"/>
        <v/>
      </c>
      <c r="J145" s="15" t="str">
        <f t="shared" si="11"/>
        <v/>
      </c>
    </row>
    <row r="146" spans="1:10">
      <c r="A146" s="7" t="str">
        <f>IF(子基金及业绩基准周净值!A186="","",子基金及业绩基准周净值!A186)</f>
        <v/>
      </c>
      <c r="B146" s="1" t="str">
        <f>IF(A146="","",VLOOKUP($A146,子基金及业绩基准周净值!$A:$AV,18))</f>
        <v/>
      </c>
      <c r="C146" s="8" t="str">
        <f t="shared" si="8"/>
        <v/>
      </c>
      <c r="D146" s="9" t="str">
        <f>IF(A146="","",C146-(子基金及业绩基准周净值!AH186/子基金及业绩基准周净值!AH185-1))</f>
        <v/>
      </c>
      <c r="E146" s="12" t="str">
        <f>IF(A146="","",(MAX(B$3:B146)-B146)/MAX(B$3:B146))</f>
        <v/>
      </c>
      <c r="F146" s="12" t="str">
        <f>IF(A146="","",MAX(E$4:E146))</f>
        <v/>
      </c>
      <c r="G146" s="13"/>
      <c r="H146" s="14" t="str">
        <f t="shared" si="9"/>
        <v/>
      </c>
      <c r="I146" s="14" t="str">
        <f t="shared" si="10"/>
        <v/>
      </c>
      <c r="J146" s="15" t="str">
        <f t="shared" si="11"/>
        <v/>
      </c>
    </row>
    <row r="147" spans="1:10">
      <c r="A147" s="7" t="str">
        <f>IF(子基金及业绩基准周净值!A187="","",子基金及业绩基准周净值!A187)</f>
        <v/>
      </c>
      <c r="B147" s="1" t="str">
        <f>IF(A147="","",VLOOKUP($A147,子基金及业绩基准周净值!$A:$AV,18))</f>
        <v/>
      </c>
      <c r="C147" s="8" t="str">
        <f t="shared" si="8"/>
        <v/>
      </c>
      <c r="D147" s="9" t="str">
        <f>IF(A147="","",C147-(子基金及业绩基准周净值!AH187/子基金及业绩基准周净值!AH186-1))</f>
        <v/>
      </c>
      <c r="E147" s="12" t="str">
        <f>IF(A147="","",(MAX(B$3:B147)-B147)/MAX(B$3:B147))</f>
        <v/>
      </c>
      <c r="F147" s="12" t="str">
        <f>IF(A147="","",MAX(E$4:E147))</f>
        <v/>
      </c>
      <c r="G147" s="13"/>
      <c r="H147" s="14" t="str">
        <f t="shared" si="9"/>
        <v/>
      </c>
      <c r="I147" s="14" t="str">
        <f t="shared" si="10"/>
        <v/>
      </c>
      <c r="J147" s="15" t="str">
        <f t="shared" si="11"/>
        <v/>
      </c>
    </row>
    <row r="148" spans="1:10">
      <c r="A148" s="7" t="str">
        <f>IF(子基金及业绩基准周净值!A188="","",子基金及业绩基准周净值!A188)</f>
        <v/>
      </c>
      <c r="B148" s="1" t="str">
        <f>IF(A148="","",VLOOKUP($A148,子基金及业绩基准周净值!$A:$AV,18))</f>
        <v/>
      </c>
      <c r="C148" s="8" t="str">
        <f t="shared" si="8"/>
        <v/>
      </c>
      <c r="D148" s="9" t="str">
        <f>IF(A148="","",C148-(子基金及业绩基准周净值!AH188/子基金及业绩基准周净值!AH187-1))</f>
        <v/>
      </c>
      <c r="E148" s="12" t="str">
        <f>IF(A148="","",(MAX(B$3:B148)-B148)/MAX(B$3:B148))</f>
        <v/>
      </c>
      <c r="F148" s="12" t="str">
        <f>IF(A148="","",MAX(E$4:E148))</f>
        <v/>
      </c>
      <c r="H148" s="14" t="str">
        <f t="shared" si="9"/>
        <v/>
      </c>
      <c r="I148" s="14" t="str">
        <f t="shared" si="10"/>
        <v/>
      </c>
      <c r="J148" s="15" t="str">
        <f t="shared" si="11"/>
        <v/>
      </c>
    </row>
    <row r="149" spans="1:10">
      <c r="A149" s="7" t="str">
        <f>IF(子基金及业绩基准周净值!A189="","",子基金及业绩基准周净值!A189)</f>
        <v/>
      </c>
      <c r="B149" s="1" t="str">
        <f>IF(A149="","",VLOOKUP($A149,子基金及业绩基准周净值!$A:$AV,18))</f>
        <v/>
      </c>
      <c r="C149" s="8" t="str">
        <f t="shared" si="8"/>
        <v/>
      </c>
      <c r="D149" s="9" t="str">
        <f>IF(A149="","",C149-(子基金及业绩基准周净值!AH189/子基金及业绩基准周净值!AH188-1))</f>
        <v/>
      </c>
      <c r="E149" s="12" t="str">
        <f>IF(A149="","",(MAX(B$3:B149)-B149)/MAX(B$3:B149))</f>
        <v/>
      </c>
      <c r="F149" s="12" t="str">
        <f>IF(A149="","",MAX(E$4:E149))</f>
        <v/>
      </c>
      <c r="H149" s="14" t="str">
        <f t="shared" si="9"/>
        <v/>
      </c>
      <c r="I149" s="14" t="str">
        <f t="shared" si="10"/>
        <v/>
      </c>
      <c r="J149" s="15" t="str">
        <f t="shared" si="11"/>
        <v/>
      </c>
    </row>
    <row r="150" spans="1:10">
      <c r="A150" s="7" t="str">
        <f>IF(子基金及业绩基准周净值!A190="","",子基金及业绩基准周净值!A190)</f>
        <v/>
      </c>
      <c r="B150" s="1" t="str">
        <f>IF(A150="","",VLOOKUP($A150,子基金及业绩基准周净值!$A:$AV,18))</f>
        <v/>
      </c>
      <c r="C150" s="8" t="str">
        <f t="shared" si="8"/>
        <v/>
      </c>
      <c r="D150" s="9" t="str">
        <f>IF(A150="","",C150-(子基金及业绩基准周净值!AH190/子基金及业绩基准周净值!AH189-1))</f>
        <v/>
      </c>
      <c r="E150" s="12" t="str">
        <f>IF(A150="","",(MAX(B$3:B150)-B150)/MAX(B$3:B150))</f>
        <v/>
      </c>
      <c r="F150" s="12" t="str">
        <f>IF(A150="","",MAX(E$4:E150))</f>
        <v/>
      </c>
      <c r="H150" s="14" t="str">
        <f t="shared" si="9"/>
        <v/>
      </c>
      <c r="I150" s="14" t="str">
        <f t="shared" si="10"/>
        <v/>
      </c>
      <c r="J150" s="15" t="str">
        <f t="shared" si="11"/>
        <v/>
      </c>
    </row>
    <row r="151" spans="1:10">
      <c r="A151" s="7" t="str">
        <f>IF(子基金及业绩基准周净值!A191="","",子基金及业绩基准周净值!A191)</f>
        <v/>
      </c>
      <c r="B151" s="1" t="str">
        <f>IF(A151="","",VLOOKUP($A151,子基金及业绩基准周净值!$A:$AV,18))</f>
        <v/>
      </c>
      <c r="C151" s="8" t="str">
        <f t="shared" si="8"/>
        <v/>
      </c>
      <c r="D151" s="9" t="str">
        <f>IF(A151="","",C151-(子基金及业绩基准周净值!AH191/子基金及业绩基准周净值!AH190-1))</f>
        <v/>
      </c>
      <c r="E151" s="12" t="str">
        <f>IF(A151="","",(MAX(B$3:B151)-B151)/MAX(B$3:B151))</f>
        <v/>
      </c>
      <c r="F151" s="12" t="str">
        <f>IF(A151="","",MAX(E$4:E151))</f>
        <v/>
      </c>
      <c r="H151" s="14" t="str">
        <f t="shared" si="9"/>
        <v/>
      </c>
      <c r="I151" s="14" t="str">
        <f t="shared" si="10"/>
        <v/>
      </c>
      <c r="J151" s="15" t="str">
        <f t="shared" si="11"/>
        <v/>
      </c>
    </row>
    <row r="152" spans="1:10">
      <c r="A152" s="7" t="str">
        <f>IF(子基金及业绩基准周净值!A192="","",子基金及业绩基准周净值!A192)</f>
        <v/>
      </c>
      <c r="B152" s="1" t="str">
        <f>IF(A152="","",VLOOKUP($A152,子基金及业绩基准周净值!$A:$AV,18))</f>
        <v/>
      </c>
      <c r="C152" s="8" t="str">
        <f t="shared" si="8"/>
        <v/>
      </c>
      <c r="D152" s="9" t="str">
        <f>IF(A152="","",C152-(子基金及业绩基准周净值!AH192/子基金及业绩基准周净值!AH191-1))</f>
        <v/>
      </c>
      <c r="E152" s="12" t="str">
        <f>IF(A152="","",(MAX(B$3:B152)-B152)/MAX(B$3:B152))</f>
        <v/>
      </c>
      <c r="F152" s="12" t="str">
        <f>IF(A152="","",MAX(E$4:E152))</f>
        <v/>
      </c>
      <c r="H152" s="14" t="str">
        <f t="shared" si="9"/>
        <v/>
      </c>
      <c r="I152" s="14" t="str">
        <f t="shared" si="10"/>
        <v/>
      </c>
      <c r="J152" s="15" t="str">
        <f t="shared" si="11"/>
        <v/>
      </c>
    </row>
    <row r="153" spans="1:10">
      <c r="A153" s="7" t="str">
        <f>IF(子基金及业绩基准周净值!A193="","",子基金及业绩基准周净值!A193)</f>
        <v/>
      </c>
      <c r="B153" s="1" t="str">
        <f>IF(A153="","",VLOOKUP($A153,子基金及业绩基准周净值!$A:$AV,18))</f>
        <v/>
      </c>
      <c r="C153" s="8" t="str">
        <f t="shared" si="8"/>
        <v/>
      </c>
      <c r="D153" s="9" t="str">
        <f>IF(A153="","",C153-(子基金及业绩基准周净值!AH193/子基金及业绩基准周净值!AH192-1))</f>
        <v/>
      </c>
      <c r="E153" s="12" t="str">
        <f>IF(A153="","",(MAX(B$3:B153)-B153)/MAX(B$3:B153))</f>
        <v/>
      </c>
      <c r="F153" s="12" t="str">
        <f>IF(A153="","",MAX(E$4:E153))</f>
        <v/>
      </c>
      <c r="H153" s="14" t="str">
        <f t="shared" si="9"/>
        <v/>
      </c>
      <c r="I153" s="14" t="str">
        <f t="shared" si="10"/>
        <v/>
      </c>
      <c r="J153" s="15" t="str">
        <f t="shared" si="11"/>
        <v/>
      </c>
    </row>
    <row r="154" spans="1:10">
      <c r="A154" s="7" t="str">
        <f>IF(子基金及业绩基准周净值!A194="","",子基金及业绩基准周净值!A194)</f>
        <v/>
      </c>
      <c r="B154" s="1" t="str">
        <f>IF(A154="","",VLOOKUP($A154,子基金及业绩基准周净值!$A:$AV,18))</f>
        <v/>
      </c>
      <c r="C154" s="8" t="str">
        <f t="shared" si="8"/>
        <v/>
      </c>
      <c r="D154" s="9" t="str">
        <f>IF(A154="","",C154-(子基金及业绩基准周净值!AH194/子基金及业绩基准周净值!AH193-1))</f>
        <v/>
      </c>
      <c r="E154" s="12" t="str">
        <f>IF(A154="","",(MAX(B$3:B154)-B154)/MAX(B$3:B154))</f>
        <v/>
      </c>
      <c r="F154" s="12" t="str">
        <f>IF(A154="","",MAX(E$4:E154))</f>
        <v/>
      </c>
      <c r="H154" s="14" t="str">
        <f t="shared" si="9"/>
        <v/>
      </c>
      <c r="I154" s="14" t="str">
        <f t="shared" si="10"/>
        <v/>
      </c>
      <c r="J154" s="15" t="str">
        <f t="shared" si="11"/>
        <v/>
      </c>
    </row>
    <row r="155" spans="1:10">
      <c r="A155" s="7" t="str">
        <f>IF(子基金及业绩基准周净值!A195="","",子基金及业绩基准周净值!A195)</f>
        <v/>
      </c>
      <c r="B155" s="1" t="str">
        <f>IF(A155="","",VLOOKUP($A155,子基金及业绩基准周净值!$A:$AV,18))</f>
        <v/>
      </c>
      <c r="C155" s="8" t="str">
        <f t="shared" si="8"/>
        <v/>
      </c>
      <c r="D155" s="9" t="str">
        <f>IF(A155="","",C155-(子基金及业绩基准周净值!AH195/子基金及业绩基准周净值!AH194-1))</f>
        <v/>
      </c>
      <c r="E155" s="12" t="str">
        <f>IF(A155="","",(MAX(B$3:B155)-B155)/MAX(B$3:B155))</f>
        <v/>
      </c>
      <c r="F155" s="12" t="str">
        <f>IF(A155="","",MAX(E$4:E155))</f>
        <v/>
      </c>
      <c r="H155" s="14" t="str">
        <f t="shared" si="9"/>
        <v/>
      </c>
      <c r="I155" s="14" t="str">
        <f t="shared" si="10"/>
        <v/>
      </c>
      <c r="J155" s="15" t="str">
        <f t="shared" si="11"/>
        <v/>
      </c>
    </row>
    <row r="156" spans="1:10">
      <c r="A156" s="7" t="str">
        <f>IF(子基金及业绩基准周净值!A196="","",子基金及业绩基准周净值!A196)</f>
        <v/>
      </c>
      <c r="B156" s="1" t="str">
        <f>IF(A156="","",VLOOKUP($A156,子基金及业绩基准周净值!$A:$AV,18))</f>
        <v/>
      </c>
      <c r="C156" s="8" t="str">
        <f t="shared" si="8"/>
        <v/>
      </c>
      <c r="D156" s="9" t="str">
        <f>IF(A156="","",C156-(子基金及业绩基准周净值!AH196/子基金及业绩基准周净值!AH195-1))</f>
        <v/>
      </c>
      <c r="E156" s="12" t="str">
        <f>IF(A156="","",(MAX(B$3:B156)-B156)/MAX(B$3:B156))</f>
        <v/>
      </c>
      <c r="F156" s="12" t="str">
        <f>IF(A156="","",MAX(E$4:E156))</f>
        <v/>
      </c>
      <c r="H156" s="14" t="str">
        <f t="shared" si="9"/>
        <v/>
      </c>
      <c r="I156" s="14" t="str">
        <f t="shared" si="10"/>
        <v/>
      </c>
      <c r="J156" s="15" t="str">
        <f t="shared" si="11"/>
        <v/>
      </c>
    </row>
    <row r="157" spans="1:10">
      <c r="A157" s="7" t="str">
        <f>IF(子基金及业绩基准周净值!A197="","",子基金及业绩基准周净值!A197)</f>
        <v/>
      </c>
      <c r="B157" s="1" t="str">
        <f>IF(A157="","",VLOOKUP($A157,子基金及业绩基准周净值!$A:$AV,18))</f>
        <v/>
      </c>
      <c r="C157" s="8" t="str">
        <f t="shared" si="8"/>
        <v/>
      </c>
      <c r="D157" s="9" t="str">
        <f>IF(A157="","",C157-(子基金及业绩基准周净值!AH197/子基金及业绩基准周净值!AH196-1))</f>
        <v/>
      </c>
      <c r="E157" s="12" t="str">
        <f>IF(A157="","",(MAX(B$3:B157)-B157)/MAX(B$3:B157))</f>
        <v/>
      </c>
      <c r="F157" s="12" t="str">
        <f>IF(A157="","",MAX(E$4:E157))</f>
        <v/>
      </c>
      <c r="H157" s="14" t="str">
        <f t="shared" si="9"/>
        <v/>
      </c>
      <c r="I157" s="14" t="str">
        <f t="shared" si="10"/>
        <v/>
      </c>
      <c r="J157" s="15" t="str">
        <f t="shared" si="11"/>
        <v/>
      </c>
    </row>
    <row r="158" spans="1:10">
      <c r="A158" s="7" t="str">
        <f>IF(子基金及业绩基准周净值!A198="","",子基金及业绩基准周净值!A198)</f>
        <v/>
      </c>
      <c r="B158" s="1" t="str">
        <f>IF(A158="","",VLOOKUP($A158,子基金及业绩基准周净值!$A:$AV,18))</f>
        <v/>
      </c>
      <c r="C158" s="8" t="str">
        <f t="shared" si="8"/>
        <v/>
      </c>
      <c r="D158" s="9" t="str">
        <f>IF(A158="","",C158-(子基金及业绩基准周净值!AH198/子基金及业绩基准周净值!AH197-1))</f>
        <v/>
      </c>
      <c r="E158" s="12" t="str">
        <f>IF(A158="","",(MAX(B$3:B158)-B158)/MAX(B$3:B158))</f>
        <v/>
      </c>
      <c r="F158" s="12" t="str">
        <f>IF(A158="","",MAX(E$4:E158))</f>
        <v/>
      </c>
      <c r="H158" s="14" t="str">
        <f t="shared" si="9"/>
        <v/>
      </c>
      <c r="I158" s="14" t="str">
        <f t="shared" si="10"/>
        <v/>
      </c>
      <c r="J158" s="15" t="str">
        <f t="shared" si="11"/>
        <v/>
      </c>
    </row>
    <row r="159" spans="1:10">
      <c r="A159" s="7" t="str">
        <f>IF(子基金及业绩基准周净值!A199="","",子基金及业绩基准周净值!A199)</f>
        <v/>
      </c>
      <c r="B159" s="1" t="str">
        <f>IF(A159="","",VLOOKUP($A159,子基金及业绩基准周净值!$A:$AV,18))</f>
        <v/>
      </c>
      <c r="C159" s="8" t="str">
        <f t="shared" si="8"/>
        <v/>
      </c>
      <c r="D159" s="9" t="str">
        <f>IF(A159="","",C159-(子基金及业绩基准周净值!AH199/子基金及业绩基准周净值!AH198-1))</f>
        <v/>
      </c>
      <c r="E159" s="12" t="str">
        <f>IF(A159="","",(MAX(B$3:B159)-B159)/MAX(B$3:B159))</f>
        <v/>
      </c>
      <c r="F159" s="12" t="str">
        <f>IF(A159="","",MAX(E$4:E159))</f>
        <v/>
      </c>
      <c r="H159" s="14" t="str">
        <f t="shared" si="9"/>
        <v/>
      </c>
      <c r="I159" s="14" t="str">
        <f t="shared" si="10"/>
        <v/>
      </c>
      <c r="J159" s="15" t="str">
        <f t="shared" si="11"/>
        <v/>
      </c>
    </row>
    <row r="160" spans="1:10">
      <c r="A160" s="7" t="str">
        <f>IF(子基金及业绩基准周净值!A200="","",子基金及业绩基准周净值!A200)</f>
        <v/>
      </c>
      <c r="B160" s="1" t="str">
        <f>IF(A160="","",VLOOKUP($A160,子基金及业绩基准周净值!$A:$AV,18))</f>
        <v/>
      </c>
      <c r="C160" s="8" t="str">
        <f t="shared" si="8"/>
        <v/>
      </c>
      <c r="D160" s="9" t="str">
        <f>IF(A160="","",C160-(子基金及业绩基准周净值!AH200/子基金及业绩基准周净值!AH199-1))</f>
        <v/>
      </c>
      <c r="E160" s="12" t="str">
        <f>IF(A160="","",(MAX(B$3:B160)-B160)/MAX(B$3:B160))</f>
        <v/>
      </c>
      <c r="F160" s="12" t="str">
        <f>IF(A160="","",MAX(E$4:E160))</f>
        <v/>
      </c>
      <c r="H160" s="14" t="str">
        <f t="shared" si="9"/>
        <v/>
      </c>
      <c r="I160" s="14" t="str">
        <f t="shared" si="10"/>
        <v/>
      </c>
      <c r="J160" s="15" t="str">
        <f t="shared" si="11"/>
        <v/>
      </c>
    </row>
    <row r="161" spans="1:10">
      <c r="A161" s="7" t="str">
        <f>IF(子基金及业绩基准周净值!A201="","",子基金及业绩基准周净值!A201)</f>
        <v/>
      </c>
      <c r="B161" s="1" t="str">
        <f>IF(A161="","",VLOOKUP($A161,子基金及业绩基准周净值!$A:$AV,18))</f>
        <v/>
      </c>
      <c r="C161" s="8" t="str">
        <f t="shared" si="8"/>
        <v/>
      </c>
      <c r="D161" s="9" t="str">
        <f>IF(A161="","",C161-(子基金及业绩基准周净值!AH201/子基金及业绩基准周净值!AH200-1))</f>
        <v/>
      </c>
      <c r="E161" s="12" t="str">
        <f>IF(A161="","",(MAX(B$3:B161)-B161)/MAX(B$3:B161))</f>
        <v/>
      </c>
      <c r="F161" s="12" t="str">
        <f>IF(A161="","",MAX(E$4:E161))</f>
        <v/>
      </c>
      <c r="H161" s="14" t="str">
        <f t="shared" si="9"/>
        <v/>
      </c>
      <c r="I161" s="14" t="str">
        <f t="shared" si="10"/>
        <v/>
      </c>
      <c r="J161" s="15" t="str">
        <f t="shared" si="11"/>
        <v/>
      </c>
    </row>
    <row r="162" spans="1:10">
      <c r="A162" s="7" t="str">
        <f>IF(子基金及业绩基准周净值!A202="","",子基金及业绩基准周净值!A202)</f>
        <v/>
      </c>
      <c r="B162" s="1" t="str">
        <f>IF(A162="","",VLOOKUP($A162,子基金及业绩基准周净值!$A:$AV,18))</f>
        <v/>
      </c>
      <c r="C162" s="8" t="str">
        <f t="shared" si="8"/>
        <v/>
      </c>
      <c r="D162" s="9" t="str">
        <f>IF(A162="","",C162-(子基金及业绩基准周净值!AH202/子基金及业绩基准周净值!AH201-1))</f>
        <v/>
      </c>
      <c r="E162" s="12" t="str">
        <f>IF(A162="","",(MAX(B$3:B162)-B162)/MAX(B$3:B162))</f>
        <v/>
      </c>
      <c r="F162" s="12" t="str">
        <f>IF(A162="","",MAX(E$4:E162))</f>
        <v/>
      </c>
      <c r="H162" s="14" t="str">
        <f t="shared" si="9"/>
        <v/>
      </c>
      <c r="I162" s="14" t="str">
        <f t="shared" si="10"/>
        <v/>
      </c>
      <c r="J162" s="15" t="str">
        <f t="shared" si="11"/>
        <v/>
      </c>
    </row>
    <row r="163" spans="1:10">
      <c r="A163" s="7" t="str">
        <f>IF(子基金及业绩基准周净值!A203="","",子基金及业绩基准周净值!A203)</f>
        <v/>
      </c>
      <c r="B163" s="1" t="str">
        <f>IF(A163="","",VLOOKUP($A163,子基金及业绩基准周净值!$A:$AV,18))</f>
        <v/>
      </c>
      <c r="C163" s="8" t="str">
        <f t="shared" si="8"/>
        <v/>
      </c>
      <c r="D163" s="9" t="str">
        <f>IF(A163="","",C163-(子基金及业绩基准周净值!AH203/子基金及业绩基准周净值!AH202-1))</f>
        <v/>
      </c>
      <c r="E163" s="12" t="str">
        <f>IF(A163="","",(MAX(B$3:B163)-B163)/MAX(B$3:B163))</f>
        <v/>
      </c>
      <c r="F163" s="12" t="str">
        <f>IF(A163="","",MAX(E$4:E163))</f>
        <v/>
      </c>
      <c r="H163" s="14" t="str">
        <f t="shared" si="9"/>
        <v/>
      </c>
      <c r="I163" s="14" t="str">
        <f t="shared" si="10"/>
        <v/>
      </c>
      <c r="J163" s="15" t="str">
        <f t="shared" si="11"/>
        <v/>
      </c>
    </row>
    <row r="164" spans="1:10">
      <c r="A164" s="7" t="str">
        <f>IF(子基金及业绩基准周净值!A204="","",子基金及业绩基准周净值!A204)</f>
        <v/>
      </c>
      <c r="B164" s="1" t="str">
        <f>IF(A164="","",VLOOKUP($A164,子基金及业绩基准周净值!$A:$AV,18))</f>
        <v/>
      </c>
      <c r="C164" s="8" t="str">
        <f t="shared" si="8"/>
        <v/>
      </c>
      <c r="D164" s="9" t="str">
        <f>IF(A164="","",C164-(子基金及业绩基准周净值!AH204/子基金及业绩基准周净值!AH203-1))</f>
        <v/>
      </c>
      <c r="E164" s="12" t="str">
        <f>IF(A164="","",(MAX(B$3:B164)-B164)/MAX(B$3:B164))</f>
        <v/>
      </c>
      <c r="F164" s="12" t="str">
        <f>IF(A164="","",MAX(E$4:E164))</f>
        <v/>
      </c>
      <c r="H164" s="14" t="str">
        <f t="shared" si="9"/>
        <v/>
      </c>
      <c r="I164" s="14" t="str">
        <f t="shared" si="10"/>
        <v/>
      </c>
      <c r="J164" s="15" t="str">
        <f t="shared" si="11"/>
        <v/>
      </c>
    </row>
    <row r="165" spans="1:10">
      <c r="A165" s="7" t="str">
        <f>IF(子基金及业绩基准周净值!A205="","",子基金及业绩基准周净值!A205)</f>
        <v/>
      </c>
      <c r="B165" s="1" t="str">
        <f>IF(A165="","",VLOOKUP($A165,子基金及业绩基准周净值!$A:$AV,18))</f>
        <v/>
      </c>
      <c r="C165" s="8" t="str">
        <f t="shared" si="8"/>
        <v/>
      </c>
      <c r="D165" s="9" t="str">
        <f>IF(A165="","",C165-(子基金及业绩基准周净值!AH205/子基金及业绩基准周净值!AH204-1))</f>
        <v/>
      </c>
      <c r="E165" s="12" t="str">
        <f>IF(A165="","",(MAX(B$3:B165)-B165)/MAX(B$3:B165))</f>
        <v/>
      </c>
      <c r="F165" s="12" t="str">
        <f>IF(A165="","",MAX(E$4:E165))</f>
        <v/>
      </c>
      <c r="H165" s="14" t="str">
        <f t="shared" si="9"/>
        <v/>
      </c>
      <c r="I165" s="14" t="str">
        <f t="shared" si="10"/>
        <v/>
      </c>
      <c r="J165" s="15" t="str">
        <f t="shared" si="11"/>
        <v/>
      </c>
    </row>
    <row r="166" spans="1:10">
      <c r="A166" s="7" t="str">
        <f>IF(子基金及业绩基准周净值!A206="","",子基金及业绩基准周净值!A206)</f>
        <v/>
      </c>
      <c r="B166" s="1" t="str">
        <f>IF(A166="","",VLOOKUP($A166,子基金及业绩基准周净值!$A:$AV,18))</f>
        <v/>
      </c>
      <c r="C166" s="8" t="str">
        <f t="shared" si="8"/>
        <v/>
      </c>
      <c r="D166" s="9" t="str">
        <f>IF(A166="","",C166-(子基金及业绩基准周净值!AH206/子基金及业绩基准周净值!AH205-1))</f>
        <v/>
      </c>
      <c r="E166" s="12" t="str">
        <f>IF(A166="","",(MAX(B$3:B166)-B166)/MAX(B$3:B166))</f>
        <v/>
      </c>
      <c r="F166" s="12" t="str">
        <f>IF(A166="","",MAX(E$4:E166))</f>
        <v/>
      </c>
      <c r="H166" s="14" t="str">
        <f t="shared" si="9"/>
        <v/>
      </c>
      <c r="I166" s="14" t="str">
        <f t="shared" si="10"/>
        <v/>
      </c>
      <c r="J166" s="15" t="str">
        <f t="shared" si="11"/>
        <v/>
      </c>
    </row>
    <row r="167" spans="1:10">
      <c r="A167" s="7" t="str">
        <f>IF(子基金及业绩基准周净值!A207="","",子基金及业绩基准周净值!A207)</f>
        <v/>
      </c>
      <c r="B167" s="1" t="str">
        <f>IF(A167="","",VLOOKUP($A167,子基金及业绩基准周净值!$A:$AV,18))</f>
        <v/>
      </c>
      <c r="C167" s="8" t="str">
        <f t="shared" si="8"/>
        <v/>
      </c>
      <c r="D167" s="9" t="str">
        <f>IF(A167="","",C167-(子基金及业绩基准周净值!AH207/子基金及业绩基准周净值!AH206-1))</f>
        <v/>
      </c>
      <c r="E167" s="12" t="str">
        <f>IF(A167="","",(MAX(B$3:B167)-B167)/MAX(B$3:B167))</f>
        <v/>
      </c>
      <c r="F167" s="12" t="str">
        <f>IF(A167="","",MAX(E$4:E167))</f>
        <v/>
      </c>
      <c r="H167" s="14" t="str">
        <f t="shared" si="9"/>
        <v/>
      </c>
      <c r="I167" s="14" t="str">
        <f t="shared" si="10"/>
        <v/>
      </c>
      <c r="J167" s="15" t="str">
        <f t="shared" si="11"/>
        <v/>
      </c>
    </row>
    <row r="168" spans="1:10">
      <c r="A168" s="7" t="str">
        <f>IF(子基金及业绩基准周净值!A208="","",子基金及业绩基准周净值!A208)</f>
        <v/>
      </c>
      <c r="B168" s="1" t="str">
        <f>IF(A168="","",VLOOKUP($A168,子基金及业绩基准周净值!$A:$AV,18))</f>
        <v/>
      </c>
      <c r="C168" s="8" t="str">
        <f t="shared" si="8"/>
        <v/>
      </c>
      <c r="D168" s="9" t="str">
        <f>IF(A168="","",C168-(子基金及业绩基准周净值!AH208/子基金及业绩基准周净值!AH207-1))</f>
        <v/>
      </c>
      <c r="E168" s="12" t="str">
        <f>IF(A168="","",(MAX(B$3:B168)-B168)/MAX(B$3:B168))</f>
        <v/>
      </c>
      <c r="F168" s="12" t="str">
        <f>IF(A168="","",MAX(E$4:E168))</f>
        <v/>
      </c>
      <c r="H168" s="14" t="str">
        <f t="shared" si="9"/>
        <v/>
      </c>
      <c r="I168" s="14" t="str">
        <f t="shared" si="10"/>
        <v/>
      </c>
      <c r="J168" s="15" t="str">
        <f t="shared" si="11"/>
        <v/>
      </c>
    </row>
    <row r="169" spans="1:10">
      <c r="A169" s="7" t="str">
        <f>IF(子基金及业绩基准周净值!A209="","",子基金及业绩基准周净值!A209)</f>
        <v/>
      </c>
      <c r="B169" s="1" t="str">
        <f>IF(A169="","",VLOOKUP($A169,子基金及业绩基准周净值!$A:$AV,18))</f>
        <v/>
      </c>
      <c r="C169" s="8" t="str">
        <f t="shared" si="8"/>
        <v/>
      </c>
      <c r="D169" s="9" t="str">
        <f>IF(A169="","",C169-(子基金及业绩基准周净值!AH209/子基金及业绩基准周净值!AH208-1))</f>
        <v/>
      </c>
      <c r="E169" s="12" t="str">
        <f>IF(A169="","",(MAX(B$3:B169)-B169)/MAX(B$3:B169))</f>
        <v/>
      </c>
      <c r="F169" s="12" t="str">
        <f>IF(A169="","",MAX(E$4:E169))</f>
        <v/>
      </c>
      <c r="H169" s="14" t="str">
        <f t="shared" si="9"/>
        <v/>
      </c>
      <c r="I169" s="14" t="str">
        <f t="shared" si="10"/>
        <v/>
      </c>
      <c r="J169" s="15" t="str">
        <f t="shared" si="11"/>
        <v/>
      </c>
    </row>
    <row r="170" spans="1:10">
      <c r="A170" s="7" t="str">
        <f>IF(子基金及业绩基准周净值!A210="","",子基金及业绩基准周净值!A210)</f>
        <v/>
      </c>
      <c r="B170" s="1" t="str">
        <f>IF(A170="","",VLOOKUP($A170,子基金及业绩基准周净值!$A:$AV,18))</f>
        <v/>
      </c>
      <c r="C170" s="8" t="str">
        <f t="shared" si="8"/>
        <v/>
      </c>
      <c r="D170" s="9" t="str">
        <f>IF(A170="","",C170-(子基金及业绩基准周净值!AH210/子基金及业绩基准周净值!AH209-1))</f>
        <v/>
      </c>
      <c r="E170" s="12" t="str">
        <f>IF(A170="","",(MAX(B$3:B170)-B170)/MAX(B$3:B170))</f>
        <v/>
      </c>
      <c r="F170" s="12" t="str">
        <f>IF(A170="","",MAX(E$4:E170))</f>
        <v/>
      </c>
      <c r="H170" s="14" t="str">
        <f t="shared" si="9"/>
        <v/>
      </c>
      <c r="I170" s="14" t="str">
        <f t="shared" si="10"/>
        <v/>
      </c>
      <c r="J170" s="15" t="str">
        <f t="shared" si="11"/>
        <v/>
      </c>
    </row>
    <row r="171" spans="1:10">
      <c r="A171" s="7" t="str">
        <f>IF(子基金及业绩基准周净值!A211="","",子基金及业绩基准周净值!A211)</f>
        <v/>
      </c>
      <c r="B171" s="1" t="str">
        <f>IF(A171="","",VLOOKUP($A171,子基金及业绩基准周净值!$A:$AV,18))</f>
        <v/>
      </c>
      <c r="C171" s="8" t="str">
        <f t="shared" si="8"/>
        <v/>
      </c>
      <c r="D171" s="9" t="str">
        <f>IF(A171="","",C171-(子基金及业绩基准周净值!AH211/子基金及业绩基准周净值!AH210-1))</f>
        <v/>
      </c>
      <c r="E171" s="12" t="str">
        <f>IF(A171="","",(MAX(B$3:B171)-B171)/MAX(B$3:B171))</f>
        <v/>
      </c>
      <c r="F171" s="12" t="str">
        <f>IF(A171="","",MAX(E$4:E171))</f>
        <v/>
      </c>
      <c r="H171" s="14" t="str">
        <f t="shared" si="9"/>
        <v/>
      </c>
      <c r="I171" s="14" t="str">
        <f t="shared" si="10"/>
        <v/>
      </c>
      <c r="J171" s="15" t="str">
        <f t="shared" si="11"/>
        <v/>
      </c>
    </row>
    <row r="172" spans="1:10">
      <c r="A172" s="7" t="str">
        <f>IF(子基金及业绩基准周净值!A212="","",子基金及业绩基准周净值!A212)</f>
        <v/>
      </c>
      <c r="B172" s="1" t="str">
        <f>IF(A172="","",VLOOKUP($A172,子基金及业绩基准周净值!$A:$AV,18))</f>
        <v/>
      </c>
      <c r="C172" s="8" t="str">
        <f t="shared" si="8"/>
        <v/>
      </c>
      <c r="D172" s="9" t="str">
        <f>IF(A172="","",C172-(子基金及业绩基准周净值!AH212/子基金及业绩基准周净值!AH211-1))</f>
        <v/>
      </c>
      <c r="E172" s="12" t="str">
        <f>IF(A172="","",(MAX(B$3:B172)-B172)/MAX(B$3:B172))</f>
        <v/>
      </c>
      <c r="F172" s="12" t="str">
        <f>IF(A172="","",MAX(E$4:E172))</f>
        <v/>
      </c>
      <c r="H172" s="14" t="str">
        <f t="shared" si="9"/>
        <v/>
      </c>
      <c r="I172" s="14" t="str">
        <f t="shared" si="10"/>
        <v/>
      </c>
      <c r="J172" s="15" t="str">
        <f t="shared" si="11"/>
        <v/>
      </c>
    </row>
    <row r="173" spans="1:10">
      <c r="A173" s="7" t="str">
        <f>IF(子基金及业绩基准周净值!A213="","",子基金及业绩基准周净值!A213)</f>
        <v/>
      </c>
      <c r="B173" s="1" t="str">
        <f>IF(A173="","",VLOOKUP($A173,子基金及业绩基准周净值!$A:$AV,18))</f>
        <v/>
      </c>
      <c r="C173" s="8" t="str">
        <f t="shared" si="8"/>
        <v/>
      </c>
      <c r="D173" s="9" t="str">
        <f>IF(A173="","",C173-(子基金及业绩基准周净值!AH213/子基金及业绩基准周净值!AH212-1))</f>
        <v/>
      </c>
      <c r="E173" s="12" t="str">
        <f>IF(A173="","",(MAX(B$3:B173)-B173)/MAX(B$3:B173))</f>
        <v/>
      </c>
      <c r="F173" s="12" t="str">
        <f>IF(A173="","",MAX(E$4:E173))</f>
        <v/>
      </c>
      <c r="H173" s="14" t="str">
        <f t="shared" si="9"/>
        <v/>
      </c>
      <c r="I173" s="14" t="str">
        <f t="shared" si="10"/>
        <v/>
      </c>
      <c r="J173" s="15" t="str">
        <f t="shared" si="11"/>
        <v/>
      </c>
    </row>
    <row r="174" spans="1:10">
      <c r="A174" s="7" t="str">
        <f>IF(子基金及业绩基准周净值!A214="","",子基金及业绩基准周净值!A214)</f>
        <v/>
      </c>
      <c r="B174" s="1" t="str">
        <f>IF(A174="","",VLOOKUP($A174,子基金及业绩基准周净值!$A:$AV,18))</f>
        <v/>
      </c>
      <c r="C174" s="8" t="str">
        <f t="shared" si="8"/>
        <v/>
      </c>
      <c r="D174" s="9" t="str">
        <f>IF(A174="","",C174-(子基金及业绩基准周净值!AH214/子基金及业绩基准周净值!AH213-1))</f>
        <v/>
      </c>
      <c r="E174" s="12" t="str">
        <f>IF(A174="","",(MAX(B$3:B174)-B174)/MAX(B$3:B174))</f>
        <v/>
      </c>
      <c r="F174" s="12" t="str">
        <f>IF(A174="","",MAX(E$4:E174))</f>
        <v/>
      </c>
      <c r="H174" s="14" t="str">
        <f t="shared" si="9"/>
        <v/>
      </c>
      <c r="I174" s="14" t="str">
        <f t="shared" si="10"/>
        <v/>
      </c>
      <c r="J174" s="15" t="str">
        <f t="shared" si="11"/>
        <v/>
      </c>
    </row>
    <row r="175" spans="1:10">
      <c r="A175" s="7" t="str">
        <f>IF(子基金及业绩基准周净值!A215="","",子基金及业绩基准周净值!A215)</f>
        <v/>
      </c>
      <c r="B175" s="1" t="str">
        <f>IF(A175="","",VLOOKUP($A175,子基金及业绩基准周净值!$A:$AV,18))</f>
        <v/>
      </c>
      <c r="C175" s="8" t="str">
        <f t="shared" si="8"/>
        <v/>
      </c>
      <c r="D175" s="9" t="str">
        <f>IF(A175="","",C175-(子基金及业绩基准周净值!AH215/子基金及业绩基准周净值!AH214-1))</f>
        <v/>
      </c>
      <c r="E175" s="12" t="str">
        <f>IF(A175="","",(MAX(B$3:B175)-B175)/MAX(B$3:B175))</f>
        <v/>
      </c>
      <c r="F175" s="12" t="str">
        <f>IF(A175="","",MAX(E$4:E175))</f>
        <v/>
      </c>
      <c r="H175" s="14" t="str">
        <f t="shared" si="9"/>
        <v/>
      </c>
      <c r="I175" s="14" t="str">
        <f t="shared" si="10"/>
        <v/>
      </c>
      <c r="J175" s="15" t="str">
        <f t="shared" si="11"/>
        <v/>
      </c>
    </row>
    <row r="176" spans="1:10">
      <c r="A176" s="7" t="str">
        <f>IF(子基金及业绩基准周净值!A216="","",子基金及业绩基准周净值!A216)</f>
        <v/>
      </c>
      <c r="B176" s="1" t="str">
        <f>IF(A176="","",VLOOKUP($A176,子基金及业绩基准周净值!$A:$AV,18))</f>
        <v/>
      </c>
      <c r="C176" s="8" t="str">
        <f t="shared" si="8"/>
        <v/>
      </c>
      <c r="D176" s="9" t="str">
        <f>IF(A176="","",C176-(子基金及业绩基准周净值!AH216/子基金及业绩基准周净值!AH215-1))</f>
        <v/>
      </c>
      <c r="E176" s="12" t="str">
        <f>IF(A176="","",(MAX(B$3:B176)-B176)/MAX(B$3:B176))</f>
        <v/>
      </c>
      <c r="F176" s="12" t="str">
        <f>IF(A176="","",MAX(E$4:E176))</f>
        <v/>
      </c>
      <c r="H176" s="14" t="str">
        <f t="shared" si="9"/>
        <v/>
      </c>
      <c r="I176" s="14" t="str">
        <f t="shared" si="10"/>
        <v/>
      </c>
      <c r="J176" s="15" t="str">
        <f t="shared" si="11"/>
        <v/>
      </c>
    </row>
    <row r="177" spans="1:10">
      <c r="A177" s="7" t="str">
        <f>IF(子基金及业绩基准周净值!A217="","",子基金及业绩基准周净值!A217)</f>
        <v/>
      </c>
      <c r="B177" s="1" t="str">
        <f>IF(A177="","",VLOOKUP($A177,子基金及业绩基准周净值!$A:$AV,18))</f>
        <v/>
      </c>
      <c r="C177" s="8" t="str">
        <f t="shared" si="8"/>
        <v/>
      </c>
      <c r="D177" s="9" t="str">
        <f>IF(A177="","",C177-(子基金及业绩基准周净值!AH217/子基金及业绩基准周净值!AH216-1))</f>
        <v/>
      </c>
      <c r="E177" s="12" t="str">
        <f>IF(A177="","",(MAX(B$3:B177)-B177)/MAX(B$3:B177))</f>
        <v/>
      </c>
      <c r="F177" s="12" t="str">
        <f>IF(A177="","",MAX(E$4:E177))</f>
        <v/>
      </c>
      <c r="H177" s="14" t="str">
        <f t="shared" si="9"/>
        <v/>
      </c>
      <c r="I177" s="14" t="str">
        <f t="shared" si="10"/>
        <v/>
      </c>
      <c r="J177" s="15" t="str">
        <f t="shared" si="11"/>
        <v/>
      </c>
    </row>
    <row r="178" spans="1:10">
      <c r="A178" s="7" t="str">
        <f>IF(子基金及业绩基准周净值!A218="","",子基金及业绩基准周净值!A218)</f>
        <v/>
      </c>
      <c r="B178" s="1" t="str">
        <f>IF(A178="","",VLOOKUP($A178,子基金及业绩基准周净值!$A:$AV,18))</f>
        <v/>
      </c>
      <c r="C178" s="8" t="str">
        <f t="shared" si="8"/>
        <v/>
      </c>
      <c r="D178" s="9" t="str">
        <f>IF(A178="","",C178-(子基金及业绩基准周净值!AH218/子基金及业绩基准周净值!AH217-1))</f>
        <v/>
      </c>
      <c r="E178" s="12" t="str">
        <f>IF(A178="","",(MAX(B$3:B178)-B178)/MAX(B$3:B178))</f>
        <v/>
      </c>
      <c r="F178" s="12" t="str">
        <f>IF(A178="","",MAX(E$4:E178))</f>
        <v/>
      </c>
      <c r="H178" s="14" t="str">
        <f t="shared" si="9"/>
        <v/>
      </c>
      <c r="I178" s="14" t="str">
        <f t="shared" si="10"/>
        <v/>
      </c>
      <c r="J178" s="15" t="str">
        <f t="shared" si="11"/>
        <v/>
      </c>
    </row>
    <row r="179" spans="1:10">
      <c r="A179" s="7" t="str">
        <f>IF(子基金及业绩基准周净值!A219="","",子基金及业绩基准周净值!A219)</f>
        <v/>
      </c>
      <c r="B179" s="1" t="str">
        <f>IF(A179="","",VLOOKUP($A179,子基金及业绩基准周净值!$A:$AV,18))</f>
        <v/>
      </c>
      <c r="C179" s="8" t="str">
        <f t="shared" si="8"/>
        <v/>
      </c>
      <c r="D179" s="9" t="str">
        <f>IF(A179="","",C179-(子基金及业绩基准周净值!AH219/子基金及业绩基准周净值!AH218-1))</f>
        <v/>
      </c>
      <c r="E179" s="12" t="str">
        <f>IF(A179="","",(MAX(B$3:B179)-B179)/MAX(B$3:B179))</f>
        <v/>
      </c>
      <c r="F179" s="12" t="str">
        <f>IF(A179="","",MAX(E$4:E179))</f>
        <v/>
      </c>
      <c r="H179" s="14" t="str">
        <f t="shared" si="9"/>
        <v/>
      </c>
      <c r="I179" s="14" t="str">
        <f t="shared" si="10"/>
        <v/>
      </c>
      <c r="J179" s="15" t="str">
        <f t="shared" si="11"/>
        <v/>
      </c>
    </row>
    <row r="180" spans="1:10">
      <c r="A180" s="7" t="str">
        <f>IF(子基金及业绩基准周净值!A220="","",子基金及业绩基准周净值!A220)</f>
        <v/>
      </c>
      <c r="B180" s="1" t="str">
        <f>IF(A180="","",VLOOKUP($A180,子基金及业绩基准周净值!$A:$AV,18))</f>
        <v/>
      </c>
      <c r="C180" s="8" t="str">
        <f t="shared" si="8"/>
        <v/>
      </c>
      <c r="D180" s="9" t="str">
        <f>IF(A180="","",C180-(子基金及业绩基准周净值!AH220/子基金及业绩基准周净值!AH219-1))</f>
        <v/>
      </c>
      <c r="E180" s="12" t="str">
        <f>IF(A180="","",(MAX(B$3:B180)-B180)/MAX(B$3:B180))</f>
        <v/>
      </c>
      <c r="F180" s="12" t="str">
        <f>IF(A180="","",MAX(E$4:E180))</f>
        <v/>
      </c>
      <c r="H180" s="14" t="str">
        <f t="shared" si="9"/>
        <v/>
      </c>
      <c r="I180" s="14" t="str">
        <f t="shared" si="10"/>
        <v/>
      </c>
      <c r="J180" s="15" t="str">
        <f t="shared" si="11"/>
        <v/>
      </c>
    </row>
    <row r="181" spans="1:10">
      <c r="A181" s="7" t="str">
        <f>IF(子基金及业绩基准周净值!A221="","",子基金及业绩基准周净值!A221)</f>
        <v/>
      </c>
      <c r="B181" s="1" t="str">
        <f>IF(A181="","",VLOOKUP($A181,子基金及业绩基准周净值!$A:$AV,18))</f>
        <v/>
      </c>
      <c r="C181" s="8" t="str">
        <f t="shared" si="8"/>
        <v/>
      </c>
      <c r="D181" s="9" t="str">
        <f>IF(A181="","",C181-(子基金及业绩基准周净值!AH221/子基金及业绩基准周净值!AH220-1))</f>
        <v/>
      </c>
      <c r="E181" s="12" t="str">
        <f>IF(A181="","",(MAX(B$3:B181)-B181)/MAX(B$3:B181))</f>
        <v/>
      </c>
      <c r="F181" s="12" t="str">
        <f>IF(A181="","",MAX(E$4:E181))</f>
        <v/>
      </c>
      <c r="H181" s="14" t="str">
        <f t="shared" si="9"/>
        <v/>
      </c>
      <c r="I181" s="14" t="str">
        <f t="shared" si="10"/>
        <v/>
      </c>
      <c r="J181" s="15" t="str">
        <f t="shared" si="11"/>
        <v/>
      </c>
    </row>
    <row r="182" spans="1:10">
      <c r="A182" s="7" t="str">
        <f>IF(子基金及业绩基准周净值!A222="","",子基金及业绩基准周净值!A222)</f>
        <v/>
      </c>
      <c r="B182" s="1" t="str">
        <f>IF(A182="","",VLOOKUP($A182,子基金及业绩基准周净值!$A:$AV,18))</f>
        <v/>
      </c>
      <c r="C182" s="8" t="str">
        <f t="shared" si="8"/>
        <v/>
      </c>
      <c r="D182" s="9" t="str">
        <f>IF(A182="","",C182-(子基金及业绩基准周净值!AH222/子基金及业绩基准周净值!AH221-1))</f>
        <v/>
      </c>
      <c r="E182" s="12" t="str">
        <f>IF(A182="","",(MAX(B$3:B182)-B182)/MAX(B$3:B182))</f>
        <v/>
      </c>
      <c r="F182" s="12" t="str">
        <f>IF(A182="","",MAX(E$4:E182))</f>
        <v/>
      </c>
      <c r="H182" s="14" t="str">
        <f t="shared" si="9"/>
        <v/>
      </c>
      <c r="I182" s="14" t="str">
        <f t="shared" si="10"/>
        <v/>
      </c>
      <c r="J182" s="15" t="str">
        <f t="shared" si="11"/>
        <v/>
      </c>
    </row>
    <row r="183" spans="1:10">
      <c r="A183" s="7" t="str">
        <f>IF(子基金及业绩基准周净值!A223="","",子基金及业绩基准周净值!A223)</f>
        <v/>
      </c>
      <c r="B183" s="1" t="str">
        <f>IF(A183="","",VLOOKUP($A183,子基金及业绩基准周净值!$A:$AV,18))</f>
        <v/>
      </c>
      <c r="C183" s="8" t="str">
        <f t="shared" si="8"/>
        <v/>
      </c>
      <c r="D183" s="9" t="str">
        <f>IF(A183="","",C183-(子基金及业绩基准周净值!AH223/子基金及业绩基准周净值!AH222-1))</f>
        <v/>
      </c>
      <c r="E183" s="12" t="str">
        <f>IF(A183="","",(MAX(B$3:B183)-B183)/MAX(B$3:B183))</f>
        <v/>
      </c>
      <c r="F183" s="12" t="str">
        <f>IF(A183="","",MAX(E$4:E183))</f>
        <v/>
      </c>
      <c r="H183" s="14" t="str">
        <f t="shared" si="9"/>
        <v/>
      </c>
      <c r="I183" s="14" t="str">
        <f t="shared" si="10"/>
        <v/>
      </c>
      <c r="J183" s="15" t="str">
        <f t="shared" si="11"/>
        <v/>
      </c>
    </row>
    <row r="184" spans="1:10">
      <c r="A184" s="7" t="str">
        <f>IF(子基金及业绩基准周净值!A224="","",子基金及业绩基准周净值!A224)</f>
        <v/>
      </c>
      <c r="B184" s="1" t="str">
        <f>IF(A184="","",VLOOKUP($A184,子基金及业绩基准周净值!$A:$AV,18))</f>
        <v/>
      </c>
      <c r="C184" s="8" t="str">
        <f t="shared" si="8"/>
        <v/>
      </c>
      <c r="D184" s="9" t="str">
        <f>IF(A184="","",C184-(子基金及业绩基准周净值!AH224/子基金及业绩基准周净值!AH223-1))</f>
        <v/>
      </c>
      <c r="E184" s="12" t="str">
        <f>IF(A184="","",(MAX(B$3:B184)-B184)/MAX(B$3:B184))</f>
        <v/>
      </c>
      <c r="F184" s="12" t="str">
        <f>IF(A184="","",MAX(E$4:E184))</f>
        <v/>
      </c>
      <c r="H184" s="14" t="str">
        <f t="shared" si="9"/>
        <v/>
      </c>
      <c r="I184" s="14" t="str">
        <f t="shared" si="10"/>
        <v/>
      </c>
      <c r="J184" s="15" t="str">
        <f t="shared" si="11"/>
        <v/>
      </c>
    </row>
    <row r="185" spans="1:10">
      <c r="A185" s="7" t="str">
        <f>IF(子基金及业绩基准周净值!A225="","",子基金及业绩基准周净值!A225)</f>
        <v/>
      </c>
      <c r="B185" s="1" t="str">
        <f>IF(A185="","",VLOOKUP($A185,子基金及业绩基准周净值!$A:$AV,18))</f>
        <v/>
      </c>
      <c r="C185" s="8" t="str">
        <f t="shared" si="8"/>
        <v/>
      </c>
      <c r="D185" s="9" t="str">
        <f>IF(A185="","",C185-(子基金及业绩基准周净值!AH225/子基金及业绩基准周净值!AH224-1))</f>
        <v/>
      </c>
      <c r="E185" s="12" t="str">
        <f>IF(A185="","",(MAX(B$3:B185)-B185)/MAX(B$3:B185))</f>
        <v/>
      </c>
      <c r="F185" s="12" t="str">
        <f>IF(A185="","",MAX(E$4:E185))</f>
        <v/>
      </c>
      <c r="H185" s="14" t="str">
        <f t="shared" si="9"/>
        <v/>
      </c>
      <c r="I185" s="14" t="str">
        <f t="shared" si="10"/>
        <v/>
      </c>
      <c r="J185" s="15" t="str">
        <f t="shared" si="11"/>
        <v/>
      </c>
    </row>
    <row r="186" spans="1:10">
      <c r="A186" s="7" t="str">
        <f>IF(子基金及业绩基准周净值!A226="","",子基金及业绩基准周净值!A226)</f>
        <v/>
      </c>
      <c r="B186" s="1" t="str">
        <f>IF(A186="","",VLOOKUP($A186,子基金及业绩基准周净值!$A:$AV,18))</f>
        <v/>
      </c>
      <c r="C186" s="8" t="str">
        <f t="shared" si="8"/>
        <v/>
      </c>
      <c r="D186" s="9" t="str">
        <f>IF(A186="","",C186-(子基金及业绩基准周净值!AH226/子基金及业绩基准周净值!AH225-1))</f>
        <v/>
      </c>
      <c r="E186" s="12" t="str">
        <f>IF(A186="","",(MAX(B$3:B186)-B186)/MAX(B$3:B186))</f>
        <v/>
      </c>
      <c r="F186" s="12" t="str">
        <f>IF(A186="","",MAX(E$4:E186))</f>
        <v/>
      </c>
      <c r="H186" s="14" t="str">
        <f t="shared" si="9"/>
        <v/>
      </c>
      <c r="I186" s="14" t="str">
        <f t="shared" si="10"/>
        <v/>
      </c>
      <c r="J186" s="15" t="str">
        <f t="shared" si="11"/>
        <v/>
      </c>
    </row>
    <row r="187" spans="1:10">
      <c r="A187" s="7" t="str">
        <f>IF(子基金及业绩基准周净值!A227="","",子基金及业绩基准周净值!A227)</f>
        <v/>
      </c>
      <c r="B187" s="1" t="str">
        <f>IF(A187="","",VLOOKUP($A187,子基金及业绩基准周净值!$A:$AV,18))</f>
        <v/>
      </c>
      <c r="C187" s="8" t="str">
        <f t="shared" si="8"/>
        <v/>
      </c>
      <c r="D187" s="9" t="str">
        <f>IF(A187="","",C187-(子基金及业绩基准周净值!AH227/子基金及业绩基准周净值!AH226-1))</f>
        <v/>
      </c>
      <c r="E187" s="12" t="str">
        <f>IF(A187="","",(MAX(B$3:B187)-B187)/MAX(B$3:B187))</f>
        <v/>
      </c>
      <c r="F187" s="12" t="str">
        <f>IF(A187="","",MAX(E$4:E187))</f>
        <v/>
      </c>
      <c r="H187" s="14" t="str">
        <f t="shared" si="9"/>
        <v/>
      </c>
      <c r="I187" s="14" t="str">
        <f t="shared" si="10"/>
        <v/>
      </c>
      <c r="J187" s="15" t="str">
        <f t="shared" si="11"/>
        <v/>
      </c>
    </row>
    <row r="188" spans="1:10">
      <c r="A188" s="7" t="str">
        <f>IF(子基金及业绩基准周净值!A228="","",子基金及业绩基准周净值!A228)</f>
        <v/>
      </c>
      <c r="B188" s="1" t="str">
        <f>IF(A188="","",VLOOKUP($A188,子基金及业绩基准周净值!$A:$AV,18))</f>
        <v/>
      </c>
      <c r="C188" s="8" t="str">
        <f t="shared" si="8"/>
        <v/>
      </c>
      <c r="D188" s="9" t="str">
        <f>IF(A188="","",C188-(子基金及业绩基准周净值!AH228/子基金及业绩基准周净值!AH227-1))</f>
        <v/>
      </c>
      <c r="E188" s="12" t="str">
        <f>IF(A188="","",(MAX(B$3:B188)-B188)/MAX(B$3:B188))</f>
        <v/>
      </c>
      <c r="F188" s="12" t="str">
        <f>IF(A188="","",MAX(E$4:E188))</f>
        <v/>
      </c>
      <c r="H188" s="14" t="str">
        <f t="shared" si="9"/>
        <v/>
      </c>
      <c r="I188" s="14" t="str">
        <f t="shared" si="10"/>
        <v/>
      </c>
      <c r="J188" s="15" t="str">
        <f t="shared" si="11"/>
        <v/>
      </c>
    </row>
    <row r="189" spans="1:10">
      <c r="A189" s="7" t="str">
        <f>IF(子基金及业绩基准周净值!A229="","",子基金及业绩基准周净值!A229)</f>
        <v/>
      </c>
      <c r="B189" s="1" t="str">
        <f>IF(A189="","",VLOOKUP($A189,子基金及业绩基准周净值!$A:$AV,18))</f>
        <v/>
      </c>
      <c r="C189" s="8" t="str">
        <f t="shared" si="8"/>
        <v/>
      </c>
      <c r="D189" s="9" t="str">
        <f>IF(A189="","",C189-(子基金及业绩基准周净值!AH229/子基金及业绩基准周净值!AH228-1))</f>
        <v/>
      </c>
      <c r="E189" s="12" t="str">
        <f>IF(A189="","",(MAX(B$3:B189)-B189)/MAX(B$3:B189))</f>
        <v/>
      </c>
      <c r="F189" s="12" t="str">
        <f>IF(A189="","",MAX(E$4:E189))</f>
        <v/>
      </c>
      <c r="H189" s="14" t="str">
        <f t="shared" si="9"/>
        <v/>
      </c>
      <c r="I189" s="14" t="str">
        <f t="shared" si="10"/>
        <v/>
      </c>
      <c r="J189" s="15" t="str">
        <f t="shared" si="11"/>
        <v/>
      </c>
    </row>
    <row r="190" spans="1:10">
      <c r="A190" s="7" t="str">
        <f>IF(子基金及业绩基准周净值!A230="","",子基金及业绩基准周净值!A230)</f>
        <v/>
      </c>
      <c r="B190" s="1" t="str">
        <f>IF(A190="","",VLOOKUP($A190,子基金及业绩基准周净值!$A:$AV,18))</f>
        <v/>
      </c>
      <c r="C190" s="8" t="str">
        <f t="shared" si="8"/>
        <v/>
      </c>
      <c r="D190" s="9" t="str">
        <f>IF(A190="","",C190-(子基金及业绩基准周净值!AH230/子基金及业绩基准周净值!AH229-1))</f>
        <v/>
      </c>
      <c r="E190" s="12" t="str">
        <f>IF(A190="","",(MAX(B$3:B190)-B190)/MAX(B$3:B190))</f>
        <v/>
      </c>
      <c r="F190" s="12" t="str">
        <f>IF(A190="","",MAX(E$4:E190))</f>
        <v/>
      </c>
      <c r="H190" s="14" t="str">
        <f t="shared" si="9"/>
        <v/>
      </c>
      <c r="I190" s="14" t="str">
        <f t="shared" si="10"/>
        <v/>
      </c>
      <c r="J190" s="15" t="str">
        <f t="shared" si="11"/>
        <v/>
      </c>
    </row>
    <row r="191" spans="1:10">
      <c r="A191" s="7" t="str">
        <f>IF(子基金及业绩基准周净值!A231="","",子基金及业绩基准周净值!A231)</f>
        <v/>
      </c>
      <c r="B191" s="1" t="str">
        <f>IF(A191="","",VLOOKUP($A191,子基金及业绩基准周净值!$A:$AV,18))</f>
        <v/>
      </c>
      <c r="C191" s="8" t="str">
        <f t="shared" si="8"/>
        <v/>
      </c>
      <c r="D191" s="9" t="str">
        <f>IF(A191="","",C191-(子基金及业绩基准周净值!AH231/子基金及业绩基准周净值!AH230-1))</f>
        <v/>
      </c>
      <c r="E191" s="12" t="str">
        <f>IF(A191="","",(MAX(B$3:B191)-B191)/MAX(B$3:B191))</f>
        <v/>
      </c>
      <c r="F191" s="12" t="str">
        <f>IF(A191="","",MAX(E$4:E191))</f>
        <v/>
      </c>
      <c r="H191" s="14" t="str">
        <f t="shared" si="9"/>
        <v/>
      </c>
      <c r="I191" s="14" t="str">
        <f t="shared" si="10"/>
        <v/>
      </c>
      <c r="J191" s="15" t="str">
        <f t="shared" si="11"/>
        <v/>
      </c>
    </row>
    <row r="192" spans="1:10">
      <c r="A192" s="7" t="str">
        <f>IF(子基金及业绩基准周净值!A232="","",子基金及业绩基准周净值!A232)</f>
        <v/>
      </c>
      <c r="B192" s="1" t="str">
        <f>IF(A192="","",VLOOKUP($A192,子基金及业绩基准周净值!$A:$AV,18))</f>
        <v/>
      </c>
      <c r="C192" s="8" t="str">
        <f t="shared" si="8"/>
        <v/>
      </c>
      <c r="D192" s="9" t="str">
        <f>IF(A192="","",C192-(子基金及业绩基准周净值!AH232/子基金及业绩基准周净值!AH231-1))</f>
        <v/>
      </c>
      <c r="E192" s="12" t="str">
        <f>IF(A192="","",(MAX(B$3:B192)-B192)/MAX(B$3:B192))</f>
        <v/>
      </c>
      <c r="F192" s="12" t="str">
        <f>IF(A192="","",MAX(E$4:E192))</f>
        <v/>
      </c>
      <c r="H192" s="14" t="str">
        <f t="shared" si="9"/>
        <v/>
      </c>
      <c r="I192" s="14" t="str">
        <f t="shared" si="10"/>
        <v/>
      </c>
      <c r="J192" s="15" t="str">
        <f t="shared" si="11"/>
        <v/>
      </c>
    </row>
    <row r="193" spans="1:10">
      <c r="A193" s="7" t="str">
        <f>IF(子基金及业绩基准周净值!A233="","",子基金及业绩基准周净值!A233)</f>
        <v/>
      </c>
      <c r="B193" s="1" t="str">
        <f>IF(A193="","",VLOOKUP($A193,子基金及业绩基准周净值!$A:$AV,18))</f>
        <v/>
      </c>
      <c r="C193" s="8" t="str">
        <f t="shared" si="8"/>
        <v/>
      </c>
      <c r="D193" s="9" t="str">
        <f>IF(A193="","",C193-(子基金及业绩基准周净值!AH233/子基金及业绩基准周净值!AH232-1))</f>
        <v/>
      </c>
      <c r="E193" s="12" t="str">
        <f>IF(A193="","",(MAX(B$3:B193)-B193)/MAX(B$3:B193))</f>
        <v/>
      </c>
      <c r="F193" s="12" t="str">
        <f>IF(A193="","",MAX(E$4:E193))</f>
        <v/>
      </c>
      <c r="H193" s="14" t="str">
        <f t="shared" si="9"/>
        <v/>
      </c>
      <c r="I193" s="14" t="str">
        <f t="shared" si="10"/>
        <v/>
      </c>
      <c r="J193" s="15" t="str">
        <f t="shared" si="11"/>
        <v/>
      </c>
    </row>
    <row r="194" spans="1:10">
      <c r="A194" s="7" t="str">
        <f>IF(子基金及业绩基准周净值!A234="","",子基金及业绩基准周净值!A234)</f>
        <v/>
      </c>
      <c r="B194" s="1" t="str">
        <f>IF(A194="","",VLOOKUP($A194,子基金及业绩基准周净值!$A:$AV,18))</f>
        <v/>
      </c>
      <c r="C194" s="8" t="str">
        <f t="shared" si="8"/>
        <v/>
      </c>
      <c r="D194" s="9" t="str">
        <f>IF(A194="","",C194-(子基金及业绩基准周净值!AH234/子基金及业绩基准周净值!AH233-1))</f>
        <v/>
      </c>
      <c r="E194" s="12" t="str">
        <f>IF(A194="","",(MAX(B$3:B194)-B194)/MAX(B$3:B194))</f>
        <v/>
      </c>
      <c r="F194" s="12" t="str">
        <f>IF(A194="","",MAX(E$4:E194))</f>
        <v/>
      </c>
      <c r="H194" s="14" t="str">
        <f t="shared" si="9"/>
        <v/>
      </c>
      <c r="I194" s="14" t="str">
        <f t="shared" si="10"/>
        <v/>
      </c>
      <c r="J194" s="15" t="str">
        <f t="shared" si="11"/>
        <v/>
      </c>
    </row>
    <row r="195" spans="1:10">
      <c r="A195" s="7" t="str">
        <f>IF(子基金及业绩基准周净值!A235="","",子基金及业绩基准周净值!A235)</f>
        <v/>
      </c>
      <c r="B195" s="1" t="str">
        <f>IF(A195="","",VLOOKUP($A195,子基金及业绩基准周净值!$A:$AV,18))</f>
        <v/>
      </c>
      <c r="C195" s="8" t="str">
        <f t="shared" si="8"/>
        <v/>
      </c>
      <c r="D195" s="9" t="str">
        <f>IF(A195="","",C195-(子基金及业绩基准周净值!AH235/子基金及业绩基准周净值!AH234-1))</f>
        <v/>
      </c>
      <c r="E195" s="12" t="str">
        <f>IF(A195="","",(MAX(B$3:B195)-B195)/MAX(B$3:B195))</f>
        <v/>
      </c>
      <c r="F195" s="12" t="str">
        <f>IF(A195="","",MAX(E$4:E195))</f>
        <v/>
      </c>
      <c r="H195" s="14" t="str">
        <f t="shared" si="9"/>
        <v/>
      </c>
      <c r="I195" s="14" t="str">
        <f t="shared" si="10"/>
        <v/>
      </c>
      <c r="J195" s="15" t="str">
        <f t="shared" si="11"/>
        <v/>
      </c>
    </row>
    <row r="196" spans="1:10">
      <c r="A196" s="7" t="str">
        <f>IF(子基金及业绩基准周净值!A236="","",子基金及业绩基准周净值!A236)</f>
        <v/>
      </c>
      <c r="B196" s="1" t="str">
        <f>IF(A196="","",VLOOKUP($A196,子基金及业绩基准周净值!$A:$AV,18))</f>
        <v/>
      </c>
      <c r="C196" s="8" t="str">
        <f t="shared" si="8"/>
        <v/>
      </c>
      <c r="D196" s="9" t="str">
        <f>IF(A196="","",C196-(子基金及业绩基准周净值!AH236/子基金及业绩基准周净值!AH235-1))</f>
        <v/>
      </c>
      <c r="E196" s="12" t="str">
        <f>IF(A196="","",(MAX(B$3:B196)-B196)/MAX(B$3:B196))</f>
        <v/>
      </c>
      <c r="F196" s="12" t="str">
        <f>IF(A196="","",MAX(E$4:E196))</f>
        <v/>
      </c>
      <c r="H196" s="14" t="str">
        <f t="shared" si="9"/>
        <v/>
      </c>
      <c r="I196" s="14" t="str">
        <f t="shared" si="10"/>
        <v/>
      </c>
      <c r="J196" s="15" t="str">
        <f t="shared" si="11"/>
        <v/>
      </c>
    </row>
    <row r="197" spans="1:10">
      <c r="A197" s="7" t="str">
        <f>IF(子基金及业绩基准周净值!A237="","",子基金及业绩基准周净值!A237)</f>
        <v/>
      </c>
      <c r="B197" s="1" t="str">
        <f>IF(A197="","",VLOOKUP($A197,子基金及业绩基准周净值!$A:$AV,18))</f>
        <v/>
      </c>
      <c r="C197" s="8" t="str">
        <f t="shared" ref="C197:C260" si="12">IF(A197="","",(B197-B196)/B196)</f>
        <v/>
      </c>
      <c r="D197" s="9" t="str">
        <f>IF(A197="","",C197-(子基金及业绩基准周净值!AH237/子基金及业绩基准周净值!AH236-1))</f>
        <v/>
      </c>
      <c r="E197" s="12" t="str">
        <f>IF(A197="","",(MAX(B$3:B197)-B197)/MAX(B$3:B197))</f>
        <v/>
      </c>
      <c r="F197" s="12" t="str">
        <f>IF(A197="","",MAX(E$4:E197))</f>
        <v/>
      </c>
      <c r="H197" s="14" t="str">
        <f t="shared" ref="H197:H260" si="13">IF(B197="","",IF(C197&lt;-3%,"是","否"))</f>
        <v/>
      </c>
      <c r="I197" s="14" t="str">
        <f t="shared" ref="I197:I260" si="14">IF(A197="","",IF(F197&gt;5%,"是","否"))</f>
        <v/>
      </c>
      <c r="J197" s="15" t="str">
        <f t="shared" ref="J197:J260" si="15">IF(A197="","",IF(G197&gt;=4,"是","否"))</f>
        <v/>
      </c>
    </row>
    <row r="198" spans="1:10">
      <c r="A198" s="7" t="str">
        <f>IF(子基金及业绩基准周净值!A238="","",子基金及业绩基准周净值!A238)</f>
        <v/>
      </c>
      <c r="B198" s="1" t="str">
        <f>IF(A198="","",VLOOKUP($A198,子基金及业绩基准周净值!$A:$AV,18))</f>
        <v/>
      </c>
      <c r="C198" s="8" t="str">
        <f t="shared" si="12"/>
        <v/>
      </c>
      <c r="D198" s="9" t="str">
        <f>IF(A198="","",C198-(子基金及业绩基准周净值!AH238/子基金及业绩基准周净值!AH237-1))</f>
        <v/>
      </c>
      <c r="E198" s="12" t="str">
        <f>IF(A198="","",(MAX(B$3:B198)-B198)/MAX(B$3:B198))</f>
        <v/>
      </c>
      <c r="F198" s="12" t="str">
        <f>IF(A198="","",MAX(E$4:E198))</f>
        <v/>
      </c>
      <c r="H198" s="14" t="str">
        <f t="shared" si="13"/>
        <v/>
      </c>
      <c r="I198" s="14" t="str">
        <f t="shared" si="14"/>
        <v/>
      </c>
      <c r="J198" s="15" t="str">
        <f t="shared" si="15"/>
        <v/>
      </c>
    </row>
    <row r="199" spans="1:10">
      <c r="A199" s="7" t="str">
        <f>IF(子基金及业绩基准周净值!A239="","",子基金及业绩基准周净值!A239)</f>
        <v/>
      </c>
      <c r="B199" s="1" t="str">
        <f>IF(A199="","",VLOOKUP($A199,子基金及业绩基准周净值!$A:$AV,18))</f>
        <v/>
      </c>
      <c r="C199" s="8" t="str">
        <f t="shared" si="12"/>
        <v/>
      </c>
      <c r="D199" s="9" t="str">
        <f>IF(A199="","",C199-(子基金及业绩基准周净值!AH239/子基金及业绩基准周净值!AH238-1))</f>
        <v/>
      </c>
      <c r="E199" s="12" t="str">
        <f>IF(A199="","",(MAX(B$3:B199)-B199)/MAX(B$3:B199))</f>
        <v/>
      </c>
      <c r="F199" s="12" t="str">
        <f>IF(A199="","",MAX(E$4:E199))</f>
        <v/>
      </c>
      <c r="H199" s="14" t="str">
        <f t="shared" si="13"/>
        <v/>
      </c>
      <c r="I199" s="14" t="str">
        <f t="shared" si="14"/>
        <v/>
      </c>
      <c r="J199" s="15" t="str">
        <f t="shared" si="15"/>
        <v/>
      </c>
    </row>
    <row r="200" spans="1:10">
      <c r="A200" s="7" t="str">
        <f>IF(子基金及业绩基准周净值!A240="","",子基金及业绩基准周净值!A240)</f>
        <v/>
      </c>
      <c r="B200" s="1" t="str">
        <f>IF(A200="","",VLOOKUP($A200,子基金及业绩基准周净值!$A:$AV,18))</f>
        <v/>
      </c>
      <c r="C200" s="8" t="str">
        <f t="shared" si="12"/>
        <v/>
      </c>
      <c r="D200" s="9" t="str">
        <f>IF(A200="","",C200-(子基金及业绩基准周净值!AH240/子基金及业绩基准周净值!AH239-1))</f>
        <v/>
      </c>
      <c r="E200" s="12" t="str">
        <f>IF(A200="","",(MAX(B$3:B200)-B200)/MAX(B$3:B200))</f>
        <v/>
      </c>
      <c r="F200" s="12" t="str">
        <f>IF(A200="","",MAX(E$4:E200))</f>
        <v/>
      </c>
      <c r="H200" s="14" t="str">
        <f t="shared" si="13"/>
        <v/>
      </c>
      <c r="I200" s="14" t="str">
        <f t="shared" si="14"/>
        <v/>
      </c>
      <c r="J200" s="15" t="str">
        <f t="shared" si="15"/>
        <v/>
      </c>
    </row>
    <row r="201" spans="1:10">
      <c r="A201" s="7" t="str">
        <f>IF(子基金及业绩基准周净值!A241="","",子基金及业绩基准周净值!A241)</f>
        <v/>
      </c>
      <c r="B201" s="1" t="str">
        <f>IF(A201="","",VLOOKUP($A201,子基金及业绩基准周净值!$A:$AV,18))</f>
        <v/>
      </c>
      <c r="C201" s="8" t="str">
        <f t="shared" si="12"/>
        <v/>
      </c>
      <c r="D201" s="9" t="str">
        <f>IF(A201="","",C201-(子基金及业绩基准周净值!AH241/子基金及业绩基准周净值!AH240-1))</f>
        <v/>
      </c>
      <c r="E201" s="12" t="str">
        <f>IF(A201="","",(MAX(B$3:B201)-B201)/MAX(B$3:B201))</f>
        <v/>
      </c>
      <c r="F201" s="12" t="str">
        <f>IF(A201="","",MAX(E$4:E201))</f>
        <v/>
      </c>
      <c r="H201" s="14" t="str">
        <f t="shared" si="13"/>
        <v/>
      </c>
      <c r="I201" s="14" t="str">
        <f t="shared" si="14"/>
        <v/>
      </c>
      <c r="J201" s="15" t="str">
        <f t="shared" si="15"/>
        <v/>
      </c>
    </row>
    <row r="202" spans="1:10">
      <c r="A202" s="7" t="str">
        <f>IF(子基金及业绩基准周净值!A242="","",子基金及业绩基准周净值!A242)</f>
        <v/>
      </c>
      <c r="B202" s="1" t="str">
        <f>IF(A202="","",VLOOKUP($A202,子基金及业绩基准周净值!$A:$AV,18))</f>
        <v/>
      </c>
      <c r="C202" s="8" t="str">
        <f t="shared" si="12"/>
        <v/>
      </c>
      <c r="D202" s="9" t="str">
        <f>IF(A202="","",C202-(子基金及业绩基准周净值!AH242/子基金及业绩基准周净值!AH241-1))</f>
        <v/>
      </c>
      <c r="E202" s="12" t="str">
        <f>IF(A202="","",(MAX(B$3:B202)-B202)/MAX(B$3:B202))</f>
        <v/>
      </c>
      <c r="F202" s="12" t="str">
        <f>IF(A202="","",MAX(E$4:E202))</f>
        <v/>
      </c>
      <c r="H202" s="14" t="str">
        <f t="shared" si="13"/>
        <v/>
      </c>
      <c r="I202" s="14" t="str">
        <f t="shared" si="14"/>
        <v/>
      </c>
      <c r="J202" s="15" t="str">
        <f t="shared" si="15"/>
        <v/>
      </c>
    </row>
    <row r="203" spans="1:10">
      <c r="A203" s="7" t="str">
        <f>IF(子基金及业绩基准周净值!A243="","",子基金及业绩基准周净值!A243)</f>
        <v/>
      </c>
      <c r="B203" s="1" t="str">
        <f>IF(A203="","",VLOOKUP($A203,子基金及业绩基准周净值!$A:$AV,18))</f>
        <v/>
      </c>
      <c r="C203" s="8" t="str">
        <f t="shared" si="12"/>
        <v/>
      </c>
      <c r="D203" s="9" t="str">
        <f>IF(A203="","",C203-(子基金及业绩基准周净值!AH243/子基金及业绩基准周净值!AH242-1))</f>
        <v/>
      </c>
      <c r="E203" s="12" t="str">
        <f>IF(A203="","",(MAX(B$3:B203)-B203)/MAX(B$3:B203))</f>
        <v/>
      </c>
      <c r="F203" s="12" t="str">
        <f>IF(A203="","",MAX(E$4:E203))</f>
        <v/>
      </c>
      <c r="H203" s="14" t="str">
        <f t="shared" si="13"/>
        <v/>
      </c>
      <c r="I203" s="14" t="str">
        <f t="shared" si="14"/>
        <v/>
      </c>
      <c r="J203" s="15" t="str">
        <f t="shared" si="15"/>
        <v/>
      </c>
    </row>
    <row r="204" spans="1:10">
      <c r="A204" s="7" t="str">
        <f>IF(子基金及业绩基准周净值!A244="","",子基金及业绩基准周净值!A244)</f>
        <v/>
      </c>
      <c r="B204" s="1" t="str">
        <f>IF(A204="","",VLOOKUP($A204,子基金及业绩基准周净值!$A:$AV,18))</f>
        <v/>
      </c>
      <c r="C204" s="8" t="str">
        <f t="shared" si="12"/>
        <v/>
      </c>
      <c r="D204" s="9" t="str">
        <f>IF(A204="","",C204-(子基金及业绩基准周净值!AH244/子基金及业绩基准周净值!AH243-1))</f>
        <v/>
      </c>
      <c r="E204" s="12" t="str">
        <f>IF(A204="","",(MAX(B$3:B204)-B204)/MAX(B$3:B204))</f>
        <v/>
      </c>
      <c r="F204" s="12" t="str">
        <f>IF(A204="","",MAX(E$4:E204))</f>
        <v/>
      </c>
      <c r="H204" s="14" t="str">
        <f t="shared" si="13"/>
        <v/>
      </c>
      <c r="I204" s="14" t="str">
        <f t="shared" si="14"/>
        <v/>
      </c>
      <c r="J204" s="15" t="str">
        <f t="shared" si="15"/>
        <v/>
      </c>
    </row>
    <row r="205" spans="1:10">
      <c r="A205" s="7" t="str">
        <f>IF(子基金及业绩基准周净值!A245="","",子基金及业绩基准周净值!A245)</f>
        <v/>
      </c>
      <c r="B205" s="1" t="str">
        <f>IF(A205="","",VLOOKUP($A205,子基金及业绩基准周净值!$A:$AV,18))</f>
        <v/>
      </c>
      <c r="C205" s="8" t="str">
        <f t="shared" si="12"/>
        <v/>
      </c>
      <c r="D205" s="9" t="str">
        <f>IF(A205="","",C205-(子基金及业绩基准周净值!AH245/子基金及业绩基准周净值!AH244-1))</f>
        <v/>
      </c>
      <c r="E205" s="12" t="str">
        <f>IF(A205="","",(MAX(B$3:B205)-B205)/MAX(B$3:B205))</f>
        <v/>
      </c>
      <c r="F205" s="12" t="str">
        <f>IF(A205="","",MAX(E$4:E205))</f>
        <v/>
      </c>
      <c r="H205" s="14" t="str">
        <f t="shared" si="13"/>
        <v/>
      </c>
      <c r="I205" s="14" t="str">
        <f t="shared" si="14"/>
        <v/>
      </c>
      <c r="J205" s="15" t="str">
        <f t="shared" si="15"/>
        <v/>
      </c>
    </row>
    <row r="206" spans="1:10">
      <c r="A206" s="7" t="str">
        <f>IF(子基金及业绩基准周净值!A246="","",子基金及业绩基准周净值!A246)</f>
        <v/>
      </c>
      <c r="B206" s="1" t="str">
        <f>IF(A206="","",VLOOKUP($A206,子基金及业绩基准周净值!$A:$AV,18))</f>
        <v/>
      </c>
      <c r="C206" s="8" t="str">
        <f t="shared" si="12"/>
        <v/>
      </c>
      <c r="D206" s="9" t="str">
        <f>IF(A206="","",C206-(子基金及业绩基准周净值!AH246/子基金及业绩基准周净值!AH245-1))</f>
        <v/>
      </c>
      <c r="E206" s="12" t="str">
        <f>IF(A206="","",(MAX(B$3:B206)-B206)/MAX(B$3:B206))</f>
        <v/>
      </c>
      <c r="F206" s="12" t="str">
        <f>IF(A206="","",MAX(E$4:E206))</f>
        <v/>
      </c>
      <c r="H206" s="14" t="str">
        <f t="shared" si="13"/>
        <v/>
      </c>
      <c r="I206" s="14" t="str">
        <f t="shared" si="14"/>
        <v/>
      </c>
      <c r="J206" s="15" t="str">
        <f t="shared" si="15"/>
        <v/>
      </c>
    </row>
    <row r="207" spans="1:10">
      <c r="A207" s="7" t="str">
        <f>IF(子基金及业绩基准周净值!A247="","",子基金及业绩基准周净值!A247)</f>
        <v/>
      </c>
      <c r="B207" s="1" t="str">
        <f>IF(A207="","",VLOOKUP($A207,子基金及业绩基准周净值!$A:$AV,18))</f>
        <v/>
      </c>
      <c r="C207" s="8" t="str">
        <f t="shared" si="12"/>
        <v/>
      </c>
      <c r="D207" s="9" t="str">
        <f>IF(A207="","",C207-(子基金及业绩基准周净值!AH247/子基金及业绩基准周净值!AH246-1))</f>
        <v/>
      </c>
      <c r="E207" s="12" t="str">
        <f>IF(A207="","",(MAX(B$3:B207)-B207)/MAX(B$3:B207))</f>
        <v/>
      </c>
      <c r="F207" s="12" t="str">
        <f>IF(A207="","",MAX(E$4:E207))</f>
        <v/>
      </c>
      <c r="H207" s="14" t="str">
        <f t="shared" si="13"/>
        <v/>
      </c>
      <c r="I207" s="14" t="str">
        <f t="shared" si="14"/>
        <v/>
      </c>
      <c r="J207" s="15" t="str">
        <f t="shared" si="15"/>
        <v/>
      </c>
    </row>
    <row r="208" spans="1:10">
      <c r="A208" s="7" t="str">
        <f>IF(子基金及业绩基准周净值!A248="","",子基金及业绩基准周净值!A248)</f>
        <v/>
      </c>
      <c r="B208" s="1" t="str">
        <f>IF(A208="","",VLOOKUP($A208,子基金及业绩基准周净值!$A:$AV,18))</f>
        <v/>
      </c>
      <c r="C208" s="8" t="str">
        <f t="shared" si="12"/>
        <v/>
      </c>
      <c r="D208" s="9" t="str">
        <f>IF(A208="","",C208-(子基金及业绩基准周净值!AH248/子基金及业绩基准周净值!AH247-1))</f>
        <v/>
      </c>
      <c r="E208" s="12" t="str">
        <f>IF(A208="","",(MAX(B$3:B208)-B208)/MAX(B$3:B208))</f>
        <v/>
      </c>
      <c r="F208" s="12" t="str">
        <f>IF(A208="","",MAX(E$4:E208))</f>
        <v/>
      </c>
      <c r="H208" s="14" t="str">
        <f t="shared" si="13"/>
        <v/>
      </c>
      <c r="I208" s="14" t="str">
        <f t="shared" si="14"/>
        <v/>
      </c>
      <c r="J208" s="15" t="str">
        <f t="shared" si="15"/>
        <v/>
      </c>
    </row>
    <row r="209" spans="1:10">
      <c r="A209" s="7" t="str">
        <f>IF(子基金及业绩基准周净值!A249="","",子基金及业绩基准周净值!A249)</f>
        <v/>
      </c>
      <c r="B209" s="1" t="str">
        <f>IF(A209="","",VLOOKUP($A209,子基金及业绩基准周净值!$A:$AV,18))</f>
        <v/>
      </c>
      <c r="C209" s="8" t="str">
        <f t="shared" si="12"/>
        <v/>
      </c>
      <c r="D209" s="9" t="str">
        <f>IF(A209="","",C209-(子基金及业绩基准周净值!AH249/子基金及业绩基准周净值!AH248-1))</f>
        <v/>
      </c>
      <c r="E209" s="12" t="str">
        <f>IF(A209="","",(MAX(B$3:B209)-B209)/MAX(B$3:B209))</f>
        <v/>
      </c>
      <c r="F209" s="12" t="str">
        <f>IF(A209="","",MAX(E$4:E209))</f>
        <v/>
      </c>
      <c r="H209" s="14" t="str">
        <f t="shared" si="13"/>
        <v/>
      </c>
      <c r="I209" s="14" t="str">
        <f t="shared" si="14"/>
        <v/>
      </c>
      <c r="J209" s="15" t="str">
        <f t="shared" si="15"/>
        <v/>
      </c>
    </row>
    <row r="210" spans="1:10">
      <c r="A210" s="7" t="str">
        <f>IF(子基金及业绩基准周净值!A250="","",子基金及业绩基准周净值!A250)</f>
        <v/>
      </c>
      <c r="B210" s="1" t="str">
        <f>IF(A210="","",VLOOKUP($A210,子基金及业绩基准周净值!$A:$AV,18))</f>
        <v/>
      </c>
      <c r="C210" s="8" t="str">
        <f t="shared" si="12"/>
        <v/>
      </c>
      <c r="D210" s="9" t="str">
        <f>IF(A210="","",C210-(子基金及业绩基准周净值!AH250/子基金及业绩基准周净值!AH249-1))</f>
        <v/>
      </c>
      <c r="E210" s="12" t="str">
        <f>IF(A210="","",(MAX(B$3:B210)-B210)/MAX(B$3:B210))</f>
        <v/>
      </c>
      <c r="F210" s="12" t="str">
        <f>IF(A210="","",MAX(E$4:E210))</f>
        <v/>
      </c>
      <c r="H210" s="14" t="str">
        <f t="shared" si="13"/>
        <v/>
      </c>
      <c r="I210" s="14" t="str">
        <f t="shared" si="14"/>
        <v/>
      </c>
      <c r="J210" s="15" t="str">
        <f t="shared" si="15"/>
        <v/>
      </c>
    </row>
    <row r="211" spans="1:10">
      <c r="A211" s="7" t="str">
        <f>IF(子基金及业绩基准周净值!A251="","",子基金及业绩基准周净值!A251)</f>
        <v/>
      </c>
      <c r="B211" s="1" t="str">
        <f>IF(A211="","",VLOOKUP($A211,子基金及业绩基准周净值!$A:$AV,18))</f>
        <v/>
      </c>
      <c r="C211" s="8" t="str">
        <f t="shared" si="12"/>
        <v/>
      </c>
      <c r="D211" s="9" t="str">
        <f>IF(A211="","",C211-(子基金及业绩基准周净值!AH251/子基金及业绩基准周净值!AH250-1))</f>
        <v/>
      </c>
      <c r="E211" s="12" t="str">
        <f>IF(A211="","",(MAX(B$3:B211)-B211)/MAX(B$3:B211))</f>
        <v/>
      </c>
      <c r="F211" s="12" t="str">
        <f>IF(A211="","",MAX(E$4:E211))</f>
        <v/>
      </c>
      <c r="H211" s="14" t="str">
        <f t="shared" si="13"/>
        <v/>
      </c>
      <c r="I211" s="14" t="str">
        <f t="shared" si="14"/>
        <v/>
      </c>
      <c r="J211" s="15" t="str">
        <f t="shared" si="15"/>
        <v/>
      </c>
    </row>
    <row r="212" spans="1:10">
      <c r="A212" s="7" t="str">
        <f>IF(子基金及业绩基准周净值!A252="","",子基金及业绩基准周净值!A252)</f>
        <v/>
      </c>
      <c r="B212" s="1" t="str">
        <f>IF(A212="","",VLOOKUP($A212,子基金及业绩基准周净值!$A:$AV,18))</f>
        <v/>
      </c>
      <c r="C212" s="8" t="str">
        <f t="shared" si="12"/>
        <v/>
      </c>
      <c r="D212" s="9" t="str">
        <f>IF(A212="","",C212-(子基金及业绩基准周净值!AH252/子基金及业绩基准周净值!AH251-1))</f>
        <v/>
      </c>
      <c r="E212" s="12" t="str">
        <f>IF(A212="","",(MAX(B$3:B212)-B212)/MAX(B$3:B212))</f>
        <v/>
      </c>
      <c r="F212" s="12" t="str">
        <f>IF(A212="","",MAX(E$4:E212))</f>
        <v/>
      </c>
      <c r="H212" s="14" t="str">
        <f t="shared" si="13"/>
        <v/>
      </c>
      <c r="I212" s="14" t="str">
        <f t="shared" si="14"/>
        <v/>
      </c>
      <c r="J212" s="15" t="str">
        <f t="shared" si="15"/>
        <v/>
      </c>
    </row>
    <row r="213" spans="1:10">
      <c r="A213" s="7" t="str">
        <f>IF(子基金及业绩基准周净值!A253="","",子基金及业绩基准周净值!A253)</f>
        <v/>
      </c>
      <c r="B213" s="1" t="str">
        <f>IF(A213="","",VLOOKUP($A213,子基金及业绩基准周净值!$A:$AV,18))</f>
        <v/>
      </c>
      <c r="C213" s="8" t="str">
        <f t="shared" si="12"/>
        <v/>
      </c>
      <c r="D213" s="9" t="str">
        <f>IF(A213="","",C213-(子基金及业绩基准周净值!AH253/子基金及业绩基准周净值!AH252-1))</f>
        <v/>
      </c>
      <c r="E213" s="12" t="str">
        <f>IF(A213="","",(MAX(B$3:B213)-B213)/MAX(B$3:B213))</f>
        <v/>
      </c>
      <c r="F213" s="12" t="str">
        <f>IF(A213="","",MAX(E$4:E213))</f>
        <v/>
      </c>
      <c r="H213" s="14" t="str">
        <f t="shared" si="13"/>
        <v/>
      </c>
      <c r="I213" s="14" t="str">
        <f t="shared" si="14"/>
        <v/>
      </c>
      <c r="J213" s="15" t="str">
        <f t="shared" si="15"/>
        <v/>
      </c>
    </row>
    <row r="214" spans="1:10">
      <c r="A214" s="7" t="str">
        <f>IF(子基金及业绩基准周净值!A254="","",子基金及业绩基准周净值!A254)</f>
        <v/>
      </c>
      <c r="B214" s="1" t="str">
        <f>IF(A214="","",VLOOKUP($A214,子基金及业绩基准周净值!$A:$AV,18))</f>
        <v/>
      </c>
      <c r="C214" s="8" t="str">
        <f t="shared" si="12"/>
        <v/>
      </c>
      <c r="D214" s="9" t="str">
        <f>IF(A214="","",C214-(子基金及业绩基准周净值!AH254/子基金及业绩基准周净值!AH253-1))</f>
        <v/>
      </c>
      <c r="E214" s="12" t="str">
        <f>IF(A214="","",(MAX(B$3:B214)-B214)/MAX(B$3:B214))</f>
        <v/>
      </c>
      <c r="F214" s="12" t="str">
        <f>IF(A214="","",MAX(E$4:E214))</f>
        <v/>
      </c>
      <c r="H214" s="14" t="str">
        <f t="shared" si="13"/>
        <v/>
      </c>
      <c r="I214" s="14" t="str">
        <f t="shared" si="14"/>
        <v/>
      </c>
      <c r="J214" s="15" t="str">
        <f t="shared" si="15"/>
        <v/>
      </c>
    </row>
    <row r="215" spans="1:10">
      <c r="A215" s="7" t="str">
        <f>IF(子基金及业绩基准周净值!A255="","",子基金及业绩基准周净值!A255)</f>
        <v/>
      </c>
      <c r="B215" s="1" t="str">
        <f>IF(A215="","",VLOOKUP($A215,子基金及业绩基准周净值!$A:$AV,18))</f>
        <v/>
      </c>
      <c r="C215" s="8" t="str">
        <f t="shared" si="12"/>
        <v/>
      </c>
      <c r="D215" s="9" t="str">
        <f>IF(A215="","",C215-(子基金及业绩基准周净值!AH255/子基金及业绩基准周净值!AH254-1))</f>
        <v/>
      </c>
      <c r="E215" s="12" t="str">
        <f>IF(A215="","",(MAX(B$3:B215)-B215)/MAX(B$3:B215))</f>
        <v/>
      </c>
      <c r="F215" s="12" t="str">
        <f>IF(A215="","",MAX(E$4:E215))</f>
        <v/>
      </c>
      <c r="H215" s="14" t="str">
        <f t="shared" si="13"/>
        <v/>
      </c>
      <c r="I215" s="14" t="str">
        <f t="shared" si="14"/>
        <v/>
      </c>
      <c r="J215" s="15" t="str">
        <f t="shared" si="15"/>
        <v/>
      </c>
    </row>
    <row r="216" spans="1:10">
      <c r="A216" s="7" t="str">
        <f>IF(子基金及业绩基准周净值!A256="","",子基金及业绩基准周净值!A256)</f>
        <v/>
      </c>
      <c r="B216" s="1" t="str">
        <f>IF(A216="","",VLOOKUP($A216,子基金及业绩基准周净值!$A:$AV,18))</f>
        <v/>
      </c>
      <c r="C216" s="8" t="str">
        <f t="shared" si="12"/>
        <v/>
      </c>
      <c r="D216" s="9" t="str">
        <f>IF(A216="","",C216-(子基金及业绩基准周净值!AH256/子基金及业绩基准周净值!AH255-1))</f>
        <v/>
      </c>
      <c r="E216" s="12" t="str">
        <f>IF(A216="","",(MAX(B$3:B216)-B216)/MAX(B$3:B216))</f>
        <v/>
      </c>
      <c r="F216" s="12" t="str">
        <f>IF(A216="","",MAX(E$4:E216))</f>
        <v/>
      </c>
      <c r="H216" s="14" t="str">
        <f t="shared" si="13"/>
        <v/>
      </c>
      <c r="I216" s="14" t="str">
        <f t="shared" si="14"/>
        <v/>
      </c>
      <c r="J216" s="15" t="str">
        <f t="shared" si="15"/>
        <v/>
      </c>
    </row>
    <row r="217" spans="1:10">
      <c r="A217" s="7" t="str">
        <f>IF(子基金及业绩基准周净值!A257="","",子基金及业绩基准周净值!A257)</f>
        <v/>
      </c>
      <c r="B217" s="1" t="str">
        <f>IF(A217="","",VLOOKUP($A217,子基金及业绩基准周净值!$A:$AV,18))</f>
        <v/>
      </c>
      <c r="C217" s="8" t="str">
        <f t="shared" si="12"/>
        <v/>
      </c>
      <c r="D217" s="9" t="str">
        <f>IF(A217="","",C217-(子基金及业绩基准周净值!AH257/子基金及业绩基准周净值!AH256-1))</f>
        <v/>
      </c>
      <c r="E217" s="12" t="str">
        <f>IF(A217="","",(MAX(B$3:B217)-B217)/MAX(B$3:B217))</f>
        <v/>
      </c>
      <c r="F217" s="12" t="str">
        <f>IF(A217="","",MAX(E$4:E217))</f>
        <v/>
      </c>
      <c r="H217" s="14" t="str">
        <f t="shared" si="13"/>
        <v/>
      </c>
      <c r="I217" s="14" t="str">
        <f t="shared" si="14"/>
        <v/>
      </c>
      <c r="J217" s="15" t="str">
        <f t="shared" si="15"/>
        <v/>
      </c>
    </row>
    <row r="218" spans="1:10">
      <c r="A218" s="7" t="str">
        <f>IF(子基金及业绩基准周净值!A258="","",子基金及业绩基准周净值!A258)</f>
        <v/>
      </c>
      <c r="B218" s="1" t="str">
        <f>IF(A218="","",VLOOKUP($A218,子基金及业绩基准周净值!$A:$AV,18))</f>
        <v/>
      </c>
      <c r="C218" s="8" t="str">
        <f t="shared" si="12"/>
        <v/>
      </c>
      <c r="D218" s="9" t="str">
        <f>IF(A218="","",C218-(子基金及业绩基准周净值!AH258/子基金及业绩基准周净值!AH257-1))</f>
        <v/>
      </c>
      <c r="E218" s="12" t="str">
        <f>IF(A218="","",(MAX(B$3:B218)-B218)/MAX(B$3:B218))</f>
        <v/>
      </c>
      <c r="F218" s="12" t="str">
        <f>IF(A218="","",MAX(E$4:E218))</f>
        <v/>
      </c>
      <c r="H218" s="14" t="str">
        <f t="shared" si="13"/>
        <v/>
      </c>
      <c r="I218" s="14" t="str">
        <f t="shared" si="14"/>
        <v/>
      </c>
      <c r="J218" s="15" t="str">
        <f t="shared" si="15"/>
        <v/>
      </c>
    </row>
    <row r="219" spans="1:10">
      <c r="A219" s="7" t="str">
        <f>IF(子基金及业绩基准周净值!A259="","",子基金及业绩基准周净值!A259)</f>
        <v/>
      </c>
      <c r="B219" s="1" t="str">
        <f>IF(A219="","",VLOOKUP($A219,子基金及业绩基准周净值!$A:$AV,18))</f>
        <v/>
      </c>
      <c r="C219" s="8" t="str">
        <f t="shared" si="12"/>
        <v/>
      </c>
      <c r="D219" s="9" t="str">
        <f>IF(A219="","",C219-(子基金及业绩基准周净值!AH259/子基金及业绩基准周净值!AH258-1))</f>
        <v/>
      </c>
      <c r="E219" s="12" t="str">
        <f>IF(A219="","",(MAX(B$3:B219)-B219)/MAX(B$3:B219))</f>
        <v/>
      </c>
      <c r="F219" s="12" t="str">
        <f>IF(A219="","",MAX(E$4:E219))</f>
        <v/>
      </c>
      <c r="H219" s="14" t="str">
        <f t="shared" si="13"/>
        <v/>
      </c>
      <c r="I219" s="14" t="str">
        <f t="shared" si="14"/>
        <v/>
      </c>
      <c r="J219" s="15" t="str">
        <f t="shared" si="15"/>
        <v/>
      </c>
    </row>
    <row r="220" spans="1:10">
      <c r="A220" s="7" t="str">
        <f>IF(子基金及业绩基准周净值!A260="","",子基金及业绩基准周净值!A260)</f>
        <v/>
      </c>
      <c r="B220" s="1" t="str">
        <f>IF(A220="","",VLOOKUP($A220,子基金及业绩基准周净值!$A:$AV,18))</f>
        <v/>
      </c>
      <c r="C220" s="8" t="str">
        <f t="shared" si="12"/>
        <v/>
      </c>
      <c r="D220" s="9" t="str">
        <f>IF(A220="","",C220-(子基金及业绩基准周净值!AH260/子基金及业绩基准周净值!AH259-1))</f>
        <v/>
      </c>
      <c r="E220" s="12" t="str">
        <f>IF(A220="","",(MAX(B$3:B220)-B220)/MAX(B$3:B220))</f>
        <v/>
      </c>
      <c r="F220" s="12" t="str">
        <f>IF(A220="","",MAX(E$4:E220))</f>
        <v/>
      </c>
      <c r="H220" s="14" t="str">
        <f t="shared" si="13"/>
        <v/>
      </c>
      <c r="I220" s="14" t="str">
        <f t="shared" si="14"/>
        <v/>
      </c>
      <c r="J220" s="15" t="str">
        <f t="shared" si="15"/>
        <v/>
      </c>
    </row>
    <row r="221" spans="1:10">
      <c r="A221" s="7" t="str">
        <f>IF(子基金及业绩基准周净值!A261="","",子基金及业绩基准周净值!A261)</f>
        <v/>
      </c>
      <c r="B221" s="1" t="str">
        <f>IF(A221="","",VLOOKUP($A221,子基金及业绩基准周净值!$A:$AV,18))</f>
        <v/>
      </c>
      <c r="C221" s="8" t="str">
        <f t="shared" si="12"/>
        <v/>
      </c>
      <c r="D221" s="9" t="str">
        <f>IF(A221="","",C221-(子基金及业绩基准周净值!AH261/子基金及业绩基准周净值!AH260-1))</f>
        <v/>
      </c>
      <c r="E221" s="12" t="str">
        <f>IF(A221="","",(MAX(B$3:B221)-B221)/MAX(B$3:B221))</f>
        <v/>
      </c>
      <c r="F221" s="12" t="str">
        <f>IF(A221="","",MAX(E$4:E221))</f>
        <v/>
      </c>
      <c r="H221" s="14" t="str">
        <f t="shared" si="13"/>
        <v/>
      </c>
      <c r="I221" s="14" t="str">
        <f t="shared" si="14"/>
        <v/>
      </c>
      <c r="J221" s="15" t="str">
        <f t="shared" si="15"/>
        <v/>
      </c>
    </row>
    <row r="222" spans="1:10">
      <c r="A222" s="7" t="str">
        <f>IF(子基金及业绩基准周净值!A262="","",子基金及业绩基准周净值!A262)</f>
        <v/>
      </c>
      <c r="B222" s="1" t="str">
        <f>IF(A222="","",VLOOKUP($A222,子基金及业绩基准周净值!$A:$AV,18))</f>
        <v/>
      </c>
      <c r="C222" s="8" t="str">
        <f t="shared" si="12"/>
        <v/>
      </c>
      <c r="D222" s="9" t="str">
        <f>IF(A222="","",C222-(子基金及业绩基准周净值!AH262/子基金及业绩基准周净值!AH261-1))</f>
        <v/>
      </c>
      <c r="E222" s="12" t="str">
        <f>IF(A222="","",(MAX(B$3:B222)-B222)/MAX(B$3:B222))</f>
        <v/>
      </c>
      <c r="F222" s="12" t="str">
        <f>IF(A222="","",MAX(E$4:E222))</f>
        <v/>
      </c>
      <c r="H222" s="14" t="str">
        <f t="shared" si="13"/>
        <v/>
      </c>
      <c r="I222" s="14" t="str">
        <f t="shared" si="14"/>
        <v/>
      </c>
      <c r="J222" s="15" t="str">
        <f t="shared" si="15"/>
        <v/>
      </c>
    </row>
    <row r="223" spans="1:10">
      <c r="A223" s="7" t="str">
        <f>IF(子基金及业绩基准周净值!A263="","",子基金及业绩基准周净值!A263)</f>
        <v/>
      </c>
      <c r="B223" s="1" t="str">
        <f>IF(A223="","",VLOOKUP($A223,子基金及业绩基准周净值!$A:$AV,18))</f>
        <v/>
      </c>
      <c r="C223" s="8" t="str">
        <f t="shared" si="12"/>
        <v/>
      </c>
      <c r="D223" s="9" t="str">
        <f>IF(A223="","",C223-(子基金及业绩基准周净值!AH263/子基金及业绩基准周净值!AH262-1))</f>
        <v/>
      </c>
      <c r="E223" s="12" t="str">
        <f>IF(A223="","",(MAX(B$3:B223)-B223)/MAX(B$3:B223))</f>
        <v/>
      </c>
      <c r="F223" s="12" t="str">
        <f>IF(A223="","",MAX(E$4:E223))</f>
        <v/>
      </c>
      <c r="H223" s="14" t="str">
        <f t="shared" si="13"/>
        <v/>
      </c>
      <c r="I223" s="14" t="str">
        <f t="shared" si="14"/>
        <v/>
      </c>
      <c r="J223" s="15" t="str">
        <f t="shared" si="15"/>
        <v/>
      </c>
    </row>
    <row r="224" spans="1:10">
      <c r="A224" s="7" t="str">
        <f>IF(子基金及业绩基准周净值!A264="","",子基金及业绩基准周净值!A264)</f>
        <v/>
      </c>
      <c r="B224" s="1" t="str">
        <f>IF(A224="","",VLOOKUP($A224,子基金及业绩基准周净值!$A:$AV,18))</f>
        <v/>
      </c>
      <c r="C224" s="8" t="str">
        <f t="shared" si="12"/>
        <v/>
      </c>
      <c r="D224" s="9" t="str">
        <f>IF(A224="","",C224-(子基金及业绩基准周净值!AH264/子基金及业绩基准周净值!AH263-1))</f>
        <v/>
      </c>
      <c r="E224" s="12" t="str">
        <f>IF(A224="","",(MAX(B$3:B224)-B224)/MAX(B$3:B224))</f>
        <v/>
      </c>
      <c r="F224" s="12" t="str">
        <f>IF(A224="","",MAX(E$4:E224))</f>
        <v/>
      </c>
      <c r="H224" s="14" t="str">
        <f t="shared" si="13"/>
        <v/>
      </c>
      <c r="I224" s="14" t="str">
        <f t="shared" si="14"/>
        <v/>
      </c>
      <c r="J224" s="15" t="str">
        <f t="shared" si="15"/>
        <v/>
      </c>
    </row>
    <row r="225" spans="1:10">
      <c r="A225" s="7" t="str">
        <f>IF(子基金及业绩基准周净值!A265="","",子基金及业绩基准周净值!A265)</f>
        <v/>
      </c>
      <c r="B225" s="1" t="str">
        <f>IF(A225="","",VLOOKUP($A225,子基金及业绩基准周净值!$A:$AV,18))</f>
        <v/>
      </c>
      <c r="C225" s="8" t="str">
        <f t="shared" si="12"/>
        <v/>
      </c>
      <c r="D225" s="9" t="str">
        <f>IF(A225="","",C225-(子基金及业绩基准周净值!AH265/子基金及业绩基准周净值!AH264-1))</f>
        <v/>
      </c>
      <c r="E225" s="12" t="str">
        <f>IF(A225="","",(MAX(B$3:B225)-B225)/MAX(B$3:B225))</f>
        <v/>
      </c>
      <c r="F225" s="12" t="str">
        <f>IF(A225="","",MAX(E$4:E225))</f>
        <v/>
      </c>
      <c r="H225" s="14" t="str">
        <f t="shared" si="13"/>
        <v/>
      </c>
      <c r="I225" s="14" t="str">
        <f t="shared" si="14"/>
        <v/>
      </c>
      <c r="J225" s="15" t="str">
        <f t="shared" si="15"/>
        <v/>
      </c>
    </row>
    <row r="226" spans="1:10">
      <c r="A226" s="7" t="str">
        <f>IF(子基金及业绩基准周净值!A266="","",子基金及业绩基准周净值!A266)</f>
        <v/>
      </c>
      <c r="B226" s="1" t="str">
        <f>IF(A226="","",VLOOKUP($A226,子基金及业绩基准周净值!$A:$AV,18))</f>
        <v/>
      </c>
      <c r="C226" s="8" t="str">
        <f t="shared" si="12"/>
        <v/>
      </c>
      <c r="D226" s="9" t="str">
        <f>IF(A226="","",C226-(子基金及业绩基准周净值!AH266/子基金及业绩基准周净值!AH265-1))</f>
        <v/>
      </c>
      <c r="E226" s="12" t="str">
        <f>IF(A226="","",(MAX(B$3:B226)-B226)/MAX(B$3:B226))</f>
        <v/>
      </c>
      <c r="F226" s="12" t="str">
        <f>IF(A226="","",MAX(E$4:E226))</f>
        <v/>
      </c>
      <c r="H226" s="14" t="str">
        <f t="shared" si="13"/>
        <v/>
      </c>
      <c r="I226" s="14" t="str">
        <f t="shared" si="14"/>
        <v/>
      </c>
      <c r="J226" s="15" t="str">
        <f t="shared" si="15"/>
        <v/>
      </c>
    </row>
    <row r="227" spans="1:10">
      <c r="A227" s="7" t="str">
        <f>IF(子基金及业绩基准周净值!A267="","",子基金及业绩基准周净值!A267)</f>
        <v/>
      </c>
      <c r="B227" s="1" t="str">
        <f>IF(A227="","",VLOOKUP($A227,子基金及业绩基准周净值!$A:$AV,18))</f>
        <v/>
      </c>
      <c r="C227" s="8" t="str">
        <f t="shared" si="12"/>
        <v/>
      </c>
      <c r="D227" s="9" t="str">
        <f>IF(A227="","",C227-(子基金及业绩基准周净值!AH267/子基金及业绩基准周净值!AH266-1))</f>
        <v/>
      </c>
      <c r="E227" s="12" t="str">
        <f>IF(A227="","",(MAX(B$3:B227)-B227)/MAX(B$3:B227))</f>
        <v/>
      </c>
      <c r="F227" s="12" t="str">
        <f>IF(A227="","",MAX(E$4:E227))</f>
        <v/>
      </c>
      <c r="H227" s="14" t="str">
        <f t="shared" si="13"/>
        <v/>
      </c>
      <c r="I227" s="14" t="str">
        <f t="shared" si="14"/>
        <v/>
      </c>
      <c r="J227" s="15" t="str">
        <f t="shared" si="15"/>
        <v/>
      </c>
    </row>
    <row r="228" spans="1:10">
      <c r="A228" s="7" t="str">
        <f>IF(子基金及业绩基准周净值!A268="","",子基金及业绩基准周净值!A268)</f>
        <v/>
      </c>
      <c r="B228" s="1" t="str">
        <f>IF(A228="","",VLOOKUP($A228,子基金及业绩基准周净值!$A:$AV,18))</f>
        <v/>
      </c>
      <c r="C228" s="8" t="str">
        <f t="shared" si="12"/>
        <v/>
      </c>
      <c r="D228" s="9" t="str">
        <f>IF(A228="","",C228-(子基金及业绩基准周净值!AH268/子基金及业绩基准周净值!AH267-1))</f>
        <v/>
      </c>
      <c r="E228" s="12" t="str">
        <f>IF(A228="","",(MAX(B$3:B228)-B228)/MAX(B$3:B228))</f>
        <v/>
      </c>
      <c r="F228" s="12" t="str">
        <f>IF(A228="","",MAX(E$4:E228))</f>
        <v/>
      </c>
      <c r="H228" s="14" t="str">
        <f t="shared" si="13"/>
        <v/>
      </c>
      <c r="I228" s="14" t="str">
        <f t="shared" si="14"/>
        <v/>
      </c>
      <c r="J228" s="15" t="str">
        <f t="shared" si="15"/>
        <v/>
      </c>
    </row>
    <row r="229" spans="1:10">
      <c r="A229" s="7" t="str">
        <f>IF(子基金及业绩基准周净值!A269="","",子基金及业绩基准周净值!A269)</f>
        <v/>
      </c>
      <c r="B229" s="1" t="str">
        <f>IF(A229="","",VLOOKUP($A229,子基金及业绩基准周净值!$A:$AV,18))</f>
        <v/>
      </c>
      <c r="C229" s="8" t="str">
        <f t="shared" si="12"/>
        <v/>
      </c>
      <c r="D229" s="9" t="str">
        <f>IF(A229="","",C229-(子基金及业绩基准周净值!AH269/子基金及业绩基准周净值!AH268-1))</f>
        <v/>
      </c>
      <c r="E229" s="12" t="str">
        <f>IF(A229="","",(MAX(B$3:B229)-B229)/MAX(B$3:B229))</f>
        <v/>
      </c>
      <c r="F229" s="12" t="str">
        <f>IF(A229="","",MAX(E$4:E229))</f>
        <v/>
      </c>
      <c r="H229" s="14" t="str">
        <f t="shared" si="13"/>
        <v/>
      </c>
      <c r="I229" s="14" t="str">
        <f t="shared" si="14"/>
        <v/>
      </c>
      <c r="J229" s="15" t="str">
        <f t="shared" si="15"/>
        <v/>
      </c>
    </row>
    <row r="230" spans="1:10">
      <c r="A230" s="7" t="str">
        <f>IF(子基金及业绩基准周净值!A270="","",子基金及业绩基准周净值!A270)</f>
        <v/>
      </c>
      <c r="B230" s="1" t="str">
        <f>IF(A230="","",VLOOKUP($A230,子基金及业绩基准周净值!$A:$AV,18))</f>
        <v/>
      </c>
      <c r="C230" s="8" t="str">
        <f t="shared" si="12"/>
        <v/>
      </c>
      <c r="D230" s="9" t="str">
        <f>IF(A230="","",C230-(子基金及业绩基准周净值!AH270/子基金及业绩基准周净值!AH269-1))</f>
        <v/>
      </c>
      <c r="E230" s="12" t="str">
        <f>IF(A230="","",(MAX(B$3:B230)-B230)/MAX(B$3:B230))</f>
        <v/>
      </c>
      <c r="F230" s="12" t="str">
        <f>IF(A230="","",MAX(E$4:E230))</f>
        <v/>
      </c>
      <c r="H230" s="14" t="str">
        <f t="shared" si="13"/>
        <v/>
      </c>
      <c r="I230" s="14" t="str">
        <f t="shared" si="14"/>
        <v/>
      </c>
      <c r="J230" s="15" t="str">
        <f t="shared" si="15"/>
        <v/>
      </c>
    </row>
    <row r="231" spans="1:10">
      <c r="A231" s="7" t="str">
        <f>IF(子基金及业绩基准周净值!A271="","",子基金及业绩基准周净值!A271)</f>
        <v/>
      </c>
      <c r="B231" s="1" t="str">
        <f>IF(A231="","",VLOOKUP($A231,子基金及业绩基准周净值!$A:$AV,18))</f>
        <v/>
      </c>
      <c r="C231" s="8" t="str">
        <f t="shared" si="12"/>
        <v/>
      </c>
      <c r="D231" s="9" t="str">
        <f>IF(A231="","",C231-(子基金及业绩基准周净值!AH271/子基金及业绩基准周净值!AH270-1))</f>
        <v/>
      </c>
      <c r="E231" s="12" t="str">
        <f>IF(A231="","",(MAX(B$3:B231)-B231)/MAX(B$3:B231))</f>
        <v/>
      </c>
      <c r="F231" s="12" t="str">
        <f>IF(A231="","",MAX(E$4:E231))</f>
        <v/>
      </c>
      <c r="H231" s="14" t="str">
        <f t="shared" si="13"/>
        <v/>
      </c>
      <c r="I231" s="14" t="str">
        <f t="shared" si="14"/>
        <v/>
      </c>
      <c r="J231" s="15" t="str">
        <f t="shared" si="15"/>
        <v/>
      </c>
    </row>
    <row r="232" spans="1:10">
      <c r="A232" s="7" t="str">
        <f>IF(子基金及业绩基准周净值!A272="","",子基金及业绩基准周净值!A272)</f>
        <v/>
      </c>
      <c r="B232" s="1" t="str">
        <f>IF(A232="","",VLOOKUP($A232,子基金及业绩基准周净值!$A:$AV,18))</f>
        <v/>
      </c>
      <c r="C232" s="8" t="str">
        <f t="shared" si="12"/>
        <v/>
      </c>
      <c r="D232" s="9" t="str">
        <f>IF(A232="","",C232-(子基金及业绩基准周净值!AH272/子基金及业绩基准周净值!AH271-1))</f>
        <v/>
      </c>
      <c r="E232" s="12" t="str">
        <f>IF(A232="","",(MAX(B$3:B232)-B232)/MAX(B$3:B232))</f>
        <v/>
      </c>
      <c r="F232" s="12" t="str">
        <f>IF(A232="","",MAX(E$4:E232))</f>
        <v/>
      </c>
      <c r="H232" s="14" t="str">
        <f t="shared" si="13"/>
        <v/>
      </c>
      <c r="I232" s="14" t="str">
        <f t="shared" si="14"/>
        <v/>
      </c>
      <c r="J232" s="15" t="str">
        <f t="shared" si="15"/>
        <v/>
      </c>
    </row>
    <row r="233" spans="1:10">
      <c r="A233" s="7" t="str">
        <f>IF(子基金及业绩基准周净值!A273="","",子基金及业绩基准周净值!A273)</f>
        <v/>
      </c>
      <c r="B233" s="1" t="str">
        <f>IF(A233="","",VLOOKUP($A233,子基金及业绩基准周净值!$A:$AV,18))</f>
        <v/>
      </c>
      <c r="C233" s="8" t="str">
        <f t="shared" si="12"/>
        <v/>
      </c>
      <c r="D233" s="9" t="str">
        <f>IF(A233="","",C233-(子基金及业绩基准周净值!AH273/子基金及业绩基准周净值!AH272-1))</f>
        <v/>
      </c>
      <c r="E233" s="12" t="str">
        <f>IF(A233="","",(MAX(B$3:B233)-B233)/MAX(B$3:B233))</f>
        <v/>
      </c>
      <c r="F233" s="12" t="str">
        <f>IF(A233="","",MAX(E$4:E233))</f>
        <v/>
      </c>
      <c r="H233" s="14" t="str">
        <f t="shared" si="13"/>
        <v/>
      </c>
      <c r="I233" s="14" t="str">
        <f t="shared" si="14"/>
        <v/>
      </c>
      <c r="J233" s="15" t="str">
        <f t="shared" si="15"/>
        <v/>
      </c>
    </row>
    <row r="234" spans="1:10">
      <c r="A234" s="7" t="str">
        <f>IF(子基金及业绩基准周净值!A274="","",子基金及业绩基准周净值!A274)</f>
        <v/>
      </c>
      <c r="B234" s="1" t="str">
        <f>IF(A234="","",VLOOKUP($A234,子基金及业绩基准周净值!$A:$AV,18))</f>
        <v/>
      </c>
      <c r="C234" s="8" t="str">
        <f t="shared" si="12"/>
        <v/>
      </c>
      <c r="D234" s="9" t="str">
        <f>IF(A234="","",C234-(子基金及业绩基准周净值!AH274/子基金及业绩基准周净值!AH273-1))</f>
        <v/>
      </c>
      <c r="E234" s="12" t="str">
        <f>IF(A234="","",(MAX(B$3:B234)-B234)/MAX(B$3:B234))</f>
        <v/>
      </c>
      <c r="F234" s="12" t="str">
        <f>IF(A234="","",MAX(E$4:E234))</f>
        <v/>
      </c>
      <c r="H234" s="14" t="str">
        <f t="shared" si="13"/>
        <v/>
      </c>
      <c r="I234" s="14" t="str">
        <f t="shared" si="14"/>
        <v/>
      </c>
      <c r="J234" s="15" t="str">
        <f t="shared" si="15"/>
        <v/>
      </c>
    </row>
    <row r="235" spans="1:10">
      <c r="A235" s="7" t="str">
        <f>IF(子基金及业绩基准周净值!A275="","",子基金及业绩基准周净值!A275)</f>
        <v/>
      </c>
      <c r="B235" s="1" t="str">
        <f>IF(A235="","",VLOOKUP($A235,子基金及业绩基准周净值!$A:$AV,18))</f>
        <v/>
      </c>
      <c r="C235" s="8" t="str">
        <f t="shared" si="12"/>
        <v/>
      </c>
      <c r="D235" s="9" t="str">
        <f>IF(A235="","",C235-(子基金及业绩基准周净值!AH275/子基金及业绩基准周净值!AH274-1))</f>
        <v/>
      </c>
      <c r="E235" s="12" t="str">
        <f>IF(A235="","",(MAX(B$3:B235)-B235)/MAX(B$3:B235))</f>
        <v/>
      </c>
      <c r="F235" s="12" t="str">
        <f>IF(A235="","",MAX(E$4:E235))</f>
        <v/>
      </c>
      <c r="H235" s="14" t="str">
        <f t="shared" si="13"/>
        <v/>
      </c>
      <c r="I235" s="14" t="str">
        <f t="shared" si="14"/>
        <v/>
      </c>
      <c r="J235" s="15" t="str">
        <f t="shared" si="15"/>
        <v/>
      </c>
    </row>
    <row r="236" spans="1:10">
      <c r="A236" s="7" t="str">
        <f>IF(子基金及业绩基准周净值!A276="","",子基金及业绩基准周净值!A276)</f>
        <v/>
      </c>
      <c r="B236" s="1" t="str">
        <f>IF(A236="","",VLOOKUP($A236,子基金及业绩基准周净值!$A:$AV,18))</f>
        <v/>
      </c>
      <c r="C236" s="8" t="str">
        <f t="shared" si="12"/>
        <v/>
      </c>
      <c r="D236" s="9" t="str">
        <f>IF(A236="","",C236-(子基金及业绩基准周净值!AH276/子基金及业绩基准周净值!AH275-1))</f>
        <v/>
      </c>
      <c r="E236" s="12" t="str">
        <f>IF(A236="","",(MAX(B$3:B236)-B236)/MAX(B$3:B236))</f>
        <v/>
      </c>
      <c r="F236" s="12" t="str">
        <f>IF(A236="","",MAX(E$4:E236))</f>
        <v/>
      </c>
      <c r="H236" s="14" t="str">
        <f t="shared" si="13"/>
        <v/>
      </c>
      <c r="I236" s="14" t="str">
        <f t="shared" si="14"/>
        <v/>
      </c>
      <c r="J236" s="15" t="str">
        <f t="shared" si="15"/>
        <v/>
      </c>
    </row>
    <row r="237" spans="1:10">
      <c r="A237" s="7" t="str">
        <f>IF(子基金及业绩基准周净值!A277="","",子基金及业绩基准周净值!A277)</f>
        <v/>
      </c>
      <c r="B237" s="1" t="str">
        <f>IF(A237="","",VLOOKUP($A237,子基金及业绩基准周净值!$A:$AV,18))</f>
        <v/>
      </c>
      <c r="C237" s="8" t="str">
        <f t="shared" si="12"/>
        <v/>
      </c>
      <c r="D237" s="9" t="str">
        <f>IF(A237="","",C237-(子基金及业绩基准周净值!AH277/子基金及业绩基准周净值!AH276-1))</f>
        <v/>
      </c>
      <c r="E237" s="12" t="str">
        <f>IF(A237="","",(MAX(B$3:B237)-B237)/MAX(B$3:B237))</f>
        <v/>
      </c>
      <c r="F237" s="12" t="str">
        <f>IF(A237="","",MAX(E$4:E237))</f>
        <v/>
      </c>
      <c r="H237" s="14" t="str">
        <f t="shared" si="13"/>
        <v/>
      </c>
      <c r="I237" s="14" t="str">
        <f t="shared" si="14"/>
        <v/>
      </c>
      <c r="J237" s="15" t="str">
        <f t="shared" si="15"/>
        <v/>
      </c>
    </row>
    <row r="238" spans="1:10">
      <c r="A238" s="7" t="str">
        <f>IF(子基金及业绩基准周净值!A278="","",子基金及业绩基准周净值!A278)</f>
        <v/>
      </c>
      <c r="B238" s="1" t="str">
        <f>IF(A238="","",VLOOKUP($A238,子基金及业绩基准周净值!$A:$AV,18))</f>
        <v/>
      </c>
      <c r="C238" s="8" t="str">
        <f t="shared" si="12"/>
        <v/>
      </c>
      <c r="D238" s="9" t="str">
        <f>IF(A238="","",C238-(子基金及业绩基准周净值!AH278/子基金及业绩基准周净值!AH277-1))</f>
        <v/>
      </c>
      <c r="E238" s="12" t="str">
        <f>IF(A238="","",(MAX(B$3:B238)-B238)/MAX(B$3:B238))</f>
        <v/>
      </c>
      <c r="F238" s="12" t="str">
        <f>IF(A238="","",MAX(E$4:E238))</f>
        <v/>
      </c>
      <c r="H238" s="14" t="str">
        <f t="shared" si="13"/>
        <v/>
      </c>
      <c r="I238" s="14" t="str">
        <f t="shared" si="14"/>
        <v/>
      </c>
      <c r="J238" s="15" t="str">
        <f t="shared" si="15"/>
        <v/>
      </c>
    </row>
    <row r="239" spans="1:10">
      <c r="A239" s="7" t="str">
        <f>IF(子基金及业绩基准周净值!A279="","",子基金及业绩基准周净值!A279)</f>
        <v/>
      </c>
      <c r="B239" s="1" t="str">
        <f>IF(A239="","",VLOOKUP($A239,子基金及业绩基准周净值!$A:$AV,18))</f>
        <v/>
      </c>
      <c r="C239" s="8" t="str">
        <f t="shared" si="12"/>
        <v/>
      </c>
      <c r="D239" s="9" t="str">
        <f>IF(A239="","",C239-(子基金及业绩基准周净值!AH279/子基金及业绩基准周净值!AH278-1))</f>
        <v/>
      </c>
      <c r="E239" s="12" t="str">
        <f>IF(A239="","",(MAX(B$3:B239)-B239)/MAX(B$3:B239))</f>
        <v/>
      </c>
      <c r="F239" s="12" t="str">
        <f>IF(A239="","",MAX(E$4:E239))</f>
        <v/>
      </c>
      <c r="H239" s="14" t="str">
        <f t="shared" si="13"/>
        <v/>
      </c>
      <c r="I239" s="14" t="str">
        <f t="shared" si="14"/>
        <v/>
      </c>
      <c r="J239" s="15" t="str">
        <f t="shared" si="15"/>
        <v/>
      </c>
    </row>
    <row r="240" spans="1:10">
      <c r="A240" s="7" t="str">
        <f>IF(子基金及业绩基准周净值!A280="","",子基金及业绩基准周净值!A280)</f>
        <v/>
      </c>
      <c r="B240" s="1" t="str">
        <f>IF(A240="","",VLOOKUP($A240,子基金及业绩基准周净值!$A:$AV,18))</f>
        <v/>
      </c>
      <c r="C240" s="8" t="str">
        <f t="shared" si="12"/>
        <v/>
      </c>
      <c r="D240" s="9" t="str">
        <f>IF(A240="","",C240-(子基金及业绩基准周净值!AH280/子基金及业绩基准周净值!AH279-1))</f>
        <v/>
      </c>
      <c r="E240" s="12" t="str">
        <f>IF(A240="","",(MAX(B$3:B240)-B240)/MAX(B$3:B240))</f>
        <v/>
      </c>
      <c r="F240" s="12" t="str">
        <f>IF(A240="","",MAX(E$4:E240))</f>
        <v/>
      </c>
      <c r="H240" s="14" t="str">
        <f t="shared" si="13"/>
        <v/>
      </c>
      <c r="I240" s="14" t="str">
        <f t="shared" si="14"/>
        <v/>
      </c>
      <c r="J240" s="15" t="str">
        <f t="shared" si="15"/>
        <v/>
      </c>
    </row>
    <row r="241" spans="1:10">
      <c r="A241" s="7" t="str">
        <f>IF(子基金及业绩基准周净值!A281="","",子基金及业绩基准周净值!A281)</f>
        <v/>
      </c>
      <c r="B241" s="1" t="str">
        <f>IF(A241="","",VLOOKUP($A241,子基金及业绩基准周净值!$A:$AV,18))</f>
        <v/>
      </c>
      <c r="C241" s="8" t="str">
        <f t="shared" si="12"/>
        <v/>
      </c>
      <c r="D241" s="9" t="str">
        <f>IF(A241="","",C241-(子基金及业绩基准周净值!AH281/子基金及业绩基准周净值!AH280-1))</f>
        <v/>
      </c>
      <c r="E241" s="12" t="str">
        <f>IF(A241="","",(MAX(B$3:B241)-B241)/MAX(B$3:B241))</f>
        <v/>
      </c>
      <c r="F241" s="12" t="str">
        <f>IF(A241="","",MAX(E$4:E241))</f>
        <v/>
      </c>
      <c r="H241" s="14" t="str">
        <f t="shared" si="13"/>
        <v/>
      </c>
      <c r="I241" s="14" t="str">
        <f t="shared" si="14"/>
        <v/>
      </c>
      <c r="J241" s="15" t="str">
        <f t="shared" si="15"/>
        <v/>
      </c>
    </row>
    <row r="242" spans="1:10">
      <c r="A242" s="7" t="str">
        <f>IF(子基金及业绩基准周净值!A282="","",子基金及业绩基准周净值!A282)</f>
        <v/>
      </c>
      <c r="B242" s="1" t="str">
        <f>IF(A242="","",VLOOKUP($A242,子基金及业绩基准周净值!$A:$AV,18))</f>
        <v/>
      </c>
      <c r="C242" s="8" t="str">
        <f t="shared" si="12"/>
        <v/>
      </c>
      <c r="D242" s="9" t="str">
        <f>IF(A242="","",C242-(子基金及业绩基准周净值!AH282/子基金及业绩基准周净值!AH281-1))</f>
        <v/>
      </c>
      <c r="E242" s="12" t="str">
        <f>IF(A242="","",(MAX(B$3:B242)-B242)/MAX(B$3:B242))</f>
        <v/>
      </c>
      <c r="F242" s="12" t="str">
        <f>IF(A242="","",MAX(E$4:E242))</f>
        <v/>
      </c>
      <c r="H242" s="14" t="str">
        <f t="shared" si="13"/>
        <v/>
      </c>
      <c r="I242" s="14" t="str">
        <f t="shared" si="14"/>
        <v/>
      </c>
      <c r="J242" s="15" t="str">
        <f t="shared" si="15"/>
        <v/>
      </c>
    </row>
    <row r="243" spans="1:10">
      <c r="A243" s="7" t="str">
        <f>IF(子基金及业绩基准周净值!A283="","",子基金及业绩基准周净值!A283)</f>
        <v/>
      </c>
      <c r="B243" s="1" t="str">
        <f>IF(A243="","",VLOOKUP($A243,子基金及业绩基准周净值!$A:$AV,18))</f>
        <v/>
      </c>
      <c r="C243" s="8" t="str">
        <f t="shared" si="12"/>
        <v/>
      </c>
      <c r="D243" s="9" t="str">
        <f>IF(A243="","",C243-(子基金及业绩基准周净值!AH283/子基金及业绩基准周净值!AH282-1))</f>
        <v/>
      </c>
      <c r="E243" s="12" t="str">
        <f>IF(A243="","",(MAX(B$3:B243)-B243)/MAX(B$3:B243))</f>
        <v/>
      </c>
      <c r="F243" s="12" t="str">
        <f>IF(A243="","",MAX(E$4:E243))</f>
        <v/>
      </c>
      <c r="H243" s="14" t="str">
        <f t="shared" si="13"/>
        <v/>
      </c>
      <c r="I243" s="14" t="str">
        <f t="shared" si="14"/>
        <v/>
      </c>
      <c r="J243" s="15" t="str">
        <f t="shared" si="15"/>
        <v/>
      </c>
    </row>
    <row r="244" spans="1:10">
      <c r="A244" s="7" t="str">
        <f>IF(子基金及业绩基准周净值!A284="","",子基金及业绩基准周净值!A284)</f>
        <v/>
      </c>
      <c r="B244" s="1" t="str">
        <f>IF(A244="","",VLOOKUP($A244,子基金及业绩基准周净值!$A:$AV,18))</f>
        <v/>
      </c>
      <c r="C244" s="8" t="str">
        <f t="shared" si="12"/>
        <v/>
      </c>
      <c r="D244" s="9" t="str">
        <f>IF(A244="","",C244-(子基金及业绩基准周净值!AH284/子基金及业绩基准周净值!AH283-1))</f>
        <v/>
      </c>
      <c r="E244" s="12" t="str">
        <f>IF(A244="","",(MAX(B$3:B244)-B244)/MAX(B$3:B244))</f>
        <v/>
      </c>
      <c r="F244" s="12" t="str">
        <f>IF(A244="","",MAX(E$4:E244))</f>
        <v/>
      </c>
      <c r="H244" s="14" t="str">
        <f t="shared" si="13"/>
        <v/>
      </c>
      <c r="I244" s="14" t="str">
        <f t="shared" si="14"/>
        <v/>
      </c>
      <c r="J244" s="15" t="str">
        <f t="shared" si="15"/>
        <v/>
      </c>
    </row>
    <row r="245" spans="1:10">
      <c r="A245" s="7" t="str">
        <f>IF(子基金及业绩基准周净值!A285="","",子基金及业绩基准周净值!A285)</f>
        <v/>
      </c>
      <c r="B245" s="1" t="str">
        <f>IF(A245="","",VLOOKUP($A245,子基金及业绩基准周净值!$A:$AV,18))</f>
        <v/>
      </c>
      <c r="C245" s="8" t="str">
        <f t="shared" si="12"/>
        <v/>
      </c>
      <c r="D245" s="9" t="str">
        <f>IF(A245="","",C245-(子基金及业绩基准周净值!AH285/子基金及业绩基准周净值!AH284-1))</f>
        <v/>
      </c>
      <c r="E245" s="12" t="str">
        <f>IF(A245="","",(MAX(B$3:B245)-B245)/MAX(B$3:B245))</f>
        <v/>
      </c>
      <c r="F245" s="12" t="str">
        <f>IF(A245="","",MAX(E$4:E245))</f>
        <v/>
      </c>
      <c r="H245" s="14" t="str">
        <f t="shared" si="13"/>
        <v/>
      </c>
      <c r="I245" s="14" t="str">
        <f t="shared" si="14"/>
        <v/>
      </c>
      <c r="J245" s="15" t="str">
        <f t="shared" si="15"/>
        <v/>
      </c>
    </row>
    <row r="246" spans="1:10">
      <c r="A246" s="7" t="str">
        <f>IF(子基金及业绩基准周净值!A286="","",子基金及业绩基准周净值!A286)</f>
        <v/>
      </c>
      <c r="B246" s="1" t="str">
        <f>IF(A246="","",VLOOKUP($A246,子基金及业绩基准周净值!$A:$AV,18))</f>
        <v/>
      </c>
      <c r="C246" s="8" t="str">
        <f t="shared" si="12"/>
        <v/>
      </c>
      <c r="D246" s="9" t="str">
        <f>IF(A246="","",C246-(子基金及业绩基准周净值!AH286/子基金及业绩基准周净值!AH285-1))</f>
        <v/>
      </c>
      <c r="E246" s="12" t="str">
        <f>IF(A246="","",(MAX(B$3:B246)-B246)/MAX(B$3:B246))</f>
        <v/>
      </c>
      <c r="F246" s="12" t="str">
        <f>IF(A246="","",MAX(E$4:E246))</f>
        <v/>
      </c>
      <c r="H246" s="14" t="str">
        <f t="shared" si="13"/>
        <v/>
      </c>
      <c r="I246" s="14" t="str">
        <f t="shared" si="14"/>
        <v/>
      </c>
      <c r="J246" s="15" t="str">
        <f t="shared" si="15"/>
        <v/>
      </c>
    </row>
    <row r="247" spans="1:10">
      <c r="A247" s="7" t="str">
        <f>IF(子基金及业绩基准周净值!A287="","",子基金及业绩基准周净值!A287)</f>
        <v/>
      </c>
      <c r="B247" s="1" t="str">
        <f>IF(A247="","",VLOOKUP($A247,子基金及业绩基准周净值!$A:$AV,18))</f>
        <v/>
      </c>
      <c r="C247" s="8" t="str">
        <f t="shared" si="12"/>
        <v/>
      </c>
      <c r="D247" s="9" t="str">
        <f>IF(A247="","",C247-(子基金及业绩基准周净值!AH287/子基金及业绩基准周净值!AH286-1))</f>
        <v/>
      </c>
      <c r="E247" s="12" t="str">
        <f>IF(A247="","",(MAX(B$3:B247)-B247)/MAX(B$3:B247))</f>
        <v/>
      </c>
      <c r="F247" s="12" t="str">
        <f>IF(A247="","",MAX(E$4:E247))</f>
        <v/>
      </c>
      <c r="H247" s="14" t="str">
        <f t="shared" si="13"/>
        <v/>
      </c>
      <c r="I247" s="14" t="str">
        <f t="shared" si="14"/>
        <v/>
      </c>
      <c r="J247" s="15" t="str">
        <f t="shared" si="15"/>
        <v/>
      </c>
    </row>
    <row r="248" spans="1:10">
      <c r="A248" s="7" t="str">
        <f>IF(子基金及业绩基准周净值!A288="","",子基金及业绩基准周净值!A288)</f>
        <v/>
      </c>
      <c r="B248" s="1" t="str">
        <f>IF(A248="","",VLOOKUP($A248,子基金及业绩基准周净值!$A:$AV,18))</f>
        <v/>
      </c>
      <c r="C248" s="8" t="str">
        <f t="shared" si="12"/>
        <v/>
      </c>
      <c r="D248" s="9" t="str">
        <f>IF(A248="","",C248-(子基金及业绩基准周净值!AH288/子基金及业绩基准周净值!AH287-1))</f>
        <v/>
      </c>
      <c r="E248" s="12" t="str">
        <f>IF(A248="","",(MAX(B$3:B248)-B248)/MAX(B$3:B248))</f>
        <v/>
      </c>
      <c r="F248" s="12" t="str">
        <f>IF(A248="","",MAX(E$4:E248))</f>
        <v/>
      </c>
      <c r="H248" s="14" t="str">
        <f t="shared" si="13"/>
        <v/>
      </c>
      <c r="I248" s="14" t="str">
        <f t="shared" si="14"/>
        <v/>
      </c>
      <c r="J248" s="15" t="str">
        <f t="shared" si="15"/>
        <v/>
      </c>
    </row>
    <row r="249" spans="1:10">
      <c r="A249" s="7" t="str">
        <f>IF(子基金及业绩基准周净值!A289="","",子基金及业绩基准周净值!A289)</f>
        <v/>
      </c>
      <c r="B249" s="1" t="str">
        <f>IF(A249="","",VLOOKUP($A249,子基金及业绩基准周净值!$A:$AV,18))</f>
        <v/>
      </c>
      <c r="C249" s="8" t="str">
        <f t="shared" si="12"/>
        <v/>
      </c>
      <c r="D249" s="9" t="str">
        <f>IF(A249="","",C249-(子基金及业绩基准周净值!AH289/子基金及业绩基准周净值!AH288-1))</f>
        <v/>
      </c>
      <c r="E249" s="12" t="str">
        <f>IF(A249="","",(MAX(B$3:B249)-B249)/MAX(B$3:B249))</f>
        <v/>
      </c>
      <c r="F249" s="12" t="str">
        <f>IF(A249="","",MAX(E$4:E249))</f>
        <v/>
      </c>
      <c r="H249" s="14" t="str">
        <f t="shared" si="13"/>
        <v/>
      </c>
      <c r="I249" s="14" t="str">
        <f t="shared" si="14"/>
        <v/>
      </c>
      <c r="J249" s="15" t="str">
        <f t="shared" si="15"/>
        <v/>
      </c>
    </row>
    <row r="250" spans="1:10">
      <c r="A250" s="7" t="str">
        <f>IF(子基金及业绩基准周净值!A290="","",子基金及业绩基准周净值!A290)</f>
        <v/>
      </c>
      <c r="B250" s="1" t="str">
        <f>IF(A250="","",VLOOKUP($A250,子基金及业绩基准周净值!$A:$AV,18))</f>
        <v/>
      </c>
      <c r="C250" s="8" t="str">
        <f t="shared" si="12"/>
        <v/>
      </c>
      <c r="D250" s="9" t="str">
        <f>IF(A250="","",C250-(子基金及业绩基准周净值!AH290/子基金及业绩基准周净值!AH289-1))</f>
        <v/>
      </c>
      <c r="E250" s="12" t="str">
        <f>IF(A250="","",(MAX(B$3:B250)-B250)/MAX(B$3:B250))</f>
        <v/>
      </c>
      <c r="F250" s="12" t="str">
        <f>IF(A250="","",MAX(E$4:E250))</f>
        <v/>
      </c>
      <c r="H250" s="14" t="str">
        <f t="shared" si="13"/>
        <v/>
      </c>
      <c r="I250" s="14" t="str">
        <f t="shared" si="14"/>
        <v/>
      </c>
      <c r="J250" s="15" t="str">
        <f t="shared" si="15"/>
        <v/>
      </c>
    </row>
    <row r="251" spans="1:10">
      <c r="A251" s="7" t="str">
        <f>IF(子基金及业绩基准周净值!A291="","",子基金及业绩基准周净值!A291)</f>
        <v/>
      </c>
      <c r="B251" s="1" t="str">
        <f>IF(A251="","",VLOOKUP($A251,子基金及业绩基准周净值!$A:$AV,18))</f>
        <v/>
      </c>
      <c r="C251" s="8" t="str">
        <f t="shared" si="12"/>
        <v/>
      </c>
      <c r="D251" s="9" t="str">
        <f>IF(A251="","",C251-(子基金及业绩基准周净值!AH291/子基金及业绩基准周净值!AH290-1))</f>
        <v/>
      </c>
      <c r="E251" s="12" t="str">
        <f>IF(A251="","",(MAX(B$3:B251)-B251)/MAX(B$3:B251))</f>
        <v/>
      </c>
      <c r="F251" s="12" t="str">
        <f>IF(A251="","",MAX(E$4:E251))</f>
        <v/>
      </c>
      <c r="H251" s="14" t="str">
        <f t="shared" si="13"/>
        <v/>
      </c>
      <c r="I251" s="14" t="str">
        <f t="shared" si="14"/>
        <v/>
      </c>
      <c r="J251" s="15" t="str">
        <f t="shared" si="15"/>
        <v/>
      </c>
    </row>
    <row r="252" spans="1:10">
      <c r="A252" s="7" t="str">
        <f>IF(子基金及业绩基准周净值!A292="","",子基金及业绩基准周净值!A292)</f>
        <v/>
      </c>
      <c r="B252" s="1" t="str">
        <f>IF(A252="","",VLOOKUP($A252,子基金及业绩基准周净值!$A:$AV,18))</f>
        <v/>
      </c>
      <c r="C252" s="8" t="str">
        <f t="shared" si="12"/>
        <v/>
      </c>
      <c r="D252" s="9" t="str">
        <f>IF(A252="","",C252-(子基金及业绩基准周净值!AH292/子基金及业绩基准周净值!AH291-1))</f>
        <v/>
      </c>
      <c r="E252" s="12" t="str">
        <f>IF(A252="","",(MAX(B$3:B252)-B252)/MAX(B$3:B252))</f>
        <v/>
      </c>
      <c r="F252" s="12" t="str">
        <f>IF(A252="","",MAX(E$4:E252))</f>
        <v/>
      </c>
      <c r="H252" s="14" t="str">
        <f t="shared" si="13"/>
        <v/>
      </c>
      <c r="I252" s="14" t="str">
        <f t="shared" si="14"/>
        <v/>
      </c>
      <c r="J252" s="15" t="str">
        <f t="shared" si="15"/>
        <v/>
      </c>
    </row>
    <row r="253" spans="1:10">
      <c r="A253" s="7" t="str">
        <f>IF(子基金及业绩基准周净值!A293="","",子基金及业绩基准周净值!A293)</f>
        <v/>
      </c>
      <c r="B253" s="1" t="str">
        <f>IF(A253="","",VLOOKUP($A253,子基金及业绩基准周净值!$A:$AV,18))</f>
        <v/>
      </c>
      <c r="C253" s="8" t="str">
        <f t="shared" si="12"/>
        <v/>
      </c>
      <c r="D253" s="9" t="str">
        <f>IF(A253="","",C253-(子基金及业绩基准周净值!AH293/子基金及业绩基准周净值!AH292-1))</f>
        <v/>
      </c>
      <c r="E253" s="12" t="str">
        <f>IF(A253="","",(MAX(B$3:B253)-B253)/MAX(B$3:B253))</f>
        <v/>
      </c>
      <c r="F253" s="12" t="str">
        <f>IF(A253="","",MAX(E$4:E253))</f>
        <v/>
      </c>
      <c r="H253" s="14" t="str">
        <f t="shared" si="13"/>
        <v/>
      </c>
      <c r="I253" s="14" t="str">
        <f t="shared" si="14"/>
        <v/>
      </c>
      <c r="J253" s="15" t="str">
        <f t="shared" si="15"/>
        <v/>
      </c>
    </row>
    <row r="254" spans="1:10">
      <c r="A254" s="7" t="str">
        <f>IF(子基金及业绩基准周净值!A294="","",子基金及业绩基准周净值!A294)</f>
        <v/>
      </c>
      <c r="B254" s="1" t="str">
        <f>IF(A254="","",VLOOKUP($A254,子基金及业绩基准周净值!$A:$AV,18))</f>
        <v/>
      </c>
      <c r="C254" s="8" t="str">
        <f t="shared" si="12"/>
        <v/>
      </c>
      <c r="D254" s="9" t="str">
        <f>IF(A254="","",C254-(子基金及业绩基准周净值!AH294/子基金及业绩基准周净值!AH293-1))</f>
        <v/>
      </c>
      <c r="E254" s="12" t="str">
        <f>IF(A254="","",(MAX(B$3:B254)-B254)/MAX(B$3:B254))</f>
        <v/>
      </c>
      <c r="F254" s="12" t="str">
        <f>IF(A254="","",MAX(E$4:E254))</f>
        <v/>
      </c>
      <c r="H254" s="14" t="str">
        <f t="shared" si="13"/>
        <v/>
      </c>
      <c r="I254" s="14" t="str">
        <f t="shared" si="14"/>
        <v/>
      </c>
      <c r="J254" s="15" t="str">
        <f t="shared" si="15"/>
        <v/>
      </c>
    </row>
    <row r="255" spans="1:10">
      <c r="A255" s="7" t="str">
        <f>IF(子基金及业绩基准周净值!A295="","",子基金及业绩基准周净值!A295)</f>
        <v/>
      </c>
      <c r="B255" s="1" t="str">
        <f>IF(A255="","",VLOOKUP($A255,子基金及业绩基准周净值!$A:$AV,18))</f>
        <v/>
      </c>
      <c r="C255" s="8" t="str">
        <f t="shared" si="12"/>
        <v/>
      </c>
      <c r="D255" s="9" t="str">
        <f>IF(A255="","",C255-(子基金及业绩基准周净值!AH295/子基金及业绩基准周净值!AH294-1))</f>
        <v/>
      </c>
      <c r="E255" s="12" t="str">
        <f>IF(A255="","",(MAX(B$3:B255)-B255)/MAX(B$3:B255))</f>
        <v/>
      </c>
      <c r="F255" s="12" t="str">
        <f>IF(A255="","",MAX(E$4:E255))</f>
        <v/>
      </c>
      <c r="H255" s="14" t="str">
        <f t="shared" si="13"/>
        <v/>
      </c>
      <c r="I255" s="14" t="str">
        <f t="shared" si="14"/>
        <v/>
      </c>
      <c r="J255" s="15" t="str">
        <f t="shared" si="15"/>
        <v/>
      </c>
    </row>
    <row r="256" spans="1:10">
      <c r="A256" s="7" t="str">
        <f>IF(子基金及业绩基准周净值!A296="","",子基金及业绩基准周净值!A296)</f>
        <v/>
      </c>
      <c r="B256" s="1" t="str">
        <f>IF(A256="","",VLOOKUP($A256,子基金及业绩基准周净值!$A:$AV,18))</f>
        <v/>
      </c>
      <c r="C256" s="8" t="str">
        <f t="shared" si="12"/>
        <v/>
      </c>
      <c r="D256" s="9" t="str">
        <f>IF(A256="","",C256-(子基金及业绩基准周净值!AH296/子基金及业绩基准周净值!AH295-1))</f>
        <v/>
      </c>
      <c r="E256" s="12" t="str">
        <f>IF(A256="","",(MAX(B$3:B256)-B256)/MAX(B$3:B256))</f>
        <v/>
      </c>
      <c r="F256" s="12" t="str">
        <f>IF(A256="","",MAX(E$4:E256))</f>
        <v/>
      </c>
      <c r="H256" s="14" t="str">
        <f t="shared" si="13"/>
        <v/>
      </c>
      <c r="I256" s="14" t="str">
        <f t="shared" si="14"/>
        <v/>
      </c>
      <c r="J256" s="15" t="str">
        <f t="shared" si="15"/>
        <v/>
      </c>
    </row>
    <row r="257" spans="1:10">
      <c r="A257" s="7" t="str">
        <f>IF(子基金及业绩基准周净值!A297="","",子基金及业绩基准周净值!A297)</f>
        <v/>
      </c>
      <c r="B257" s="1" t="str">
        <f>IF(A257="","",VLOOKUP($A257,子基金及业绩基准周净值!$A:$AV,18))</f>
        <v/>
      </c>
      <c r="C257" s="8" t="str">
        <f t="shared" si="12"/>
        <v/>
      </c>
      <c r="D257" s="9" t="str">
        <f>IF(A257="","",C257-(子基金及业绩基准周净值!AH297/子基金及业绩基准周净值!AH296-1))</f>
        <v/>
      </c>
      <c r="E257" s="12" t="str">
        <f>IF(A257="","",(MAX(B$3:B257)-B257)/MAX(B$3:B257))</f>
        <v/>
      </c>
      <c r="F257" s="12" t="str">
        <f>IF(A257="","",MAX(E$4:E257))</f>
        <v/>
      </c>
      <c r="H257" s="14" t="str">
        <f t="shared" si="13"/>
        <v/>
      </c>
      <c r="I257" s="14" t="str">
        <f t="shared" si="14"/>
        <v/>
      </c>
      <c r="J257" s="15" t="str">
        <f t="shared" si="15"/>
        <v/>
      </c>
    </row>
    <row r="258" spans="1:10">
      <c r="A258" s="7" t="str">
        <f>IF(子基金及业绩基准周净值!A298="","",子基金及业绩基准周净值!A298)</f>
        <v/>
      </c>
      <c r="B258" s="1" t="str">
        <f>IF(A258="","",VLOOKUP($A258,子基金及业绩基准周净值!$A:$AV,18))</f>
        <v/>
      </c>
      <c r="C258" s="8" t="str">
        <f t="shared" si="12"/>
        <v/>
      </c>
      <c r="D258" s="9" t="str">
        <f>IF(A258="","",C258-(子基金及业绩基准周净值!AH298/子基金及业绩基准周净值!AH297-1))</f>
        <v/>
      </c>
      <c r="E258" s="12" t="str">
        <f>IF(A258="","",(MAX(B$3:B258)-B258)/MAX(B$3:B258))</f>
        <v/>
      </c>
      <c r="F258" s="12" t="str">
        <f>IF(A258="","",MAX(E$4:E258))</f>
        <v/>
      </c>
      <c r="H258" s="14" t="str">
        <f t="shared" si="13"/>
        <v/>
      </c>
      <c r="I258" s="14" t="str">
        <f t="shared" si="14"/>
        <v/>
      </c>
      <c r="J258" s="15" t="str">
        <f t="shared" si="15"/>
        <v/>
      </c>
    </row>
    <row r="259" spans="1:10">
      <c r="A259" s="7" t="str">
        <f>IF(子基金及业绩基准周净值!A299="","",子基金及业绩基准周净值!A299)</f>
        <v/>
      </c>
      <c r="B259" s="1" t="str">
        <f>IF(A259="","",VLOOKUP($A259,子基金及业绩基准周净值!$A:$AV,18))</f>
        <v/>
      </c>
      <c r="C259" s="8" t="str">
        <f t="shared" si="12"/>
        <v/>
      </c>
      <c r="D259" s="9" t="str">
        <f>IF(A259="","",C259-(子基金及业绩基准周净值!AH299/子基金及业绩基准周净值!AH298-1))</f>
        <v/>
      </c>
      <c r="E259" s="12" t="str">
        <f>IF(A259="","",(MAX(B$3:B259)-B259)/MAX(B$3:B259))</f>
        <v/>
      </c>
      <c r="F259" s="12" t="str">
        <f>IF(A259="","",MAX(E$4:E259))</f>
        <v/>
      </c>
      <c r="H259" s="14" t="str">
        <f t="shared" si="13"/>
        <v/>
      </c>
      <c r="I259" s="14" t="str">
        <f t="shared" si="14"/>
        <v/>
      </c>
      <c r="J259" s="15" t="str">
        <f t="shared" si="15"/>
        <v/>
      </c>
    </row>
    <row r="260" spans="1:10">
      <c r="A260" s="7" t="str">
        <f>IF(子基金及业绩基准周净值!A300="","",子基金及业绩基准周净值!A300)</f>
        <v/>
      </c>
      <c r="B260" s="1" t="str">
        <f>IF(A260="","",VLOOKUP($A260,子基金及业绩基准周净值!$A:$AV,18))</f>
        <v/>
      </c>
      <c r="C260" s="8" t="str">
        <f t="shared" si="12"/>
        <v/>
      </c>
      <c r="D260" s="9" t="str">
        <f>IF(A260="","",C260-(子基金及业绩基准周净值!AH300/子基金及业绩基准周净值!AH299-1))</f>
        <v/>
      </c>
      <c r="E260" s="12" t="str">
        <f>IF(A260="","",(MAX(B$3:B260)-B260)/MAX(B$3:B260))</f>
        <v/>
      </c>
      <c r="F260" s="12" t="str">
        <f>IF(A260="","",MAX(E$4:E260))</f>
        <v/>
      </c>
      <c r="H260" s="14" t="str">
        <f t="shared" si="13"/>
        <v/>
      </c>
      <c r="I260" s="14" t="str">
        <f t="shared" si="14"/>
        <v/>
      </c>
      <c r="J260" s="15" t="str">
        <f t="shared" si="15"/>
        <v/>
      </c>
    </row>
    <row r="261" spans="1:10">
      <c r="A261" s="7" t="str">
        <f>IF(子基金及业绩基准周净值!A301="","",子基金及业绩基准周净值!A301)</f>
        <v/>
      </c>
      <c r="B261" s="1" t="str">
        <f>IF(A261="","",VLOOKUP($A261,子基金及业绩基准周净值!$A:$AV,18))</f>
        <v/>
      </c>
      <c r="C261" s="8" t="str">
        <f t="shared" ref="C261:C308" si="16">IF(A261="","",(B261-B260)/B260)</f>
        <v/>
      </c>
      <c r="D261" s="9" t="str">
        <f>IF(A261="","",C261-(子基金及业绩基准周净值!AH301/子基金及业绩基准周净值!AH300-1))</f>
        <v/>
      </c>
      <c r="E261" s="12" t="str">
        <f>IF(A261="","",(MAX(B$3:B261)-B261)/MAX(B$3:B261))</f>
        <v/>
      </c>
      <c r="F261" s="12" t="str">
        <f>IF(A261="","",MAX(E$4:E261))</f>
        <v/>
      </c>
      <c r="H261" s="14" t="str">
        <f t="shared" ref="H261:H308" si="17">IF(B261="","",IF(C261&lt;-3%,"是","否"))</f>
        <v/>
      </c>
      <c r="I261" s="14" t="str">
        <f t="shared" ref="I261:I308" si="18">IF(A261="","",IF(F261&gt;5%,"是","否"))</f>
        <v/>
      </c>
      <c r="J261" s="15" t="str">
        <f t="shared" ref="J261:J308" si="19">IF(A261="","",IF(G261&gt;=4,"是","否"))</f>
        <v/>
      </c>
    </row>
    <row r="262" spans="1:10">
      <c r="A262" s="7" t="str">
        <f>IF(子基金及业绩基准周净值!A302="","",子基金及业绩基准周净值!A302)</f>
        <v/>
      </c>
      <c r="B262" s="1" t="str">
        <f>IF(A262="","",VLOOKUP($A262,子基金及业绩基准周净值!$A:$AV,18))</f>
        <v/>
      </c>
      <c r="C262" s="8" t="str">
        <f t="shared" si="16"/>
        <v/>
      </c>
      <c r="D262" s="9" t="str">
        <f>IF(A262="","",C262-(子基金及业绩基准周净值!AH302/子基金及业绩基准周净值!AH301-1))</f>
        <v/>
      </c>
      <c r="E262" s="12" t="str">
        <f>IF(A262="","",(MAX(B$3:B262)-B262)/MAX(B$3:B262))</f>
        <v/>
      </c>
      <c r="F262" s="12" t="str">
        <f>IF(A262="","",MAX(E$4:E262))</f>
        <v/>
      </c>
      <c r="H262" s="14" t="str">
        <f t="shared" si="17"/>
        <v/>
      </c>
      <c r="I262" s="14" t="str">
        <f t="shared" si="18"/>
        <v/>
      </c>
      <c r="J262" s="15" t="str">
        <f t="shared" si="19"/>
        <v/>
      </c>
    </row>
    <row r="263" spans="1:10">
      <c r="A263" s="7" t="str">
        <f>IF(子基金及业绩基准周净值!A303="","",子基金及业绩基准周净值!A303)</f>
        <v/>
      </c>
      <c r="B263" s="1" t="str">
        <f>IF(A263="","",VLOOKUP($A263,子基金及业绩基准周净值!$A:$AV,18))</f>
        <v/>
      </c>
      <c r="C263" s="8" t="str">
        <f t="shared" si="16"/>
        <v/>
      </c>
      <c r="D263" s="9" t="str">
        <f>IF(A263="","",C263-(子基金及业绩基准周净值!AH303/子基金及业绩基准周净值!AH302-1))</f>
        <v/>
      </c>
      <c r="E263" s="12" t="str">
        <f>IF(A263="","",(MAX(B$3:B263)-B263)/MAX(B$3:B263))</f>
        <v/>
      </c>
      <c r="F263" s="12" t="str">
        <f>IF(A263="","",MAX(E$4:E263))</f>
        <v/>
      </c>
      <c r="H263" s="14" t="str">
        <f t="shared" si="17"/>
        <v/>
      </c>
      <c r="I263" s="14" t="str">
        <f t="shared" si="18"/>
        <v/>
      </c>
      <c r="J263" s="15" t="str">
        <f t="shared" si="19"/>
        <v/>
      </c>
    </row>
    <row r="264" spans="1:10">
      <c r="A264" s="7" t="str">
        <f>IF(子基金及业绩基准周净值!A304="","",子基金及业绩基准周净值!A304)</f>
        <v/>
      </c>
      <c r="B264" s="1" t="str">
        <f>IF(A264="","",VLOOKUP($A264,子基金及业绩基准周净值!$A:$AV,18))</f>
        <v/>
      </c>
      <c r="C264" s="8" t="str">
        <f t="shared" si="16"/>
        <v/>
      </c>
      <c r="D264" s="9" t="str">
        <f>IF(A264="","",C264-(子基金及业绩基准周净值!AH304/子基金及业绩基准周净值!AH303-1))</f>
        <v/>
      </c>
      <c r="E264" s="12" t="str">
        <f>IF(A264="","",(MAX(B$3:B264)-B264)/MAX(B$3:B264))</f>
        <v/>
      </c>
      <c r="F264" s="12" t="str">
        <f>IF(A264="","",MAX(E$4:E264))</f>
        <v/>
      </c>
      <c r="H264" s="14" t="str">
        <f t="shared" si="17"/>
        <v/>
      </c>
      <c r="I264" s="14" t="str">
        <f t="shared" si="18"/>
        <v/>
      </c>
      <c r="J264" s="15" t="str">
        <f t="shared" si="19"/>
        <v/>
      </c>
    </row>
    <row r="265" spans="1:10">
      <c r="A265" s="7" t="str">
        <f>IF(子基金及业绩基准周净值!A305="","",子基金及业绩基准周净值!A305)</f>
        <v/>
      </c>
      <c r="B265" s="1" t="str">
        <f>IF(A265="","",VLOOKUP($A265,子基金及业绩基准周净值!$A:$AV,18))</f>
        <v/>
      </c>
      <c r="C265" s="8" t="str">
        <f t="shared" si="16"/>
        <v/>
      </c>
      <c r="D265" s="9" t="str">
        <f>IF(A265="","",C265-(子基金及业绩基准周净值!AH305/子基金及业绩基准周净值!AH304-1))</f>
        <v/>
      </c>
      <c r="E265" s="12" t="str">
        <f>IF(A265="","",(MAX(B$3:B265)-B265)/MAX(B$3:B265))</f>
        <v/>
      </c>
      <c r="F265" s="12" t="str">
        <f>IF(A265="","",MAX(E$4:E265))</f>
        <v/>
      </c>
      <c r="H265" s="14" t="str">
        <f t="shared" si="17"/>
        <v/>
      </c>
      <c r="I265" s="14" t="str">
        <f t="shared" si="18"/>
        <v/>
      </c>
      <c r="J265" s="15" t="str">
        <f t="shared" si="19"/>
        <v/>
      </c>
    </row>
    <row r="266" spans="1:10">
      <c r="A266" s="7" t="str">
        <f>IF(子基金及业绩基准周净值!A306="","",子基金及业绩基准周净值!A306)</f>
        <v/>
      </c>
      <c r="B266" s="1" t="str">
        <f>IF(A266="","",VLOOKUP($A266,子基金及业绩基准周净值!$A:$AV,18))</f>
        <v/>
      </c>
      <c r="C266" s="8" t="str">
        <f t="shared" si="16"/>
        <v/>
      </c>
      <c r="D266" s="9" t="str">
        <f>IF(A266="","",C266-(子基金及业绩基准周净值!AH306/子基金及业绩基准周净值!AH305-1))</f>
        <v/>
      </c>
      <c r="E266" s="12" t="str">
        <f>IF(A266="","",(MAX(B$3:B266)-B266)/MAX(B$3:B266))</f>
        <v/>
      </c>
      <c r="F266" s="12" t="str">
        <f>IF(A266="","",MAX(E$4:E266))</f>
        <v/>
      </c>
      <c r="H266" s="14" t="str">
        <f t="shared" si="17"/>
        <v/>
      </c>
      <c r="I266" s="14" t="str">
        <f t="shared" si="18"/>
        <v/>
      </c>
      <c r="J266" s="15" t="str">
        <f t="shared" si="19"/>
        <v/>
      </c>
    </row>
    <row r="267" spans="1:10">
      <c r="A267" s="7" t="str">
        <f>IF(子基金及业绩基准周净值!A307="","",子基金及业绩基准周净值!A307)</f>
        <v/>
      </c>
      <c r="B267" s="1" t="str">
        <f>IF(A267="","",VLOOKUP($A267,子基金及业绩基准周净值!$A:$AV,18))</f>
        <v/>
      </c>
      <c r="C267" s="8" t="str">
        <f t="shared" si="16"/>
        <v/>
      </c>
      <c r="D267" s="9" t="str">
        <f>IF(A267="","",C267-(子基金及业绩基准周净值!AH307/子基金及业绩基准周净值!AH306-1))</f>
        <v/>
      </c>
      <c r="E267" s="12" t="str">
        <f>IF(A267="","",(MAX(B$3:B267)-B267)/MAX(B$3:B267))</f>
        <v/>
      </c>
      <c r="F267" s="12" t="str">
        <f>IF(A267="","",MAX(E$4:E267))</f>
        <v/>
      </c>
      <c r="H267" s="14" t="str">
        <f t="shared" si="17"/>
        <v/>
      </c>
      <c r="I267" s="14" t="str">
        <f t="shared" si="18"/>
        <v/>
      </c>
      <c r="J267" s="15" t="str">
        <f t="shared" si="19"/>
        <v/>
      </c>
    </row>
    <row r="268" spans="1:10">
      <c r="A268" s="7" t="str">
        <f>IF(子基金及业绩基准周净值!A308="","",子基金及业绩基准周净值!A308)</f>
        <v/>
      </c>
      <c r="B268" s="1" t="str">
        <f>IF(A268="","",VLOOKUP($A268,子基金及业绩基准周净值!$A:$AV,18))</f>
        <v/>
      </c>
      <c r="C268" s="8" t="str">
        <f t="shared" si="16"/>
        <v/>
      </c>
      <c r="D268" s="9" t="str">
        <f>IF(A268="","",C268-(子基金及业绩基准周净值!AH308/子基金及业绩基准周净值!AH307-1))</f>
        <v/>
      </c>
      <c r="E268" s="12" t="str">
        <f>IF(A268="","",(MAX(B$3:B268)-B268)/MAX(B$3:B268))</f>
        <v/>
      </c>
      <c r="F268" s="12" t="str">
        <f>IF(A268="","",MAX(E$4:E268))</f>
        <v/>
      </c>
      <c r="H268" s="14" t="str">
        <f t="shared" si="17"/>
        <v/>
      </c>
      <c r="I268" s="14" t="str">
        <f t="shared" si="18"/>
        <v/>
      </c>
      <c r="J268" s="15" t="str">
        <f t="shared" si="19"/>
        <v/>
      </c>
    </row>
    <row r="269" spans="1:10">
      <c r="A269" s="7" t="str">
        <f>IF(子基金及业绩基准周净值!A309="","",子基金及业绩基准周净值!A309)</f>
        <v/>
      </c>
      <c r="B269" s="1" t="str">
        <f>IF(A269="","",VLOOKUP($A269,子基金及业绩基准周净值!$A:$AV,18))</f>
        <v/>
      </c>
      <c r="C269" s="8" t="str">
        <f t="shared" si="16"/>
        <v/>
      </c>
      <c r="D269" s="9" t="str">
        <f>IF(A269="","",C269-(子基金及业绩基准周净值!AH309/子基金及业绩基准周净值!AH308-1))</f>
        <v/>
      </c>
      <c r="E269" s="12" t="str">
        <f>IF(A269="","",(MAX(B$3:B269)-B269)/MAX(B$3:B269))</f>
        <v/>
      </c>
      <c r="F269" s="12" t="str">
        <f>IF(A269="","",MAX(E$4:E269))</f>
        <v/>
      </c>
      <c r="H269" s="14" t="str">
        <f t="shared" si="17"/>
        <v/>
      </c>
      <c r="I269" s="14" t="str">
        <f t="shared" si="18"/>
        <v/>
      </c>
      <c r="J269" s="15" t="str">
        <f t="shared" si="19"/>
        <v/>
      </c>
    </row>
    <row r="270" spans="1:10">
      <c r="A270" s="7" t="str">
        <f>IF(子基金及业绩基准周净值!A310="","",子基金及业绩基准周净值!A310)</f>
        <v/>
      </c>
      <c r="B270" s="1" t="str">
        <f>IF(A270="","",VLOOKUP($A270,子基金及业绩基准周净值!$A:$AV,18))</f>
        <v/>
      </c>
      <c r="C270" s="8" t="str">
        <f t="shared" si="16"/>
        <v/>
      </c>
      <c r="D270" s="9" t="str">
        <f>IF(A270="","",C270-(子基金及业绩基准周净值!AH310/子基金及业绩基准周净值!AH309-1))</f>
        <v/>
      </c>
      <c r="E270" s="12" t="str">
        <f>IF(A270="","",(MAX(B$3:B270)-B270)/MAX(B$3:B270))</f>
        <v/>
      </c>
      <c r="F270" s="12" t="str">
        <f>IF(A270="","",MAX(E$4:E270))</f>
        <v/>
      </c>
      <c r="H270" s="14" t="str">
        <f t="shared" si="17"/>
        <v/>
      </c>
      <c r="I270" s="14" t="str">
        <f t="shared" si="18"/>
        <v/>
      </c>
      <c r="J270" s="15" t="str">
        <f t="shared" si="19"/>
        <v/>
      </c>
    </row>
    <row r="271" spans="1:10">
      <c r="A271" s="7" t="str">
        <f>IF(子基金及业绩基准周净值!A311="","",子基金及业绩基准周净值!A311)</f>
        <v/>
      </c>
      <c r="B271" s="1" t="str">
        <f>IF(A271="","",VLOOKUP($A271,子基金及业绩基准周净值!$A:$AV,18))</f>
        <v/>
      </c>
      <c r="C271" s="8" t="str">
        <f t="shared" si="16"/>
        <v/>
      </c>
      <c r="D271" s="9" t="str">
        <f>IF(A271="","",C271-(子基金及业绩基准周净值!AH311/子基金及业绩基准周净值!AH310-1))</f>
        <v/>
      </c>
      <c r="E271" s="12" t="str">
        <f>IF(A271="","",(MAX(B$3:B271)-B271)/MAX(B$3:B271))</f>
        <v/>
      </c>
      <c r="F271" s="12" t="str">
        <f>IF(A271="","",MAX(E$4:E271))</f>
        <v/>
      </c>
      <c r="H271" s="14" t="str">
        <f t="shared" si="17"/>
        <v/>
      </c>
      <c r="I271" s="14" t="str">
        <f t="shared" si="18"/>
        <v/>
      </c>
      <c r="J271" s="15" t="str">
        <f t="shared" si="19"/>
        <v/>
      </c>
    </row>
    <row r="272" spans="1:10">
      <c r="A272" s="7" t="str">
        <f>IF(子基金及业绩基准周净值!A312="","",子基金及业绩基准周净值!A312)</f>
        <v/>
      </c>
      <c r="B272" s="1" t="str">
        <f>IF(A272="","",VLOOKUP($A272,子基金及业绩基准周净值!$A:$AV,18))</f>
        <v/>
      </c>
      <c r="C272" s="8" t="str">
        <f t="shared" si="16"/>
        <v/>
      </c>
      <c r="D272" s="9" t="str">
        <f>IF(A272="","",C272-(子基金及业绩基准周净值!AH312/子基金及业绩基准周净值!AH311-1))</f>
        <v/>
      </c>
      <c r="E272" s="12" t="str">
        <f>IF(A272="","",(MAX(B$3:B272)-B272)/MAX(B$3:B272))</f>
        <v/>
      </c>
      <c r="F272" s="12" t="str">
        <f>IF(A272="","",MAX(E$4:E272))</f>
        <v/>
      </c>
      <c r="H272" s="14" t="str">
        <f t="shared" si="17"/>
        <v/>
      </c>
      <c r="I272" s="14" t="str">
        <f t="shared" si="18"/>
        <v/>
      </c>
      <c r="J272" s="15" t="str">
        <f t="shared" si="19"/>
        <v/>
      </c>
    </row>
    <row r="273" spans="1:10">
      <c r="A273" s="7" t="str">
        <f>IF(子基金及业绩基准周净值!A313="","",子基金及业绩基准周净值!A313)</f>
        <v/>
      </c>
      <c r="B273" s="1" t="str">
        <f>IF(A273="","",VLOOKUP($A273,子基金及业绩基准周净值!$A:$AV,18))</f>
        <v/>
      </c>
      <c r="C273" s="8" t="str">
        <f t="shared" si="16"/>
        <v/>
      </c>
      <c r="D273" s="9" t="str">
        <f>IF(A273="","",C273-(子基金及业绩基准周净值!AH313/子基金及业绩基准周净值!AH312-1))</f>
        <v/>
      </c>
      <c r="E273" s="12" t="str">
        <f>IF(A273="","",(MAX(B$3:B273)-B273)/MAX(B$3:B273))</f>
        <v/>
      </c>
      <c r="F273" s="12" t="str">
        <f>IF(A273="","",MAX(E$4:E273))</f>
        <v/>
      </c>
      <c r="H273" s="14" t="str">
        <f t="shared" si="17"/>
        <v/>
      </c>
      <c r="I273" s="14" t="str">
        <f t="shared" si="18"/>
        <v/>
      </c>
      <c r="J273" s="15" t="str">
        <f t="shared" si="19"/>
        <v/>
      </c>
    </row>
    <row r="274" spans="1:10">
      <c r="A274" s="7" t="str">
        <f>IF(子基金及业绩基准周净值!A314="","",子基金及业绩基准周净值!A314)</f>
        <v/>
      </c>
      <c r="B274" s="1" t="str">
        <f>IF(A274="","",VLOOKUP($A274,子基金及业绩基准周净值!$A:$AV,18))</f>
        <v/>
      </c>
      <c r="C274" s="8" t="str">
        <f t="shared" si="16"/>
        <v/>
      </c>
      <c r="D274" s="9" t="str">
        <f>IF(A274="","",C274-(子基金及业绩基准周净值!AH314/子基金及业绩基准周净值!AH313-1))</f>
        <v/>
      </c>
      <c r="E274" s="12" t="str">
        <f>IF(A274="","",(MAX(B$3:B274)-B274)/MAX(B$3:B274))</f>
        <v/>
      </c>
      <c r="F274" s="12" t="str">
        <f>IF(A274="","",MAX(E$4:E274))</f>
        <v/>
      </c>
      <c r="H274" s="14" t="str">
        <f t="shared" si="17"/>
        <v/>
      </c>
      <c r="I274" s="14" t="str">
        <f t="shared" si="18"/>
        <v/>
      </c>
      <c r="J274" s="15" t="str">
        <f t="shared" si="19"/>
        <v/>
      </c>
    </row>
    <row r="275" spans="1:10">
      <c r="A275" s="7" t="str">
        <f>IF(子基金及业绩基准周净值!A315="","",子基金及业绩基准周净值!A315)</f>
        <v/>
      </c>
      <c r="B275" s="1" t="str">
        <f>IF(A275="","",VLOOKUP($A275,子基金及业绩基准周净值!$A:$AV,18))</f>
        <v/>
      </c>
      <c r="C275" s="8" t="str">
        <f t="shared" si="16"/>
        <v/>
      </c>
      <c r="D275" s="9" t="str">
        <f>IF(A275="","",C275-(子基金及业绩基准周净值!AH315/子基金及业绩基准周净值!AH314-1))</f>
        <v/>
      </c>
      <c r="E275" s="12" t="str">
        <f>IF(A275="","",(MAX(B$3:B275)-B275)/MAX(B$3:B275))</f>
        <v/>
      </c>
      <c r="F275" s="12" t="str">
        <f>IF(A275="","",MAX(E$4:E275))</f>
        <v/>
      </c>
      <c r="H275" s="14" t="str">
        <f t="shared" si="17"/>
        <v/>
      </c>
      <c r="I275" s="14" t="str">
        <f t="shared" si="18"/>
        <v/>
      </c>
      <c r="J275" s="15" t="str">
        <f t="shared" si="19"/>
        <v/>
      </c>
    </row>
    <row r="276" spans="1:10">
      <c r="A276" s="7" t="str">
        <f>IF(子基金及业绩基准周净值!A316="","",子基金及业绩基准周净值!A316)</f>
        <v/>
      </c>
      <c r="B276" s="1" t="str">
        <f>IF(A276="","",VLOOKUP($A276,子基金及业绩基准周净值!$A:$AV,18))</f>
        <v/>
      </c>
      <c r="C276" s="8" t="str">
        <f t="shared" si="16"/>
        <v/>
      </c>
      <c r="D276" s="9" t="str">
        <f>IF(A276="","",C276-(子基金及业绩基准周净值!AH316/子基金及业绩基准周净值!AH315-1))</f>
        <v/>
      </c>
      <c r="E276" s="12" t="str">
        <f>IF(A276="","",(MAX(B$3:B276)-B276)/MAX(B$3:B276))</f>
        <v/>
      </c>
      <c r="F276" s="12" t="str">
        <f>IF(A276="","",MAX(E$4:E276))</f>
        <v/>
      </c>
      <c r="H276" s="14" t="str">
        <f t="shared" si="17"/>
        <v/>
      </c>
      <c r="I276" s="14" t="str">
        <f t="shared" si="18"/>
        <v/>
      </c>
      <c r="J276" s="15" t="str">
        <f t="shared" si="19"/>
        <v/>
      </c>
    </row>
    <row r="277" spans="1:10">
      <c r="A277" s="7" t="str">
        <f>IF(子基金及业绩基准周净值!A317="","",子基金及业绩基准周净值!A317)</f>
        <v/>
      </c>
      <c r="B277" s="1" t="str">
        <f>IF(A277="","",VLOOKUP($A277,子基金及业绩基准周净值!$A:$AV,18))</f>
        <v/>
      </c>
      <c r="C277" s="8" t="str">
        <f t="shared" si="16"/>
        <v/>
      </c>
      <c r="D277" s="9" t="str">
        <f>IF(A277="","",C277-(子基金及业绩基准周净值!AH317/子基金及业绩基准周净值!AH316-1))</f>
        <v/>
      </c>
      <c r="E277" s="12" t="str">
        <f>IF(A277="","",(MAX(B$3:B277)-B277)/MAX(B$3:B277))</f>
        <v/>
      </c>
      <c r="F277" s="12" t="str">
        <f>IF(A277="","",MAX(E$4:E277))</f>
        <v/>
      </c>
      <c r="H277" s="14" t="str">
        <f t="shared" si="17"/>
        <v/>
      </c>
      <c r="I277" s="14" t="str">
        <f t="shared" si="18"/>
        <v/>
      </c>
      <c r="J277" s="15" t="str">
        <f t="shared" si="19"/>
        <v/>
      </c>
    </row>
    <row r="278" spans="1:10">
      <c r="A278" s="7" t="str">
        <f>IF(子基金及业绩基准周净值!A318="","",子基金及业绩基准周净值!A318)</f>
        <v/>
      </c>
      <c r="B278" s="1" t="str">
        <f>IF(A278="","",VLOOKUP($A278,子基金及业绩基准周净值!$A:$AV,18))</f>
        <v/>
      </c>
      <c r="C278" s="8" t="str">
        <f t="shared" si="16"/>
        <v/>
      </c>
      <c r="D278" s="9" t="str">
        <f>IF(A278="","",C278-(子基金及业绩基准周净值!AH318/子基金及业绩基准周净值!AH317-1))</f>
        <v/>
      </c>
      <c r="E278" s="12" t="str">
        <f>IF(A278="","",(MAX(B$3:B278)-B278)/MAX(B$3:B278))</f>
        <v/>
      </c>
      <c r="F278" s="12" t="str">
        <f>IF(A278="","",MAX(E$4:E278))</f>
        <v/>
      </c>
      <c r="H278" s="14" t="str">
        <f t="shared" si="17"/>
        <v/>
      </c>
      <c r="I278" s="14" t="str">
        <f t="shared" si="18"/>
        <v/>
      </c>
      <c r="J278" s="15" t="str">
        <f t="shared" si="19"/>
        <v/>
      </c>
    </row>
    <row r="279" spans="1:10">
      <c r="A279" s="7" t="str">
        <f>IF(子基金及业绩基准周净值!A319="","",子基金及业绩基准周净值!A319)</f>
        <v/>
      </c>
      <c r="B279" s="1" t="str">
        <f>IF(A279="","",VLOOKUP($A279,子基金及业绩基准周净值!$A:$AV,18))</f>
        <v/>
      </c>
      <c r="C279" s="8" t="str">
        <f t="shared" si="16"/>
        <v/>
      </c>
      <c r="D279" s="9" t="str">
        <f>IF(A279="","",C279-(子基金及业绩基准周净值!AH319/子基金及业绩基准周净值!AH318-1))</f>
        <v/>
      </c>
      <c r="E279" s="12" t="str">
        <f>IF(A279="","",(MAX(B$3:B279)-B279)/MAX(B$3:B279))</f>
        <v/>
      </c>
      <c r="F279" s="12" t="str">
        <f>IF(A279="","",MAX(E$4:E279))</f>
        <v/>
      </c>
      <c r="H279" s="14" t="str">
        <f t="shared" si="17"/>
        <v/>
      </c>
      <c r="I279" s="14" t="str">
        <f t="shared" si="18"/>
        <v/>
      </c>
      <c r="J279" s="15" t="str">
        <f t="shared" si="19"/>
        <v/>
      </c>
    </row>
    <row r="280" spans="1:10">
      <c r="A280" s="7" t="str">
        <f>IF(子基金及业绩基准周净值!A320="","",子基金及业绩基准周净值!A320)</f>
        <v/>
      </c>
      <c r="B280" s="1" t="str">
        <f>IF(A280="","",VLOOKUP($A280,子基金及业绩基准周净值!$A:$AV,18))</f>
        <v/>
      </c>
      <c r="C280" s="8" t="str">
        <f t="shared" si="16"/>
        <v/>
      </c>
      <c r="D280" s="9" t="str">
        <f>IF(A280="","",C280-(子基金及业绩基准周净值!AH320/子基金及业绩基准周净值!AH319-1))</f>
        <v/>
      </c>
      <c r="E280" s="12" t="str">
        <f>IF(A280="","",(MAX(B$3:B280)-B280)/MAX(B$3:B280))</f>
        <v/>
      </c>
      <c r="F280" s="12" t="str">
        <f>IF(A280="","",MAX(E$4:E280))</f>
        <v/>
      </c>
      <c r="H280" s="14" t="str">
        <f t="shared" si="17"/>
        <v/>
      </c>
      <c r="I280" s="14" t="str">
        <f t="shared" si="18"/>
        <v/>
      </c>
      <c r="J280" s="15" t="str">
        <f t="shared" si="19"/>
        <v/>
      </c>
    </row>
    <row r="281" spans="1:10">
      <c r="A281" s="7" t="str">
        <f>IF(子基金及业绩基准周净值!A321="","",子基金及业绩基准周净值!A321)</f>
        <v/>
      </c>
      <c r="B281" s="1" t="str">
        <f>IF(A281="","",VLOOKUP($A281,子基金及业绩基准周净值!$A:$AV,18))</f>
        <v/>
      </c>
      <c r="C281" s="8" t="str">
        <f t="shared" si="16"/>
        <v/>
      </c>
      <c r="D281" s="9" t="str">
        <f>IF(A281="","",C281-(子基金及业绩基准周净值!AH321/子基金及业绩基准周净值!AH320-1))</f>
        <v/>
      </c>
      <c r="E281" s="12" t="str">
        <f>IF(A281="","",(MAX(B$3:B281)-B281)/MAX(B$3:B281))</f>
        <v/>
      </c>
      <c r="F281" s="12" t="str">
        <f>IF(A281="","",MAX(E$4:E281))</f>
        <v/>
      </c>
      <c r="H281" s="14" t="str">
        <f t="shared" si="17"/>
        <v/>
      </c>
      <c r="I281" s="14" t="str">
        <f t="shared" si="18"/>
        <v/>
      </c>
      <c r="J281" s="15" t="str">
        <f t="shared" si="19"/>
        <v/>
      </c>
    </row>
    <row r="282" spans="1:10">
      <c r="A282" s="7" t="str">
        <f>IF(子基金及业绩基准周净值!A322="","",子基金及业绩基准周净值!A322)</f>
        <v/>
      </c>
      <c r="B282" s="1" t="str">
        <f>IF(A282="","",VLOOKUP($A282,子基金及业绩基准周净值!$A:$AV,18))</f>
        <v/>
      </c>
      <c r="C282" s="8" t="str">
        <f t="shared" si="16"/>
        <v/>
      </c>
      <c r="D282" s="9" t="str">
        <f>IF(A282="","",C282-(子基金及业绩基准周净值!AH322/子基金及业绩基准周净值!AH321-1))</f>
        <v/>
      </c>
      <c r="E282" s="12" t="str">
        <f>IF(A282="","",(MAX(B$3:B282)-B282)/MAX(B$3:B282))</f>
        <v/>
      </c>
      <c r="F282" s="12" t="str">
        <f>IF(A282="","",MAX(E$4:E282))</f>
        <v/>
      </c>
      <c r="H282" s="14" t="str">
        <f t="shared" si="17"/>
        <v/>
      </c>
      <c r="I282" s="14" t="str">
        <f t="shared" si="18"/>
        <v/>
      </c>
      <c r="J282" s="15" t="str">
        <f t="shared" si="19"/>
        <v/>
      </c>
    </row>
    <row r="283" spans="1:10">
      <c r="A283" s="7" t="str">
        <f>IF(子基金及业绩基准周净值!A323="","",子基金及业绩基准周净值!A323)</f>
        <v/>
      </c>
      <c r="B283" s="1" t="str">
        <f>IF(A283="","",VLOOKUP($A283,子基金及业绩基准周净值!$A:$AV,18))</f>
        <v/>
      </c>
      <c r="C283" s="8" t="str">
        <f t="shared" si="16"/>
        <v/>
      </c>
      <c r="D283" s="9" t="str">
        <f>IF(A283="","",C283-(子基金及业绩基准周净值!AH323/子基金及业绩基准周净值!AH322-1))</f>
        <v/>
      </c>
      <c r="E283" s="12" t="str">
        <f>IF(A283="","",(MAX(B$3:B283)-B283)/MAX(B$3:B283))</f>
        <v/>
      </c>
      <c r="F283" s="12" t="str">
        <f>IF(A283="","",MAX(E$4:E283))</f>
        <v/>
      </c>
      <c r="H283" s="14" t="str">
        <f t="shared" si="17"/>
        <v/>
      </c>
      <c r="I283" s="14" t="str">
        <f t="shared" si="18"/>
        <v/>
      </c>
      <c r="J283" s="15" t="str">
        <f t="shared" si="19"/>
        <v/>
      </c>
    </row>
    <row r="284" spans="1:10">
      <c r="A284" s="7" t="str">
        <f>IF(子基金及业绩基准周净值!A324="","",子基金及业绩基准周净值!A324)</f>
        <v/>
      </c>
      <c r="B284" s="1" t="str">
        <f>IF(A284="","",VLOOKUP($A284,子基金及业绩基准周净值!$A:$AV,18))</f>
        <v/>
      </c>
      <c r="C284" s="8" t="str">
        <f t="shared" si="16"/>
        <v/>
      </c>
      <c r="D284" s="9" t="str">
        <f>IF(A284="","",C284-(子基金及业绩基准周净值!AH324/子基金及业绩基准周净值!AH323-1))</f>
        <v/>
      </c>
      <c r="E284" s="12" t="str">
        <f>IF(A284="","",(MAX(B$3:B284)-B284)/MAX(B$3:B284))</f>
        <v/>
      </c>
      <c r="F284" s="12" t="str">
        <f>IF(A284="","",MAX(E$4:E284))</f>
        <v/>
      </c>
      <c r="H284" s="14" t="str">
        <f t="shared" si="17"/>
        <v/>
      </c>
      <c r="I284" s="14" t="str">
        <f t="shared" si="18"/>
        <v/>
      </c>
      <c r="J284" s="15" t="str">
        <f t="shared" si="19"/>
        <v/>
      </c>
    </row>
    <row r="285" spans="1:10">
      <c r="A285" s="7" t="str">
        <f>IF(子基金及业绩基准周净值!A325="","",子基金及业绩基准周净值!A325)</f>
        <v/>
      </c>
      <c r="B285" s="1" t="str">
        <f>IF(A285="","",VLOOKUP($A285,子基金及业绩基准周净值!$A:$AV,18))</f>
        <v/>
      </c>
      <c r="C285" s="8" t="str">
        <f t="shared" si="16"/>
        <v/>
      </c>
      <c r="D285" s="9" t="str">
        <f>IF(A285="","",C285-(子基金及业绩基准周净值!AH325/子基金及业绩基准周净值!AH324-1))</f>
        <v/>
      </c>
      <c r="E285" s="12" t="str">
        <f>IF(A285="","",(MAX(B$3:B285)-B285)/MAX(B$3:B285))</f>
        <v/>
      </c>
      <c r="F285" s="12" t="str">
        <f>IF(A285="","",MAX(E$4:E285))</f>
        <v/>
      </c>
      <c r="H285" s="14" t="str">
        <f t="shared" si="17"/>
        <v/>
      </c>
      <c r="I285" s="14" t="str">
        <f t="shared" si="18"/>
        <v/>
      </c>
      <c r="J285" s="15" t="str">
        <f t="shared" si="19"/>
        <v/>
      </c>
    </row>
    <row r="286" spans="1:10">
      <c r="A286" s="7" t="str">
        <f>IF(子基金及业绩基准周净值!A326="","",子基金及业绩基准周净值!A326)</f>
        <v/>
      </c>
      <c r="B286" s="1" t="str">
        <f>IF(A286="","",VLOOKUP($A286,子基金及业绩基准周净值!$A:$AV,18))</f>
        <v/>
      </c>
      <c r="C286" s="8" t="str">
        <f t="shared" si="16"/>
        <v/>
      </c>
      <c r="D286" s="9" t="str">
        <f>IF(A286="","",C286-(子基金及业绩基准周净值!AH326/子基金及业绩基准周净值!AH325-1))</f>
        <v/>
      </c>
      <c r="E286" s="12" t="str">
        <f>IF(A286="","",(MAX(B$3:B286)-B286)/MAX(B$3:B286))</f>
        <v/>
      </c>
      <c r="F286" s="12" t="str">
        <f>IF(A286="","",MAX(E$4:E286))</f>
        <v/>
      </c>
      <c r="H286" s="14" t="str">
        <f t="shared" si="17"/>
        <v/>
      </c>
      <c r="I286" s="14" t="str">
        <f t="shared" si="18"/>
        <v/>
      </c>
      <c r="J286" s="15" t="str">
        <f t="shared" si="19"/>
        <v/>
      </c>
    </row>
    <row r="287" spans="1:10">
      <c r="A287" s="7" t="str">
        <f>IF(子基金及业绩基准周净值!A327="","",子基金及业绩基准周净值!A327)</f>
        <v/>
      </c>
      <c r="B287" s="1" t="str">
        <f>IF(A287="","",VLOOKUP($A287,子基金及业绩基准周净值!$A:$AV,18))</f>
        <v/>
      </c>
      <c r="C287" s="8" t="str">
        <f t="shared" si="16"/>
        <v/>
      </c>
      <c r="D287" s="9" t="str">
        <f>IF(A287="","",C287-(子基金及业绩基准周净值!AH327/子基金及业绩基准周净值!AH326-1))</f>
        <v/>
      </c>
      <c r="E287" s="12" t="str">
        <f>IF(A287="","",(MAX(B$3:B287)-B287)/MAX(B$3:B287))</f>
        <v/>
      </c>
      <c r="F287" s="12" t="str">
        <f>IF(A287="","",MAX(E$4:E287))</f>
        <v/>
      </c>
      <c r="H287" s="14" t="str">
        <f t="shared" si="17"/>
        <v/>
      </c>
      <c r="I287" s="14" t="str">
        <f t="shared" si="18"/>
        <v/>
      </c>
      <c r="J287" s="15" t="str">
        <f t="shared" si="19"/>
        <v/>
      </c>
    </row>
    <row r="288" spans="1:10">
      <c r="A288" s="7" t="str">
        <f>IF(子基金及业绩基准周净值!A328="","",子基金及业绩基准周净值!A328)</f>
        <v/>
      </c>
      <c r="B288" s="1" t="str">
        <f>IF(A288="","",VLOOKUP($A288,子基金及业绩基准周净值!$A:$AV,18))</f>
        <v/>
      </c>
      <c r="C288" s="8" t="str">
        <f t="shared" si="16"/>
        <v/>
      </c>
      <c r="D288" s="9" t="str">
        <f>IF(A288="","",C288-(子基金及业绩基准周净值!AH328/子基金及业绩基准周净值!AH327-1))</f>
        <v/>
      </c>
      <c r="E288" s="12" t="str">
        <f>IF(A288="","",(MAX(B$3:B288)-B288)/MAX(B$3:B288))</f>
        <v/>
      </c>
      <c r="F288" s="12" t="str">
        <f>IF(A288="","",MAX(E$4:E288))</f>
        <v/>
      </c>
      <c r="H288" s="14" t="str">
        <f t="shared" si="17"/>
        <v/>
      </c>
      <c r="I288" s="14" t="str">
        <f t="shared" si="18"/>
        <v/>
      </c>
      <c r="J288" s="15" t="str">
        <f t="shared" si="19"/>
        <v/>
      </c>
    </row>
    <row r="289" spans="1:10">
      <c r="A289" s="7" t="str">
        <f>IF(子基金及业绩基准周净值!A329="","",子基金及业绩基准周净值!A329)</f>
        <v/>
      </c>
      <c r="B289" s="1" t="str">
        <f>IF(A289="","",VLOOKUP($A289,子基金及业绩基准周净值!$A:$AV,18))</f>
        <v/>
      </c>
      <c r="C289" s="8" t="str">
        <f t="shared" si="16"/>
        <v/>
      </c>
      <c r="D289" s="9" t="str">
        <f>IF(A289="","",C289-(子基金及业绩基准周净值!AH329/子基金及业绩基准周净值!AH328-1))</f>
        <v/>
      </c>
      <c r="E289" s="12" t="str">
        <f>IF(A289="","",(MAX(B$3:B289)-B289)/MAX(B$3:B289))</f>
        <v/>
      </c>
      <c r="F289" s="12" t="str">
        <f>IF(A289="","",MAX(E$4:E289))</f>
        <v/>
      </c>
      <c r="H289" s="14" t="str">
        <f t="shared" si="17"/>
        <v/>
      </c>
      <c r="I289" s="14" t="str">
        <f t="shared" si="18"/>
        <v/>
      </c>
      <c r="J289" s="15" t="str">
        <f t="shared" si="19"/>
        <v/>
      </c>
    </row>
    <row r="290" spans="1:10">
      <c r="A290" s="7" t="str">
        <f>IF(子基金及业绩基准周净值!A330="","",子基金及业绩基准周净值!A330)</f>
        <v/>
      </c>
      <c r="B290" s="1" t="str">
        <f>IF(A290="","",VLOOKUP($A290,子基金及业绩基准周净值!$A:$AV,18))</f>
        <v/>
      </c>
      <c r="C290" s="8" t="str">
        <f t="shared" si="16"/>
        <v/>
      </c>
      <c r="D290" s="9" t="str">
        <f>IF(A290="","",C290-(子基金及业绩基准周净值!AH330/子基金及业绩基准周净值!AH329-1))</f>
        <v/>
      </c>
      <c r="E290" s="12" t="str">
        <f>IF(A290="","",(MAX(B$3:B290)-B290)/MAX(B$3:B290))</f>
        <v/>
      </c>
      <c r="F290" s="12" t="str">
        <f>IF(A290="","",MAX(E$4:E290))</f>
        <v/>
      </c>
      <c r="H290" s="14" t="str">
        <f t="shared" si="17"/>
        <v/>
      </c>
      <c r="I290" s="14" t="str">
        <f t="shared" si="18"/>
        <v/>
      </c>
      <c r="J290" s="15" t="str">
        <f t="shared" si="19"/>
        <v/>
      </c>
    </row>
    <row r="291" spans="1:10">
      <c r="A291" s="7" t="str">
        <f>IF(子基金及业绩基准周净值!A331="","",子基金及业绩基准周净值!A331)</f>
        <v/>
      </c>
      <c r="B291" s="1" t="str">
        <f>IF(A291="","",VLOOKUP($A291,子基金及业绩基准周净值!$A:$AV,18))</f>
        <v/>
      </c>
      <c r="C291" s="8" t="str">
        <f t="shared" si="16"/>
        <v/>
      </c>
      <c r="D291" s="9" t="str">
        <f>IF(A291="","",C291-(子基金及业绩基准周净值!AH331/子基金及业绩基准周净值!AH330-1))</f>
        <v/>
      </c>
      <c r="E291" s="12" t="str">
        <f>IF(A291="","",(MAX(B$3:B291)-B291)/MAX(B$3:B291))</f>
        <v/>
      </c>
      <c r="F291" s="12" t="str">
        <f>IF(A291="","",MAX(E$4:E291))</f>
        <v/>
      </c>
      <c r="H291" s="14" t="str">
        <f t="shared" si="17"/>
        <v/>
      </c>
      <c r="I291" s="14" t="str">
        <f t="shared" si="18"/>
        <v/>
      </c>
      <c r="J291" s="15" t="str">
        <f t="shared" si="19"/>
        <v/>
      </c>
    </row>
    <row r="292" spans="1:10">
      <c r="A292" s="7" t="str">
        <f>IF(子基金及业绩基准周净值!A332="","",子基金及业绩基准周净值!A332)</f>
        <v/>
      </c>
      <c r="B292" s="1" t="str">
        <f>IF(A292="","",VLOOKUP($A292,子基金及业绩基准周净值!$A:$AV,18))</f>
        <v/>
      </c>
      <c r="C292" s="8" t="str">
        <f t="shared" si="16"/>
        <v/>
      </c>
      <c r="D292" s="9" t="str">
        <f>IF(A292="","",C292-(子基金及业绩基准周净值!AH332/子基金及业绩基准周净值!AH331-1))</f>
        <v/>
      </c>
      <c r="E292" s="12" t="str">
        <f>IF(A292="","",(MAX(B$3:B292)-B292)/MAX(B$3:B292))</f>
        <v/>
      </c>
      <c r="F292" s="12" t="str">
        <f>IF(A292="","",MAX(E$4:E292))</f>
        <v/>
      </c>
      <c r="H292" s="14" t="str">
        <f t="shared" si="17"/>
        <v/>
      </c>
      <c r="I292" s="14" t="str">
        <f t="shared" si="18"/>
        <v/>
      </c>
      <c r="J292" s="15" t="str">
        <f t="shared" si="19"/>
        <v/>
      </c>
    </row>
    <row r="293" spans="1:10">
      <c r="A293" s="7" t="str">
        <f>IF(子基金及业绩基准周净值!A333="","",子基金及业绩基准周净值!A333)</f>
        <v/>
      </c>
      <c r="B293" s="1" t="str">
        <f>IF(A293="","",VLOOKUP($A293,子基金及业绩基准周净值!$A:$AV,18))</f>
        <v/>
      </c>
      <c r="C293" s="8" t="str">
        <f t="shared" si="16"/>
        <v/>
      </c>
      <c r="D293" s="9" t="str">
        <f>IF(A293="","",C293-(子基金及业绩基准周净值!AH333/子基金及业绩基准周净值!AH332-1))</f>
        <v/>
      </c>
      <c r="E293" s="12" t="str">
        <f>IF(A293="","",(MAX(B$3:B293)-B293)/MAX(B$3:B293))</f>
        <v/>
      </c>
      <c r="F293" s="12" t="str">
        <f>IF(A293="","",MAX(E$4:E293))</f>
        <v/>
      </c>
      <c r="H293" s="14" t="str">
        <f t="shared" si="17"/>
        <v/>
      </c>
      <c r="I293" s="14" t="str">
        <f t="shared" si="18"/>
        <v/>
      </c>
      <c r="J293" s="15" t="str">
        <f t="shared" si="19"/>
        <v/>
      </c>
    </row>
    <row r="294" spans="1:10">
      <c r="A294" s="7" t="str">
        <f>IF(子基金及业绩基准周净值!A334="","",子基金及业绩基准周净值!A334)</f>
        <v/>
      </c>
      <c r="B294" s="1" t="str">
        <f>IF(A294="","",VLOOKUP($A294,子基金及业绩基准周净值!$A:$AV,18))</f>
        <v/>
      </c>
      <c r="C294" s="8" t="str">
        <f t="shared" si="16"/>
        <v/>
      </c>
      <c r="D294" s="9" t="str">
        <f>IF(A294="","",C294-(子基金及业绩基准周净值!AH334/子基金及业绩基准周净值!AH333-1))</f>
        <v/>
      </c>
      <c r="E294" s="12" t="str">
        <f>IF(A294="","",(MAX(B$3:B294)-B294)/MAX(B$3:B294))</f>
        <v/>
      </c>
      <c r="F294" s="12" t="str">
        <f>IF(A294="","",MAX(E$4:E294))</f>
        <v/>
      </c>
      <c r="H294" s="14" t="str">
        <f t="shared" si="17"/>
        <v/>
      </c>
      <c r="I294" s="14" t="str">
        <f t="shared" si="18"/>
        <v/>
      </c>
      <c r="J294" s="15" t="str">
        <f t="shared" si="19"/>
        <v/>
      </c>
    </row>
    <row r="295" spans="1:10">
      <c r="A295" s="7" t="str">
        <f>IF(子基金及业绩基准周净值!A335="","",子基金及业绩基准周净值!A335)</f>
        <v/>
      </c>
      <c r="B295" s="1" t="str">
        <f>IF(A295="","",VLOOKUP($A295,子基金及业绩基准周净值!$A:$AV,18))</f>
        <v/>
      </c>
      <c r="C295" s="8" t="str">
        <f t="shared" si="16"/>
        <v/>
      </c>
      <c r="D295" s="9" t="str">
        <f>IF(A295="","",C295-(子基金及业绩基准周净值!AH335/子基金及业绩基准周净值!AH334-1))</f>
        <v/>
      </c>
      <c r="E295" s="12" t="str">
        <f>IF(A295="","",(MAX(B$3:B295)-B295)/MAX(B$3:B295))</f>
        <v/>
      </c>
      <c r="F295" s="12" t="str">
        <f>IF(A295="","",MAX(E$4:E295))</f>
        <v/>
      </c>
      <c r="H295" s="14" t="str">
        <f t="shared" si="17"/>
        <v/>
      </c>
      <c r="I295" s="14" t="str">
        <f t="shared" si="18"/>
        <v/>
      </c>
      <c r="J295" s="15" t="str">
        <f t="shared" si="19"/>
        <v/>
      </c>
    </row>
    <row r="296" spans="1:10">
      <c r="A296" s="7" t="str">
        <f>IF(子基金及业绩基准周净值!A336="","",子基金及业绩基准周净值!A336)</f>
        <v/>
      </c>
      <c r="B296" s="1" t="str">
        <f>IF(A296="","",VLOOKUP($A296,子基金及业绩基准周净值!$A:$AV,18))</f>
        <v/>
      </c>
      <c r="C296" s="8" t="str">
        <f t="shared" si="16"/>
        <v/>
      </c>
      <c r="D296" s="9" t="str">
        <f>IF(A296="","",C296-(子基金及业绩基准周净值!AH336/子基金及业绩基准周净值!AH335-1))</f>
        <v/>
      </c>
      <c r="E296" s="12" t="str">
        <f>IF(A296="","",(MAX(B$3:B296)-B296)/MAX(B$3:B296))</f>
        <v/>
      </c>
      <c r="F296" s="12" t="str">
        <f>IF(A296="","",MAX(E$4:E296))</f>
        <v/>
      </c>
      <c r="H296" s="14" t="str">
        <f t="shared" si="17"/>
        <v/>
      </c>
      <c r="I296" s="14" t="str">
        <f t="shared" si="18"/>
        <v/>
      </c>
      <c r="J296" s="15" t="str">
        <f t="shared" si="19"/>
        <v/>
      </c>
    </row>
    <row r="297" spans="1:10">
      <c r="A297" s="7" t="str">
        <f>IF(子基金及业绩基准周净值!A337="","",子基金及业绩基准周净值!A337)</f>
        <v/>
      </c>
      <c r="B297" s="1" t="str">
        <f>IF(A297="","",VLOOKUP($A297,子基金及业绩基准周净值!$A:$AV,18))</f>
        <v/>
      </c>
      <c r="C297" s="8" t="str">
        <f t="shared" si="16"/>
        <v/>
      </c>
      <c r="D297" s="9" t="str">
        <f>IF(A297="","",C297-(子基金及业绩基准周净值!AH337/子基金及业绩基准周净值!AH336-1))</f>
        <v/>
      </c>
      <c r="E297" s="12" t="str">
        <f>IF(A297="","",(MAX(B$3:B297)-B297)/MAX(B$3:B297))</f>
        <v/>
      </c>
      <c r="F297" s="12" t="str">
        <f>IF(A297="","",MAX(E$4:E297))</f>
        <v/>
      </c>
      <c r="H297" s="14" t="str">
        <f t="shared" si="17"/>
        <v/>
      </c>
      <c r="I297" s="14" t="str">
        <f t="shared" si="18"/>
        <v/>
      </c>
      <c r="J297" s="15" t="str">
        <f t="shared" si="19"/>
        <v/>
      </c>
    </row>
    <row r="298" spans="1:10">
      <c r="A298" s="7" t="str">
        <f>IF(子基金及业绩基准周净值!A338="","",子基金及业绩基准周净值!A338)</f>
        <v/>
      </c>
      <c r="B298" s="1" t="str">
        <f>IF(A298="","",VLOOKUP($A298,子基金及业绩基准周净值!$A:$AV,18))</f>
        <v/>
      </c>
      <c r="C298" s="8" t="str">
        <f t="shared" si="16"/>
        <v/>
      </c>
      <c r="D298" s="9" t="str">
        <f>IF(A298="","",C298-(子基金及业绩基准周净值!AH338/子基金及业绩基准周净值!AH337-1))</f>
        <v/>
      </c>
      <c r="E298" s="12" t="str">
        <f>IF(A298="","",(MAX(B$3:B298)-B298)/MAX(B$3:B298))</f>
        <v/>
      </c>
      <c r="F298" s="12" t="str">
        <f>IF(A298="","",MAX(E$4:E298))</f>
        <v/>
      </c>
      <c r="H298" s="14" t="str">
        <f t="shared" si="17"/>
        <v/>
      </c>
      <c r="I298" s="14" t="str">
        <f t="shared" si="18"/>
        <v/>
      </c>
      <c r="J298" s="15" t="str">
        <f t="shared" si="19"/>
        <v/>
      </c>
    </row>
    <row r="299" spans="1:10">
      <c r="A299" s="7" t="str">
        <f>IF(子基金及业绩基准周净值!A339="","",子基金及业绩基准周净值!A339)</f>
        <v/>
      </c>
      <c r="B299" s="1" t="str">
        <f>IF(A299="","",VLOOKUP($A299,子基金及业绩基准周净值!$A:$AV,18))</f>
        <v/>
      </c>
      <c r="C299" s="8" t="str">
        <f t="shared" si="16"/>
        <v/>
      </c>
      <c r="D299" s="9" t="str">
        <f>IF(A299="","",C299-(子基金及业绩基准周净值!AH339/子基金及业绩基准周净值!AH338-1))</f>
        <v/>
      </c>
      <c r="E299" s="12" t="str">
        <f>IF(A299="","",(MAX(B$3:B299)-B299)/MAX(B$3:B299))</f>
        <v/>
      </c>
      <c r="F299" s="12" t="str">
        <f>IF(A299="","",MAX(E$4:E299))</f>
        <v/>
      </c>
      <c r="H299" s="14" t="str">
        <f t="shared" si="17"/>
        <v/>
      </c>
      <c r="I299" s="14" t="str">
        <f t="shared" si="18"/>
        <v/>
      </c>
      <c r="J299" s="15" t="str">
        <f t="shared" si="19"/>
        <v/>
      </c>
    </row>
    <row r="300" spans="1:10">
      <c r="A300" s="7" t="str">
        <f>IF(子基金及业绩基准周净值!A340="","",子基金及业绩基准周净值!A340)</f>
        <v/>
      </c>
      <c r="B300" s="1" t="str">
        <f>IF(A300="","",VLOOKUP($A300,子基金及业绩基准周净值!$A:$AV,18))</f>
        <v/>
      </c>
      <c r="C300" s="8" t="str">
        <f t="shared" si="16"/>
        <v/>
      </c>
      <c r="D300" s="9" t="str">
        <f>IF(A300="","",C300-(子基金及业绩基准周净值!AH340/子基金及业绩基准周净值!AH339-1))</f>
        <v/>
      </c>
      <c r="E300" s="12" t="str">
        <f>IF(A300="","",(MAX(B$3:B300)-B300)/MAX(B$3:B300))</f>
        <v/>
      </c>
      <c r="F300" s="12" t="str">
        <f>IF(A300="","",MAX(E$4:E300))</f>
        <v/>
      </c>
      <c r="H300" s="14" t="str">
        <f t="shared" si="17"/>
        <v/>
      </c>
      <c r="I300" s="14" t="str">
        <f t="shared" si="18"/>
        <v/>
      </c>
      <c r="J300" s="15" t="str">
        <f t="shared" si="19"/>
        <v/>
      </c>
    </row>
    <row r="301" spans="1:10">
      <c r="A301" s="7" t="str">
        <f>IF(子基金及业绩基准周净值!A341="","",子基金及业绩基准周净值!A341)</f>
        <v/>
      </c>
      <c r="B301" s="1" t="str">
        <f>IF(A301="","",VLOOKUP($A301,子基金及业绩基准周净值!$A:$AV,18))</f>
        <v/>
      </c>
      <c r="C301" s="8" t="str">
        <f t="shared" si="16"/>
        <v/>
      </c>
      <c r="D301" s="9" t="str">
        <f>IF(A301="","",C301-(子基金及业绩基准周净值!AH341/子基金及业绩基准周净值!AH340-1))</f>
        <v/>
      </c>
      <c r="E301" s="12" t="str">
        <f>IF(A301="","",(MAX(B$3:B301)-B301)/MAX(B$3:B301))</f>
        <v/>
      </c>
      <c r="F301" s="12" t="str">
        <f>IF(A301="","",MAX(E$4:E301))</f>
        <v/>
      </c>
      <c r="H301" s="14" t="str">
        <f t="shared" si="17"/>
        <v/>
      </c>
      <c r="I301" s="14" t="str">
        <f t="shared" si="18"/>
        <v/>
      </c>
      <c r="J301" s="15" t="str">
        <f t="shared" si="19"/>
        <v/>
      </c>
    </row>
    <row r="302" spans="1:10">
      <c r="A302" s="7" t="str">
        <f>IF(子基金及业绩基准周净值!A342="","",子基金及业绩基准周净值!A342)</f>
        <v/>
      </c>
      <c r="B302" s="1" t="str">
        <f>IF(A302="","",VLOOKUP($A302,子基金及业绩基准周净值!$A:$AV,18))</f>
        <v/>
      </c>
      <c r="C302" s="8" t="str">
        <f t="shared" si="16"/>
        <v/>
      </c>
      <c r="D302" s="9" t="str">
        <f>IF(A302="","",C302-(子基金及业绩基准周净值!AH342/子基金及业绩基准周净值!AH341-1))</f>
        <v/>
      </c>
      <c r="E302" s="12" t="str">
        <f>IF(A302="","",(MAX(B$3:B302)-B302)/MAX(B$3:B302))</f>
        <v/>
      </c>
      <c r="F302" s="12" t="str">
        <f>IF(A302="","",MAX(E$4:E302))</f>
        <v/>
      </c>
      <c r="H302" s="14" t="str">
        <f t="shared" si="17"/>
        <v/>
      </c>
      <c r="I302" s="14" t="str">
        <f t="shared" si="18"/>
        <v/>
      </c>
      <c r="J302" s="15" t="str">
        <f t="shared" si="19"/>
        <v/>
      </c>
    </row>
    <row r="303" spans="1:10">
      <c r="A303" s="7" t="str">
        <f>IF(子基金及业绩基准周净值!A343="","",子基金及业绩基准周净值!A343)</f>
        <v/>
      </c>
      <c r="B303" s="1" t="str">
        <f>IF(A303="","",VLOOKUP($A303,子基金及业绩基准周净值!$A:$AV,18))</f>
        <v/>
      </c>
      <c r="C303" s="8" t="str">
        <f t="shared" si="16"/>
        <v/>
      </c>
      <c r="D303" s="9" t="str">
        <f>IF(A303="","",C303-(子基金及业绩基准周净值!AH343/子基金及业绩基准周净值!AH342-1))</f>
        <v/>
      </c>
      <c r="E303" s="12" t="str">
        <f>IF(A303="","",(MAX(B$3:B303)-B303)/MAX(B$3:B303))</f>
        <v/>
      </c>
      <c r="F303" s="12" t="str">
        <f>IF(A303="","",MAX(E$4:E303))</f>
        <v/>
      </c>
      <c r="H303" s="14" t="str">
        <f t="shared" si="17"/>
        <v/>
      </c>
      <c r="I303" s="14" t="str">
        <f t="shared" si="18"/>
        <v/>
      </c>
      <c r="J303" s="15" t="str">
        <f t="shared" si="19"/>
        <v/>
      </c>
    </row>
    <row r="304" spans="1:10">
      <c r="A304" s="7" t="str">
        <f>IF(子基金及业绩基准周净值!A344="","",子基金及业绩基准周净值!A344)</f>
        <v/>
      </c>
      <c r="B304" s="1" t="str">
        <f>IF(A304="","",VLOOKUP($A304,子基金及业绩基准周净值!$A:$AV,18))</f>
        <v/>
      </c>
      <c r="C304" s="8" t="str">
        <f t="shared" si="16"/>
        <v/>
      </c>
      <c r="D304" s="9" t="str">
        <f>IF(A304="","",C304-(子基金及业绩基准周净值!AH344/子基金及业绩基准周净值!AH343-1))</f>
        <v/>
      </c>
      <c r="E304" s="12" t="str">
        <f>IF(A304="","",(MAX(B$3:B304)-B304)/MAX(B$3:B304))</f>
        <v/>
      </c>
      <c r="F304" s="12" t="str">
        <f>IF(A304="","",MAX(E$4:E304))</f>
        <v/>
      </c>
      <c r="H304" s="14" t="str">
        <f t="shared" si="17"/>
        <v/>
      </c>
      <c r="I304" s="14" t="str">
        <f t="shared" si="18"/>
        <v/>
      </c>
      <c r="J304" s="15" t="str">
        <f t="shared" si="19"/>
        <v/>
      </c>
    </row>
    <row r="305" spans="1:10">
      <c r="A305" s="7" t="str">
        <f>IF(子基金及业绩基准周净值!A345="","",子基金及业绩基准周净值!A345)</f>
        <v/>
      </c>
      <c r="B305" s="1" t="str">
        <f>IF(A305="","",VLOOKUP($A305,子基金及业绩基准周净值!$A:$AV,18))</f>
        <v/>
      </c>
      <c r="C305" s="8" t="str">
        <f t="shared" si="16"/>
        <v/>
      </c>
      <c r="D305" s="9" t="str">
        <f>IF(A305="","",C305-(子基金及业绩基准周净值!AH345/子基金及业绩基准周净值!AH344-1))</f>
        <v/>
      </c>
      <c r="E305" s="12" t="str">
        <f>IF(A305="","",(MAX(B$3:B305)-B305)/MAX(B$3:B305))</f>
        <v/>
      </c>
      <c r="F305" s="12" t="str">
        <f>IF(A305="","",MAX(E$4:E305))</f>
        <v/>
      </c>
      <c r="H305" s="14" t="str">
        <f t="shared" si="17"/>
        <v/>
      </c>
      <c r="I305" s="14" t="str">
        <f t="shared" si="18"/>
        <v/>
      </c>
      <c r="J305" s="15" t="str">
        <f t="shared" si="19"/>
        <v/>
      </c>
    </row>
    <row r="306" spans="1:10">
      <c r="A306" s="7" t="str">
        <f>IF(子基金及业绩基准周净值!A346="","",子基金及业绩基准周净值!A346)</f>
        <v/>
      </c>
      <c r="B306" s="1" t="str">
        <f>IF(A306="","",VLOOKUP($A306,子基金及业绩基准周净值!$A:$AV,18))</f>
        <v/>
      </c>
      <c r="C306" s="8" t="str">
        <f t="shared" si="16"/>
        <v/>
      </c>
      <c r="D306" s="9" t="str">
        <f>IF(A306="","",C306-(子基金及业绩基准周净值!AH346/子基金及业绩基准周净值!AH345-1))</f>
        <v/>
      </c>
      <c r="E306" s="12" t="str">
        <f>IF(A306="","",(MAX(B$3:B306)-B306)/MAX(B$3:B306))</f>
        <v/>
      </c>
      <c r="F306" s="12" t="str">
        <f>IF(A306="","",MAX(E$4:E306))</f>
        <v/>
      </c>
      <c r="H306" s="14" t="str">
        <f t="shared" si="17"/>
        <v/>
      </c>
      <c r="I306" s="14" t="str">
        <f t="shared" si="18"/>
        <v/>
      </c>
      <c r="J306" s="15" t="str">
        <f t="shared" si="19"/>
        <v/>
      </c>
    </row>
    <row r="307" spans="1:10">
      <c r="A307" s="7" t="str">
        <f>IF(子基金及业绩基准周净值!A347="","",子基金及业绩基准周净值!A347)</f>
        <v/>
      </c>
      <c r="B307" s="1" t="str">
        <f>IF(A307="","",VLOOKUP($A307,子基金及业绩基准周净值!$A:$AV,18))</f>
        <v/>
      </c>
      <c r="C307" s="8" t="str">
        <f t="shared" si="16"/>
        <v/>
      </c>
      <c r="D307" s="9" t="str">
        <f>IF(A307="","",C307-(子基金及业绩基准周净值!AH347/子基金及业绩基准周净值!AH346-1))</f>
        <v/>
      </c>
      <c r="E307" s="12" t="str">
        <f>IF(A307="","",(MAX(B$3:B307)-B307)/MAX(B$3:B307))</f>
        <v/>
      </c>
      <c r="F307" s="12" t="str">
        <f>IF(A307="","",MAX(E$4:E307))</f>
        <v/>
      </c>
      <c r="H307" s="14" t="str">
        <f t="shared" si="17"/>
        <v/>
      </c>
      <c r="I307" s="14" t="str">
        <f t="shared" si="18"/>
        <v/>
      </c>
      <c r="J307" s="15" t="str">
        <f t="shared" si="19"/>
        <v/>
      </c>
    </row>
    <row r="308" spans="1:10">
      <c r="A308" s="7" t="str">
        <f>IF(子基金及业绩基准周净值!A348="","",子基金及业绩基准周净值!A348)</f>
        <v/>
      </c>
      <c r="B308" s="1" t="str">
        <f>IF(A308="","",VLOOKUP($A308,子基金及业绩基准周净值!$A:$AV,18))</f>
        <v/>
      </c>
      <c r="C308" s="8" t="str">
        <f t="shared" si="16"/>
        <v/>
      </c>
      <c r="D308" s="9" t="str">
        <f>IF(A308="","",C308-(子基金及业绩基准周净值!AH348/子基金及业绩基准周净值!AH347-1))</f>
        <v/>
      </c>
      <c r="E308" s="12" t="str">
        <f>IF(A308="","",(MAX(B$3:B308)-B308)/MAX(B$3:B308))</f>
        <v/>
      </c>
      <c r="F308" s="12" t="str">
        <f>IF(A308="","",MAX(E$4:E308))</f>
        <v/>
      </c>
      <c r="H308" s="14" t="str">
        <f t="shared" si="17"/>
        <v/>
      </c>
      <c r="I308" s="14" t="str">
        <f t="shared" si="18"/>
        <v/>
      </c>
      <c r="J308" s="15" t="str">
        <f t="shared" si="19"/>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K308"/>
  <sheetViews>
    <sheetView workbookViewId="0">
      <selection activeCell="G26" sqref="G26"/>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58</v>
      </c>
      <c r="C2" s="5" t="s">
        <v>310</v>
      </c>
      <c r="D2" s="6" t="s">
        <v>311</v>
      </c>
      <c r="F2" s="5" t="s">
        <v>22</v>
      </c>
      <c r="G2" s="10" t="s">
        <v>312</v>
      </c>
      <c r="H2" s="11" t="s">
        <v>313</v>
      </c>
      <c r="I2" s="11" t="s">
        <v>314</v>
      </c>
      <c r="J2" s="11" t="s">
        <v>315</v>
      </c>
      <c r="K2" s="5" t="s">
        <v>316</v>
      </c>
    </row>
    <row r="3" spans="1:2">
      <c r="A3" s="7">
        <f>IF(子基金及业绩基准周净值!A52="","",子基金及业绩基准周净值!A52)</f>
        <v>45814</v>
      </c>
      <c r="B3" s="1">
        <f>IF(A3="","",VLOOKUP($A3,子基金及业绩基准周净值!$A:$AV,21))</f>
        <v>1.0503</v>
      </c>
    </row>
    <row r="4" spans="1:10">
      <c r="A4" s="7">
        <f>IF(子基金及业绩基准周净值!A53="","",子基金及业绩基准周净值!A53)</f>
        <v>45821</v>
      </c>
      <c r="B4" s="1">
        <f>IF(A4="","",VLOOKUP($A4,子基金及业绩基准周净值!$A:$AV,21))</f>
        <v>1.0472</v>
      </c>
      <c r="C4" s="8">
        <f>IF(A4="","",(B4-B3)/B3)</f>
        <v>-0.00295153765590793</v>
      </c>
      <c r="D4" s="9">
        <f>IF(A4="","",C4-子基金及业绩基准周净值!AI53)</f>
        <v>-0.00665153765590793</v>
      </c>
      <c r="E4" s="12">
        <f>IF(A4="","",(MAX(B$3:B4)-B4)/MAX(B$3:B4))</f>
        <v>0.00295153765590793</v>
      </c>
      <c r="F4" s="12">
        <f>IF(A4="","",MAX(E$4:E4))</f>
        <v>0.00295153765590793</v>
      </c>
      <c r="G4" s="13">
        <v>1</v>
      </c>
      <c r="H4" s="14" t="str">
        <f>IF(B4="","",IF(C4&lt;-3%,"是","否"))</f>
        <v>否</v>
      </c>
      <c r="I4" s="14" t="str">
        <f>IF(A4="","",IF(F4&gt;5%,"是","否"))</f>
        <v>否</v>
      </c>
      <c r="J4" s="15" t="str">
        <f>IF(A4="","",IF(G4&gt;=4,"是","否"))</f>
        <v>否</v>
      </c>
    </row>
    <row r="5" spans="1:10">
      <c r="A5" s="7">
        <f>IF(子基金及业绩基准周净值!A54="","",子基金及业绩基准周净值!A54)</f>
        <v>45828</v>
      </c>
      <c r="B5" s="1">
        <f>IF(A5="","",VLOOKUP($A5,子基金及业绩基准周净值!$A:$AV,21))</f>
        <v>1.05294</v>
      </c>
      <c r="C5" s="8">
        <f t="shared" ref="C5:C67" si="0">IF(A5="","",(B5-B4)/B4)</f>
        <v>0.00548128342245997</v>
      </c>
      <c r="D5" s="9">
        <f>IF(A5="","",C5-子基金及业绩基准周净值!AI54)</f>
        <v>0.000781283422459968</v>
      </c>
      <c r="E5" s="12">
        <f>IF(A5="","",(MAX(B$3:B5)-B5)/MAX(B$3:B5))</f>
        <v>0</v>
      </c>
      <c r="F5" s="12">
        <f>IF(A5="","",MAX(E$4:E5))</f>
        <v>0.00295153765590793</v>
      </c>
      <c r="G5" s="13">
        <v>0</v>
      </c>
      <c r="H5" s="14" t="str">
        <f t="shared" ref="H5:H68" si="1">IF(B5="","",IF(C5&lt;-3%,"是","否"))</f>
        <v>否</v>
      </c>
      <c r="I5" s="14" t="str">
        <f t="shared" ref="I5:I67" si="2">IF(A5="","",IF(F5&gt;5%,"是","否"))</f>
        <v>否</v>
      </c>
      <c r="J5" s="15" t="str">
        <f t="shared" ref="J5:J67" si="3">IF(A5="","",IF(G5&gt;=4,"是","否"))</f>
        <v>否</v>
      </c>
    </row>
    <row r="6" spans="1:10">
      <c r="A6" s="7">
        <f>IF(子基金及业绩基准周净值!A55="","",子基金及业绩基准周净值!A55)</f>
        <v>45835</v>
      </c>
      <c r="B6" s="1">
        <f>IF(A6="","",VLOOKUP($A6,子基金及业绩基准周净值!$A:$AV,21))</f>
        <v>1.05446</v>
      </c>
      <c r="C6" s="8">
        <f t="shared" si="0"/>
        <v>0.00144357703192961</v>
      </c>
      <c r="D6" s="9">
        <f>IF(A6="","",C6-子基金及业绩基准周净值!AI55)</f>
        <v>-0.0155564229680704</v>
      </c>
      <c r="E6" s="12">
        <f>IF(A6="","",(MAX(B$3:B6)-B6)/MAX(B$3:B6))</f>
        <v>0</v>
      </c>
      <c r="F6" s="12">
        <f>IF(A6="","",MAX(E$4:E6))</f>
        <v>0.00295153765590793</v>
      </c>
      <c r="G6" s="13">
        <v>1</v>
      </c>
      <c r="H6" s="14" t="str">
        <f t="shared" si="1"/>
        <v>否</v>
      </c>
      <c r="I6" s="14" t="str">
        <f t="shared" si="2"/>
        <v>否</v>
      </c>
      <c r="J6" s="15" t="str">
        <f t="shared" si="3"/>
        <v>否</v>
      </c>
    </row>
    <row r="7" spans="1:10">
      <c r="A7" s="7">
        <f>IF(子基金及业绩基准周净值!A56="","",子基金及业绩基准周净值!A56)</f>
        <v>45842</v>
      </c>
      <c r="B7" s="1">
        <f>IF(A7="","",VLOOKUP($A7,子基金及业绩基准周净值!$A:$AV,21))</f>
        <v>1.05354</v>
      </c>
      <c r="C7" s="8">
        <f t="shared" si="0"/>
        <v>-0.0008724844944332</v>
      </c>
      <c r="D7" s="9">
        <f>IF(A7="","",C7-子基金及业绩基准周净值!AI56)</f>
        <v>-0.0029724844944332</v>
      </c>
      <c r="E7" s="12">
        <f>IF(A7="","",(MAX(B$3:B7)-B7)/MAX(B$3:B7))</f>
        <v>0.0008724844944332</v>
      </c>
      <c r="F7" s="12">
        <f>IF(A7="","",MAX(E$4:E7))</f>
        <v>0.00295153765590793</v>
      </c>
      <c r="G7" s="13">
        <v>2</v>
      </c>
      <c r="H7" s="14" t="str">
        <f t="shared" si="1"/>
        <v>否</v>
      </c>
      <c r="I7" s="14" t="str">
        <f t="shared" si="2"/>
        <v>否</v>
      </c>
      <c r="J7" s="15" t="str">
        <f t="shared" si="3"/>
        <v>否</v>
      </c>
    </row>
    <row r="8" spans="1:10">
      <c r="A8" s="7">
        <f>IF(子基金及业绩基准周净值!A57="","",子基金及业绩基准周净值!A57)</f>
        <v>45849</v>
      </c>
      <c r="B8" s="1">
        <f>IF(A8="","",VLOOKUP($A8,子基金及业绩基准周净值!$A:$AV,21))</f>
        <v>1.05486</v>
      </c>
      <c r="C8" s="8">
        <f t="shared" si="0"/>
        <v>0.00125291873113502</v>
      </c>
      <c r="D8" s="9">
        <f>IF(A8="","",C8-子基金及业绩基准周净值!AI57)</f>
        <v>-0.010847081268865</v>
      </c>
      <c r="E8" s="12">
        <f>IF(A8="","",(MAX(B$3:B8)-B8)/MAX(B$3:B8))</f>
        <v>0</v>
      </c>
      <c r="F8" s="12">
        <f>IF(A8="","",MAX(E$4:E8))</f>
        <v>0.00295153765590793</v>
      </c>
      <c r="G8" s="13">
        <v>3</v>
      </c>
      <c r="H8" s="14" t="str">
        <f t="shared" si="1"/>
        <v>否</v>
      </c>
      <c r="I8" s="14" t="str">
        <f t="shared" si="2"/>
        <v>否</v>
      </c>
      <c r="J8" s="15" t="str">
        <f t="shared" si="3"/>
        <v>否</v>
      </c>
    </row>
    <row r="9" spans="1:10">
      <c r="A9" s="7">
        <f>IF(子基金及业绩基准周净值!A58="","",子基金及业绩基准周净值!A58)</f>
        <v>45856</v>
      </c>
      <c r="B9" s="1">
        <f>IF(A9="","",VLOOKUP($A9,子基金及业绩基准周净值!$A:$AV,21))</f>
        <v>1.05738</v>
      </c>
      <c r="C9" s="8">
        <f t="shared" si="0"/>
        <v>0.00238894260849788</v>
      </c>
      <c r="D9" s="9">
        <f>IF(A9="","",C9-子基金及业绩基准周净值!AI58)</f>
        <v>-0.00301105739150212</v>
      </c>
      <c r="E9" s="12">
        <f>IF(A9="","",(MAX(B$3:B9)-B9)/MAX(B$3:B9))</f>
        <v>0</v>
      </c>
      <c r="F9" s="12">
        <f>IF(A9="","",MAX(E$4:E9))</f>
        <v>0.00295153765590793</v>
      </c>
      <c r="G9" s="13">
        <v>4</v>
      </c>
      <c r="H9" s="14" t="str">
        <f t="shared" si="1"/>
        <v>否</v>
      </c>
      <c r="I9" s="14" t="str">
        <f t="shared" si="2"/>
        <v>否</v>
      </c>
      <c r="J9" s="15" t="str">
        <f t="shared" si="3"/>
        <v>是</v>
      </c>
    </row>
    <row r="10" spans="1:10">
      <c r="A10" s="7">
        <f>IF(子基金及业绩基准周净值!A59="","",子基金及业绩基准周净值!A59)</f>
        <v>45863</v>
      </c>
      <c r="B10" s="1">
        <f>IF(A10="","",VLOOKUP($A10,子基金及业绩基准周净值!$A:$AV,21))</f>
        <v>1.06898</v>
      </c>
      <c r="C10" s="8">
        <f t="shared" si="0"/>
        <v>0.0109705120202766</v>
      </c>
      <c r="D10" s="9">
        <f>IF(A10="","",C10-子基金及业绩基准周净值!AI59)</f>
        <v>0.00437051202027658</v>
      </c>
      <c r="E10" s="12">
        <f>IF(A10="","",(MAX(B$3:B10)-B10)/MAX(B$3:B10))</f>
        <v>0</v>
      </c>
      <c r="F10" s="12">
        <f>IF(A10="","",MAX(E$4:E10))</f>
        <v>0.00295153765590793</v>
      </c>
      <c r="G10" s="13">
        <v>0</v>
      </c>
      <c r="H10" s="14" t="str">
        <f t="shared" si="1"/>
        <v>否</v>
      </c>
      <c r="I10" s="14" t="str">
        <f t="shared" si="2"/>
        <v>否</v>
      </c>
      <c r="J10" s="15" t="str">
        <f t="shared" si="3"/>
        <v>否</v>
      </c>
    </row>
    <row r="11" spans="1:10">
      <c r="A11" s="7">
        <f>IF(子基金及业绩基准周净值!A60="","",子基金及业绩基准周净值!A60)</f>
        <v>45870</v>
      </c>
      <c r="B11" s="1">
        <f>IF(A11="","",VLOOKUP($A11,子基金及业绩基准周净值!$A:$AV,21))</f>
        <v>1.0685</v>
      </c>
      <c r="C11" s="8">
        <f t="shared" si="0"/>
        <v>-0.000449026174484121</v>
      </c>
      <c r="D11" s="9">
        <f>IF(A11="","",C11-子基金及业绩基准周净值!AI60)</f>
        <v>-0.00744902617448412</v>
      </c>
      <c r="E11" s="12">
        <f>IF(A11="","",(MAX(B$3:B11)-B11)/MAX(B$3:B11))</f>
        <v>0.000449026174484121</v>
      </c>
      <c r="F11" s="12">
        <f>IF(A11="","",MAX(E$4:E11))</f>
        <v>0.00295153765590793</v>
      </c>
      <c r="G11" s="13">
        <v>1</v>
      </c>
      <c r="H11" s="14" t="str">
        <f t="shared" si="1"/>
        <v>否</v>
      </c>
      <c r="I11" s="14" t="str">
        <f t="shared" si="2"/>
        <v>否</v>
      </c>
      <c r="J11" s="15" t="str">
        <f t="shared" si="3"/>
        <v>否</v>
      </c>
    </row>
    <row r="12" spans="1:10">
      <c r="A12" s="7">
        <f>IF(子基金及业绩基准周净值!A61="","",子基金及业绩基准周净值!A61)</f>
        <v>45877</v>
      </c>
      <c r="B12" s="1">
        <f>IF(A12="","",VLOOKUP($A12,子基金及业绩基准周净值!$A:$AV,21))</f>
        <v>1.0711</v>
      </c>
      <c r="C12" s="8">
        <f t="shared" si="0"/>
        <v>0.00243331773514266</v>
      </c>
      <c r="D12" s="9">
        <f>IF(A12="","",C12-子基金及业绩基准周净值!AI61)</f>
        <v>-0.0160666822648573</v>
      </c>
      <c r="E12" s="12">
        <f>IF(A12="","",(MAX(B$3:B12)-B12)/MAX(B$3:B12))</f>
        <v>0</v>
      </c>
      <c r="F12" s="12">
        <f>IF(A12="","",MAX(E$4:E12))</f>
        <v>0.00295153765590793</v>
      </c>
      <c r="G12" s="13">
        <v>2</v>
      </c>
      <c r="H12" s="14" t="str">
        <f t="shared" si="1"/>
        <v>否</v>
      </c>
      <c r="I12" s="14" t="str">
        <f t="shared" si="2"/>
        <v>否</v>
      </c>
      <c r="J12" s="15" t="str">
        <f t="shared" si="3"/>
        <v>否</v>
      </c>
    </row>
    <row r="13" spans="1:10">
      <c r="A13" s="7">
        <f>IF(子基金及业绩基准周净值!A62="","",子基金及业绩基准周净值!A62)</f>
        <v>45884</v>
      </c>
      <c r="B13" s="1">
        <f>IF(A13="","",VLOOKUP($A13,子基金及业绩基准周净值!$A:$AV,21))</f>
        <v>1.0707</v>
      </c>
      <c r="C13" s="8">
        <f t="shared" si="0"/>
        <v>-0.000373447857342877</v>
      </c>
      <c r="D13" s="9">
        <f>IF(A13="","",C13-子基金及业绩基准周净值!AI62)</f>
        <v>-0.0265734478573429</v>
      </c>
      <c r="E13" s="12">
        <f>IF(A13="","",(MAX(B$3:B13)-B13)/MAX(B$3:B13))</f>
        <v>0.000373447857342877</v>
      </c>
      <c r="F13" s="12">
        <f>IF(A13="","",MAX(E$4:E13))</f>
        <v>0.00295153765590793</v>
      </c>
      <c r="G13" s="13">
        <v>3</v>
      </c>
      <c r="H13" s="14" t="str">
        <f t="shared" si="1"/>
        <v>否</v>
      </c>
      <c r="I13" s="14" t="str">
        <f t="shared" si="2"/>
        <v>否</v>
      </c>
      <c r="J13" s="15" t="str">
        <f t="shared" si="3"/>
        <v>否</v>
      </c>
    </row>
    <row r="14" spans="1:10">
      <c r="A14" s="7">
        <f>IF(子基金及业绩基准周净值!A63="","",子基金及业绩基准周净值!A63)</f>
        <v>45891</v>
      </c>
      <c r="B14" s="1">
        <f>IF(A14="","",VLOOKUP($A14,子基金及业绩基准周净值!$A:$AV,21))</f>
        <v>1.07902</v>
      </c>
      <c r="C14" s="8">
        <f t="shared" si="0"/>
        <v>0.00777061735313356</v>
      </c>
      <c r="D14" s="9">
        <f>IF(A14="","",C14-子基金及业绩基准周净值!AI63)</f>
        <v>-0.0103293826468664</v>
      </c>
      <c r="E14" s="12">
        <f>IF(A14="","",(MAX(B$3:B14)-B14)/MAX(B$3:B14))</f>
        <v>0</v>
      </c>
      <c r="F14" s="12">
        <f>IF(A14="","",MAX(E$4:E14))</f>
        <v>0.00295153765590793</v>
      </c>
      <c r="G14" s="13">
        <v>4</v>
      </c>
      <c r="H14" s="14" t="str">
        <f t="shared" si="1"/>
        <v>否</v>
      </c>
      <c r="I14" s="14" t="str">
        <f t="shared" si="2"/>
        <v>否</v>
      </c>
      <c r="J14" s="15" t="str">
        <f t="shared" si="3"/>
        <v>是</v>
      </c>
    </row>
    <row r="15" spans="1:10">
      <c r="A15" s="7">
        <f>IF(子基金及业绩基准周净值!A64="","",子基金及业绩基准周净值!A64)</f>
        <v>45898</v>
      </c>
      <c r="B15" s="1">
        <f>IF(A15="","",VLOOKUP($A15,子基金及业绩基准周净值!$A:$AV,21))</f>
        <v>1.08722</v>
      </c>
      <c r="C15" s="8">
        <f t="shared" si="0"/>
        <v>0.00759948842468164</v>
      </c>
      <c r="D15" s="9">
        <f>IF(A15="","",C15-子基金及业绩基准周净值!AI64)</f>
        <v>0.00319948842468164</v>
      </c>
      <c r="E15" s="12">
        <f>IF(A15="","",(MAX(B$3:B15)-B15)/MAX(B$3:B15))</f>
        <v>0</v>
      </c>
      <c r="F15" s="12">
        <f>IF(A15="","",MAX(E$4:E15))</f>
        <v>0.00295153765590793</v>
      </c>
      <c r="G15" s="13">
        <v>0</v>
      </c>
      <c r="H15" s="14" t="str">
        <f t="shared" si="1"/>
        <v>否</v>
      </c>
      <c r="I15" s="14" t="str">
        <f t="shared" si="2"/>
        <v>否</v>
      </c>
      <c r="J15" s="15" t="str">
        <f t="shared" si="3"/>
        <v>否</v>
      </c>
    </row>
    <row r="16" spans="1:10">
      <c r="A16" s="7">
        <f>IF(子基金及业绩基准周净值!A65="","",子基金及业绩基准周净值!A65)</f>
        <v>45905</v>
      </c>
      <c r="B16" s="1">
        <f>IF(A16="","",VLOOKUP($A16,子基金及业绩基准周净值!$A:$AV,21))</f>
        <v>1.08862</v>
      </c>
      <c r="C16" s="8">
        <f t="shared" si="0"/>
        <v>0.00128768786446151</v>
      </c>
      <c r="D16" s="9">
        <f>IF(A16="","",C16-子基金及业绩基准周净值!AI65)</f>
        <v>0.00538768786446151</v>
      </c>
      <c r="E16" s="12">
        <f>IF(A16="","",(MAX(B$3:B16)-B16)/MAX(B$3:B16))</f>
        <v>0</v>
      </c>
      <c r="F16" s="12">
        <f>IF(A16="","",MAX(E$4:E16))</f>
        <v>0.00295153765590793</v>
      </c>
      <c r="G16" s="13">
        <v>0</v>
      </c>
      <c r="H16" s="14" t="str">
        <f t="shared" si="1"/>
        <v>否</v>
      </c>
      <c r="I16" s="14" t="str">
        <f t="shared" si="2"/>
        <v>否</v>
      </c>
      <c r="J16" s="15" t="str">
        <f t="shared" si="3"/>
        <v>否</v>
      </c>
    </row>
    <row r="17" spans="1:10">
      <c r="A17" s="7">
        <f>IF(子基金及业绩基准周净值!A66="","",子基金及业绩基准周净值!A66)</f>
        <v>45912</v>
      </c>
      <c r="B17" s="1">
        <f>IF(A17="","",VLOOKUP($A17,子基金及业绩基准周净值!$A:$AV,21))</f>
        <v>1.0953</v>
      </c>
      <c r="C17" s="8">
        <f t="shared" si="0"/>
        <v>0.00613620914552371</v>
      </c>
      <c r="D17" s="9">
        <f>IF(A17="","",C17-子基金及业绩基准周净值!AI66)</f>
        <v>-0.0113637908544763</v>
      </c>
      <c r="E17" s="12">
        <f>IF(A17="","",(MAX(B$3:B17)-B17)/MAX(B$3:B17))</f>
        <v>0</v>
      </c>
      <c r="F17" s="12">
        <f>IF(A17="","",MAX(E$4:E17))</f>
        <v>0.00295153765590793</v>
      </c>
      <c r="G17" s="13">
        <v>1</v>
      </c>
      <c r="H17" s="14" t="str">
        <f t="shared" si="1"/>
        <v>否</v>
      </c>
      <c r="I17" s="14" t="str">
        <f t="shared" si="2"/>
        <v>否</v>
      </c>
      <c r="J17" s="15" t="str">
        <f t="shared" si="3"/>
        <v>否</v>
      </c>
    </row>
    <row r="18" spans="1:10">
      <c r="A18" s="7">
        <f>IF(子基金及业绩基准周净值!A67="","",子基金及业绩基准周净值!A67)</f>
        <v>45919</v>
      </c>
      <c r="B18" s="1">
        <f>IF(A18="","",VLOOKUP($A18,子基金及业绩基准周净值!$A:$AV,21))</f>
        <v>1.0973</v>
      </c>
      <c r="C18" s="8">
        <f t="shared" si="0"/>
        <v>0.00182598374874464</v>
      </c>
      <c r="D18" s="9">
        <f>IF(A18="","",C18-子基金及业绩基准周净值!AI67)</f>
        <v>-0.00307401625125536</v>
      </c>
      <c r="E18" s="12">
        <f>IF(A18="","",(MAX(B$3:B18)-B18)/MAX(B$3:B18))</f>
        <v>0</v>
      </c>
      <c r="F18" s="12">
        <f>IF(A18="","",MAX(E$4:E18))</f>
        <v>0.00295153765590793</v>
      </c>
      <c r="G18" s="13">
        <v>2</v>
      </c>
      <c r="H18" s="14" t="str">
        <f t="shared" si="1"/>
        <v>否</v>
      </c>
      <c r="I18" s="14" t="str">
        <f t="shared" si="2"/>
        <v>否</v>
      </c>
      <c r="J18" s="15" t="str">
        <f t="shared" si="3"/>
        <v>否</v>
      </c>
    </row>
    <row r="19" spans="1:10">
      <c r="A19" s="7">
        <f>IF(子基金及业绩基准周净值!A68="","",子基金及业绩基准周净值!A68)</f>
        <v>45926</v>
      </c>
      <c r="B19" s="1">
        <f>IF(A19="","",VLOOKUP($A19,子基金及业绩基准周净值!$A:$AV,21))</f>
        <v>1.10054</v>
      </c>
      <c r="C19" s="8">
        <f t="shared" si="0"/>
        <v>0.00295270208694079</v>
      </c>
      <c r="D19" s="9">
        <f>IF(A19="","",C19-子基金及业绩基准周净值!AI68)</f>
        <v>-0.00204729791305921</v>
      </c>
      <c r="E19" s="12">
        <f>IF(A19="","",(MAX(B$3:B19)-B19)/MAX(B$3:B19))</f>
        <v>0</v>
      </c>
      <c r="F19" s="12">
        <f>IF(A19="","",MAX(E$4:E19))</f>
        <v>0.00295153765590793</v>
      </c>
      <c r="G19" s="13">
        <v>3</v>
      </c>
      <c r="H19" s="14" t="str">
        <f t="shared" si="1"/>
        <v>否</v>
      </c>
      <c r="I19" s="14" t="str">
        <f t="shared" si="2"/>
        <v>否</v>
      </c>
      <c r="J19" s="15" t="str">
        <f t="shared" si="3"/>
        <v>否</v>
      </c>
    </row>
    <row r="20" spans="1:10">
      <c r="A20" s="7">
        <f>IF(子基金及业绩基准周净值!A69="","",子基金及业绩基准周净值!A69)</f>
        <v>45940</v>
      </c>
      <c r="B20" s="1">
        <f>IF(A20="","",VLOOKUP($A20,子基金及业绩基准周净值!$A:$AV,21))</f>
        <v>1.10254</v>
      </c>
      <c r="C20" s="8">
        <f t="shared" si="0"/>
        <v>0.00181728969415015</v>
      </c>
      <c r="D20" s="9">
        <f>IF(A20="","",C20-子基金及业绩基准周净值!AI69)</f>
        <v>-0.00278271030584985</v>
      </c>
      <c r="E20" s="12">
        <f>IF(A20="","",(MAX(B$3:B20)-B20)/MAX(B$3:B20))</f>
        <v>0</v>
      </c>
      <c r="F20" s="12">
        <f>IF(A20="","",MAX(E$4:E20))</f>
        <v>0.00295153765590793</v>
      </c>
      <c r="G20" s="13">
        <v>4</v>
      </c>
      <c r="H20" s="14" t="str">
        <f t="shared" si="1"/>
        <v>否</v>
      </c>
      <c r="I20" s="14" t="str">
        <f t="shared" si="2"/>
        <v>否</v>
      </c>
      <c r="J20" s="15" t="str">
        <f t="shared" si="3"/>
        <v>是</v>
      </c>
    </row>
    <row r="21" spans="1:10">
      <c r="A21" s="7">
        <f>IF(子基金及业绩基准周净值!A70="","",子基金及业绩基准周净值!A70)</f>
        <v>45947</v>
      </c>
      <c r="B21" s="1">
        <f>IF(A21="","",VLOOKUP($A21,子基金及业绩基准周净值!$A:$AV,21))</f>
        <v>1.10246</v>
      </c>
      <c r="C21" s="8">
        <f t="shared" si="0"/>
        <v>-7.25597257243093e-5</v>
      </c>
      <c r="D21" s="9">
        <f>IF(A21="","",C21-子基金及业绩基准周净值!AI70)</f>
        <v>-0.00467255972572431</v>
      </c>
      <c r="E21" s="12">
        <f>IF(A21="","",(MAX(B$3:B21)-B21)/MAX(B$3:B21))</f>
        <v>7.25597257243093e-5</v>
      </c>
      <c r="F21" s="12">
        <f>IF(A21="","",MAX(E$4:E21))</f>
        <v>0.00295153765590793</v>
      </c>
      <c r="G21" s="23">
        <v>5</v>
      </c>
      <c r="H21" s="14" t="str">
        <f t="shared" si="1"/>
        <v>否</v>
      </c>
      <c r="I21" s="14" t="str">
        <f t="shared" si="2"/>
        <v>否</v>
      </c>
      <c r="J21" s="15" t="str">
        <f t="shared" si="3"/>
        <v>是</v>
      </c>
    </row>
    <row r="22" spans="1:10">
      <c r="A22" s="7">
        <f>IF(子基金及业绩基准周净值!A71="","",子基金及业绩基准周净值!A71)</f>
        <v>45954</v>
      </c>
      <c r="B22" s="1">
        <f>IF(A22="","",VLOOKUP($A22,子基金及业绩基准周净值!$A:$AV,21))</f>
        <v>1.10214</v>
      </c>
      <c r="C22" s="8">
        <f t="shared" si="0"/>
        <v>-0.000290259964080418</v>
      </c>
      <c r="D22" s="9">
        <f>IF(A22="","",C22-子基金及业绩基准周净值!AI71)</f>
        <v>-0.00369025996408042</v>
      </c>
      <c r="E22" s="12">
        <f>IF(A22="","",(MAX(B$3:B22)-B22)/MAX(B$3:B22))</f>
        <v>0.000362798628621345</v>
      </c>
      <c r="F22" s="12">
        <f>IF(A22="","",MAX(E$4:E22))</f>
        <v>0.00295153765590793</v>
      </c>
      <c r="G22" s="13">
        <v>6</v>
      </c>
      <c r="H22" s="14" t="str">
        <f t="shared" si="1"/>
        <v>否</v>
      </c>
      <c r="I22" s="14" t="str">
        <f t="shared" si="2"/>
        <v>否</v>
      </c>
      <c r="J22" s="15" t="str">
        <f t="shared" si="3"/>
        <v>是</v>
      </c>
    </row>
    <row r="23" spans="1:10">
      <c r="A23" s="7">
        <f>IF(子基金及业绩基准周净值!A72="","",子基金及业绩基准周净值!A72)</f>
        <v>45961</v>
      </c>
      <c r="B23" s="1">
        <f>IF(A23="","",VLOOKUP($A23,子基金及业绩基准周净值!$A:$AV,21))</f>
        <v>1.1037</v>
      </c>
      <c r="C23" s="8">
        <f t="shared" si="0"/>
        <v>0.00141542816702053</v>
      </c>
      <c r="D23" s="9">
        <f>IF(A23="","",C23-子基金及业绩基准周净值!AI72)</f>
        <v>-0.0102845718329795</v>
      </c>
      <c r="E23" s="12">
        <f>IF(A23="","",(MAX(B$3:B23)-B23)/MAX(B$3:B23))</f>
        <v>0</v>
      </c>
      <c r="F23" s="12">
        <f>IF(A23="","",MAX(E$4:E23))</f>
        <v>0.00295153765590793</v>
      </c>
      <c r="G23" s="13">
        <v>7</v>
      </c>
      <c r="H23" s="14" t="str">
        <f t="shared" si="1"/>
        <v>否</v>
      </c>
      <c r="I23" s="14" t="str">
        <f t="shared" si="2"/>
        <v>否</v>
      </c>
      <c r="J23" s="15" t="str">
        <f t="shared" si="3"/>
        <v>是</v>
      </c>
    </row>
    <row r="24" spans="1:10">
      <c r="A24" s="7" t="str">
        <f>IF(子基金及业绩基准周净值!A73="","",子基金及业绩基准周净值!A73)</f>
        <v/>
      </c>
      <c r="B24" s="1" t="str">
        <f>IF(A24="","",VLOOKUP($A24,子基金及业绩基准周净值!$A:$AV,21))</f>
        <v/>
      </c>
      <c r="C24" s="8" t="str">
        <f t="shared" si="0"/>
        <v/>
      </c>
      <c r="D24" s="9" t="str">
        <f>IF(A24="","",C24-子基金及业绩基准周净值!AI73)</f>
        <v/>
      </c>
      <c r="E24" s="12" t="str">
        <f>IF(A24="","",(MAX(B$3:B24)-B24)/MAX(B$3:B24))</f>
        <v/>
      </c>
      <c r="F24" s="12" t="str">
        <f>IF(A24="","",MAX(E$4:E24))</f>
        <v/>
      </c>
      <c r="G24" s="13"/>
      <c r="H24" s="14" t="str">
        <f t="shared" si="1"/>
        <v/>
      </c>
      <c r="I24" s="14" t="str">
        <f t="shared" si="2"/>
        <v/>
      </c>
      <c r="J24" s="15" t="str">
        <f t="shared" si="3"/>
        <v/>
      </c>
    </row>
    <row r="25" spans="1:10">
      <c r="A25" s="7" t="str">
        <f>IF(子基金及业绩基准周净值!A74="","",子基金及业绩基准周净值!A74)</f>
        <v/>
      </c>
      <c r="B25" s="1" t="str">
        <f>IF(A25="","",VLOOKUP($A25,子基金及业绩基准周净值!$A:$AV,21))</f>
        <v/>
      </c>
      <c r="C25" s="8" t="str">
        <f t="shared" si="0"/>
        <v/>
      </c>
      <c r="D25" s="9" t="str">
        <f>IF(A25="","",C25-子基金及业绩基准周净值!AI74)</f>
        <v/>
      </c>
      <c r="E25" s="12" t="str">
        <f>IF(A25="","",(MAX(B$3:B25)-B25)/MAX(B$3:B25))</f>
        <v/>
      </c>
      <c r="F25" s="12" t="str">
        <f>IF(A25="","",MAX(E$4:E25))</f>
        <v/>
      </c>
      <c r="G25" s="13"/>
      <c r="H25" s="14" t="str">
        <f t="shared" si="1"/>
        <v/>
      </c>
      <c r="I25" s="14" t="str">
        <f t="shared" si="2"/>
        <v/>
      </c>
      <c r="J25" s="15" t="str">
        <f t="shared" si="3"/>
        <v/>
      </c>
    </row>
    <row r="26" spans="1:10">
      <c r="A26" s="7" t="str">
        <f>IF(子基金及业绩基准周净值!A75="","",子基金及业绩基准周净值!A75)</f>
        <v/>
      </c>
      <c r="B26" s="1" t="str">
        <f>IF(A26="","",VLOOKUP($A26,子基金及业绩基准周净值!$A:$AV,21))</f>
        <v/>
      </c>
      <c r="C26" s="8" t="str">
        <f t="shared" si="0"/>
        <v/>
      </c>
      <c r="D26" s="9" t="str">
        <f>IF(A26="","",C26-子基金及业绩基准周净值!AI75)</f>
        <v/>
      </c>
      <c r="E26" s="12" t="str">
        <f>IF(A26="","",(MAX(B$3:B26)-B26)/MAX(B$3:B26))</f>
        <v/>
      </c>
      <c r="F26" s="12" t="str">
        <f>IF(A26="","",MAX(E$4:E26))</f>
        <v/>
      </c>
      <c r="G26" s="13"/>
      <c r="H26" s="14" t="str">
        <f t="shared" si="1"/>
        <v/>
      </c>
      <c r="I26" s="14" t="str">
        <f t="shared" si="2"/>
        <v/>
      </c>
      <c r="J26" s="15" t="str">
        <f t="shared" si="3"/>
        <v/>
      </c>
    </row>
    <row r="27" spans="1:10">
      <c r="A27" s="7" t="str">
        <f>IF(子基金及业绩基准周净值!A76="","",子基金及业绩基准周净值!A76)</f>
        <v/>
      </c>
      <c r="B27" s="1" t="str">
        <f>IF(A27="","",VLOOKUP($A27,子基金及业绩基准周净值!$A:$AV,21))</f>
        <v/>
      </c>
      <c r="C27" s="8" t="str">
        <f t="shared" si="0"/>
        <v/>
      </c>
      <c r="D27" s="9" t="str">
        <f>IF(A27="","",C27-子基金及业绩基准周净值!AI76)</f>
        <v/>
      </c>
      <c r="E27" s="12" t="str">
        <f>IF(A27="","",(MAX(B$3:B27)-B27)/MAX(B$3:B27))</f>
        <v/>
      </c>
      <c r="F27" s="12" t="str">
        <f>IF(A27="","",MAX(E$4:E27))</f>
        <v/>
      </c>
      <c r="G27" s="13"/>
      <c r="H27" s="14" t="str">
        <f t="shared" si="1"/>
        <v/>
      </c>
      <c r="I27" s="14" t="str">
        <f t="shared" si="2"/>
        <v/>
      </c>
      <c r="J27" s="15" t="str">
        <f t="shared" si="3"/>
        <v/>
      </c>
    </row>
    <row r="28" spans="1:10">
      <c r="A28" s="7" t="str">
        <f>IF(子基金及业绩基准周净值!A77="","",子基金及业绩基准周净值!A77)</f>
        <v/>
      </c>
      <c r="B28" s="1" t="str">
        <f>IF(A28="","",VLOOKUP($A28,子基金及业绩基准周净值!$A:$AV,21))</f>
        <v/>
      </c>
      <c r="C28" s="8" t="str">
        <f t="shared" si="0"/>
        <v/>
      </c>
      <c r="D28" s="9" t="str">
        <f>IF(A28="","",C28-子基金及业绩基准周净值!AI77)</f>
        <v/>
      </c>
      <c r="E28" s="12" t="str">
        <f>IF(A28="","",(MAX(B$3:B28)-B28)/MAX(B$3:B28))</f>
        <v/>
      </c>
      <c r="F28" s="12" t="str">
        <f>IF(A28="","",MAX(E$4:E28))</f>
        <v/>
      </c>
      <c r="G28" s="13"/>
      <c r="H28" s="14" t="str">
        <f t="shared" si="1"/>
        <v/>
      </c>
      <c r="I28" s="14" t="str">
        <f t="shared" si="2"/>
        <v/>
      </c>
      <c r="J28" s="15" t="str">
        <f t="shared" si="3"/>
        <v/>
      </c>
    </row>
    <row r="29" spans="1:10">
      <c r="A29" s="7" t="str">
        <f>IF(子基金及业绩基准周净值!A78="","",子基金及业绩基准周净值!A78)</f>
        <v/>
      </c>
      <c r="B29" s="1" t="str">
        <f>IF(A29="","",VLOOKUP($A29,子基金及业绩基准周净值!$A:$AV,21))</f>
        <v/>
      </c>
      <c r="C29" s="8" t="str">
        <f t="shared" si="0"/>
        <v/>
      </c>
      <c r="D29" s="9" t="str">
        <f>IF(A29="","",C29-子基金及业绩基准周净值!AI78)</f>
        <v/>
      </c>
      <c r="E29" s="12" t="str">
        <f>IF(A29="","",(MAX(B$3:B29)-B29)/MAX(B$3:B29))</f>
        <v/>
      </c>
      <c r="F29" s="12" t="str">
        <f>IF(A29="","",MAX(E$4:E29))</f>
        <v/>
      </c>
      <c r="G29" s="13"/>
      <c r="H29" s="14" t="str">
        <f t="shared" si="1"/>
        <v/>
      </c>
      <c r="I29" s="14" t="str">
        <f t="shared" si="2"/>
        <v/>
      </c>
      <c r="J29" s="15" t="str">
        <f t="shared" si="3"/>
        <v/>
      </c>
    </row>
    <row r="30" spans="1:10">
      <c r="A30" s="7" t="str">
        <f>IF(子基金及业绩基准周净值!A79="","",子基金及业绩基准周净值!A79)</f>
        <v/>
      </c>
      <c r="B30" s="1" t="str">
        <f>IF(A30="","",VLOOKUP($A30,子基金及业绩基准周净值!$A:$AV,21))</f>
        <v/>
      </c>
      <c r="C30" s="8" t="str">
        <f t="shared" si="0"/>
        <v/>
      </c>
      <c r="D30" s="9" t="str">
        <f>IF(A30="","",C30-子基金及业绩基准周净值!AI79)</f>
        <v/>
      </c>
      <c r="E30" s="12" t="str">
        <f>IF(A30="","",(MAX(B$3:B30)-B30)/MAX(B$3:B30))</f>
        <v/>
      </c>
      <c r="F30" s="12" t="str">
        <f>IF(A30="","",MAX(E$4:E30))</f>
        <v/>
      </c>
      <c r="G30" s="13"/>
      <c r="H30" s="14" t="str">
        <f t="shared" si="1"/>
        <v/>
      </c>
      <c r="I30" s="14" t="str">
        <f t="shared" si="2"/>
        <v/>
      </c>
      <c r="J30" s="15" t="str">
        <f t="shared" si="3"/>
        <v/>
      </c>
    </row>
    <row r="31" spans="1:10">
      <c r="A31" s="7" t="str">
        <f>IF(子基金及业绩基准周净值!A80="","",子基金及业绩基准周净值!A80)</f>
        <v/>
      </c>
      <c r="B31" s="1" t="str">
        <f>IF(A31="","",VLOOKUP($A31,子基金及业绩基准周净值!$A:$AV,21))</f>
        <v/>
      </c>
      <c r="C31" s="8" t="str">
        <f t="shared" si="0"/>
        <v/>
      </c>
      <c r="D31" s="9" t="str">
        <f>IF(A31="","",C31-子基金及业绩基准周净值!AI80)</f>
        <v/>
      </c>
      <c r="E31" s="12" t="str">
        <f>IF(A31="","",(MAX(B$3:B31)-B31)/MAX(B$3:B31))</f>
        <v/>
      </c>
      <c r="F31" s="12" t="str">
        <f>IF(A31="","",MAX(E$4:E31))</f>
        <v/>
      </c>
      <c r="G31" s="13"/>
      <c r="H31" s="14" t="str">
        <f t="shared" si="1"/>
        <v/>
      </c>
      <c r="I31" s="14" t="str">
        <f t="shared" si="2"/>
        <v/>
      </c>
      <c r="J31" s="15" t="str">
        <f t="shared" si="3"/>
        <v/>
      </c>
    </row>
    <row r="32" spans="1:10">
      <c r="A32" s="7" t="str">
        <f>IF(子基金及业绩基准周净值!A81="","",子基金及业绩基准周净值!A81)</f>
        <v/>
      </c>
      <c r="B32" s="1" t="str">
        <f>IF(A32="","",VLOOKUP($A32,子基金及业绩基准周净值!$A:$AV,21))</f>
        <v/>
      </c>
      <c r="C32" s="8" t="str">
        <f t="shared" si="0"/>
        <v/>
      </c>
      <c r="D32" s="9" t="str">
        <f>IF(A32="","",C32-子基金及业绩基准周净值!AI81)</f>
        <v/>
      </c>
      <c r="E32" s="12" t="str">
        <f>IF(A32="","",(MAX(B$3:B32)-B32)/MAX(B$3:B32))</f>
        <v/>
      </c>
      <c r="F32" s="12" t="str">
        <f>IF(A32="","",MAX(E$4:E32))</f>
        <v/>
      </c>
      <c r="G32" s="13"/>
      <c r="H32" s="14" t="str">
        <f t="shared" si="1"/>
        <v/>
      </c>
      <c r="I32" s="14" t="str">
        <f t="shared" si="2"/>
        <v/>
      </c>
      <c r="J32" s="15" t="str">
        <f t="shared" si="3"/>
        <v/>
      </c>
    </row>
    <row r="33" spans="1:10">
      <c r="A33" s="7" t="str">
        <f>IF(子基金及业绩基准周净值!A82="","",子基金及业绩基准周净值!A82)</f>
        <v/>
      </c>
      <c r="B33" s="1" t="str">
        <f>IF(A33="","",VLOOKUP($A33,子基金及业绩基准周净值!$A:$AV,21))</f>
        <v/>
      </c>
      <c r="C33" s="8" t="str">
        <f t="shared" si="0"/>
        <v/>
      </c>
      <c r="D33" s="9" t="str">
        <f>IF(A33="","",C33-子基金及业绩基准周净值!AI82)</f>
        <v/>
      </c>
      <c r="E33" s="12" t="str">
        <f>IF(A33="","",(MAX(B$3:B33)-B33)/MAX(B$3:B33))</f>
        <v/>
      </c>
      <c r="F33" s="12" t="str">
        <f>IF(A33="","",MAX(E$4:E33))</f>
        <v/>
      </c>
      <c r="G33" s="13"/>
      <c r="H33" s="14" t="str">
        <f t="shared" si="1"/>
        <v/>
      </c>
      <c r="I33" s="14" t="str">
        <f t="shared" si="2"/>
        <v/>
      </c>
      <c r="J33" s="15" t="str">
        <f t="shared" si="3"/>
        <v/>
      </c>
    </row>
    <row r="34" spans="1:10">
      <c r="A34" s="7" t="str">
        <f>IF(子基金及业绩基准周净值!A83="","",子基金及业绩基准周净值!A83)</f>
        <v/>
      </c>
      <c r="B34" s="1" t="str">
        <f>IF(A34="","",VLOOKUP($A34,子基金及业绩基准周净值!$A:$AV,21))</f>
        <v/>
      </c>
      <c r="C34" s="8" t="str">
        <f t="shared" si="0"/>
        <v/>
      </c>
      <c r="D34" s="9" t="str">
        <f>IF(A34="","",C34-子基金及业绩基准周净值!AI83)</f>
        <v/>
      </c>
      <c r="E34" s="12" t="str">
        <f>IF(A34="","",(MAX(B$3:B34)-B34)/MAX(B$3:B34))</f>
        <v/>
      </c>
      <c r="F34" s="12" t="str">
        <f>IF(A34="","",MAX(E$4:E34))</f>
        <v/>
      </c>
      <c r="G34" s="13"/>
      <c r="H34" s="14" t="str">
        <f t="shared" si="1"/>
        <v/>
      </c>
      <c r="I34" s="14" t="str">
        <f t="shared" si="2"/>
        <v/>
      </c>
      <c r="J34" s="15" t="str">
        <f t="shared" si="3"/>
        <v/>
      </c>
    </row>
    <row r="35" spans="1:10">
      <c r="A35" s="7" t="str">
        <f>IF(子基金及业绩基准周净值!A84="","",子基金及业绩基准周净值!A84)</f>
        <v/>
      </c>
      <c r="B35" s="1" t="str">
        <f>IF(A35="","",VLOOKUP($A35,子基金及业绩基准周净值!$A:$AV,21))</f>
        <v/>
      </c>
      <c r="C35" s="8" t="str">
        <f t="shared" si="0"/>
        <v/>
      </c>
      <c r="D35" s="9" t="str">
        <f>IF(A35="","",C35-子基金及业绩基准周净值!AI84)</f>
        <v/>
      </c>
      <c r="E35" s="12" t="str">
        <f>IF(A35="","",(MAX(B$3:B35)-B35)/MAX(B$3:B35))</f>
        <v/>
      </c>
      <c r="F35" s="12" t="str">
        <f>IF(A35="","",MAX(E$4:E35))</f>
        <v/>
      </c>
      <c r="G35" s="13"/>
      <c r="H35" s="14" t="str">
        <f t="shared" si="1"/>
        <v/>
      </c>
      <c r="I35" s="14" t="str">
        <f t="shared" si="2"/>
        <v/>
      </c>
      <c r="J35" s="15" t="str">
        <f t="shared" si="3"/>
        <v/>
      </c>
    </row>
    <row r="36" spans="1:10">
      <c r="A36" s="7" t="str">
        <f>IF(子基金及业绩基准周净值!A85="","",子基金及业绩基准周净值!A85)</f>
        <v/>
      </c>
      <c r="B36" s="1" t="str">
        <f>IF(A36="","",VLOOKUP($A36,子基金及业绩基准周净值!$A:$AV,21))</f>
        <v/>
      </c>
      <c r="C36" s="8" t="str">
        <f t="shared" si="0"/>
        <v/>
      </c>
      <c r="D36" s="9" t="str">
        <f>IF(A36="","",C36-子基金及业绩基准周净值!AI85)</f>
        <v/>
      </c>
      <c r="E36" s="12" t="str">
        <f>IF(A36="","",(MAX(B$3:B36)-B36)/MAX(B$3:B36))</f>
        <v/>
      </c>
      <c r="F36" s="12" t="str">
        <f>IF(A36="","",MAX(E$4:E36))</f>
        <v/>
      </c>
      <c r="G36" s="13"/>
      <c r="H36" s="14" t="str">
        <f t="shared" si="1"/>
        <v/>
      </c>
      <c r="I36" s="14" t="str">
        <f t="shared" si="2"/>
        <v/>
      </c>
      <c r="J36" s="15" t="str">
        <f t="shared" si="3"/>
        <v/>
      </c>
    </row>
    <row r="37" spans="1:10">
      <c r="A37" s="7" t="str">
        <f>IF(子基金及业绩基准周净值!A86="","",子基金及业绩基准周净值!A86)</f>
        <v/>
      </c>
      <c r="B37" s="1" t="str">
        <f>IF(A37="","",VLOOKUP($A37,子基金及业绩基准周净值!$A:$AV,21))</f>
        <v/>
      </c>
      <c r="C37" s="8" t="str">
        <f t="shared" si="0"/>
        <v/>
      </c>
      <c r="D37" s="9" t="str">
        <f>IF(A37="","",C37-子基金及业绩基准周净值!AI86)</f>
        <v/>
      </c>
      <c r="E37" s="12" t="str">
        <f>IF(A37="","",(MAX(B$3:B37)-B37)/MAX(B$3:B37))</f>
        <v/>
      </c>
      <c r="F37" s="12" t="str">
        <f>IF(A37="","",MAX(E$4:E37))</f>
        <v/>
      </c>
      <c r="G37" s="13"/>
      <c r="H37" s="14" t="str">
        <f t="shared" si="1"/>
        <v/>
      </c>
      <c r="I37" s="14" t="str">
        <f t="shared" si="2"/>
        <v/>
      </c>
      <c r="J37" s="15" t="str">
        <f t="shared" si="3"/>
        <v/>
      </c>
    </row>
    <row r="38" spans="1:10">
      <c r="A38" s="7" t="str">
        <f>IF(子基金及业绩基准周净值!A87="","",子基金及业绩基准周净值!A87)</f>
        <v/>
      </c>
      <c r="B38" s="1" t="str">
        <f>IF(A38="","",VLOOKUP($A38,子基金及业绩基准周净值!$A:$AV,21))</f>
        <v/>
      </c>
      <c r="C38" s="8" t="str">
        <f t="shared" si="0"/>
        <v/>
      </c>
      <c r="D38" s="9" t="str">
        <f>IF(A38="","",C38-子基金及业绩基准周净值!AI87)</f>
        <v/>
      </c>
      <c r="E38" s="12" t="str">
        <f>IF(A38="","",(MAX(B$3:B38)-B38)/MAX(B$3:B38))</f>
        <v/>
      </c>
      <c r="F38" s="12" t="str">
        <f>IF(A38="","",MAX(E$4:E38))</f>
        <v/>
      </c>
      <c r="G38" s="13"/>
      <c r="H38" s="14" t="str">
        <f t="shared" si="1"/>
        <v/>
      </c>
      <c r="I38" s="14" t="str">
        <f t="shared" si="2"/>
        <v/>
      </c>
      <c r="J38" s="15" t="str">
        <f t="shared" si="3"/>
        <v/>
      </c>
    </row>
    <row r="39" spans="1:10">
      <c r="A39" s="7" t="str">
        <f>IF(子基金及业绩基准周净值!A88="","",子基金及业绩基准周净值!A88)</f>
        <v/>
      </c>
      <c r="B39" s="1" t="str">
        <f>IF(A39="","",VLOOKUP($A39,子基金及业绩基准周净值!$A:$AV,21))</f>
        <v/>
      </c>
      <c r="C39" s="8" t="str">
        <f t="shared" si="0"/>
        <v/>
      </c>
      <c r="D39" s="9" t="str">
        <f>IF(A39="","",C39-子基金及业绩基准周净值!AI88)</f>
        <v/>
      </c>
      <c r="E39" s="12" t="str">
        <f>IF(A39="","",(MAX(B$3:B39)-B39)/MAX(B$3:B39))</f>
        <v/>
      </c>
      <c r="F39" s="12" t="str">
        <f>IF(A39="","",MAX(E$4:E39))</f>
        <v/>
      </c>
      <c r="G39" s="13"/>
      <c r="H39" s="14" t="str">
        <f t="shared" si="1"/>
        <v/>
      </c>
      <c r="I39" s="14" t="str">
        <f t="shared" si="2"/>
        <v/>
      </c>
      <c r="J39" s="15" t="str">
        <f t="shared" si="3"/>
        <v/>
      </c>
    </row>
    <row r="40" spans="1:10">
      <c r="A40" s="7" t="str">
        <f>IF(子基金及业绩基准周净值!A89="","",子基金及业绩基准周净值!A89)</f>
        <v/>
      </c>
      <c r="B40" s="1" t="str">
        <f>IF(A40="","",VLOOKUP($A40,子基金及业绩基准周净值!$A:$AV,21))</f>
        <v/>
      </c>
      <c r="C40" s="8" t="str">
        <f t="shared" si="0"/>
        <v/>
      </c>
      <c r="D40" s="9" t="str">
        <f>IF(A40="","",C40-子基金及业绩基准周净值!AI89)</f>
        <v/>
      </c>
      <c r="E40" s="12" t="str">
        <f>IF(A40="","",(MAX(B$3:B40)-B40)/MAX(B$3:B40))</f>
        <v/>
      </c>
      <c r="F40" s="12" t="str">
        <f>IF(A40="","",MAX(E$4:E40))</f>
        <v/>
      </c>
      <c r="G40" s="13"/>
      <c r="H40" s="14" t="str">
        <f t="shared" si="1"/>
        <v/>
      </c>
      <c r="I40" s="14" t="str">
        <f t="shared" si="2"/>
        <v/>
      </c>
      <c r="J40" s="15" t="str">
        <f t="shared" si="3"/>
        <v/>
      </c>
    </row>
    <row r="41" spans="1:10">
      <c r="A41" s="7" t="str">
        <f>IF(子基金及业绩基准周净值!A90="","",子基金及业绩基准周净值!A90)</f>
        <v/>
      </c>
      <c r="B41" s="1" t="str">
        <f>IF(A41="","",VLOOKUP($A41,子基金及业绩基准周净值!$A:$AV,21))</f>
        <v/>
      </c>
      <c r="C41" s="8" t="str">
        <f t="shared" si="0"/>
        <v/>
      </c>
      <c r="D41" s="9" t="str">
        <f>IF(A41="","",C41-子基金及业绩基准周净值!AI90)</f>
        <v/>
      </c>
      <c r="E41" s="12" t="str">
        <f>IF(A41="","",(MAX(B$3:B41)-B41)/MAX(B$3:B41))</f>
        <v/>
      </c>
      <c r="F41" s="12" t="str">
        <f>IF(A41="","",MAX(E$4:E41))</f>
        <v/>
      </c>
      <c r="G41" s="13"/>
      <c r="H41" s="14" t="str">
        <f t="shared" si="1"/>
        <v/>
      </c>
      <c r="I41" s="14" t="str">
        <f t="shared" si="2"/>
        <v/>
      </c>
      <c r="J41" s="15" t="str">
        <f t="shared" si="3"/>
        <v/>
      </c>
    </row>
    <row r="42" spans="1:10">
      <c r="A42" s="7" t="str">
        <f>IF(子基金及业绩基准周净值!A91="","",子基金及业绩基准周净值!A91)</f>
        <v/>
      </c>
      <c r="B42" s="1" t="str">
        <f>IF(A42="","",VLOOKUP($A42,子基金及业绩基准周净值!$A:$AV,21))</f>
        <v/>
      </c>
      <c r="C42" s="8" t="str">
        <f t="shared" si="0"/>
        <v/>
      </c>
      <c r="D42" s="9" t="str">
        <f>IF(A42="","",C42-子基金及业绩基准周净值!AI91)</f>
        <v/>
      </c>
      <c r="E42" s="12" t="str">
        <f>IF(A42="","",(MAX(B$3:B42)-B42)/MAX(B$3:B42))</f>
        <v/>
      </c>
      <c r="F42" s="12" t="str">
        <f>IF(A42="","",MAX(E$4:E42))</f>
        <v/>
      </c>
      <c r="G42" s="13"/>
      <c r="H42" s="14" t="str">
        <f t="shared" si="1"/>
        <v/>
      </c>
      <c r="I42" s="14" t="str">
        <f t="shared" si="2"/>
        <v/>
      </c>
      <c r="J42" s="15" t="str">
        <f t="shared" si="3"/>
        <v/>
      </c>
    </row>
    <row r="43" spans="1:10">
      <c r="A43" s="7" t="str">
        <f>IF(子基金及业绩基准周净值!A92="","",子基金及业绩基准周净值!A92)</f>
        <v/>
      </c>
      <c r="B43" s="1" t="str">
        <f>IF(A43="","",VLOOKUP($A43,子基金及业绩基准周净值!$A:$AV,21))</f>
        <v/>
      </c>
      <c r="C43" s="8" t="str">
        <f t="shared" si="0"/>
        <v/>
      </c>
      <c r="D43" s="9" t="str">
        <f>IF(A43="","",C43-子基金及业绩基准周净值!AI92)</f>
        <v/>
      </c>
      <c r="E43" s="12" t="str">
        <f>IF(A43="","",(MAX(B$3:B43)-B43)/MAX(B$3:B43))</f>
        <v/>
      </c>
      <c r="F43" s="12" t="str">
        <f>IF(A43="","",MAX(E$4:E43))</f>
        <v/>
      </c>
      <c r="G43" s="13"/>
      <c r="H43" s="14" t="str">
        <f t="shared" si="1"/>
        <v/>
      </c>
      <c r="I43" s="14" t="str">
        <f t="shared" si="2"/>
        <v/>
      </c>
      <c r="J43" s="15" t="str">
        <f t="shared" si="3"/>
        <v/>
      </c>
    </row>
    <row r="44" spans="1:10">
      <c r="A44" s="7" t="str">
        <f>IF(子基金及业绩基准周净值!A93="","",子基金及业绩基准周净值!A93)</f>
        <v/>
      </c>
      <c r="B44" s="1" t="str">
        <f>IF(A44="","",VLOOKUP($A44,子基金及业绩基准周净值!$A:$AV,21))</f>
        <v/>
      </c>
      <c r="C44" s="8" t="str">
        <f t="shared" si="0"/>
        <v/>
      </c>
      <c r="D44" s="9" t="str">
        <f>IF(A44="","",C44-子基金及业绩基准周净值!AI93)</f>
        <v/>
      </c>
      <c r="E44" s="12" t="str">
        <f>IF(A44="","",(MAX(B$3:B44)-B44)/MAX(B$3:B44))</f>
        <v/>
      </c>
      <c r="F44" s="12" t="str">
        <f>IF(A44="","",MAX(E$4:E44))</f>
        <v/>
      </c>
      <c r="G44" s="13"/>
      <c r="H44" s="14" t="str">
        <f t="shared" si="1"/>
        <v/>
      </c>
      <c r="I44" s="14" t="str">
        <f t="shared" si="2"/>
        <v/>
      </c>
      <c r="J44" s="15" t="str">
        <f t="shared" si="3"/>
        <v/>
      </c>
    </row>
    <row r="45" spans="1:10">
      <c r="A45" s="7" t="str">
        <f>IF(子基金及业绩基准周净值!A94="","",子基金及业绩基准周净值!A94)</f>
        <v/>
      </c>
      <c r="B45" s="1" t="str">
        <f>IF(A45="","",VLOOKUP($A45,子基金及业绩基准周净值!$A:$AV,21))</f>
        <v/>
      </c>
      <c r="C45" s="8" t="str">
        <f t="shared" si="0"/>
        <v/>
      </c>
      <c r="D45" s="9" t="str">
        <f>IF(A45="","",C45-子基金及业绩基准周净值!AI94)</f>
        <v/>
      </c>
      <c r="E45" s="12" t="str">
        <f>IF(A45="","",(MAX(B$3:B45)-B45)/MAX(B$3:B45))</f>
        <v/>
      </c>
      <c r="F45" s="12" t="str">
        <f>IF(A45="","",MAX(E$4:E45))</f>
        <v/>
      </c>
      <c r="G45" s="13"/>
      <c r="H45" s="14" t="str">
        <f t="shared" si="1"/>
        <v/>
      </c>
      <c r="I45" s="14" t="str">
        <f t="shared" si="2"/>
        <v/>
      </c>
      <c r="J45" s="15" t="str">
        <f t="shared" si="3"/>
        <v/>
      </c>
    </row>
    <row r="46" spans="1:10">
      <c r="A46" s="7" t="str">
        <f>IF(子基金及业绩基准周净值!A95="","",子基金及业绩基准周净值!A95)</f>
        <v/>
      </c>
      <c r="B46" s="1" t="str">
        <f>IF(A46="","",VLOOKUP($A46,子基金及业绩基准周净值!$A:$AV,21))</f>
        <v/>
      </c>
      <c r="C46" s="8" t="str">
        <f t="shared" si="0"/>
        <v/>
      </c>
      <c r="D46" s="9" t="str">
        <f>IF(A46="","",C46-子基金及业绩基准周净值!AI95)</f>
        <v/>
      </c>
      <c r="E46" s="12" t="str">
        <f>IF(A46="","",(MAX(B$3:B46)-B46)/MAX(B$3:B46))</f>
        <v/>
      </c>
      <c r="F46" s="12" t="str">
        <f>IF(A46="","",MAX(E$4:E46))</f>
        <v/>
      </c>
      <c r="G46" s="13"/>
      <c r="H46" s="14" t="str">
        <f t="shared" si="1"/>
        <v/>
      </c>
      <c r="I46" s="14" t="str">
        <f t="shared" si="2"/>
        <v/>
      </c>
      <c r="J46" s="15" t="str">
        <f t="shared" si="3"/>
        <v/>
      </c>
    </row>
    <row r="47" spans="1:10">
      <c r="A47" s="7" t="str">
        <f>IF(子基金及业绩基准周净值!A96="","",子基金及业绩基准周净值!A96)</f>
        <v/>
      </c>
      <c r="B47" s="1" t="str">
        <f>IF(A47="","",VLOOKUP($A47,子基金及业绩基准周净值!$A:$AV,21))</f>
        <v/>
      </c>
      <c r="C47" s="8" t="str">
        <f t="shared" si="0"/>
        <v/>
      </c>
      <c r="D47" s="9" t="str">
        <f>IF(A47="","",C47-子基金及业绩基准周净值!AI96)</f>
        <v/>
      </c>
      <c r="E47" s="12" t="str">
        <f>IF(A47="","",(MAX(B$3:B47)-B47)/MAX(B$3:B47))</f>
        <v/>
      </c>
      <c r="F47" s="12" t="str">
        <f>IF(A47="","",MAX(E$4:E47))</f>
        <v/>
      </c>
      <c r="G47" s="13"/>
      <c r="H47" s="14" t="str">
        <f t="shared" si="1"/>
        <v/>
      </c>
      <c r="I47" s="14" t="str">
        <f t="shared" si="2"/>
        <v/>
      </c>
      <c r="J47" s="15" t="str">
        <f t="shared" si="3"/>
        <v/>
      </c>
    </row>
    <row r="48" spans="1:10">
      <c r="A48" s="7" t="str">
        <f>IF(子基金及业绩基准周净值!A97="","",子基金及业绩基准周净值!A97)</f>
        <v/>
      </c>
      <c r="B48" s="1" t="str">
        <f>IF(A48="","",VLOOKUP($A48,子基金及业绩基准周净值!$A:$AV,21))</f>
        <v/>
      </c>
      <c r="C48" s="8" t="str">
        <f t="shared" si="0"/>
        <v/>
      </c>
      <c r="D48" s="9" t="str">
        <f>IF(A48="","",C48-子基金及业绩基准周净值!AI97)</f>
        <v/>
      </c>
      <c r="E48" s="12" t="str">
        <f>IF(A48="","",(MAX(B$3:B48)-B48)/MAX(B$3:B48))</f>
        <v/>
      </c>
      <c r="F48" s="12" t="str">
        <f>IF(A48="","",MAX(E$4:E48))</f>
        <v/>
      </c>
      <c r="G48" s="13"/>
      <c r="H48" s="14" t="str">
        <f t="shared" si="1"/>
        <v/>
      </c>
      <c r="I48" s="14" t="str">
        <f t="shared" si="2"/>
        <v/>
      </c>
      <c r="J48" s="15" t="str">
        <f t="shared" si="3"/>
        <v/>
      </c>
    </row>
    <row r="49" spans="1:10">
      <c r="A49" s="7" t="str">
        <f>IF(子基金及业绩基准周净值!A98="","",子基金及业绩基准周净值!A98)</f>
        <v/>
      </c>
      <c r="B49" s="1" t="str">
        <f>IF(A49="","",VLOOKUP($A49,子基金及业绩基准周净值!$A:$AV,21))</f>
        <v/>
      </c>
      <c r="C49" s="8" t="str">
        <f t="shared" si="0"/>
        <v/>
      </c>
      <c r="D49" s="9" t="str">
        <f>IF(A49="","",C49-子基金及业绩基准周净值!AI98)</f>
        <v/>
      </c>
      <c r="E49" s="12" t="str">
        <f>IF(A49="","",(MAX(B$3:B49)-B49)/MAX(B$3:B49))</f>
        <v/>
      </c>
      <c r="F49" s="12" t="str">
        <f>IF(A49="","",MAX(E$4:E49))</f>
        <v/>
      </c>
      <c r="G49" s="13"/>
      <c r="H49" s="14" t="str">
        <f t="shared" si="1"/>
        <v/>
      </c>
      <c r="I49" s="14" t="str">
        <f t="shared" si="2"/>
        <v/>
      </c>
      <c r="J49" s="15" t="str">
        <f t="shared" si="3"/>
        <v/>
      </c>
    </row>
    <row r="50" spans="1:10">
      <c r="A50" s="7" t="str">
        <f>IF(子基金及业绩基准周净值!A99="","",子基金及业绩基准周净值!A99)</f>
        <v/>
      </c>
      <c r="B50" s="1" t="str">
        <f>IF(A50="","",VLOOKUP($A50,子基金及业绩基准周净值!$A:$AV,21))</f>
        <v/>
      </c>
      <c r="C50" s="8" t="str">
        <f t="shared" si="0"/>
        <v/>
      </c>
      <c r="D50" s="9" t="str">
        <f>IF(A50="","",C50-子基金及业绩基准周净值!AI99)</f>
        <v/>
      </c>
      <c r="E50" s="12" t="str">
        <f>IF(A50="","",(MAX(B$3:B50)-B50)/MAX(B$3:B50))</f>
        <v/>
      </c>
      <c r="F50" s="12" t="str">
        <f>IF(A50="","",MAX(E$4:E50))</f>
        <v/>
      </c>
      <c r="G50" s="13"/>
      <c r="H50" s="14" t="str">
        <f t="shared" si="1"/>
        <v/>
      </c>
      <c r="I50" s="14" t="str">
        <f t="shared" si="2"/>
        <v/>
      </c>
      <c r="J50" s="15" t="str">
        <f t="shared" si="3"/>
        <v/>
      </c>
    </row>
    <row r="51" spans="1:10">
      <c r="A51" s="7" t="str">
        <f>IF(子基金及业绩基准周净值!A100="","",子基金及业绩基准周净值!A100)</f>
        <v/>
      </c>
      <c r="B51" s="1" t="str">
        <f>IF(A51="","",VLOOKUP($A51,子基金及业绩基准周净值!$A:$AV,21))</f>
        <v/>
      </c>
      <c r="C51" s="8" t="str">
        <f t="shared" si="0"/>
        <v/>
      </c>
      <c r="D51" s="9" t="str">
        <f>IF(A51="","",C51-子基金及业绩基准周净值!AI100)</f>
        <v/>
      </c>
      <c r="E51" s="12" t="str">
        <f>IF(A51="","",(MAX(B$3:B51)-B51)/MAX(B$3:B51))</f>
        <v/>
      </c>
      <c r="F51" s="12" t="str">
        <f>IF(A51="","",MAX(E$4:E51))</f>
        <v/>
      </c>
      <c r="G51" s="13"/>
      <c r="H51" s="14" t="str">
        <f t="shared" si="1"/>
        <v/>
      </c>
      <c r="I51" s="14" t="str">
        <f t="shared" si="2"/>
        <v/>
      </c>
      <c r="J51" s="15" t="str">
        <f t="shared" si="3"/>
        <v/>
      </c>
    </row>
    <row r="52" spans="1:10">
      <c r="A52" s="7" t="str">
        <f>IF(子基金及业绩基准周净值!A101="","",子基金及业绩基准周净值!A101)</f>
        <v/>
      </c>
      <c r="B52" s="1" t="str">
        <f>IF(A52="","",VLOOKUP($A52,子基金及业绩基准周净值!$A:$AV,21))</f>
        <v/>
      </c>
      <c r="C52" s="8" t="str">
        <f t="shared" si="0"/>
        <v/>
      </c>
      <c r="D52" s="9" t="str">
        <f>IF(A52="","",C52-子基金及业绩基准周净值!AI101)</f>
        <v/>
      </c>
      <c r="E52" s="12" t="str">
        <f>IF(A52="","",(MAX(B$3:B52)-B52)/MAX(B$3:B52))</f>
        <v/>
      </c>
      <c r="F52" s="12" t="str">
        <f>IF(A52="","",MAX(E$4:E52))</f>
        <v/>
      </c>
      <c r="G52" s="13"/>
      <c r="H52" s="14" t="str">
        <f t="shared" si="1"/>
        <v/>
      </c>
      <c r="I52" s="14" t="str">
        <f t="shared" si="2"/>
        <v/>
      </c>
      <c r="J52" s="15" t="str">
        <f t="shared" si="3"/>
        <v/>
      </c>
    </row>
    <row r="53" spans="1:10">
      <c r="A53" s="7" t="str">
        <f>IF(子基金及业绩基准周净值!A102="","",子基金及业绩基准周净值!A102)</f>
        <v/>
      </c>
      <c r="B53" s="1" t="str">
        <f>IF(A53="","",VLOOKUP($A53,子基金及业绩基准周净值!$A:$AV,21))</f>
        <v/>
      </c>
      <c r="C53" s="8" t="str">
        <f t="shared" si="0"/>
        <v/>
      </c>
      <c r="D53" s="9" t="str">
        <f>IF(A53="","",C53-子基金及业绩基准周净值!AI102)</f>
        <v/>
      </c>
      <c r="E53" s="12" t="str">
        <f>IF(A53="","",(MAX(B$3:B53)-B53)/MAX(B$3:B53))</f>
        <v/>
      </c>
      <c r="F53" s="12" t="str">
        <f>IF(A53="","",MAX(E$4:E53))</f>
        <v/>
      </c>
      <c r="G53" s="13"/>
      <c r="H53" s="14" t="str">
        <f t="shared" si="1"/>
        <v/>
      </c>
      <c r="I53" s="14" t="str">
        <f t="shared" si="2"/>
        <v/>
      </c>
      <c r="J53" s="15" t="str">
        <f t="shared" si="3"/>
        <v/>
      </c>
    </row>
    <row r="54" spans="1:10">
      <c r="A54" s="7" t="str">
        <f>IF(子基金及业绩基准周净值!A103="","",子基金及业绩基准周净值!A103)</f>
        <v/>
      </c>
      <c r="B54" s="1" t="str">
        <f>IF(A54="","",VLOOKUP($A54,子基金及业绩基准周净值!$A:$AV,21))</f>
        <v/>
      </c>
      <c r="C54" s="8" t="str">
        <f t="shared" si="0"/>
        <v/>
      </c>
      <c r="D54" s="9" t="str">
        <f>IF(A54="","",C54-子基金及业绩基准周净值!AI103)</f>
        <v/>
      </c>
      <c r="E54" s="12" t="str">
        <f>IF(A54="","",(MAX(B$3:B54)-B54)/MAX(B$3:B54))</f>
        <v/>
      </c>
      <c r="F54" s="12" t="str">
        <f>IF(A54="","",MAX(E$4:E54))</f>
        <v/>
      </c>
      <c r="G54" s="13"/>
      <c r="H54" s="14" t="str">
        <f t="shared" si="1"/>
        <v/>
      </c>
      <c r="I54" s="14" t="str">
        <f t="shared" si="2"/>
        <v/>
      </c>
      <c r="J54" s="15" t="str">
        <f t="shared" si="3"/>
        <v/>
      </c>
    </row>
    <row r="55" spans="1:10">
      <c r="A55" s="7" t="str">
        <f>IF(子基金及业绩基准周净值!A104="","",子基金及业绩基准周净值!A104)</f>
        <v/>
      </c>
      <c r="B55" s="1" t="str">
        <f>IF(A55="","",VLOOKUP($A55,子基金及业绩基准周净值!$A:$AV,21))</f>
        <v/>
      </c>
      <c r="C55" s="8" t="str">
        <f t="shared" si="0"/>
        <v/>
      </c>
      <c r="D55" s="9" t="str">
        <f>IF(A55="","",C55-子基金及业绩基准周净值!AI104)</f>
        <v/>
      </c>
      <c r="E55" s="12" t="str">
        <f>IF(A55="","",(MAX(B$3:B55)-B55)/MAX(B$3:B55))</f>
        <v/>
      </c>
      <c r="F55" s="12" t="str">
        <f>IF(A55="","",MAX(E$4:E55))</f>
        <v/>
      </c>
      <c r="G55" s="13"/>
      <c r="H55" s="14" t="str">
        <f t="shared" si="1"/>
        <v/>
      </c>
      <c r="I55" s="14" t="str">
        <f t="shared" si="2"/>
        <v/>
      </c>
      <c r="J55" s="15" t="str">
        <f t="shared" si="3"/>
        <v/>
      </c>
    </row>
    <row r="56" spans="1:10">
      <c r="A56" s="7" t="str">
        <f>IF(子基金及业绩基准周净值!A105="","",子基金及业绩基准周净值!A105)</f>
        <v/>
      </c>
      <c r="B56" s="1" t="str">
        <f>IF(A56="","",VLOOKUP($A56,子基金及业绩基准周净值!$A:$AV,21))</f>
        <v/>
      </c>
      <c r="C56" s="8" t="str">
        <f t="shared" si="0"/>
        <v/>
      </c>
      <c r="D56" s="9" t="str">
        <f>IF(A56="","",C56-子基金及业绩基准周净值!AI105)</f>
        <v/>
      </c>
      <c r="E56" s="12" t="str">
        <f>IF(A56="","",(MAX(B$3:B56)-B56)/MAX(B$3:B56))</f>
        <v/>
      </c>
      <c r="F56" s="12" t="str">
        <f>IF(A56="","",MAX(E$4:E56))</f>
        <v/>
      </c>
      <c r="G56" s="13"/>
      <c r="H56" s="14" t="str">
        <f t="shared" si="1"/>
        <v/>
      </c>
      <c r="I56" s="14" t="str">
        <f t="shared" si="2"/>
        <v/>
      </c>
      <c r="J56" s="15" t="str">
        <f t="shared" si="3"/>
        <v/>
      </c>
    </row>
    <row r="57" spans="1:10">
      <c r="A57" s="7" t="str">
        <f>IF(子基金及业绩基准周净值!A106="","",子基金及业绩基准周净值!A106)</f>
        <v/>
      </c>
      <c r="B57" s="1" t="str">
        <f>IF(A57="","",VLOOKUP($A57,子基金及业绩基准周净值!$A:$AV,21))</f>
        <v/>
      </c>
      <c r="C57" s="8" t="str">
        <f t="shared" si="0"/>
        <v/>
      </c>
      <c r="D57" s="9" t="str">
        <f>IF(A57="","",C57-子基金及业绩基准周净值!AI106)</f>
        <v/>
      </c>
      <c r="E57" s="12" t="str">
        <f>IF(A57="","",(MAX(B$3:B57)-B57)/MAX(B$3:B57))</f>
        <v/>
      </c>
      <c r="F57" s="12" t="str">
        <f>IF(A57="","",MAX(E$4:E57))</f>
        <v/>
      </c>
      <c r="G57" s="13"/>
      <c r="H57" s="14" t="str">
        <f t="shared" si="1"/>
        <v/>
      </c>
      <c r="I57" s="14" t="str">
        <f t="shared" si="2"/>
        <v/>
      </c>
      <c r="J57" s="15" t="str">
        <f t="shared" si="3"/>
        <v/>
      </c>
    </row>
    <row r="58" spans="1:10">
      <c r="A58" s="7" t="str">
        <f>IF(子基金及业绩基准周净值!A107="","",子基金及业绩基准周净值!A107)</f>
        <v/>
      </c>
      <c r="B58" s="1" t="str">
        <f>IF(A58="","",VLOOKUP($A58,子基金及业绩基准周净值!$A:$AV,21))</f>
        <v/>
      </c>
      <c r="C58" s="8" t="str">
        <f t="shared" si="0"/>
        <v/>
      </c>
      <c r="D58" s="9" t="str">
        <f>IF(A58="","",C58-子基金及业绩基准周净值!AI107)</f>
        <v/>
      </c>
      <c r="E58" s="12" t="str">
        <f>IF(A58="","",(MAX(B$3:B58)-B58)/MAX(B$3:B58))</f>
        <v/>
      </c>
      <c r="F58" s="12" t="str">
        <f>IF(A58="","",MAX(E$4:E58))</f>
        <v/>
      </c>
      <c r="G58" s="13"/>
      <c r="H58" s="14" t="str">
        <f t="shared" si="1"/>
        <v/>
      </c>
      <c r="I58" s="14" t="str">
        <f t="shared" si="2"/>
        <v/>
      </c>
      <c r="J58" s="15" t="str">
        <f t="shared" si="3"/>
        <v/>
      </c>
    </row>
    <row r="59" spans="1:10">
      <c r="A59" s="7" t="str">
        <f>IF(子基金及业绩基准周净值!A108="","",子基金及业绩基准周净值!A108)</f>
        <v/>
      </c>
      <c r="B59" s="1" t="str">
        <f>IF(A59="","",VLOOKUP($A59,子基金及业绩基准周净值!$A:$AV,21))</f>
        <v/>
      </c>
      <c r="C59" s="8" t="str">
        <f t="shared" si="0"/>
        <v/>
      </c>
      <c r="D59" s="9" t="str">
        <f>IF(A59="","",C59-子基金及业绩基准周净值!AI108)</f>
        <v/>
      </c>
      <c r="E59" s="12" t="str">
        <f>IF(A59="","",(MAX(B$3:B59)-B59)/MAX(B$3:B59))</f>
        <v/>
      </c>
      <c r="F59" s="12" t="str">
        <f>IF(A59="","",MAX(E$4:E59))</f>
        <v/>
      </c>
      <c r="G59" s="13"/>
      <c r="H59" s="14" t="str">
        <f t="shared" si="1"/>
        <v/>
      </c>
      <c r="I59" s="14" t="str">
        <f t="shared" si="2"/>
        <v/>
      </c>
      <c r="J59" s="15" t="str">
        <f t="shared" si="3"/>
        <v/>
      </c>
    </row>
    <row r="60" spans="1:10">
      <c r="A60" s="7" t="str">
        <f>IF(子基金及业绩基准周净值!A109="","",子基金及业绩基准周净值!A109)</f>
        <v/>
      </c>
      <c r="B60" s="1" t="str">
        <f>IF(A60="","",VLOOKUP($A60,子基金及业绩基准周净值!$A:$AV,21))</f>
        <v/>
      </c>
      <c r="C60" s="8" t="str">
        <f t="shared" si="0"/>
        <v/>
      </c>
      <c r="D60" s="9" t="str">
        <f>IF(A60="","",C60-子基金及业绩基准周净值!AI109)</f>
        <v/>
      </c>
      <c r="E60" s="12" t="str">
        <f>IF(A60="","",(MAX(B$3:B60)-B60)/MAX(B$3:B60))</f>
        <v/>
      </c>
      <c r="F60" s="12" t="str">
        <f>IF(A60="","",MAX(E$4:E60))</f>
        <v/>
      </c>
      <c r="G60" s="13"/>
      <c r="H60" s="14" t="str">
        <f t="shared" si="1"/>
        <v/>
      </c>
      <c r="I60" s="14" t="str">
        <f t="shared" si="2"/>
        <v/>
      </c>
      <c r="J60" s="15" t="str">
        <f t="shared" si="3"/>
        <v/>
      </c>
    </row>
    <row r="61" spans="1:10">
      <c r="A61" s="7" t="str">
        <f>IF(子基金及业绩基准周净值!A110="","",子基金及业绩基准周净值!A110)</f>
        <v/>
      </c>
      <c r="B61" s="1" t="str">
        <f>IF(A61="","",VLOOKUP($A61,子基金及业绩基准周净值!$A:$AV,21))</f>
        <v/>
      </c>
      <c r="C61" s="8" t="str">
        <f t="shared" si="0"/>
        <v/>
      </c>
      <c r="D61" s="9" t="str">
        <f>IF(A61="","",C61-子基金及业绩基准周净值!AI110)</f>
        <v/>
      </c>
      <c r="E61" s="12" t="str">
        <f>IF(A61="","",(MAX(B$3:B61)-B61)/MAX(B$3:B61))</f>
        <v/>
      </c>
      <c r="F61" s="12" t="str">
        <f>IF(A61="","",MAX(E$4:E61))</f>
        <v/>
      </c>
      <c r="G61" s="13"/>
      <c r="H61" s="14" t="str">
        <f t="shared" si="1"/>
        <v/>
      </c>
      <c r="I61" s="14" t="str">
        <f t="shared" si="2"/>
        <v/>
      </c>
      <c r="J61" s="15" t="str">
        <f t="shared" si="3"/>
        <v/>
      </c>
    </row>
    <row r="62" spans="1:10">
      <c r="A62" s="7" t="str">
        <f>IF(子基金及业绩基准周净值!A111="","",子基金及业绩基准周净值!A111)</f>
        <v/>
      </c>
      <c r="B62" s="1" t="str">
        <f>IF(A62="","",VLOOKUP($A62,子基金及业绩基准周净值!$A:$AV,21))</f>
        <v/>
      </c>
      <c r="C62" s="8" t="str">
        <f t="shared" si="0"/>
        <v/>
      </c>
      <c r="D62" s="9" t="str">
        <f>IF(A62="","",C62-子基金及业绩基准周净值!AI111)</f>
        <v/>
      </c>
      <c r="E62" s="12" t="str">
        <f>IF(A62="","",(MAX(B$3:B62)-B62)/MAX(B$3:B62))</f>
        <v/>
      </c>
      <c r="F62" s="12" t="str">
        <f>IF(A62="","",MAX(E$4:E62))</f>
        <v/>
      </c>
      <c r="G62" s="13"/>
      <c r="H62" s="14" t="str">
        <f t="shared" si="1"/>
        <v/>
      </c>
      <c r="I62" s="14" t="str">
        <f t="shared" si="2"/>
        <v/>
      </c>
      <c r="J62" s="15" t="str">
        <f t="shared" si="3"/>
        <v/>
      </c>
    </row>
    <row r="63" spans="1:10">
      <c r="A63" s="7" t="str">
        <f>IF(子基金及业绩基准周净值!A112="","",子基金及业绩基准周净值!A112)</f>
        <v/>
      </c>
      <c r="B63" s="1" t="str">
        <f>IF(A63="","",VLOOKUP($A63,子基金及业绩基准周净值!$A:$AV,21))</f>
        <v/>
      </c>
      <c r="C63" s="8" t="str">
        <f t="shared" si="0"/>
        <v/>
      </c>
      <c r="D63" s="9" t="str">
        <f>IF(A63="","",C63-子基金及业绩基准周净值!AI112)</f>
        <v/>
      </c>
      <c r="E63" s="12" t="str">
        <f>IF(A63="","",(MAX(B$3:B63)-B63)/MAX(B$3:B63))</f>
        <v/>
      </c>
      <c r="F63" s="12" t="str">
        <f>IF(A63="","",MAX(E$4:E63))</f>
        <v/>
      </c>
      <c r="G63" s="13"/>
      <c r="H63" s="14" t="str">
        <f t="shared" si="1"/>
        <v/>
      </c>
      <c r="I63" s="14" t="str">
        <f t="shared" si="2"/>
        <v/>
      </c>
      <c r="J63" s="15" t="str">
        <f t="shared" si="3"/>
        <v/>
      </c>
    </row>
    <row r="64" spans="1:10">
      <c r="A64" s="7" t="str">
        <f>IF(子基金及业绩基准周净值!A113="","",子基金及业绩基准周净值!A113)</f>
        <v/>
      </c>
      <c r="B64" s="1" t="str">
        <f>IF(A64="","",VLOOKUP($A64,子基金及业绩基准周净值!$A:$AV,21))</f>
        <v/>
      </c>
      <c r="C64" s="8" t="str">
        <f t="shared" si="0"/>
        <v/>
      </c>
      <c r="D64" s="9" t="str">
        <f>IF(A64="","",C64-子基金及业绩基准周净值!AI113)</f>
        <v/>
      </c>
      <c r="E64" s="12" t="str">
        <f>IF(A64="","",(MAX(B$3:B64)-B64)/MAX(B$3:B64))</f>
        <v/>
      </c>
      <c r="F64" s="12" t="str">
        <f>IF(A64="","",MAX(E$4:E64))</f>
        <v/>
      </c>
      <c r="G64" s="13"/>
      <c r="H64" s="14" t="str">
        <f t="shared" si="1"/>
        <v/>
      </c>
      <c r="I64" s="14" t="str">
        <f t="shared" si="2"/>
        <v/>
      </c>
      <c r="J64" s="15" t="str">
        <f t="shared" si="3"/>
        <v/>
      </c>
    </row>
    <row r="65" spans="1:10">
      <c r="A65" s="7" t="str">
        <f>IF(子基金及业绩基准周净值!A114="","",子基金及业绩基准周净值!A114)</f>
        <v/>
      </c>
      <c r="B65" s="1" t="str">
        <f>IF(A65="","",VLOOKUP($A65,子基金及业绩基准周净值!$A:$AV,21))</f>
        <v/>
      </c>
      <c r="C65" s="8" t="str">
        <f t="shared" si="0"/>
        <v/>
      </c>
      <c r="D65" s="9" t="str">
        <f>IF(A65="","",C65-子基金及业绩基准周净值!AI114)</f>
        <v/>
      </c>
      <c r="E65" s="12" t="str">
        <f>IF(A65="","",(MAX(B$3:B65)-B65)/MAX(B$3:B65))</f>
        <v/>
      </c>
      <c r="F65" s="12" t="str">
        <f>IF(A65="","",MAX(E$4:E65))</f>
        <v/>
      </c>
      <c r="G65" s="13"/>
      <c r="H65" s="14" t="str">
        <f t="shared" si="1"/>
        <v/>
      </c>
      <c r="I65" s="14" t="str">
        <f t="shared" si="2"/>
        <v/>
      </c>
      <c r="J65" s="15" t="str">
        <f t="shared" si="3"/>
        <v/>
      </c>
    </row>
    <row r="66" spans="1:10">
      <c r="A66" s="7" t="str">
        <f>IF(子基金及业绩基准周净值!A115="","",子基金及业绩基准周净值!A115)</f>
        <v/>
      </c>
      <c r="B66" s="1" t="str">
        <f>IF(A66="","",VLOOKUP($A66,子基金及业绩基准周净值!$A:$AV,21))</f>
        <v/>
      </c>
      <c r="C66" s="8" t="str">
        <f t="shared" si="0"/>
        <v/>
      </c>
      <c r="D66" s="9" t="str">
        <f>IF(A66="","",C66-子基金及业绩基准周净值!AI115)</f>
        <v/>
      </c>
      <c r="E66" s="12" t="str">
        <f>IF(A66="","",(MAX(B$3:B66)-B66)/MAX(B$3:B66))</f>
        <v/>
      </c>
      <c r="F66" s="12" t="str">
        <f>IF(A66="","",MAX(E$4:E66))</f>
        <v/>
      </c>
      <c r="G66" s="13"/>
      <c r="H66" s="14" t="str">
        <f t="shared" si="1"/>
        <v/>
      </c>
      <c r="I66" s="14" t="str">
        <f t="shared" si="2"/>
        <v/>
      </c>
      <c r="J66" s="15" t="str">
        <f t="shared" si="3"/>
        <v/>
      </c>
    </row>
    <row r="67" spans="1:10">
      <c r="A67" s="7" t="str">
        <f>IF(子基金及业绩基准周净值!A116="","",子基金及业绩基准周净值!A116)</f>
        <v/>
      </c>
      <c r="B67" s="1" t="str">
        <f>IF(A67="","",VLOOKUP($A67,子基金及业绩基准周净值!$A:$AV,21))</f>
        <v/>
      </c>
      <c r="C67" s="8" t="str">
        <f t="shared" si="0"/>
        <v/>
      </c>
      <c r="D67" s="9" t="str">
        <f>IF(A67="","",C67-子基金及业绩基准周净值!AI116)</f>
        <v/>
      </c>
      <c r="E67" s="12" t="str">
        <f>IF(A67="","",(MAX(B$3:B67)-B67)/MAX(B$3:B67))</f>
        <v/>
      </c>
      <c r="F67" s="12" t="str">
        <f>IF(A67="","",MAX(E$4:E67))</f>
        <v/>
      </c>
      <c r="G67" s="13"/>
      <c r="H67" s="14" t="str">
        <f t="shared" si="1"/>
        <v/>
      </c>
      <c r="I67" s="14" t="str">
        <f t="shared" si="2"/>
        <v/>
      </c>
      <c r="J67" s="15" t="str">
        <f t="shared" si="3"/>
        <v/>
      </c>
    </row>
    <row r="68" spans="1:10">
      <c r="A68" s="7" t="str">
        <f>IF(子基金及业绩基准周净值!A117="","",子基金及业绩基准周净值!A117)</f>
        <v/>
      </c>
      <c r="B68" s="1" t="str">
        <f>IF(A68="","",VLOOKUP($A68,子基金及业绩基准周净值!$A:$AV,21))</f>
        <v/>
      </c>
      <c r="C68" s="8" t="str">
        <f t="shared" ref="C68:C131" si="4">IF(A68="","",(B68-B67)/B67)</f>
        <v/>
      </c>
      <c r="D68" s="9" t="str">
        <f>IF(A68="","",C68-子基金及业绩基准周净值!AI117)</f>
        <v/>
      </c>
      <c r="E68" s="12" t="str">
        <f>IF(A68="","",(MAX(B$3:B68)-B68)/MAX(B$3:B68))</f>
        <v/>
      </c>
      <c r="F68" s="12" t="str">
        <f>IF(A68="","",MAX(E$4:E68))</f>
        <v/>
      </c>
      <c r="G68" s="13"/>
      <c r="H68" s="14" t="str">
        <f t="shared" si="1"/>
        <v/>
      </c>
      <c r="I68" s="14" t="str">
        <f t="shared" ref="I68:I131" si="5">IF(A68="","",IF(F68&gt;5%,"是","否"))</f>
        <v/>
      </c>
      <c r="J68" s="15" t="str">
        <f t="shared" ref="J68:J131" si="6">IF(A68="","",IF(G68&gt;=4,"是","否"))</f>
        <v/>
      </c>
    </row>
    <row r="69" spans="1:10">
      <c r="A69" s="7" t="str">
        <f>IF(子基金及业绩基准周净值!A118="","",子基金及业绩基准周净值!A118)</f>
        <v/>
      </c>
      <c r="B69" s="1" t="str">
        <f>IF(A69="","",VLOOKUP($A69,子基金及业绩基准周净值!$A:$AV,21))</f>
        <v/>
      </c>
      <c r="C69" s="8" t="str">
        <f t="shared" si="4"/>
        <v/>
      </c>
      <c r="D69" s="9" t="str">
        <f>IF(A69="","",C69-子基金及业绩基准周净值!AI118)</f>
        <v/>
      </c>
      <c r="E69" s="12" t="str">
        <f>IF(A69="","",(MAX(B$3:B69)-B69)/MAX(B$3:B69))</f>
        <v/>
      </c>
      <c r="F69" s="12" t="str">
        <f>IF(A69="","",MAX(E$4:E69))</f>
        <v/>
      </c>
      <c r="G69" s="13"/>
      <c r="H69" s="14" t="str">
        <f t="shared" ref="H69:H132" si="7">IF(B69="","",IF(C69&lt;-3%,"是","否"))</f>
        <v/>
      </c>
      <c r="I69" s="14" t="str">
        <f t="shared" si="5"/>
        <v/>
      </c>
      <c r="J69" s="15" t="str">
        <f t="shared" si="6"/>
        <v/>
      </c>
    </row>
    <row r="70" spans="1:10">
      <c r="A70" s="7" t="str">
        <f>IF(子基金及业绩基准周净值!A119="","",子基金及业绩基准周净值!A119)</f>
        <v/>
      </c>
      <c r="B70" s="1" t="str">
        <f>IF(A70="","",VLOOKUP($A70,子基金及业绩基准周净值!$A:$AV,21))</f>
        <v/>
      </c>
      <c r="C70" s="8" t="str">
        <f t="shared" si="4"/>
        <v/>
      </c>
      <c r="D70" s="9" t="str">
        <f>IF(A70="","",C70-子基金及业绩基准周净值!AI119)</f>
        <v/>
      </c>
      <c r="E70" s="12" t="str">
        <f>IF(A70="","",(MAX(B$3:B70)-B70)/MAX(B$3:B70))</f>
        <v/>
      </c>
      <c r="F70" s="12" t="str">
        <f>IF(A70="","",MAX(E$4:E70))</f>
        <v/>
      </c>
      <c r="G70" s="13"/>
      <c r="H70" s="14" t="str">
        <f t="shared" si="7"/>
        <v/>
      </c>
      <c r="I70" s="14" t="str">
        <f t="shared" si="5"/>
        <v/>
      </c>
      <c r="J70" s="15" t="str">
        <f t="shared" si="6"/>
        <v/>
      </c>
    </row>
    <row r="71" spans="1:10">
      <c r="A71" s="7" t="str">
        <f>IF(子基金及业绩基准周净值!A120="","",子基金及业绩基准周净值!A120)</f>
        <v/>
      </c>
      <c r="B71" s="1" t="str">
        <f>IF(A71="","",VLOOKUP($A71,子基金及业绩基准周净值!$A:$AV,21))</f>
        <v/>
      </c>
      <c r="C71" s="8" t="str">
        <f t="shared" si="4"/>
        <v/>
      </c>
      <c r="D71" s="9" t="str">
        <f>IF(A71="","",C71-子基金及业绩基准周净值!AI120)</f>
        <v/>
      </c>
      <c r="E71" s="12" t="str">
        <f>IF(A71="","",(MAX(B$3:B71)-B71)/MAX(B$3:B71))</f>
        <v/>
      </c>
      <c r="F71" s="12" t="str">
        <f>IF(A71="","",MAX(E$4:E71))</f>
        <v/>
      </c>
      <c r="G71" s="13"/>
      <c r="H71" s="14" t="str">
        <f t="shared" si="7"/>
        <v/>
      </c>
      <c r="I71" s="14" t="str">
        <f t="shared" si="5"/>
        <v/>
      </c>
      <c r="J71" s="15" t="str">
        <f t="shared" si="6"/>
        <v/>
      </c>
    </row>
    <row r="72" spans="1:10">
      <c r="A72" s="7" t="str">
        <f>IF(子基金及业绩基准周净值!A121="","",子基金及业绩基准周净值!A121)</f>
        <v/>
      </c>
      <c r="B72" s="1" t="str">
        <f>IF(A72="","",VLOOKUP($A72,子基金及业绩基准周净值!$A:$AV,21))</f>
        <v/>
      </c>
      <c r="C72" s="8" t="str">
        <f t="shared" si="4"/>
        <v/>
      </c>
      <c r="D72" s="9" t="str">
        <f>IF(A72="","",C72-子基金及业绩基准周净值!AI121)</f>
        <v/>
      </c>
      <c r="E72" s="12" t="str">
        <f>IF(A72="","",(MAX(B$3:B72)-B72)/MAX(B$3:B72))</f>
        <v/>
      </c>
      <c r="F72" s="12" t="str">
        <f>IF(A72="","",MAX(E$4:E72))</f>
        <v/>
      </c>
      <c r="G72" s="13"/>
      <c r="H72" s="14" t="str">
        <f t="shared" si="7"/>
        <v/>
      </c>
      <c r="I72" s="14" t="str">
        <f t="shared" si="5"/>
        <v/>
      </c>
      <c r="J72" s="15" t="str">
        <f t="shared" si="6"/>
        <v/>
      </c>
    </row>
    <row r="73" spans="1:10">
      <c r="A73" s="7" t="str">
        <f>IF(子基金及业绩基准周净值!A122="","",子基金及业绩基准周净值!A122)</f>
        <v/>
      </c>
      <c r="B73" s="1" t="str">
        <f>IF(A73="","",VLOOKUP($A73,子基金及业绩基准周净值!$A:$AV,21))</f>
        <v/>
      </c>
      <c r="C73" s="8" t="str">
        <f t="shared" si="4"/>
        <v/>
      </c>
      <c r="D73" s="9" t="str">
        <f>IF(A73="","",C73-子基金及业绩基准周净值!AI122)</f>
        <v/>
      </c>
      <c r="E73" s="12" t="str">
        <f>IF(A73="","",(MAX(B$3:B73)-B73)/MAX(B$3:B73))</f>
        <v/>
      </c>
      <c r="F73" s="12" t="str">
        <f>IF(A73="","",MAX(E$4:E73))</f>
        <v/>
      </c>
      <c r="G73" s="13"/>
      <c r="H73" s="14" t="str">
        <f t="shared" si="7"/>
        <v/>
      </c>
      <c r="I73" s="14" t="str">
        <f t="shared" si="5"/>
        <v/>
      </c>
      <c r="J73" s="15" t="str">
        <f t="shared" si="6"/>
        <v/>
      </c>
    </row>
    <row r="74" spans="1:10">
      <c r="A74" s="7" t="str">
        <f>IF(子基金及业绩基准周净值!A123="","",子基金及业绩基准周净值!A123)</f>
        <v/>
      </c>
      <c r="B74" s="1" t="str">
        <f>IF(A74="","",VLOOKUP($A74,子基金及业绩基准周净值!$A:$AV,21))</f>
        <v/>
      </c>
      <c r="C74" s="8" t="str">
        <f t="shared" si="4"/>
        <v/>
      </c>
      <c r="D74" s="9" t="str">
        <f>IF(A74="","",C74-子基金及业绩基准周净值!AI123)</f>
        <v/>
      </c>
      <c r="E74" s="12" t="str">
        <f>IF(A74="","",(MAX(B$3:B74)-B74)/MAX(B$3:B74))</f>
        <v/>
      </c>
      <c r="F74" s="12" t="str">
        <f>IF(A74="","",MAX(E$4:E74))</f>
        <v/>
      </c>
      <c r="G74" s="13"/>
      <c r="H74" s="14" t="str">
        <f t="shared" si="7"/>
        <v/>
      </c>
      <c r="I74" s="14" t="str">
        <f t="shared" si="5"/>
        <v/>
      </c>
      <c r="J74" s="15" t="str">
        <f t="shared" si="6"/>
        <v/>
      </c>
    </row>
    <row r="75" spans="1:10">
      <c r="A75" s="7" t="str">
        <f>IF(子基金及业绩基准周净值!A124="","",子基金及业绩基准周净值!A124)</f>
        <v/>
      </c>
      <c r="B75" s="1" t="str">
        <f>IF(A75="","",VLOOKUP($A75,子基金及业绩基准周净值!$A:$AV,21))</f>
        <v/>
      </c>
      <c r="C75" s="8" t="str">
        <f t="shared" si="4"/>
        <v/>
      </c>
      <c r="D75" s="9" t="str">
        <f>IF(A75="","",C75-子基金及业绩基准周净值!AI124)</f>
        <v/>
      </c>
      <c r="E75" s="12" t="str">
        <f>IF(A75="","",(MAX(B$3:B75)-B75)/MAX(B$3:B75))</f>
        <v/>
      </c>
      <c r="F75" s="12" t="str">
        <f>IF(A75="","",MAX(E$4:E75))</f>
        <v/>
      </c>
      <c r="G75" s="13"/>
      <c r="H75" s="14" t="str">
        <f t="shared" si="7"/>
        <v/>
      </c>
      <c r="I75" s="14" t="str">
        <f t="shared" si="5"/>
        <v/>
      </c>
      <c r="J75" s="15" t="str">
        <f t="shared" si="6"/>
        <v/>
      </c>
    </row>
    <row r="76" spans="1:10">
      <c r="A76" s="7" t="str">
        <f>IF(子基金及业绩基准周净值!A125="","",子基金及业绩基准周净值!A125)</f>
        <v/>
      </c>
      <c r="B76" s="1" t="str">
        <f>IF(A76="","",VLOOKUP($A76,子基金及业绩基准周净值!$A:$AV,21))</f>
        <v/>
      </c>
      <c r="C76" s="8" t="str">
        <f t="shared" si="4"/>
        <v/>
      </c>
      <c r="D76" s="9" t="str">
        <f>IF(A76="","",C76-子基金及业绩基准周净值!AI125)</f>
        <v/>
      </c>
      <c r="E76" s="12" t="str">
        <f>IF(A76="","",(MAX(B$3:B76)-B76)/MAX(B$3:B76))</f>
        <v/>
      </c>
      <c r="F76" s="12" t="str">
        <f>IF(A76="","",MAX(E$4:E76))</f>
        <v/>
      </c>
      <c r="G76" s="13"/>
      <c r="H76" s="14" t="str">
        <f t="shared" si="7"/>
        <v/>
      </c>
      <c r="I76" s="14" t="str">
        <f t="shared" si="5"/>
        <v/>
      </c>
      <c r="J76" s="15" t="str">
        <f t="shared" si="6"/>
        <v/>
      </c>
    </row>
    <row r="77" spans="1:10">
      <c r="A77" s="7" t="str">
        <f>IF(子基金及业绩基准周净值!A126="","",子基金及业绩基准周净值!A126)</f>
        <v/>
      </c>
      <c r="B77" s="1" t="str">
        <f>IF(A77="","",VLOOKUP($A77,子基金及业绩基准周净值!$A:$AV,21))</f>
        <v/>
      </c>
      <c r="C77" s="8" t="str">
        <f t="shared" si="4"/>
        <v/>
      </c>
      <c r="D77" s="9" t="str">
        <f>IF(A77="","",C77-子基金及业绩基准周净值!AI126)</f>
        <v/>
      </c>
      <c r="E77" s="12" t="str">
        <f>IF(A77="","",(MAX(B$3:B77)-B77)/MAX(B$3:B77))</f>
        <v/>
      </c>
      <c r="F77" s="12" t="str">
        <f>IF(A77="","",MAX(E$4:E77))</f>
        <v/>
      </c>
      <c r="G77" s="13"/>
      <c r="H77" s="14" t="str">
        <f t="shared" si="7"/>
        <v/>
      </c>
      <c r="I77" s="14" t="str">
        <f t="shared" si="5"/>
        <v/>
      </c>
      <c r="J77" s="15" t="str">
        <f t="shared" si="6"/>
        <v/>
      </c>
    </row>
    <row r="78" spans="1:10">
      <c r="A78" s="7" t="str">
        <f>IF(子基金及业绩基准周净值!A127="","",子基金及业绩基准周净值!A127)</f>
        <v/>
      </c>
      <c r="B78" s="1" t="str">
        <f>IF(A78="","",VLOOKUP($A78,子基金及业绩基准周净值!$A:$AV,21))</f>
        <v/>
      </c>
      <c r="C78" s="8" t="str">
        <f t="shared" si="4"/>
        <v/>
      </c>
      <c r="D78" s="9" t="str">
        <f>IF(A78="","",C78-子基金及业绩基准周净值!AI127)</f>
        <v/>
      </c>
      <c r="E78" s="12" t="str">
        <f>IF(A78="","",(MAX(B$3:B78)-B78)/MAX(B$3:B78))</f>
        <v/>
      </c>
      <c r="F78" s="12" t="str">
        <f>IF(A78="","",MAX(E$4:E78))</f>
        <v/>
      </c>
      <c r="G78" s="13"/>
      <c r="H78" s="14" t="str">
        <f t="shared" si="7"/>
        <v/>
      </c>
      <c r="I78" s="14" t="str">
        <f t="shared" si="5"/>
        <v/>
      </c>
      <c r="J78" s="15" t="str">
        <f t="shared" si="6"/>
        <v/>
      </c>
    </row>
    <row r="79" spans="1:10">
      <c r="A79" s="7" t="str">
        <f>IF(子基金及业绩基准周净值!A128="","",子基金及业绩基准周净值!A128)</f>
        <v/>
      </c>
      <c r="B79" s="1" t="str">
        <f>IF(A79="","",VLOOKUP($A79,子基金及业绩基准周净值!$A:$AV,21))</f>
        <v/>
      </c>
      <c r="C79" s="8" t="str">
        <f t="shared" si="4"/>
        <v/>
      </c>
      <c r="D79" s="9" t="str">
        <f>IF(A79="","",C79-子基金及业绩基准周净值!AI128)</f>
        <v/>
      </c>
      <c r="E79" s="12" t="str">
        <f>IF(A79="","",(MAX(B$3:B79)-B79)/MAX(B$3:B79))</f>
        <v/>
      </c>
      <c r="F79" s="12" t="str">
        <f>IF(A79="","",MAX(E$4:E79))</f>
        <v/>
      </c>
      <c r="G79" s="13"/>
      <c r="H79" s="14" t="str">
        <f t="shared" si="7"/>
        <v/>
      </c>
      <c r="I79" s="14" t="str">
        <f t="shared" si="5"/>
        <v/>
      </c>
      <c r="J79" s="15" t="str">
        <f t="shared" si="6"/>
        <v/>
      </c>
    </row>
    <row r="80" spans="1:10">
      <c r="A80" s="7" t="str">
        <f>IF(子基金及业绩基准周净值!A129="","",子基金及业绩基准周净值!A129)</f>
        <v/>
      </c>
      <c r="B80" s="1" t="str">
        <f>IF(A80="","",VLOOKUP($A80,子基金及业绩基准周净值!$A:$AV,21))</f>
        <v/>
      </c>
      <c r="C80" s="8" t="str">
        <f t="shared" si="4"/>
        <v/>
      </c>
      <c r="D80" s="9" t="str">
        <f>IF(A80="","",C80-子基金及业绩基准周净值!AI129)</f>
        <v/>
      </c>
      <c r="E80" s="12" t="str">
        <f>IF(A80="","",(MAX(B$3:B80)-B80)/MAX(B$3:B80))</f>
        <v/>
      </c>
      <c r="F80" s="12" t="str">
        <f>IF(A80="","",MAX(E$4:E80))</f>
        <v/>
      </c>
      <c r="G80" s="13"/>
      <c r="H80" s="14" t="str">
        <f t="shared" si="7"/>
        <v/>
      </c>
      <c r="I80" s="14" t="str">
        <f t="shared" si="5"/>
        <v/>
      </c>
      <c r="J80" s="15" t="str">
        <f t="shared" si="6"/>
        <v/>
      </c>
    </row>
    <row r="81" spans="1:10">
      <c r="A81" s="7" t="str">
        <f>IF(子基金及业绩基准周净值!A130="","",子基金及业绩基准周净值!A130)</f>
        <v/>
      </c>
      <c r="B81" s="1" t="str">
        <f>IF(A81="","",VLOOKUP($A81,子基金及业绩基准周净值!$A:$AV,21))</f>
        <v/>
      </c>
      <c r="C81" s="8" t="str">
        <f t="shared" si="4"/>
        <v/>
      </c>
      <c r="D81" s="9" t="str">
        <f>IF(A81="","",C81-子基金及业绩基准周净值!AI130)</f>
        <v/>
      </c>
      <c r="E81" s="12" t="str">
        <f>IF(A81="","",(MAX(B$3:B81)-B81)/MAX(B$3:B81))</f>
        <v/>
      </c>
      <c r="F81" s="12" t="str">
        <f>IF(A81="","",MAX(E$4:E81))</f>
        <v/>
      </c>
      <c r="G81" s="13"/>
      <c r="H81" s="14" t="str">
        <f t="shared" si="7"/>
        <v/>
      </c>
      <c r="I81" s="14" t="str">
        <f t="shared" si="5"/>
        <v/>
      </c>
      <c r="J81" s="15" t="str">
        <f t="shared" si="6"/>
        <v/>
      </c>
    </row>
    <row r="82" spans="1:10">
      <c r="A82" s="7" t="str">
        <f>IF(子基金及业绩基准周净值!A131="","",子基金及业绩基准周净值!A131)</f>
        <v/>
      </c>
      <c r="B82" s="1" t="str">
        <f>IF(A82="","",VLOOKUP($A82,子基金及业绩基准周净值!$A:$AV,21))</f>
        <v/>
      </c>
      <c r="C82" s="8" t="str">
        <f t="shared" si="4"/>
        <v/>
      </c>
      <c r="D82" s="9" t="str">
        <f>IF(A82="","",C82-子基金及业绩基准周净值!AI131)</f>
        <v/>
      </c>
      <c r="E82" s="12" t="str">
        <f>IF(A82="","",(MAX(B$3:B82)-B82)/MAX(B$3:B82))</f>
        <v/>
      </c>
      <c r="F82" s="12" t="str">
        <f>IF(A82="","",MAX(E$4:E82))</f>
        <v/>
      </c>
      <c r="G82" s="13"/>
      <c r="H82" s="14" t="str">
        <f t="shared" si="7"/>
        <v/>
      </c>
      <c r="I82" s="14" t="str">
        <f t="shared" si="5"/>
        <v/>
      </c>
      <c r="J82" s="15" t="str">
        <f t="shared" si="6"/>
        <v/>
      </c>
    </row>
    <row r="83" spans="1:10">
      <c r="A83" s="7" t="str">
        <f>IF(子基金及业绩基准周净值!A132="","",子基金及业绩基准周净值!A132)</f>
        <v/>
      </c>
      <c r="B83" s="1" t="str">
        <f>IF(A83="","",VLOOKUP($A83,子基金及业绩基准周净值!$A:$AV,21))</f>
        <v/>
      </c>
      <c r="C83" s="8" t="str">
        <f t="shared" si="4"/>
        <v/>
      </c>
      <c r="D83" s="9" t="str">
        <f>IF(A83="","",C83-子基金及业绩基准周净值!AI132)</f>
        <v/>
      </c>
      <c r="E83" s="12" t="str">
        <f>IF(A83="","",(MAX(B$3:B83)-B83)/MAX(B$3:B83))</f>
        <v/>
      </c>
      <c r="F83" s="12" t="str">
        <f>IF(A83="","",MAX(E$4:E83))</f>
        <v/>
      </c>
      <c r="G83" s="13"/>
      <c r="H83" s="14" t="str">
        <f t="shared" si="7"/>
        <v/>
      </c>
      <c r="I83" s="14" t="str">
        <f t="shared" si="5"/>
        <v/>
      </c>
      <c r="J83" s="15" t="str">
        <f t="shared" si="6"/>
        <v/>
      </c>
    </row>
    <row r="84" spans="1:10">
      <c r="A84" s="7" t="str">
        <f>IF(子基金及业绩基准周净值!A133="","",子基金及业绩基准周净值!A133)</f>
        <v/>
      </c>
      <c r="B84" s="1" t="str">
        <f>IF(A84="","",VLOOKUP($A84,子基金及业绩基准周净值!$A:$AV,21))</f>
        <v/>
      </c>
      <c r="C84" s="8" t="str">
        <f t="shared" si="4"/>
        <v/>
      </c>
      <c r="D84" s="9" t="str">
        <f>IF(A84="","",C84-子基金及业绩基准周净值!AI133)</f>
        <v/>
      </c>
      <c r="E84" s="12" t="str">
        <f>IF(A84="","",(MAX(B$3:B84)-B84)/MAX(B$3:B84))</f>
        <v/>
      </c>
      <c r="F84" s="12" t="str">
        <f>IF(A84="","",MAX(E$4:E84))</f>
        <v/>
      </c>
      <c r="G84" s="13"/>
      <c r="H84" s="14" t="str">
        <f t="shared" si="7"/>
        <v/>
      </c>
      <c r="I84" s="14" t="str">
        <f t="shared" si="5"/>
        <v/>
      </c>
      <c r="J84" s="15" t="str">
        <f t="shared" si="6"/>
        <v/>
      </c>
    </row>
    <row r="85" spans="1:10">
      <c r="A85" s="7" t="str">
        <f>IF(子基金及业绩基准周净值!A134="","",子基金及业绩基准周净值!A134)</f>
        <v/>
      </c>
      <c r="B85" s="1" t="str">
        <f>IF(A85="","",VLOOKUP($A85,子基金及业绩基准周净值!$A:$AV,21))</f>
        <v/>
      </c>
      <c r="C85" s="8" t="str">
        <f t="shared" si="4"/>
        <v/>
      </c>
      <c r="D85" s="9" t="str">
        <f>IF(A85="","",C85-子基金及业绩基准周净值!AI134)</f>
        <v/>
      </c>
      <c r="E85" s="12" t="str">
        <f>IF(A85="","",(MAX(B$3:B85)-B85)/MAX(B$3:B85))</f>
        <v/>
      </c>
      <c r="F85" s="12" t="str">
        <f>IF(A85="","",MAX(E$4:E85))</f>
        <v/>
      </c>
      <c r="G85" s="13"/>
      <c r="H85" s="14" t="str">
        <f t="shared" si="7"/>
        <v/>
      </c>
      <c r="I85" s="14" t="str">
        <f t="shared" si="5"/>
        <v/>
      </c>
      <c r="J85" s="15" t="str">
        <f t="shared" si="6"/>
        <v/>
      </c>
    </row>
    <row r="86" spans="1:10">
      <c r="A86" s="7" t="str">
        <f>IF(子基金及业绩基准周净值!A135="","",子基金及业绩基准周净值!A135)</f>
        <v/>
      </c>
      <c r="B86" s="1" t="str">
        <f>IF(A86="","",VLOOKUP($A86,子基金及业绩基准周净值!$A:$AV,21))</f>
        <v/>
      </c>
      <c r="C86" s="8" t="str">
        <f t="shared" si="4"/>
        <v/>
      </c>
      <c r="D86" s="9" t="str">
        <f>IF(A86="","",C86-子基金及业绩基准周净值!AI135)</f>
        <v/>
      </c>
      <c r="E86" s="12" t="str">
        <f>IF(A86="","",(MAX(B$3:B86)-B86)/MAX(B$3:B86))</f>
        <v/>
      </c>
      <c r="F86" s="12" t="str">
        <f>IF(A86="","",MAX(E$4:E86))</f>
        <v/>
      </c>
      <c r="G86" s="13"/>
      <c r="H86" s="14" t="str">
        <f t="shared" si="7"/>
        <v/>
      </c>
      <c r="I86" s="14" t="str">
        <f t="shared" si="5"/>
        <v/>
      </c>
      <c r="J86" s="15" t="str">
        <f t="shared" si="6"/>
        <v/>
      </c>
    </row>
    <row r="87" spans="1:10">
      <c r="A87" s="7" t="str">
        <f>IF(子基金及业绩基准周净值!A136="","",子基金及业绩基准周净值!A136)</f>
        <v/>
      </c>
      <c r="B87" s="1" t="str">
        <f>IF(A87="","",VLOOKUP($A87,子基金及业绩基准周净值!$A:$AV,21))</f>
        <v/>
      </c>
      <c r="C87" s="8" t="str">
        <f t="shared" si="4"/>
        <v/>
      </c>
      <c r="D87" s="9" t="str">
        <f>IF(A87="","",C87-子基金及业绩基准周净值!AI136)</f>
        <v/>
      </c>
      <c r="E87" s="12" t="str">
        <f>IF(A87="","",(MAX(B$3:B87)-B87)/MAX(B$3:B87))</f>
        <v/>
      </c>
      <c r="F87" s="12" t="str">
        <f>IF(A87="","",MAX(E$4:E87))</f>
        <v/>
      </c>
      <c r="G87" s="13"/>
      <c r="H87" s="14" t="str">
        <f t="shared" si="7"/>
        <v/>
      </c>
      <c r="I87" s="14" t="str">
        <f t="shared" si="5"/>
        <v/>
      </c>
      <c r="J87" s="15" t="str">
        <f t="shared" si="6"/>
        <v/>
      </c>
    </row>
    <row r="88" spans="1:10">
      <c r="A88" s="7" t="str">
        <f>IF(子基金及业绩基准周净值!A137="","",子基金及业绩基准周净值!A137)</f>
        <v/>
      </c>
      <c r="B88" s="1" t="str">
        <f>IF(A88="","",VLOOKUP($A88,子基金及业绩基准周净值!$A:$AV,21))</f>
        <v/>
      </c>
      <c r="C88" s="8" t="str">
        <f t="shared" si="4"/>
        <v/>
      </c>
      <c r="D88" s="9" t="str">
        <f>IF(A88="","",C88-子基金及业绩基准周净值!AI137)</f>
        <v/>
      </c>
      <c r="E88" s="12" t="str">
        <f>IF(A88="","",(MAX(B$3:B88)-B88)/MAX(B$3:B88))</f>
        <v/>
      </c>
      <c r="F88" s="12" t="str">
        <f>IF(A88="","",MAX(E$4:E88))</f>
        <v/>
      </c>
      <c r="G88" s="13"/>
      <c r="H88" s="14" t="str">
        <f t="shared" si="7"/>
        <v/>
      </c>
      <c r="I88" s="14" t="str">
        <f t="shared" si="5"/>
        <v/>
      </c>
      <c r="J88" s="15" t="str">
        <f t="shared" si="6"/>
        <v/>
      </c>
    </row>
    <row r="89" spans="1:10">
      <c r="A89" s="7" t="str">
        <f>IF(子基金及业绩基准周净值!A138="","",子基金及业绩基准周净值!A138)</f>
        <v/>
      </c>
      <c r="B89" s="1" t="str">
        <f>IF(A89="","",VLOOKUP($A89,子基金及业绩基准周净值!$A:$AV,21))</f>
        <v/>
      </c>
      <c r="C89" s="8" t="str">
        <f t="shared" si="4"/>
        <v/>
      </c>
      <c r="D89" s="9" t="str">
        <f>IF(A89="","",C89-子基金及业绩基准周净值!AI138)</f>
        <v/>
      </c>
      <c r="E89" s="12" t="str">
        <f>IF(A89="","",(MAX(B$3:B89)-B89)/MAX(B$3:B89))</f>
        <v/>
      </c>
      <c r="F89" s="12" t="str">
        <f>IF(A89="","",MAX(E$4:E89))</f>
        <v/>
      </c>
      <c r="G89" s="13"/>
      <c r="H89" s="14" t="str">
        <f t="shared" si="7"/>
        <v/>
      </c>
      <c r="I89" s="14" t="str">
        <f t="shared" si="5"/>
        <v/>
      </c>
      <c r="J89" s="15" t="str">
        <f t="shared" si="6"/>
        <v/>
      </c>
    </row>
    <row r="90" spans="1:10">
      <c r="A90" s="7" t="str">
        <f>IF(子基金及业绩基准周净值!A139="","",子基金及业绩基准周净值!A139)</f>
        <v/>
      </c>
      <c r="B90" s="1" t="str">
        <f>IF(A90="","",VLOOKUP($A90,子基金及业绩基准周净值!$A:$AV,21))</f>
        <v/>
      </c>
      <c r="C90" s="8" t="str">
        <f t="shared" si="4"/>
        <v/>
      </c>
      <c r="D90" s="9" t="str">
        <f>IF(A90="","",C90-子基金及业绩基准周净值!AI139)</f>
        <v/>
      </c>
      <c r="E90" s="12" t="str">
        <f>IF(A90="","",(MAX(B$3:B90)-B90)/MAX(B$3:B90))</f>
        <v/>
      </c>
      <c r="F90" s="12" t="str">
        <f>IF(A90="","",MAX(E$4:E90))</f>
        <v/>
      </c>
      <c r="G90" s="13"/>
      <c r="H90" s="14" t="str">
        <f t="shared" si="7"/>
        <v/>
      </c>
      <c r="I90" s="14" t="str">
        <f t="shared" si="5"/>
        <v/>
      </c>
      <c r="J90" s="15" t="str">
        <f t="shared" si="6"/>
        <v/>
      </c>
    </row>
    <row r="91" spans="1:10">
      <c r="A91" s="7" t="str">
        <f>IF(子基金及业绩基准周净值!A140="","",子基金及业绩基准周净值!A140)</f>
        <v/>
      </c>
      <c r="B91" s="1" t="str">
        <f>IF(A91="","",VLOOKUP($A91,子基金及业绩基准周净值!$A:$AV,21))</f>
        <v/>
      </c>
      <c r="C91" s="8" t="str">
        <f t="shared" si="4"/>
        <v/>
      </c>
      <c r="D91" s="9" t="str">
        <f>IF(A91="","",C91-子基金及业绩基准周净值!AI140)</f>
        <v/>
      </c>
      <c r="E91" s="12" t="str">
        <f>IF(A91="","",(MAX(B$3:B91)-B91)/MAX(B$3:B91))</f>
        <v/>
      </c>
      <c r="F91" s="12" t="str">
        <f>IF(A91="","",MAX(E$4:E91))</f>
        <v/>
      </c>
      <c r="G91" s="13"/>
      <c r="H91" s="14" t="str">
        <f t="shared" si="7"/>
        <v/>
      </c>
      <c r="I91" s="14" t="str">
        <f t="shared" si="5"/>
        <v/>
      </c>
      <c r="J91" s="15" t="str">
        <f t="shared" si="6"/>
        <v/>
      </c>
    </row>
    <row r="92" spans="1:10">
      <c r="A92" s="7" t="str">
        <f>IF(子基金及业绩基准周净值!A141="","",子基金及业绩基准周净值!A141)</f>
        <v/>
      </c>
      <c r="B92" s="1" t="str">
        <f>IF(A92="","",VLOOKUP($A92,子基金及业绩基准周净值!$A:$AV,21))</f>
        <v/>
      </c>
      <c r="C92" s="8" t="str">
        <f t="shared" si="4"/>
        <v/>
      </c>
      <c r="D92" s="9" t="str">
        <f>IF(A92="","",C92-子基金及业绩基准周净值!AI141)</f>
        <v/>
      </c>
      <c r="E92" s="12" t="str">
        <f>IF(A92="","",(MAX(B$3:B92)-B92)/MAX(B$3:B92))</f>
        <v/>
      </c>
      <c r="F92" s="12" t="str">
        <f>IF(A92="","",MAX(E$4:E92))</f>
        <v/>
      </c>
      <c r="G92" s="13"/>
      <c r="H92" s="14" t="str">
        <f t="shared" si="7"/>
        <v/>
      </c>
      <c r="I92" s="14" t="str">
        <f t="shared" si="5"/>
        <v/>
      </c>
      <c r="J92" s="15" t="str">
        <f t="shared" si="6"/>
        <v/>
      </c>
    </row>
    <row r="93" spans="1:10">
      <c r="A93" s="7" t="str">
        <f>IF(子基金及业绩基准周净值!A142="","",子基金及业绩基准周净值!A142)</f>
        <v/>
      </c>
      <c r="B93" s="1" t="str">
        <f>IF(A93="","",VLOOKUP($A93,子基金及业绩基准周净值!$A:$AV,21))</f>
        <v/>
      </c>
      <c r="C93" s="8" t="str">
        <f t="shared" si="4"/>
        <v/>
      </c>
      <c r="D93" s="9" t="str">
        <f>IF(A93="","",C93-子基金及业绩基准周净值!AI142)</f>
        <v/>
      </c>
      <c r="E93" s="12" t="str">
        <f>IF(A93="","",(MAX(B$3:B93)-B93)/MAX(B$3:B93))</f>
        <v/>
      </c>
      <c r="F93" s="12" t="str">
        <f>IF(A93="","",MAX(E$4:E93))</f>
        <v/>
      </c>
      <c r="G93" s="13"/>
      <c r="H93" s="14" t="str">
        <f t="shared" si="7"/>
        <v/>
      </c>
      <c r="I93" s="14" t="str">
        <f t="shared" si="5"/>
        <v/>
      </c>
      <c r="J93" s="15" t="str">
        <f t="shared" si="6"/>
        <v/>
      </c>
    </row>
    <row r="94" spans="1:10">
      <c r="A94" s="7" t="str">
        <f>IF(子基金及业绩基准周净值!A143="","",子基金及业绩基准周净值!A143)</f>
        <v/>
      </c>
      <c r="B94" s="1" t="str">
        <f>IF(A94="","",VLOOKUP($A94,子基金及业绩基准周净值!$A:$AV,21))</f>
        <v/>
      </c>
      <c r="C94" s="8" t="str">
        <f t="shared" si="4"/>
        <v/>
      </c>
      <c r="D94" s="9" t="str">
        <f>IF(A94="","",C94-子基金及业绩基准周净值!AI143)</f>
        <v/>
      </c>
      <c r="E94" s="12" t="str">
        <f>IF(A94="","",(MAX(B$3:B94)-B94)/MAX(B$3:B94))</f>
        <v/>
      </c>
      <c r="F94" s="12" t="str">
        <f>IF(A94="","",MAX(E$4:E94))</f>
        <v/>
      </c>
      <c r="G94" s="13"/>
      <c r="H94" s="14" t="str">
        <f t="shared" si="7"/>
        <v/>
      </c>
      <c r="I94" s="14" t="str">
        <f t="shared" si="5"/>
        <v/>
      </c>
      <c r="J94" s="15" t="str">
        <f t="shared" si="6"/>
        <v/>
      </c>
    </row>
    <row r="95" spans="1:10">
      <c r="A95" s="7" t="str">
        <f>IF(子基金及业绩基准周净值!A144="","",子基金及业绩基准周净值!A144)</f>
        <v/>
      </c>
      <c r="B95" s="1" t="str">
        <f>IF(A95="","",VLOOKUP($A95,子基金及业绩基准周净值!$A:$AV,21))</f>
        <v/>
      </c>
      <c r="C95" s="8" t="str">
        <f t="shared" si="4"/>
        <v/>
      </c>
      <c r="D95" s="9" t="str">
        <f>IF(A95="","",C95-子基金及业绩基准周净值!AI144)</f>
        <v/>
      </c>
      <c r="E95" s="12" t="str">
        <f>IF(A95="","",(MAX(B$3:B95)-B95)/MAX(B$3:B95))</f>
        <v/>
      </c>
      <c r="F95" s="12" t="str">
        <f>IF(A95="","",MAX(E$4:E95))</f>
        <v/>
      </c>
      <c r="G95" s="13"/>
      <c r="H95" s="14" t="str">
        <f t="shared" si="7"/>
        <v/>
      </c>
      <c r="I95" s="14" t="str">
        <f t="shared" si="5"/>
        <v/>
      </c>
      <c r="J95" s="15" t="str">
        <f t="shared" si="6"/>
        <v/>
      </c>
    </row>
    <row r="96" spans="1:10">
      <c r="A96" s="7" t="str">
        <f>IF(子基金及业绩基准周净值!A145="","",子基金及业绩基准周净值!A145)</f>
        <v/>
      </c>
      <c r="B96" s="1" t="str">
        <f>IF(A96="","",VLOOKUP($A96,子基金及业绩基准周净值!$A:$AV,21))</f>
        <v/>
      </c>
      <c r="C96" s="8" t="str">
        <f t="shared" si="4"/>
        <v/>
      </c>
      <c r="D96" s="9" t="str">
        <f>IF(A96="","",C96-子基金及业绩基准周净值!AI145)</f>
        <v/>
      </c>
      <c r="E96" s="12" t="str">
        <f>IF(A96="","",(MAX(B$3:B96)-B96)/MAX(B$3:B96))</f>
        <v/>
      </c>
      <c r="F96" s="12" t="str">
        <f>IF(A96="","",MAX(E$4:E96))</f>
        <v/>
      </c>
      <c r="G96" s="13"/>
      <c r="H96" s="14" t="str">
        <f t="shared" si="7"/>
        <v/>
      </c>
      <c r="I96" s="14" t="str">
        <f t="shared" si="5"/>
        <v/>
      </c>
      <c r="J96" s="15" t="str">
        <f t="shared" si="6"/>
        <v/>
      </c>
    </row>
    <row r="97" spans="1:10">
      <c r="A97" s="7" t="str">
        <f>IF(子基金及业绩基准周净值!A146="","",子基金及业绩基准周净值!A146)</f>
        <v/>
      </c>
      <c r="B97" s="1" t="str">
        <f>IF(A97="","",VLOOKUP($A97,子基金及业绩基准周净值!$A:$AV,21))</f>
        <v/>
      </c>
      <c r="C97" s="8" t="str">
        <f t="shared" si="4"/>
        <v/>
      </c>
      <c r="D97" s="9" t="str">
        <f>IF(A97="","",C97-子基金及业绩基准周净值!AI146)</f>
        <v/>
      </c>
      <c r="E97" s="12" t="str">
        <f>IF(A97="","",(MAX(B$3:B97)-B97)/MAX(B$3:B97))</f>
        <v/>
      </c>
      <c r="F97" s="12" t="str">
        <f>IF(A97="","",MAX(E$4:E97))</f>
        <v/>
      </c>
      <c r="G97" s="13"/>
      <c r="H97" s="14" t="str">
        <f t="shared" si="7"/>
        <v/>
      </c>
      <c r="I97" s="14" t="str">
        <f t="shared" si="5"/>
        <v/>
      </c>
      <c r="J97" s="15" t="str">
        <f t="shared" si="6"/>
        <v/>
      </c>
    </row>
    <row r="98" spans="1:10">
      <c r="A98" s="7" t="str">
        <f>IF(子基金及业绩基准周净值!A147="","",子基金及业绩基准周净值!A147)</f>
        <v/>
      </c>
      <c r="B98" s="1" t="str">
        <f>IF(A98="","",VLOOKUP($A98,子基金及业绩基准周净值!$A:$AV,21))</f>
        <v/>
      </c>
      <c r="C98" s="8" t="str">
        <f t="shared" si="4"/>
        <v/>
      </c>
      <c r="D98" s="9" t="str">
        <f>IF(A98="","",C98-子基金及业绩基准周净值!AI147)</f>
        <v/>
      </c>
      <c r="E98" s="12" t="str">
        <f>IF(A98="","",(MAX(B$3:B98)-B98)/MAX(B$3:B98))</f>
        <v/>
      </c>
      <c r="F98" s="12" t="str">
        <f>IF(A98="","",MAX(E$4:E98))</f>
        <v/>
      </c>
      <c r="G98" s="13"/>
      <c r="H98" s="14" t="str">
        <f t="shared" si="7"/>
        <v/>
      </c>
      <c r="I98" s="14" t="str">
        <f t="shared" si="5"/>
        <v/>
      </c>
      <c r="J98" s="15" t="str">
        <f t="shared" si="6"/>
        <v/>
      </c>
    </row>
    <row r="99" spans="1:10">
      <c r="A99" s="7" t="str">
        <f>IF(子基金及业绩基准周净值!A148="","",子基金及业绩基准周净值!A148)</f>
        <v/>
      </c>
      <c r="B99" s="1" t="str">
        <f>IF(A99="","",VLOOKUP($A99,子基金及业绩基准周净值!$A:$AV,21))</f>
        <v/>
      </c>
      <c r="C99" s="8" t="str">
        <f t="shared" si="4"/>
        <v/>
      </c>
      <c r="D99" s="9" t="str">
        <f>IF(A99="","",C99-子基金及业绩基准周净值!AI148)</f>
        <v/>
      </c>
      <c r="E99" s="12" t="str">
        <f>IF(A99="","",(MAX(B$3:B99)-B99)/MAX(B$3:B99))</f>
        <v/>
      </c>
      <c r="F99" s="12" t="str">
        <f>IF(A99="","",MAX(E$4:E99))</f>
        <v/>
      </c>
      <c r="G99" s="13"/>
      <c r="H99" s="14" t="str">
        <f t="shared" si="7"/>
        <v/>
      </c>
      <c r="I99" s="14" t="str">
        <f t="shared" si="5"/>
        <v/>
      </c>
      <c r="J99" s="15" t="str">
        <f t="shared" si="6"/>
        <v/>
      </c>
    </row>
    <row r="100" spans="1:10">
      <c r="A100" s="7" t="str">
        <f>IF(子基金及业绩基准周净值!A149="","",子基金及业绩基准周净值!A149)</f>
        <v/>
      </c>
      <c r="B100" s="1" t="str">
        <f>IF(A100="","",VLOOKUP($A100,子基金及业绩基准周净值!$A:$AV,21))</f>
        <v/>
      </c>
      <c r="C100" s="8" t="str">
        <f t="shared" si="4"/>
        <v/>
      </c>
      <c r="D100" s="9" t="str">
        <f>IF(A100="","",C100-子基金及业绩基准周净值!AI149)</f>
        <v/>
      </c>
      <c r="E100" s="12" t="str">
        <f>IF(A100="","",(MAX(B$3:B100)-B100)/MAX(B$3:B100))</f>
        <v/>
      </c>
      <c r="F100" s="12" t="str">
        <f>IF(A100="","",MAX(E$4:E100))</f>
        <v/>
      </c>
      <c r="G100" s="13"/>
      <c r="H100" s="14" t="str">
        <f t="shared" si="7"/>
        <v/>
      </c>
      <c r="I100" s="14" t="str">
        <f t="shared" si="5"/>
        <v/>
      </c>
      <c r="J100" s="15" t="str">
        <f t="shared" si="6"/>
        <v/>
      </c>
    </row>
    <row r="101" spans="1:10">
      <c r="A101" s="7" t="str">
        <f>IF(子基金及业绩基准周净值!A150="","",子基金及业绩基准周净值!A150)</f>
        <v/>
      </c>
      <c r="B101" s="1" t="str">
        <f>IF(A101="","",VLOOKUP($A101,子基金及业绩基准周净值!$A:$AV,21))</f>
        <v/>
      </c>
      <c r="C101" s="8" t="str">
        <f t="shared" si="4"/>
        <v/>
      </c>
      <c r="D101" s="9" t="str">
        <f>IF(A101="","",C101-子基金及业绩基准周净值!AI150)</f>
        <v/>
      </c>
      <c r="E101" s="12" t="str">
        <f>IF(A101="","",(MAX(B$3:B101)-B101)/MAX(B$3:B101))</f>
        <v/>
      </c>
      <c r="F101" s="12" t="str">
        <f>IF(A101="","",MAX(E$4:E101))</f>
        <v/>
      </c>
      <c r="G101" s="13"/>
      <c r="H101" s="14" t="str">
        <f t="shared" si="7"/>
        <v/>
      </c>
      <c r="I101" s="14" t="str">
        <f t="shared" si="5"/>
        <v/>
      </c>
      <c r="J101" s="15" t="str">
        <f t="shared" si="6"/>
        <v/>
      </c>
    </row>
    <row r="102" spans="1:10">
      <c r="A102" s="7" t="str">
        <f>IF(子基金及业绩基准周净值!A151="","",子基金及业绩基准周净值!A151)</f>
        <v/>
      </c>
      <c r="B102" s="1" t="str">
        <f>IF(A102="","",VLOOKUP($A102,子基金及业绩基准周净值!$A:$AV,21))</f>
        <v/>
      </c>
      <c r="C102" s="8" t="str">
        <f t="shared" si="4"/>
        <v/>
      </c>
      <c r="D102" s="9" t="str">
        <f>IF(A102="","",C102-子基金及业绩基准周净值!AI151)</f>
        <v/>
      </c>
      <c r="E102" s="12" t="str">
        <f>IF(A102="","",(MAX(B$3:B102)-B102)/MAX(B$3:B102))</f>
        <v/>
      </c>
      <c r="F102" s="12" t="str">
        <f>IF(A102="","",MAX(E$4:E102))</f>
        <v/>
      </c>
      <c r="G102" s="13"/>
      <c r="H102" s="14" t="str">
        <f t="shared" si="7"/>
        <v/>
      </c>
      <c r="I102" s="14" t="str">
        <f t="shared" si="5"/>
        <v/>
      </c>
      <c r="J102" s="15" t="str">
        <f t="shared" si="6"/>
        <v/>
      </c>
    </row>
    <row r="103" spans="1:10">
      <c r="A103" s="7" t="str">
        <f>IF(子基金及业绩基准周净值!A152="","",子基金及业绩基准周净值!A152)</f>
        <v/>
      </c>
      <c r="B103" s="1" t="str">
        <f>IF(A103="","",VLOOKUP($A103,子基金及业绩基准周净值!$A:$AV,21))</f>
        <v/>
      </c>
      <c r="C103" s="8" t="str">
        <f t="shared" si="4"/>
        <v/>
      </c>
      <c r="D103" s="9" t="str">
        <f>IF(A103="","",C103-子基金及业绩基准周净值!AI152)</f>
        <v/>
      </c>
      <c r="E103" s="12" t="str">
        <f>IF(A103="","",(MAX(B$3:B103)-B103)/MAX(B$3:B103))</f>
        <v/>
      </c>
      <c r="F103" s="12" t="str">
        <f>IF(A103="","",MAX(E$4:E103))</f>
        <v/>
      </c>
      <c r="G103" s="13"/>
      <c r="H103" s="14" t="str">
        <f t="shared" si="7"/>
        <v/>
      </c>
      <c r="I103" s="14" t="str">
        <f t="shared" si="5"/>
        <v/>
      </c>
      <c r="J103" s="15" t="str">
        <f t="shared" si="6"/>
        <v/>
      </c>
    </row>
    <row r="104" spans="1:10">
      <c r="A104" s="7" t="str">
        <f>IF(子基金及业绩基准周净值!A153="","",子基金及业绩基准周净值!A153)</f>
        <v/>
      </c>
      <c r="B104" s="1" t="str">
        <f>IF(A104="","",VLOOKUP($A104,子基金及业绩基准周净值!$A:$AV,21))</f>
        <v/>
      </c>
      <c r="C104" s="8" t="str">
        <f t="shared" si="4"/>
        <v/>
      </c>
      <c r="D104" s="9" t="str">
        <f>IF(A104="","",C104-子基金及业绩基准周净值!AI153)</f>
        <v/>
      </c>
      <c r="E104" s="12" t="str">
        <f>IF(A104="","",(MAX(B$3:B104)-B104)/MAX(B$3:B104))</f>
        <v/>
      </c>
      <c r="F104" s="12" t="str">
        <f>IF(A104="","",MAX(E$4:E104))</f>
        <v/>
      </c>
      <c r="G104" s="13"/>
      <c r="H104" s="14" t="str">
        <f t="shared" si="7"/>
        <v/>
      </c>
      <c r="I104" s="14" t="str">
        <f t="shared" si="5"/>
        <v/>
      </c>
      <c r="J104" s="15" t="str">
        <f t="shared" si="6"/>
        <v/>
      </c>
    </row>
    <row r="105" spans="1:10">
      <c r="A105" s="7" t="str">
        <f>IF(子基金及业绩基准周净值!A154="","",子基金及业绩基准周净值!A154)</f>
        <v/>
      </c>
      <c r="B105" s="1" t="str">
        <f>IF(A105="","",VLOOKUP($A105,子基金及业绩基准周净值!$A:$AV,21))</f>
        <v/>
      </c>
      <c r="C105" s="8" t="str">
        <f t="shared" si="4"/>
        <v/>
      </c>
      <c r="D105" s="9" t="str">
        <f>IF(A105="","",C105-子基金及业绩基准周净值!AI154)</f>
        <v/>
      </c>
      <c r="E105" s="12" t="str">
        <f>IF(A105="","",(MAX(B$3:B105)-B105)/MAX(B$3:B105))</f>
        <v/>
      </c>
      <c r="F105" s="12" t="str">
        <f>IF(A105="","",MAX(E$4:E105))</f>
        <v/>
      </c>
      <c r="G105" s="13"/>
      <c r="H105" s="14" t="str">
        <f t="shared" si="7"/>
        <v/>
      </c>
      <c r="I105" s="14" t="str">
        <f t="shared" si="5"/>
        <v/>
      </c>
      <c r="J105" s="15" t="str">
        <f t="shared" si="6"/>
        <v/>
      </c>
    </row>
    <row r="106" spans="1:10">
      <c r="A106" s="7" t="str">
        <f>IF(子基金及业绩基准周净值!A155="","",子基金及业绩基准周净值!A155)</f>
        <v/>
      </c>
      <c r="B106" s="1" t="str">
        <f>IF(A106="","",VLOOKUP($A106,子基金及业绩基准周净值!$A:$AV,21))</f>
        <v/>
      </c>
      <c r="C106" s="8" t="str">
        <f t="shared" si="4"/>
        <v/>
      </c>
      <c r="D106" s="9" t="str">
        <f>IF(A106="","",C106-子基金及业绩基准周净值!AI155)</f>
        <v/>
      </c>
      <c r="E106" s="12" t="str">
        <f>IF(A106="","",(MAX(B$3:B106)-B106)/MAX(B$3:B106))</f>
        <v/>
      </c>
      <c r="F106" s="12" t="str">
        <f>IF(A106="","",MAX(E$4:E106))</f>
        <v/>
      </c>
      <c r="G106" s="13"/>
      <c r="H106" s="14" t="str">
        <f t="shared" si="7"/>
        <v/>
      </c>
      <c r="I106" s="14" t="str">
        <f t="shared" si="5"/>
        <v/>
      </c>
      <c r="J106" s="15" t="str">
        <f t="shared" si="6"/>
        <v/>
      </c>
    </row>
    <row r="107" spans="1:10">
      <c r="A107" s="7" t="str">
        <f>IF(子基金及业绩基准周净值!A156="","",子基金及业绩基准周净值!A156)</f>
        <v/>
      </c>
      <c r="B107" s="1" t="str">
        <f>IF(A107="","",VLOOKUP($A107,子基金及业绩基准周净值!$A:$AV,21))</f>
        <v/>
      </c>
      <c r="C107" s="8" t="str">
        <f t="shared" si="4"/>
        <v/>
      </c>
      <c r="D107" s="9" t="str">
        <f>IF(A107="","",C107-子基金及业绩基准周净值!AI156)</f>
        <v/>
      </c>
      <c r="E107" s="12" t="str">
        <f>IF(A107="","",(MAX(B$3:B107)-B107)/MAX(B$3:B107))</f>
        <v/>
      </c>
      <c r="F107" s="12" t="str">
        <f>IF(A107="","",MAX(E$4:E107))</f>
        <v/>
      </c>
      <c r="G107" s="13"/>
      <c r="H107" s="14" t="str">
        <f t="shared" si="7"/>
        <v/>
      </c>
      <c r="I107" s="14" t="str">
        <f t="shared" si="5"/>
        <v/>
      </c>
      <c r="J107" s="15" t="str">
        <f t="shared" si="6"/>
        <v/>
      </c>
    </row>
    <row r="108" spans="1:10">
      <c r="A108" s="7" t="str">
        <f>IF(子基金及业绩基准周净值!A157="","",子基金及业绩基准周净值!A157)</f>
        <v/>
      </c>
      <c r="B108" s="1" t="str">
        <f>IF(A108="","",VLOOKUP($A108,子基金及业绩基准周净值!$A:$AV,21))</f>
        <v/>
      </c>
      <c r="C108" s="8" t="str">
        <f t="shared" si="4"/>
        <v/>
      </c>
      <c r="D108" s="9" t="str">
        <f>IF(A108="","",C108-子基金及业绩基准周净值!AI157)</f>
        <v/>
      </c>
      <c r="E108" s="12" t="str">
        <f>IF(A108="","",(MAX(B$3:B108)-B108)/MAX(B$3:B108))</f>
        <v/>
      </c>
      <c r="F108" s="12" t="str">
        <f>IF(A108="","",MAX(E$4:E108))</f>
        <v/>
      </c>
      <c r="G108" s="13"/>
      <c r="H108" s="14" t="str">
        <f t="shared" si="7"/>
        <v/>
      </c>
      <c r="I108" s="14" t="str">
        <f t="shared" si="5"/>
        <v/>
      </c>
      <c r="J108" s="15" t="str">
        <f t="shared" si="6"/>
        <v/>
      </c>
    </row>
    <row r="109" spans="1:10">
      <c r="A109" s="7" t="str">
        <f>IF(子基金及业绩基准周净值!A158="","",子基金及业绩基准周净值!A158)</f>
        <v/>
      </c>
      <c r="B109" s="1" t="str">
        <f>IF(A109="","",VLOOKUP($A109,子基金及业绩基准周净值!$A:$AV,21))</f>
        <v/>
      </c>
      <c r="C109" s="8" t="str">
        <f t="shared" si="4"/>
        <v/>
      </c>
      <c r="D109" s="9" t="str">
        <f>IF(A109="","",C109-子基金及业绩基准周净值!AI158)</f>
        <v/>
      </c>
      <c r="E109" s="12" t="str">
        <f>IF(A109="","",(MAX(B$3:B109)-B109)/MAX(B$3:B109))</f>
        <v/>
      </c>
      <c r="F109" s="12" t="str">
        <f>IF(A109="","",MAX(E$4:E109))</f>
        <v/>
      </c>
      <c r="G109" s="13"/>
      <c r="H109" s="14" t="str">
        <f t="shared" si="7"/>
        <v/>
      </c>
      <c r="I109" s="14" t="str">
        <f t="shared" si="5"/>
        <v/>
      </c>
      <c r="J109" s="15" t="str">
        <f t="shared" si="6"/>
        <v/>
      </c>
    </row>
    <row r="110" spans="1:10">
      <c r="A110" s="7" t="str">
        <f>IF(子基金及业绩基准周净值!A159="","",子基金及业绩基准周净值!A159)</f>
        <v/>
      </c>
      <c r="B110" s="1" t="str">
        <f>IF(A110="","",VLOOKUP($A110,子基金及业绩基准周净值!$A:$AV,21))</f>
        <v/>
      </c>
      <c r="C110" s="8" t="str">
        <f t="shared" si="4"/>
        <v/>
      </c>
      <c r="D110" s="9" t="str">
        <f>IF(A110="","",C110-子基金及业绩基准周净值!AI159)</f>
        <v/>
      </c>
      <c r="E110" s="12" t="str">
        <f>IF(A110="","",(MAX(B$3:B110)-B110)/MAX(B$3:B110))</f>
        <v/>
      </c>
      <c r="F110" s="12" t="str">
        <f>IF(A110="","",MAX(E$4:E110))</f>
        <v/>
      </c>
      <c r="G110" s="13"/>
      <c r="H110" s="14" t="str">
        <f t="shared" si="7"/>
        <v/>
      </c>
      <c r="I110" s="14" t="str">
        <f t="shared" si="5"/>
        <v/>
      </c>
      <c r="J110" s="15" t="str">
        <f t="shared" si="6"/>
        <v/>
      </c>
    </row>
    <row r="111" spans="1:10">
      <c r="A111" s="7" t="str">
        <f>IF(子基金及业绩基准周净值!A160="","",子基金及业绩基准周净值!A160)</f>
        <v/>
      </c>
      <c r="B111" s="1" t="str">
        <f>IF(A111="","",VLOOKUP($A111,子基金及业绩基准周净值!$A:$AV,21))</f>
        <v/>
      </c>
      <c r="C111" s="8" t="str">
        <f t="shared" si="4"/>
        <v/>
      </c>
      <c r="D111" s="9" t="str">
        <f>IF(A111="","",C111-子基金及业绩基准周净值!AI160)</f>
        <v/>
      </c>
      <c r="E111" s="12" t="str">
        <f>IF(A111="","",(MAX(B$3:B111)-B111)/MAX(B$3:B111))</f>
        <v/>
      </c>
      <c r="F111" s="12" t="str">
        <f>IF(A111="","",MAX(E$4:E111))</f>
        <v/>
      </c>
      <c r="G111" s="13"/>
      <c r="H111" s="14" t="str">
        <f t="shared" si="7"/>
        <v/>
      </c>
      <c r="I111" s="14" t="str">
        <f t="shared" si="5"/>
        <v/>
      </c>
      <c r="J111" s="15" t="str">
        <f t="shared" si="6"/>
        <v/>
      </c>
    </row>
    <row r="112" spans="1:10">
      <c r="A112" s="7" t="str">
        <f>IF(子基金及业绩基准周净值!A161="","",子基金及业绩基准周净值!A161)</f>
        <v/>
      </c>
      <c r="B112" s="1" t="str">
        <f>IF(A112="","",VLOOKUP($A112,子基金及业绩基准周净值!$A:$AV,21))</f>
        <v/>
      </c>
      <c r="C112" s="8" t="str">
        <f t="shared" si="4"/>
        <v/>
      </c>
      <c r="D112" s="9" t="str">
        <f>IF(A112="","",C112-子基金及业绩基准周净值!AI161)</f>
        <v/>
      </c>
      <c r="E112" s="12" t="str">
        <f>IF(A112="","",(MAX(B$3:B112)-B112)/MAX(B$3:B112))</f>
        <v/>
      </c>
      <c r="F112" s="12" t="str">
        <f>IF(A112="","",MAX(E$4:E112))</f>
        <v/>
      </c>
      <c r="G112" s="13"/>
      <c r="H112" s="14" t="str">
        <f t="shared" si="7"/>
        <v/>
      </c>
      <c r="I112" s="14" t="str">
        <f t="shared" si="5"/>
        <v/>
      </c>
      <c r="J112" s="15" t="str">
        <f t="shared" si="6"/>
        <v/>
      </c>
    </row>
    <row r="113" spans="1:10">
      <c r="A113" s="7" t="str">
        <f>IF(子基金及业绩基准周净值!A162="","",子基金及业绩基准周净值!A162)</f>
        <v/>
      </c>
      <c r="B113" s="1" t="str">
        <f>IF(A113="","",VLOOKUP($A113,子基金及业绩基准周净值!$A:$AV,21))</f>
        <v/>
      </c>
      <c r="C113" s="8" t="str">
        <f t="shared" si="4"/>
        <v/>
      </c>
      <c r="D113" s="9" t="str">
        <f>IF(A113="","",C113-子基金及业绩基准周净值!AI162)</f>
        <v/>
      </c>
      <c r="E113" s="12" t="str">
        <f>IF(A113="","",(MAX(B$3:B113)-B113)/MAX(B$3:B113))</f>
        <v/>
      </c>
      <c r="F113" s="12" t="str">
        <f>IF(A113="","",MAX(E$4:E113))</f>
        <v/>
      </c>
      <c r="G113" s="13"/>
      <c r="H113" s="14" t="str">
        <f t="shared" si="7"/>
        <v/>
      </c>
      <c r="I113" s="14" t="str">
        <f t="shared" si="5"/>
        <v/>
      </c>
      <c r="J113" s="15" t="str">
        <f t="shared" si="6"/>
        <v/>
      </c>
    </row>
    <row r="114" spans="1:10">
      <c r="A114" s="7" t="str">
        <f>IF(子基金及业绩基准周净值!A163="","",子基金及业绩基准周净值!A163)</f>
        <v/>
      </c>
      <c r="B114" s="1" t="str">
        <f>IF(A114="","",VLOOKUP($A114,子基金及业绩基准周净值!$A:$AV,21))</f>
        <v/>
      </c>
      <c r="C114" s="8" t="str">
        <f t="shared" si="4"/>
        <v/>
      </c>
      <c r="D114" s="9" t="str">
        <f>IF(A114="","",C114-子基金及业绩基准周净值!AI163)</f>
        <v/>
      </c>
      <c r="E114" s="12" t="str">
        <f>IF(A114="","",(MAX(B$3:B114)-B114)/MAX(B$3:B114))</f>
        <v/>
      </c>
      <c r="F114" s="12" t="str">
        <f>IF(A114="","",MAX(E$4:E114))</f>
        <v/>
      </c>
      <c r="G114" s="13"/>
      <c r="H114" s="14" t="str">
        <f t="shared" si="7"/>
        <v/>
      </c>
      <c r="I114" s="14" t="str">
        <f t="shared" si="5"/>
        <v/>
      </c>
      <c r="J114" s="15" t="str">
        <f t="shared" si="6"/>
        <v/>
      </c>
    </row>
    <row r="115" spans="1:10">
      <c r="A115" s="7" t="str">
        <f>IF(子基金及业绩基准周净值!A164="","",子基金及业绩基准周净值!A164)</f>
        <v/>
      </c>
      <c r="B115" s="1" t="str">
        <f>IF(A115="","",VLOOKUP($A115,子基金及业绩基准周净值!$A:$AV,21))</f>
        <v/>
      </c>
      <c r="C115" s="8" t="str">
        <f t="shared" si="4"/>
        <v/>
      </c>
      <c r="D115" s="9" t="str">
        <f>IF(A115="","",C115-子基金及业绩基准周净值!AI164)</f>
        <v/>
      </c>
      <c r="E115" s="12" t="str">
        <f>IF(A115="","",(MAX(B$3:B115)-B115)/MAX(B$3:B115))</f>
        <v/>
      </c>
      <c r="F115" s="12" t="str">
        <f>IF(A115="","",MAX(E$4:E115))</f>
        <v/>
      </c>
      <c r="G115" s="13"/>
      <c r="H115" s="14" t="str">
        <f t="shared" si="7"/>
        <v/>
      </c>
      <c r="I115" s="14" t="str">
        <f t="shared" si="5"/>
        <v/>
      </c>
      <c r="J115" s="15" t="str">
        <f t="shared" si="6"/>
        <v/>
      </c>
    </row>
    <row r="116" spans="1:10">
      <c r="A116" s="7" t="str">
        <f>IF(子基金及业绩基准周净值!A165="","",子基金及业绩基准周净值!A165)</f>
        <v/>
      </c>
      <c r="B116" s="1" t="str">
        <f>IF(A116="","",VLOOKUP($A116,子基金及业绩基准周净值!$A:$AV,21))</f>
        <v/>
      </c>
      <c r="C116" s="8" t="str">
        <f t="shared" si="4"/>
        <v/>
      </c>
      <c r="D116" s="9" t="str">
        <f>IF(A116="","",C116-子基金及业绩基准周净值!AI165)</f>
        <v/>
      </c>
      <c r="E116" s="12" t="str">
        <f>IF(A116="","",(MAX(B$3:B116)-B116)/MAX(B$3:B116))</f>
        <v/>
      </c>
      <c r="F116" s="12" t="str">
        <f>IF(A116="","",MAX(E$4:E116))</f>
        <v/>
      </c>
      <c r="G116" s="13"/>
      <c r="H116" s="14" t="str">
        <f t="shared" si="7"/>
        <v/>
      </c>
      <c r="I116" s="14" t="str">
        <f t="shared" si="5"/>
        <v/>
      </c>
      <c r="J116" s="15" t="str">
        <f t="shared" si="6"/>
        <v/>
      </c>
    </row>
    <row r="117" spans="1:10">
      <c r="A117" s="7" t="str">
        <f>IF(子基金及业绩基准周净值!A166="","",子基金及业绩基准周净值!A166)</f>
        <v/>
      </c>
      <c r="B117" s="1" t="str">
        <f>IF(A117="","",VLOOKUP($A117,子基金及业绩基准周净值!$A:$AV,21))</f>
        <v/>
      </c>
      <c r="C117" s="8" t="str">
        <f t="shared" si="4"/>
        <v/>
      </c>
      <c r="D117" s="9" t="str">
        <f>IF(A117="","",C117-子基金及业绩基准周净值!AI166)</f>
        <v/>
      </c>
      <c r="E117" s="12" t="str">
        <f>IF(A117="","",(MAX(B$3:B117)-B117)/MAX(B$3:B117))</f>
        <v/>
      </c>
      <c r="F117" s="12" t="str">
        <f>IF(A117="","",MAX(E$4:E117))</f>
        <v/>
      </c>
      <c r="G117" s="13"/>
      <c r="H117" s="14" t="str">
        <f t="shared" si="7"/>
        <v/>
      </c>
      <c r="I117" s="14" t="str">
        <f t="shared" si="5"/>
        <v/>
      </c>
      <c r="J117" s="15" t="str">
        <f t="shared" si="6"/>
        <v/>
      </c>
    </row>
    <row r="118" spans="1:10">
      <c r="A118" s="7" t="str">
        <f>IF(子基金及业绩基准周净值!A167="","",子基金及业绩基准周净值!A167)</f>
        <v/>
      </c>
      <c r="B118" s="1" t="str">
        <f>IF(A118="","",VLOOKUP($A118,子基金及业绩基准周净值!$A:$AV,21))</f>
        <v/>
      </c>
      <c r="C118" s="8" t="str">
        <f t="shared" si="4"/>
        <v/>
      </c>
      <c r="D118" s="9" t="str">
        <f>IF(A118="","",C118-子基金及业绩基准周净值!AI167)</f>
        <v/>
      </c>
      <c r="E118" s="12" t="str">
        <f>IF(A118="","",(MAX(B$3:B118)-B118)/MAX(B$3:B118))</f>
        <v/>
      </c>
      <c r="F118" s="12" t="str">
        <f>IF(A118="","",MAX(E$4:E118))</f>
        <v/>
      </c>
      <c r="G118" s="13"/>
      <c r="H118" s="14" t="str">
        <f t="shared" si="7"/>
        <v/>
      </c>
      <c r="I118" s="14" t="str">
        <f t="shared" si="5"/>
        <v/>
      </c>
      <c r="J118" s="15" t="str">
        <f t="shared" si="6"/>
        <v/>
      </c>
    </row>
    <row r="119" spans="1:10">
      <c r="A119" s="7" t="str">
        <f>IF(子基金及业绩基准周净值!A168="","",子基金及业绩基准周净值!A168)</f>
        <v/>
      </c>
      <c r="B119" s="1" t="str">
        <f>IF(A119="","",VLOOKUP($A119,子基金及业绩基准周净值!$A:$AV,21))</f>
        <v/>
      </c>
      <c r="C119" s="8" t="str">
        <f t="shared" si="4"/>
        <v/>
      </c>
      <c r="D119" s="9" t="str">
        <f>IF(A119="","",C119-子基金及业绩基准周净值!AI168)</f>
        <v/>
      </c>
      <c r="E119" s="12" t="str">
        <f>IF(A119="","",(MAX(B$3:B119)-B119)/MAX(B$3:B119))</f>
        <v/>
      </c>
      <c r="F119" s="12" t="str">
        <f>IF(A119="","",MAX(E$4:E119))</f>
        <v/>
      </c>
      <c r="G119" s="13"/>
      <c r="H119" s="14" t="str">
        <f t="shared" si="7"/>
        <v/>
      </c>
      <c r="I119" s="14" t="str">
        <f t="shared" si="5"/>
        <v/>
      </c>
      <c r="J119" s="15" t="str">
        <f t="shared" si="6"/>
        <v/>
      </c>
    </row>
    <row r="120" spans="1:10">
      <c r="A120" s="7" t="str">
        <f>IF(子基金及业绩基准周净值!A169="","",子基金及业绩基准周净值!A169)</f>
        <v/>
      </c>
      <c r="B120" s="1" t="str">
        <f>IF(A120="","",VLOOKUP($A120,子基金及业绩基准周净值!$A:$AV,21))</f>
        <v/>
      </c>
      <c r="C120" s="8" t="str">
        <f t="shared" si="4"/>
        <v/>
      </c>
      <c r="D120" s="9" t="str">
        <f>IF(A120="","",C120-子基金及业绩基准周净值!AI169)</f>
        <v/>
      </c>
      <c r="E120" s="12" t="str">
        <f>IF(A120="","",(MAX(B$3:B120)-B120)/MAX(B$3:B120))</f>
        <v/>
      </c>
      <c r="F120" s="12" t="str">
        <f>IF(A120="","",MAX(E$4:E120))</f>
        <v/>
      </c>
      <c r="G120" s="13"/>
      <c r="H120" s="14" t="str">
        <f t="shared" si="7"/>
        <v/>
      </c>
      <c r="I120" s="14" t="str">
        <f t="shared" si="5"/>
        <v/>
      </c>
      <c r="J120" s="15" t="str">
        <f t="shared" si="6"/>
        <v/>
      </c>
    </row>
    <row r="121" spans="1:10">
      <c r="A121" s="7" t="str">
        <f>IF(子基金及业绩基准周净值!A170="","",子基金及业绩基准周净值!A170)</f>
        <v/>
      </c>
      <c r="B121" s="1" t="str">
        <f>IF(A121="","",VLOOKUP($A121,子基金及业绩基准周净值!$A:$AV,21))</f>
        <v/>
      </c>
      <c r="C121" s="8" t="str">
        <f t="shared" si="4"/>
        <v/>
      </c>
      <c r="D121" s="9" t="str">
        <f>IF(A121="","",C121-子基金及业绩基准周净值!AI170)</f>
        <v/>
      </c>
      <c r="E121" s="12" t="str">
        <f>IF(A121="","",(MAX(B$3:B121)-B121)/MAX(B$3:B121))</f>
        <v/>
      </c>
      <c r="F121" s="12" t="str">
        <f>IF(A121="","",MAX(E$4:E121))</f>
        <v/>
      </c>
      <c r="G121" s="13"/>
      <c r="H121" s="14" t="str">
        <f t="shared" si="7"/>
        <v/>
      </c>
      <c r="I121" s="14" t="str">
        <f t="shared" si="5"/>
        <v/>
      </c>
      <c r="J121" s="15" t="str">
        <f t="shared" si="6"/>
        <v/>
      </c>
    </row>
    <row r="122" spans="1:10">
      <c r="A122" s="7" t="str">
        <f>IF(子基金及业绩基准周净值!A171="","",子基金及业绩基准周净值!A171)</f>
        <v/>
      </c>
      <c r="B122" s="1" t="str">
        <f>IF(A122="","",VLOOKUP($A122,子基金及业绩基准周净值!$A:$AV,21))</f>
        <v/>
      </c>
      <c r="C122" s="8" t="str">
        <f t="shared" si="4"/>
        <v/>
      </c>
      <c r="D122" s="9" t="str">
        <f>IF(A122="","",C122-子基金及业绩基准周净值!AI171)</f>
        <v/>
      </c>
      <c r="E122" s="12" t="str">
        <f>IF(A122="","",(MAX(B$3:B122)-B122)/MAX(B$3:B122))</f>
        <v/>
      </c>
      <c r="F122" s="12" t="str">
        <f>IF(A122="","",MAX(E$4:E122))</f>
        <v/>
      </c>
      <c r="G122" s="13"/>
      <c r="H122" s="14" t="str">
        <f t="shared" si="7"/>
        <v/>
      </c>
      <c r="I122" s="14" t="str">
        <f t="shared" si="5"/>
        <v/>
      </c>
      <c r="J122" s="15" t="str">
        <f t="shared" si="6"/>
        <v/>
      </c>
    </row>
    <row r="123" spans="1:10">
      <c r="A123" s="7" t="str">
        <f>IF(子基金及业绩基准周净值!A172="","",子基金及业绩基准周净值!A172)</f>
        <v/>
      </c>
      <c r="B123" s="1" t="str">
        <f>IF(A123="","",VLOOKUP($A123,子基金及业绩基准周净值!$A:$AV,21))</f>
        <v/>
      </c>
      <c r="C123" s="8" t="str">
        <f t="shared" si="4"/>
        <v/>
      </c>
      <c r="D123" s="9" t="str">
        <f>IF(A123="","",C123-子基金及业绩基准周净值!AI172)</f>
        <v/>
      </c>
      <c r="E123" s="12" t="str">
        <f>IF(A123="","",(MAX(B$3:B123)-B123)/MAX(B$3:B123))</f>
        <v/>
      </c>
      <c r="F123" s="12" t="str">
        <f>IF(A123="","",MAX(E$4:E123))</f>
        <v/>
      </c>
      <c r="G123" s="13"/>
      <c r="H123" s="14" t="str">
        <f t="shared" si="7"/>
        <v/>
      </c>
      <c r="I123" s="14" t="str">
        <f t="shared" si="5"/>
        <v/>
      </c>
      <c r="J123" s="15" t="str">
        <f t="shared" si="6"/>
        <v/>
      </c>
    </row>
    <row r="124" spans="1:10">
      <c r="A124" s="7" t="str">
        <f>IF(子基金及业绩基准周净值!A173="","",子基金及业绩基准周净值!A173)</f>
        <v/>
      </c>
      <c r="B124" s="1" t="str">
        <f>IF(A124="","",VLOOKUP($A124,子基金及业绩基准周净值!$A:$AV,21))</f>
        <v/>
      </c>
      <c r="C124" s="8" t="str">
        <f t="shared" si="4"/>
        <v/>
      </c>
      <c r="D124" s="9" t="str">
        <f>IF(A124="","",C124-子基金及业绩基准周净值!AI173)</f>
        <v/>
      </c>
      <c r="E124" s="12" t="str">
        <f>IF(A124="","",(MAX(B$3:B124)-B124)/MAX(B$3:B124))</f>
        <v/>
      </c>
      <c r="F124" s="12" t="str">
        <f>IF(A124="","",MAX(E$4:E124))</f>
        <v/>
      </c>
      <c r="G124" s="13"/>
      <c r="H124" s="14" t="str">
        <f t="shared" si="7"/>
        <v/>
      </c>
      <c r="I124" s="14" t="str">
        <f t="shared" si="5"/>
        <v/>
      </c>
      <c r="J124" s="15" t="str">
        <f t="shared" si="6"/>
        <v/>
      </c>
    </row>
    <row r="125" spans="1:10">
      <c r="A125" s="7" t="str">
        <f>IF(子基金及业绩基准周净值!A174="","",子基金及业绩基准周净值!A174)</f>
        <v/>
      </c>
      <c r="B125" s="1" t="str">
        <f>IF(A125="","",VLOOKUP($A125,子基金及业绩基准周净值!$A:$AV,21))</f>
        <v/>
      </c>
      <c r="C125" s="8" t="str">
        <f t="shared" si="4"/>
        <v/>
      </c>
      <c r="D125" s="9" t="str">
        <f>IF(A125="","",C125-子基金及业绩基准周净值!AI174)</f>
        <v/>
      </c>
      <c r="E125" s="12" t="str">
        <f>IF(A125="","",(MAX(B$3:B125)-B125)/MAX(B$3:B125))</f>
        <v/>
      </c>
      <c r="F125" s="12" t="str">
        <f>IF(A125="","",MAX(E$4:E125))</f>
        <v/>
      </c>
      <c r="G125" s="13"/>
      <c r="H125" s="14" t="str">
        <f t="shared" si="7"/>
        <v/>
      </c>
      <c r="I125" s="14" t="str">
        <f t="shared" si="5"/>
        <v/>
      </c>
      <c r="J125" s="15" t="str">
        <f t="shared" si="6"/>
        <v/>
      </c>
    </row>
    <row r="126" spans="1:10">
      <c r="A126" s="7" t="str">
        <f>IF(子基金及业绩基准周净值!A175="","",子基金及业绩基准周净值!A175)</f>
        <v/>
      </c>
      <c r="B126" s="1" t="str">
        <f>IF(A126="","",VLOOKUP($A126,子基金及业绩基准周净值!$A:$AV,21))</f>
        <v/>
      </c>
      <c r="C126" s="8" t="str">
        <f t="shared" si="4"/>
        <v/>
      </c>
      <c r="D126" s="9" t="str">
        <f>IF(A126="","",C126-子基金及业绩基准周净值!AI175)</f>
        <v/>
      </c>
      <c r="E126" s="12" t="str">
        <f>IF(A126="","",(MAX(B$3:B126)-B126)/MAX(B$3:B126))</f>
        <v/>
      </c>
      <c r="F126" s="12" t="str">
        <f>IF(A126="","",MAX(E$4:E126))</f>
        <v/>
      </c>
      <c r="G126" s="13"/>
      <c r="H126" s="14" t="str">
        <f t="shared" si="7"/>
        <v/>
      </c>
      <c r="I126" s="14" t="str">
        <f t="shared" si="5"/>
        <v/>
      </c>
      <c r="J126" s="15" t="str">
        <f t="shared" si="6"/>
        <v/>
      </c>
    </row>
    <row r="127" spans="1:10">
      <c r="A127" s="7" t="str">
        <f>IF(子基金及业绩基准周净值!A176="","",子基金及业绩基准周净值!A176)</f>
        <v/>
      </c>
      <c r="B127" s="1" t="str">
        <f>IF(A127="","",VLOOKUP($A127,子基金及业绩基准周净值!$A:$AV,21))</f>
        <v/>
      </c>
      <c r="C127" s="8" t="str">
        <f t="shared" si="4"/>
        <v/>
      </c>
      <c r="D127" s="9" t="str">
        <f>IF(A127="","",C127-子基金及业绩基准周净值!AI176)</f>
        <v/>
      </c>
      <c r="E127" s="12" t="str">
        <f>IF(A127="","",(MAX(B$3:B127)-B127)/MAX(B$3:B127))</f>
        <v/>
      </c>
      <c r="F127" s="12" t="str">
        <f>IF(A127="","",MAX(E$4:E127))</f>
        <v/>
      </c>
      <c r="G127" s="13"/>
      <c r="H127" s="14" t="str">
        <f t="shared" si="7"/>
        <v/>
      </c>
      <c r="I127" s="14" t="str">
        <f t="shared" si="5"/>
        <v/>
      </c>
      <c r="J127" s="15" t="str">
        <f t="shared" si="6"/>
        <v/>
      </c>
    </row>
    <row r="128" spans="1:10">
      <c r="A128" s="7" t="str">
        <f>IF(子基金及业绩基准周净值!A177="","",子基金及业绩基准周净值!A177)</f>
        <v/>
      </c>
      <c r="B128" s="1" t="str">
        <f>IF(A128="","",VLOOKUP($A128,子基金及业绩基准周净值!$A:$AV,21))</f>
        <v/>
      </c>
      <c r="C128" s="8" t="str">
        <f t="shared" si="4"/>
        <v/>
      </c>
      <c r="D128" s="9" t="str">
        <f>IF(A128="","",C128-子基金及业绩基准周净值!AI177)</f>
        <v/>
      </c>
      <c r="E128" s="12" t="str">
        <f>IF(A128="","",(MAX(B$3:B128)-B128)/MAX(B$3:B128))</f>
        <v/>
      </c>
      <c r="F128" s="12" t="str">
        <f>IF(A128="","",MAX(E$4:E128))</f>
        <v/>
      </c>
      <c r="G128" s="13"/>
      <c r="H128" s="14" t="str">
        <f t="shared" si="7"/>
        <v/>
      </c>
      <c r="I128" s="14" t="str">
        <f t="shared" si="5"/>
        <v/>
      </c>
      <c r="J128" s="15" t="str">
        <f t="shared" si="6"/>
        <v/>
      </c>
    </row>
    <row r="129" spans="1:10">
      <c r="A129" s="7" t="str">
        <f>IF(子基金及业绩基准周净值!A178="","",子基金及业绩基准周净值!A178)</f>
        <v/>
      </c>
      <c r="B129" s="1" t="str">
        <f>IF(A129="","",VLOOKUP($A129,子基金及业绩基准周净值!$A:$AV,21))</f>
        <v/>
      </c>
      <c r="C129" s="8" t="str">
        <f t="shared" si="4"/>
        <v/>
      </c>
      <c r="D129" s="9" t="str">
        <f>IF(A129="","",C129-子基金及业绩基准周净值!AI178)</f>
        <v/>
      </c>
      <c r="E129" s="12" t="str">
        <f>IF(A129="","",(MAX(B$3:B129)-B129)/MAX(B$3:B129))</f>
        <v/>
      </c>
      <c r="F129" s="12" t="str">
        <f>IF(A129="","",MAX(E$4:E129))</f>
        <v/>
      </c>
      <c r="G129" s="13"/>
      <c r="H129" s="14" t="str">
        <f t="shared" si="7"/>
        <v/>
      </c>
      <c r="I129" s="14" t="str">
        <f t="shared" si="5"/>
        <v/>
      </c>
      <c r="J129" s="15" t="str">
        <f t="shared" si="6"/>
        <v/>
      </c>
    </row>
    <row r="130" spans="1:10">
      <c r="A130" s="7" t="str">
        <f>IF(子基金及业绩基准周净值!A179="","",子基金及业绩基准周净值!A179)</f>
        <v/>
      </c>
      <c r="B130" s="1" t="str">
        <f>IF(A130="","",VLOOKUP($A130,子基金及业绩基准周净值!$A:$AV,21))</f>
        <v/>
      </c>
      <c r="C130" s="8" t="str">
        <f t="shared" si="4"/>
        <v/>
      </c>
      <c r="D130" s="9" t="str">
        <f>IF(A130="","",C130-子基金及业绩基准周净值!AI179)</f>
        <v/>
      </c>
      <c r="E130" s="12" t="str">
        <f>IF(A130="","",(MAX(B$3:B130)-B130)/MAX(B$3:B130))</f>
        <v/>
      </c>
      <c r="F130" s="12" t="str">
        <f>IF(A130="","",MAX(E$4:E130))</f>
        <v/>
      </c>
      <c r="G130" s="13"/>
      <c r="H130" s="14" t="str">
        <f t="shared" si="7"/>
        <v/>
      </c>
      <c r="I130" s="14" t="str">
        <f t="shared" si="5"/>
        <v/>
      </c>
      <c r="J130" s="15" t="str">
        <f t="shared" si="6"/>
        <v/>
      </c>
    </row>
    <row r="131" spans="1:10">
      <c r="A131" s="7" t="str">
        <f>IF(子基金及业绩基准周净值!A180="","",子基金及业绩基准周净值!A180)</f>
        <v/>
      </c>
      <c r="B131" s="1" t="str">
        <f>IF(A131="","",VLOOKUP($A131,子基金及业绩基准周净值!$A:$AV,21))</f>
        <v/>
      </c>
      <c r="C131" s="8" t="str">
        <f t="shared" si="4"/>
        <v/>
      </c>
      <c r="D131" s="9" t="str">
        <f>IF(A131="","",C131-子基金及业绩基准周净值!AI180)</f>
        <v/>
      </c>
      <c r="E131" s="12" t="str">
        <f>IF(A131="","",(MAX(B$3:B131)-B131)/MAX(B$3:B131))</f>
        <v/>
      </c>
      <c r="F131" s="12" t="str">
        <f>IF(A131="","",MAX(E$4:E131))</f>
        <v/>
      </c>
      <c r="G131" s="13"/>
      <c r="H131" s="14" t="str">
        <f t="shared" si="7"/>
        <v/>
      </c>
      <c r="I131" s="14" t="str">
        <f t="shared" si="5"/>
        <v/>
      </c>
      <c r="J131" s="15" t="str">
        <f t="shared" si="6"/>
        <v/>
      </c>
    </row>
    <row r="132" spans="1:10">
      <c r="A132" s="7" t="str">
        <f>IF(子基金及业绩基准周净值!A181="","",子基金及业绩基准周净值!A181)</f>
        <v/>
      </c>
      <c r="B132" s="1" t="str">
        <f>IF(A132="","",VLOOKUP($A132,子基金及业绩基准周净值!$A:$AV,21))</f>
        <v/>
      </c>
      <c r="C132" s="8" t="str">
        <f t="shared" ref="C132:C195" si="8">IF(A132="","",(B132-B131)/B131)</f>
        <v/>
      </c>
      <c r="D132" s="9" t="str">
        <f>IF(A132="","",C132-子基金及业绩基准周净值!AI181)</f>
        <v/>
      </c>
      <c r="E132" s="12" t="str">
        <f>IF(A132="","",(MAX(B$3:B132)-B132)/MAX(B$3:B132))</f>
        <v/>
      </c>
      <c r="F132" s="12" t="str">
        <f>IF(A132="","",MAX(E$4:E132))</f>
        <v/>
      </c>
      <c r="G132" s="13"/>
      <c r="H132" s="14" t="str">
        <f t="shared" si="7"/>
        <v/>
      </c>
      <c r="I132" s="14" t="str">
        <f t="shared" ref="I132:I195" si="9">IF(A132="","",IF(F132&gt;5%,"是","否"))</f>
        <v/>
      </c>
      <c r="J132" s="15" t="str">
        <f t="shared" ref="J132:J195" si="10">IF(A132="","",IF(G132&gt;=4,"是","否"))</f>
        <v/>
      </c>
    </row>
    <row r="133" spans="1:10">
      <c r="A133" s="7" t="str">
        <f>IF(子基金及业绩基准周净值!A182="","",子基金及业绩基准周净值!A182)</f>
        <v/>
      </c>
      <c r="B133" s="1" t="str">
        <f>IF(A133="","",VLOOKUP($A133,子基金及业绩基准周净值!$A:$AV,21))</f>
        <v/>
      </c>
      <c r="C133" s="8" t="str">
        <f t="shared" si="8"/>
        <v/>
      </c>
      <c r="D133" s="9" t="str">
        <f>IF(A133="","",C133-子基金及业绩基准周净值!AI182)</f>
        <v/>
      </c>
      <c r="E133" s="12" t="str">
        <f>IF(A133="","",(MAX(B$3:B133)-B133)/MAX(B$3:B133))</f>
        <v/>
      </c>
      <c r="F133" s="12" t="str">
        <f>IF(A133="","",MAX(E$4:E133))</f>
        <v/>
      </c>
      <c r="G133" s="13"/>
      <c r="H133" s="14" t="str">
        <f t="shared" ref="H133:H196" si="11">IF(B133="","",IF(C133&lt;-3%,"是","否"))</f>
        <v/>
      </c>
      <c r="I133" s="14" t="str">
        <f t="shared" si="9"/>
        <v/>
      </c>
      <c r="J133" s="15" t="str">
        <f t="shared" si="10"/>
        <v/>
      </c>
    </row>
    <row r="134" spans="1:10">
      <c r="A134" s="7" t="str">
        <f>IF(子基金及业绩基准周净值!A183="","",子基金及业绩基准周净值!A183)</f>
        <v/>
      </c>
      <c r="B134" s="1" t="str">
        <f>IF(A134="","",VLOOKUP($A134,子基金及业绩基准周净值!$A:$AV,21))</f>
        <v/>
      </c>
      <c r="C134" s="8" t="str">
        <f t="shared" si="8"/>
        <v/>
      </c>
      <c r="D134" s="9" t="str">
        <f>IF(A134="","",C134-子基金及业绩基准周净值!AI183)</f>
        <v/>
      </c>
      <c r="E134" s="12" t="str">
        <f>IF(A134="","",(MAX(B$3:B134)-B134)/MAX(B$3:B134))</f>
        <v/>
      </c>
      <c r="F134" s="12" t="str">
        <f>IF(A134="","",MAX(E$4:E134))</f>
        <v/>
      </c>
      <c r="G134" s="13"/>
      <c r="H134" s="14" t="str">
        <f t="shared" si="11"/>
        <v/>
      </c>
      <c r="I134" s="14" t="str">
        <f t="shared" si="9"/>
        <v/>
      </c>
      <c r="J134" s="15" t="str">
        <f t="shared" si="10"/>
        <v/>
      </c>
    </row>
    <row r="135" spans="1:10">
      <c r="A135" s="7" t="str">
        <f>IF(子基金及业绩基准周净值!A184="","",子基金及业绩基准周净值!A184)</f>
        <v/>
      </c>
      <c r="B135" s="1" t="str">
        <f>IF(A135="","",VLOOKUP($A135,子基金及业绩基准周净值!$A:$AV,21))</f>
        <v/>
      </c>
      <c r="C135" s="8" t="str">
        <f t="shared" si="8"/>
        <v/>
      </c>
      <c r="D135" s="9" t="str">
        <f>IF(A135="","",C135-子基金及业绩基准周净值!AI184)</f>
        <v/>
      </c>
      <c r="E135" s="12" t="str">
        <f>IF(A135="","",(MAX(B$3:B135)-B135)/MAX(B$3:B135))</f>
        <v/>
      </c>
      <c r="F135" s="12" t="str">
        <f>IF(A135="","",MAX(E$4:E135))</f>
        <v/>
      </c>
      <c r="G135" s="13"/>
      <c r="H135" s="14" t="str">
        <f t="shared" si="11"/>
        <v/>
      </c>
      <c r="I135" s="14" t="str">
        <f t="shared" si="9"/>
        <v/>
      </c>
      <c r="J135" s="15" t="str">
        <f t="shared" si="10"/>
        <v/>
      </c>
    </row>
    <row r="136" spans="1:10">
      <c r="A136" s="7" t="str">
        <f>IF(子基金及业绩基准周净值!A185="","",子基金及业绩基准周净值!A185)</f>
        <v/>
      </c>
      <c r="B136" s="1" t="str">
        <f>IF(A136="","",VLOOKUP($A136,子基金及业绩基准周净值!$A:$AV,21))</f>
        <v/>
      </c>
      <c r="C136" s="8" t="str">
        <f t="shared" si="8"/>
        <v/>
      </c>
      <c r="D136" s="9" t="str">
        <f>IF(A136="","",C136-子基金及业绩基准周净值!AI185)</f>
        <v/>
      </c>
      <c r="E136" s="12" t="str">
        <f>IF(A136="","",(MAX(B$3:B136)-B136)/MAX(B$3:B136))</f>
        <v/>
      </c>
      <c r="F136" s="12" t="str">
        <f>IF(A136="","",MAX(E$4:E136))</f>
        <v/>
      </c>
      <c r="G136" s="13"/>
      <c r="H136" s="14" t="str">
        <f t="shared" si="11"/>
        <v/>
      </c>
      <c r="I136" s="14" t="str">
        <f t="shared" si="9"/>
        <v/>
      </c>
      <c r="J136" s="15" t="str">
        <f t="shared" si="10"/>
        <v/>
      </c>
    </row>
    <row r="137" spans="1:10">
      <c r="A137" s="7" t="str">
        <f>IF(子基金及业绩基准周净值!A186="","",子基金及业绩基准周净值!A186)</f>
        <v/>
      </c>
      <c r="B137" s="1" t="str">
        <f>IF(A137="","",VLOOKUP($A137,子基金及业绩基准周净值!$A:$AV,21))</f>
        <v/>
      </c>
      <c r="C137" s="8" t="str">
        <f t="shared" si="8"/>
        <v/>
      </c>
      <c r="D137" s="9" t="str">
        <f>IF(A137="","",C137-子基金及业绩基准周净值!AI186)</f>
        <v/>
      </c>
      <c r="E137" s="12" t="str">
        <f>IF(A137="","",(MAX(B$3:B137)-B137)/MAX(B$3:B137))</f>
        <v/>
      </c>
      <c r="F137" s="12" t="str">
        <f>IF(A137="","",MAX(E$4:E137))</f>
        <v/>
      </c>
      <c r="G137" s="13"/>
      <c r="H137" s="14" t="str">
        <f t="shared" si="11"/>
        <v/>
      </c>
      <c r="I137" s="14" t="str">
        <f t="shared" si="9"/>
        <v/>
      </c>
      <c r="J137" s="15" t="str">
        <f t="shared" si="10"/>
        <v/>
      </c>
    </row>
    <row r="138" spans="1:10">
      <c r="A138" s="7" t="str">
        <f>IF(子基金及业绩基准周净值!A187="","",子基金及业绩基准周净值!A187)</f>
        <v/>
      </c>
      <c r="B138" s="1" t="str">
        <f>IF(A138="","",VLOOKUP($A138,子基金及业绩基准周净值!$A:$AV,21))</f>
        <v/>
      </c>
      <c r="C138" s="8" t="str">
        <f t="shared" si="8"/>
        <v/>
      </c>
      <c r="D138" s="9" t="str">
        <f>IF(A138="","",C138-子基金及业绩基准周净值!AI187)</f>
        <v/>
      </c>
      <c r="E138" s="12" t="str">
        <f>IF(A138="","",(MAX(B$3:B138)-B138)/MAX(B$3:B138))</f>
        <v/>
      </c>
      <c r="F138" s="12" t="str">
        <f>IF(A138="","",MAX(E$4:E138))</f>
        <v/>
      </c>
      <c r="G138" s="13"/>
      <c r="H138" s="14" t="str">
        <f t="shared" si="11"/>
        <v/>
      </c>
      <c r="I138" s="14" t="str">
        <f t="shared" si="9"/>
        <v/>
      </c>
      <c r="J138" s="15" t="str">
        <f t="shared" si="10"/>
        <v/>
      </c>
    </row>
    <row r="139" spans="1:10">
      <c r="A139" s="7" t="str">
        <f>IF(子基金及业绩基准周净值!A188="","",子基金及业绩基准周净值!A188)</f>
        <v/>
      </c>
      <c r="B139" s="1" t="str">
        <f>IF(A139="","",VLOOKUP($A139,子基金及业绩基准周净值!$A:$AV,21))</f>
        <v/>
      </c>
      <c r="C139" s="8" t="str">
        <f t="shared" si="8"/>
        <v/>
      </c>
      <c r="D139" s="9" t="str">
        <f>IF(A139="","",C139-子基金及业绩基准周净值!AI188)</f>
        <v/>
      </c>
      <c r="E139" s="12" t="str">
        <f>IF(A139="","",(MAX(B$3:B139)-B139)/MAX(B$3:B139))</f>
        <v/>
      </c>
      <c r="F139" s="12" t="str">
        <f>IF(A139="","",MAX(E$4:E139))</f>
        <v/>
      </c>
      <c r="G139" s="13"/>
      <c r="H139" s="14" t="str">
        <f t="shared" si="11"/>
        <v/>
      </c>
      <c r="I139" s="14" t="str">
        <f t="shared" si="9"/>
        <v/>
      </c>
      <c r="J139" s="15" t="str">
        <f t="shared" si="10"/>
        <v/>
      </c>
    </row>
    <row r="140" spans="1:10">
      <c r="A140" s="7" t="str">
        <f>IF(子基金及业绩基准周净值!A189="","",子基金及业绩基准周净值!A189)</f>
        <v/>
      </c>
      <c r="B140" s="1" t="str">
        <f>IF(A140="","",VLOOKUP($A140,子基金及业绩基准周净值!$A:$AV,21))</f>
        <v/>
      </c>
      <c r="C140" s="8" t="str">
        <f t="shared" si="8"/>
        <v/>
      </c>
      <c r="D140" s="9" t="str">
        <f>IF(A140="","",C140-子基金及业绩基准周净值!AI189)</f>
        <v/>
      </c>
      <c r="E140" s="12" t="str">
        <f>IF(A140="","",(MAX(B$3:B140)-B140)/MAX(B$3:B140))</f>
        <v/>
      </c>
      <c r="F140" s="12" t="str">
        <f>IF(A140="","",MAX(E$4:E140))</f>
        <v/>
      </c>
      <c r="G140" s="13"/>
      <c r="H140" s="14" t="str">
        <f t="shared" si="11"/>
        <v/>
      </c>
      <c r="I140" s="14" t="str">
        <f t="shared" si="9"/>
        <v/>
      </c>
      <c r="J140" s="15" t="str">
        <f t="shared" si="10"/>
        <v/>
      </c>
    </row>
    <row r="141" spans="1:10">
      <c r="A141" s="7" t="str">
        <f>IF(子基金及业绩基准周净值!A190="","",子基金及业绩基准周净值!A190)</f>
        <v/>
      </c>
      <c r="B141" s="1" t="str">
        <f>IF(A141="","",VLOOKUP($A141,子基金及业绩基准周净值!$A:$AV,21))</f>
        <v/>
      </c>
      <c r="C141" s="8" t="str">
        <f t="shared" si="8"/>
        <v/>
      </c>
      <c r="D141" s="9" t="str">
        <f>IF(A141="","",C141-子基金及业绩基准周净值!AI190)</f>
        <v/>
      </c>
      <c r="E141" s="12" t="str">
        <f>IF(A141="","",(MAX(B$3:B141)-B141)/MAX(B$3:B141))</f>
        <v/>
      </c>
      <c r="F141" s="12" t="str">
        <f>IF(A141="","",MAX(E$4:E141))</f>
        <v/>
      </c>
      <c r="G141" s="13"/>
      <c r="H141" s="14" t="str">
        <f t="shared" si="11"/>
        <v/>
      </c>
      <c r="I141" s="14" t="str">
        <f t="shared" si="9"/>
        <v/>
      </c>
      <c r="J141" s="15" t="str">
        <f t="shared" si="10"/>
        <v/>
      </c>
    </row>
    <row r="142" spans="1:10">
      <c r="A142" s="7" t="str">
        <f>IF(子基金及业绩基准周净值!A191="","",子基金及业绩基准周净值!A191)</f>
        <v/>
      </c>
      <c r="B142" s="1" t="str">
        <f>IF(A142="","",VLOOKUP($A142,子基金及业绩基准周净值!$A:$AV,21))</f>
        <v/>
      </c>
      <c r="C142" s="8" t="str">
        <f t="shared" si="8"/>
        <v/>
      </c>
      <c r="D142" s="9" t="str">
        <f>IF(A142="","",C142-子基金及业绩基准周净值!AI191)</f>
        <v/>
      </c>
      <c r="E142" s="12" t="str">
        <f>IF(A142="","",(MAX(B$3:B142)-B142)/MAX(B$3:B142))</f>
        <v/>
      </c>
      <c r="F142" s="12" t="str">
        <f>IF(A142="","",MAX(E$4:E142))</f>
        <v/>
      </c>
      <c r="G142" s="13"/>
      <c r="H142" s="14" t="str">
        <f t="shared" si="11"/>
        <v/>
      </c>
      <c r="I142" s="14" t="str">
        <f t="shared" si="9"/>
        <v/>
      </c>
      <c r="J142" s="15" t="str">
        <f t="shared" si="10"/>
        <v/>
      </c>
    </row>
    <row r="143" spans="1:10">
      <c r="A143" s="7" t="str">
        <f>IF(子基金及业绩基准周净值!A192="","",子基金及业绩基准周净值!A192)</f>
        <v/>
      </c>
      <c r="B143" s="1" t="str">
        <f>IF(A143="","",VLOOKUP($A143,子基金及业绩基准周净值!$A:$AV,21))</f>
        <v/>
      </c>
      <c r="C143" s="8" t="str">
        <f t="shared" si="8"/>
        <v/>
      </c>
      <c r="D143" s="9" t="str">
        <f>IF(A143="","",C143-子基金及业绩基准周净值!AI192)</f>
        <v/>
      </c>
      <c r="E143" s="12" t="str">
        <f>IF(A143="","",(MAX(B$3:B143)-B143)/MAX(B$3:B143))</f>
        <v/>
      </c>
      <c r="F143" s="12" t="str">
        <f>IF(A143="","",MAX(E$4:E143))</f>
        <v/>
      </c>
      <c r="G143" s="13"/>
      <c r="H143" s="14" t="str">
        <f t="shared" si="11"/>
        <v/>
      </c>
      <c r="I143" s="14" t="str">
        <f t="shared" si="9"/>
        <v/>
      </c>
      <c r="J143" s="15" t="str">
        <f t="shared" si="10"/>
        <v/>
      </c>
    </row>
    <row r="144" spans="1:10">
      <c r="A144" s="7" t="str">
        <f>IF(子基金及业绩基准周净值!A193="","",子基金及业绩基准周净值!A193)</f>
        <v/>
      </c>
      <c r="B144" s="1" t="str">
        <f>IF(A144="","",VLOOKUP($A144,子基金及业绩基准周净值!$A:$AV,21))</f>
        <v/>
      </c>
      <c r="C144" s="8" t="str">
        <f t="shared" si="8"/>
        <v/>
      </c>
      <c r="D144" s="9" t="str">
        <f>IF(A144="","",C144-子基金及业绩基准周净值!AI193)</f>
        <v/>
      </c>
      <c r="E144" s="12" t="str">
        <f>IF(A144="","",(MAX(B$3:B144)-B144)/MAX(B$3:B144))</f>
        <v/>
      </c>
      <c r="F144" s="12" t="str">
        <f>IF(A144="","",MAX(E$4:E144))</f>
        <v/>
      </c>
      <c r="G144" s="13"/>
      <c r="H144" s="14" t="str">
        <f t="shared" si="11"/>
        <v/>
      </c>
      <c r="I144" s="14" t="str">
        <f t="shared" si="9"/>
        <v/>
      </c>
      <c r="J144" s="15" t="str">
        <f t="shared" si="10"/>
        <v/>
      </c>
    </row>
    <row r="145" spans="1:10">
      <c r="A145" s="7" t="str">
        <f>IF(子基金及业绩基准周净值!A194="","",子基金及业绩基准周净值!A194)</f>
        <v/>
      </c>
      <c r="B145" s="1" t="str">
        <f>IF(A145="","",VLOOKUP($A145,子基金及业绩基准周净值!$A:$AV,21))</f>
        <v/>
      </c>
      <c r="C145" s="8" t="str">
        <f t="shared" si="8"/>
        <v/>
      </c>
      <c r="D145" s="9" t="str">
        <f>IF(A145="","",C145-子基金及业绩基准周净值!AI194)</f>
        <v/>
      </c>
      <c r="E145" s="12" t="str">
        <f>IF(A145="","",(MAX(B$3:B145)-B145)/MAX(B$3:B145))</f>
        <v/>
      </c>
      <c r="F145" s="12" t="str">
        <f>IF(A145="","",MAX(E$4:E145))</f>
        <v/>
      </c>
      <c r="G145" s="13"/>
      <c r="H145" s="14" t="str">
        <f t="shared" si="11"/>
        <v/>
      </c>
      <c r="I145" s="14" t="str">
        <f t="shared" si="9"/>
        <v/>
      </c>
      <c r="J145" s="15" t="str">
        <f t="shared" si="10"/>
        <v/>
      </c>
    </row>
    <row r="146" spans="1:10">
      <c r="A146" s="7" t="str">
        <f>IF(子基金及业绩基准周净值!A195="","",子基金及业绩基准周净值!A195)</f>
        <v/>
      </c>
      <c r="B146" s="1" t="str">
        <f>IF(A146="","",VLOOKUP($A146,子基金及业绩基准周净值!$A:$AV,21))</f>
        <v/>
      </c>
      <c r="C146" s="8" t="str">
        <f t="shared" si="8"/>
        <v/>
      </c>
      <c r="D146" s="9" t="str">
        <f>IF(A146="","",C146-子基金及业绩基准周净值!AI195)</f>
        <v/>
      </c>
      <c r="E146" s="12" t="str">
        <f>IF(A146="","",(MAX(B$3:B146)-B146)/MAX(B$3:B146))</f>
        <v/>
      </c>
      <c r="F146" s="12" t="str">
        <f>IF(A146="","",MAX(E$4:E146))</f>
        <v/>
      </c>
      <c r="G146" s="13"/>
      <c r="H146" s="14" t="str">
        <f t="shared" si="11"/>
        <v/>
      </c>
      <c r="I146" s="14" t="str">
        <f t="shared" si="9"/>
        <v/>
      </c>
      <c r="J146" s="15" t="str">
        <f t="shared" si="10"/>
        <v/>
      </c>
    </row>
    <row r="147" spans="1:10">
      <c r="A147" s="7" t="str">
        <f>IF(子基金及业绩基准周净值!A196="","",子基金及业绩基准周净值!A196)</f>
        <v/>
      </c>
      <c r="B147" s="1" t="str">
        <f>IF(A147="","",VLOOKUP($A147,子基金及业绩基准周净值!$A:$AV,21))</f>
        <v/>
      </c>
      <c r="C147" s="8" t="str">
        <f t="shared" si="8"/>
        <v/>
      </c>
      <c r="D147" s="9" t="str">
        <f>IF(A147="","",C147-子基金及业绩基准周净值!AI196)</f>
        <v/>
      </c>
      <c r="E147" s="12" t="str">
        <f>IF(A147="","",(MAX(B$3:B147)-B147)/MAX(B$3:B147))</f>
        <v/>
      </c>
      <c r="F147" s="12" t="str">
        <f>IF(A147="","",MAX(E$4:E147))</f>
        <v/>
      </c>
      <c r="G147" s="13"/>
      <c r="H147" s="14" t="str">
        <f t="shared" si="11"/>
        <v/>
      </c>
      <c r="I147" s="14" t="str">
        <f t="shared" si="9"/>
        <v/>
      </c>
      <c r="J147" s="15" t="str">
        <f t="shared" si="10"/>
        <v/>
      </c>
    </row>
    <row r="148" spans="1:10">
      <c r="A148" s="7" t="str">
        <f>IF(子基金及业绩基准周净值!A197="","",子基金及业绩基准周净值!A197)</f>
        <v/>
      </c>
      <c r="B148" s="1" t="str">
        <f>IF(A148="","",VLOOKUP($A148,子基金及业绩基准周净值!$A:$AV,21))</f>
        <v/>
      </c>
      <c r="C148" s="8" t="str">
        <f t="shared" si="8"/>
        <v/>
      </c>
      <c r="D148" s="9" t="str">
        <f>IF(A148="","",C148-子基金及业绩基准周净值!AI197)</f>
        <v/>
      </c>
      <c r="E148" s="12" t="str">
        <f>IF(A148="","",(MAX(B$3:B148)-B148)/MAX(B$3:B148))</f>
        <v/>
      </c>
      <c r="F148" s="12" t="str">
        <f>IF(A148="","",MAX(E$4:E148))</f>
        <v/>
      </c>
      <c r="H148" s="14" t="str">
        <f t="shared" si="11"/>
        <v/>
      </c>
      <c r="I148" s="14" t="str">
        <f t="shared" si="9"/>
        <v/>
      </c>
      <c r="J148" s="15" t="str">
        <f t="shared" si="10"/>
        <v/>
      </c>
    </row>
    <row r="149" spans="1:10">
      <c r="A149" s="7" t="str">
        <f>IF(子基金及业绩基准周净值!A198="","",子基金及业绩基准周净值!A198)</f>
        <v/>
      </c>
      <c r="B149" s="1" t="str">
        <f>IF(A149="","",VLOOKUP($A149,子基金及业绩基准周净值!$A:$AV,21))</f>
        <v/>
      </c>
      <c r="C149" s="8" t="str">
        <f t="shared" si="8"/>
        <v/>
      </c>
      <c r="D149" s="9" t="str">
        <f>IF(A149="","",C149-子基金及业绩基准周净值!AI198)</f>
        <v/>
      </c>
      <c r="E149" s="12" t="str">
        <f>IF(A149="","",(MAX(B$3:B149)-B149)/MAX(B$3:B149))</f>
        <v/>
      </c>
      <c r="F149" s="12" t="str">
        <f>IF(A149="","",MAX(E$4:E149))</f>
        <v/>
      </c>
      <c r="H149" s="14" t="str">
        <f t="shared" si="11"/>
        <v/>
      </c>
      <c r="I149" s="14" t="str">
        <f t="shared" si="9"/>
        <v/>
      </c>
      <c r="J149" s="15" t="str">
        <f t="shared" si="10"/>
        <v/>
      </c>
    </row>
    <row r="150" spans="1:10">
      <c r="A150" s="7" t="str">
        <f>IF(子基金及业绩基准周净值!A199="","",子基金及业绩基准周净值!A199)</f>
        <v/>
      </c>
      <c r="B150" s="1" t="str">
        <f>IF(A150="","",VLOOKUP($A150,子基金及业绩基准周净值!$A:$AV,21))</f>
        <v/>
      </c>
      <c r="C150" s="8" t="str">
        <f t="shared" si="8"/>
        <v/>
      </c>
      <c r="D150" s="9" t="str">
        <f>IF(A150="","",C150-子基金及业绩基准周净值!AI199)</f>
        <v/>
      </c>
      <c r="E150" s="12" t="str">
        <f>IF(A150="","",(MAX(B$3:B150)-B150)/MAX(B$3:B150))</f>
        <v/>
      </c>
      <c r="F150" s="12" t="str">
        <f>IF(A150="","",MAX(E$4:E150))</f>
        <v/>
      </c>
      <c r="H150" s="14" t="str">
        <f t="shared" si="11"/>
        <v/>
      </c>
      <c r="I150" s="14" t="str">
        <f t="shared" si="9"/>
        <v/>
      </c>
      <c r="J150" s="15" t="str">
        <f t="shared" si="10"/>
        <v/>
      </c>
    </row>
    <row r="151" spans="1:10">
      <c r="A151" s="7" t="str">
        <f>IF(子基金及业绩基准周净值!A200="","",子基金及业绩基准周净值!A200)</f>
        <v/>
      </c>
      <c r="B151" s="1" t="str">
        <f>IF(A151="","",VLOOKUP($A151,子基金及业绩基准周净值!$A:$AV,21))</f>
        <v/>
      </c>
      <c r="C151" s="8" t="str">
        <f t="shared" si="8"/>
        <v/>
      </c>
      <c r="D151" s="9" t="str">
        <f>IF(A151="","",C151-子基金及业绩基准周净值!AI200)</f>
        <v/>
      </c>
      <c r="E151" s="12" t="str">
        <f>IF(A151="","",(MAX(B$3:B151)-B151)/MAX(B$3:B151))</f>
        <v/>
      </c>
      <c r="F151" s="12" t="str">
        <f>IF(A151="","",MAX(E$4:E151))</f>
        <v/>
      </c>
      <c r="H151" s="14" t="str">
        <f t="shared" si="11"/>
        <v/>
      </c>
      <c r="I151" s="14" t="str">
        <f t="shared" si="9"/>
        <v/>
      </c>
      <c r="J151" s="15" t="str">
        <f t="shared" si="10"/>
        <v/>
      </c>
    </row>
    <row r="152" spans="1:10">
      <c r="A152" s="7" t="str">
        <f>IF(子基金及业绩基准周净值!A201="","",子基金及业绩基准周净值!A201)</f>
        <v/>
      </c>
      <c r="B152" s="1" t="str">
        <f>IF(A152="","",VLOOKUP($A152,子基金及业绩基准周净值!$A:$AV,21))</f>
        <v/>
      </c>
      <c r="C152" s="8" t="str">
        <f t="shared" si="8"/>
        <v/>
      </c>
      <c r="D152" s="9" t="str">
        <f>IF(A152="","",C152-子基金及业绩基准周净值!AI201)</f>
        <v/>
      </c>
      <c r="E152" s="12" t="str">
        <f>IF(A152="","",(MAX(B$3:B152)-B152)/MAX(B$3:B152))</f>
        <v/>
      </c>
      <c r="F152" s="12" t="str">
        <f>IF(A152="","",MAX(E$4:E152))</f>
        <v/>
      </c>
      <c r="H152" s="14" t="str">
        <f t="shared" si="11"/>
        <v/>
      </c>
      <c r="I152" s="14" t="str">
        <f t="shared" si="9"/>
        <v/>
      </c>
      <c r="J152" s="15" t="str">
        <f t="shared" si="10"/>
        <v/>
      </c>
    </row>
    <row r="153" spans="1:10">
      <c r="A153" s="7" t="str">
        <f>IF(子基金及业绩基准周净值!A202="","",子基金及业绩基准周净值!A202)</f>
        <v/>
      </c>
      <c r="B153" s="1" t="str">
        <f>IF(A153="","",VLOOKUP($A153,子基金及业绩基准周净值!$A:$AV,21))</f>
        <v/>
      </c>
      <c r="C153" s="8" t="str">
        <f t="shared" si="8"/>
        <v/>
      </c>
      <c r="D153" s="9" t="str">
        <f>IF(A153="","",C153-子基金及业绩基准周净值!AI202)</f>
        <v/>
      </c>
      <c r="E153" s="12" t="str">
        <f>IF(A153="","",(MAX(B$3:B153)-B153)/MAX(B$3:B153))</f>
        <v/>
      </c>
      <c r="F153" s="12" t="str">
        <f>IF(A153="","",MAX(E$4:E153))</f>
        <v/>
      </c>
      <c r="H153" s="14" t="str">
        <f t="shared" si="11"/>
        <v/>
      </c>
      <c r="I153" s="14" t="str">
        <f t="shared" si="9"/>
        <v/>
      </c>
      <c r="J153" s="15" t="str">
        <f t="shared" si="10"/>
        <v/>
      </c>
    </row>
    <row r="154" spans="1:10">
      <c r="A154" s="7" t="str">
        <f>IF(子基金及业绩基准周净值!A203="","",子基金及业绩基准周净值!A203)</f>
        <v/>
      </c>
      <c r="B154" s="1" t="str">
        <f>IF(A154="","",VLOOKUP($A154,子基金及业绩基准周净值!$A:$AV,21))</f>
        <v/>
      </c>
      <c r="C154" s="8" t="str">
        <f t="shared" si="8"/>
        <v/>
      </c>
      <c r="D154" s="9" t="str">
        <f>IF(A154="","",C154-子基金及业绩基准周净值!AI203)</f>
        <v/>
      </c>
      <c r="E154" s="12" t="str">
        <f>IF(A154="","",(MAX(B$3:B154)-B154)/MAX(B$3:B154))</f>
        <v/>
      </c>
      <c r="F154" s="12" t="str">
        <f>IF(A154="","",MAX(E$4:E154))</f>
        <v/>
      </c>
      <c r="H154" s="14" t="str">
        <f t="shared" si="11"/>
        <v/>
      </c>
      <c r="I154" s="14" t="str">
        <f t="shared" si="9"/>
        <v/>
      </c>
      <c r="J154" s="15" t="str">
        <f t="shared" si="10"/>
        <v/>
      </c>
    </row>
    <row r="155" spans="1:10">
      <c r="A155" s="7" t="str">
        <f>IF(子基金及业绩基准周净值!A204="","",子基金及业绩基准周净值!A204)</f>
        <v/>
      </c>
      <c r="B155" s="1" t="str">
        <f>IF(A155="","",VLOOKUP($A155,子基金及业绩基准周净值!$A:$AV,21))</f>
        <v/>
      </c>
      <c r="C155" s="8" t="str">
        <f t="shared" si="8"/>
        <v/>
      </c>
      <c r="D155" s="9" t="str">
        <f>IF(A155="","",C155-子基金及业绩基准周净值!AI204)</f>
        <v/>
      </c>
      <c r="E155" s="12" t="str">
        <f>IF(A155="","",(MAX(B$3:B155)-B155)/MAX(B$3:B155))</f>
        <v/>
      </c>
      <c r="F155" s="12" t="str">
        <f>IF(A155="","",MAX(E$4:E155))</f>
        <v/>
      </c>
      <c r="H155" s="14" t="str">
        <f t="shared" si="11"/>
        <v/>
      </c>
      <c r="I155" s="14" t="str">
        <f t="shared" si="9"/>
        <v/>
      </c>
      <c r="J155" s="15" t="str">
        <f t="shared" si="10"/>
        <v/>
      </c>
    </row>
    <row r="156" spans="1:10">
      <c r="A156" s="7" t="str">
        <f>IF(子基金及业绩基准周净值!A205="","",子基金及业绩基准周净值!A205)</f>
        <v/>
      </c>
      <c r="B156" s="1" t="str">
        <f>IF(A156="","",VLOOKUP($A156,子基金及业绩基准周净值!$A:$AV,21))</f>
        <v/>
      </c>
      <c r="C156" s="8" t="str">
        <f t="shared" si="8"/>
        <v/>
      </c>
      <c r="D156" s="9" t="str">
        <f>IF(A156="","",C156-子基金及业绩基准周净值!AI205)</f>
        <v/>
      </c>
      <c r="E156" s="12" t="str">
        <f>IF(A156="","",(MAX(B$3:B156)-B156)/MAX(B$3:B156))</f>
        <v/>
      </c>
      <c r="F156" s="12" t="str">
        <f>IF(A156="","",MAX(E$4:E156))</f>
        <v/>
      </c>
      <c r="H156" s="14" t="str">
        <f t="shared" si="11"/>
        <v/>
      </c>
      <c r="I156" s="14" t="str">
        <f t="shared" si="9"/>
        <v/>
      </c>
      <c r="J156" s="15" t="str">
        <f t="shared" si="10"/>
        <v/>
      </c>
    </row>
    <row r="157" spans="1:10">
      <c r="A157" s="7" t="str">
        <f>IF(子基金及业绩基准周净值!A206="","",子基金及业绩基准周净值!A206)</f>
        <v/>
      </c>
      <c r="B157" s="1" t="str">
        <f>IF(A157="","",VLOOKUP($A157,子基金及业绩基准周净值!$A:$AV,21))</f>
        <v/>
      </c>
      <c r="C157" s="8" t="str">
        <f t="shared" si="8"/>
        <v/>
      </c>
      <c r="D157" s="9" t="str">
        <f>IF(A157="","",C157-子基金及业绩基准周净值!AI206)</f>
        <v/>
      </c>
      <c r="E157" s="12" t="str">
        <f>IF(A157="","",(MAX(B$3:B157)-B157)/MAX(B$3:B157))</f>
        <v/>
      </c>
      <c r="F157" s="12" t="str">
        <f>IF(A157="","",MAX(E$4:E157))</f>
        <v/>
      </c>
      <c r="H157" s="14" t="str">
        <f t="shared" si="11"/>
        <v/>
      </c>
      <c r="I157" s="14" t="str">
        <f t="shared" si="9"/>
        <v/>
      </c>
      <c r="J157" s="15" t="str">
        <f t="shared" si="10"/>
        <v/>
      </c>
    </row>
    <row r="158" spans="1:10">
      <c r="A158" s="7" t="str">
        <f>IF(子基金及业绩基准周净值!A207="","",子基金及业绩基准周净值!A207)</f>
        <v/>
      </c>
      <c r="B158" s="1" t="str">
        <f>IF(A158="","",VLOOKUP($A158,子基金及业绩基准周净值!$A:$AV,21))</f>
        <v/>
      </c>
      <c r="C158" s="8" t="str">
        <f t="shared" si="8"/>
        <v/>
      </c>
      <c r="D158" s="9" t="str">
        <f>IF(A158="","",C158-子基金及业绩基准周净值!AI207)</f>
        <v/>
      </c>
      <c r="E158" s="12" t="str">
        <f>IF(A158="","",(MAX(B$3:B158)-B158)/MAX(B$3:B158))</f>
        <v/>
      </c>
      <c r="F158" s="12" t="str">
        <f>IF(A158="","",MAX(E$4:E158))</f>
        <v/>
      </c>
      <c r="H158" s="14" t="str">
        <f t="shared" si="11"/>
        <v/>
      </c>
      <c r="I158" s="14" t="str">
        <f t="shared" si="9"/>
        <v/>
      </c>
      <c r="J158" s="15" t="str">
        <f t="shared" si="10"/>
        <v/>
      </c>
    </row>
    <row r="159" spans="1:10">
      <c r="A159" s="7" t="str">
        <f>IF(子基金及业绩基准周净值!A208="","",子基金及业绩基准周净值!A208)</f>
        <v/>
      </c>
      <c r="B159" s="1" t="str">
        <f>IF(A159="","",VLOOKUP($A159,子基金及业绩基准周净值!$A:$AV,21))</f>
        <v/>
      </c>
      <c r="C159" s="8" t="str">
        <f t="shared" si="8"/>
        <v/>
      </c>
      <c r="D159" s="9" t="str">
        <f>IF(A159="","",C159-子基金及业绩基准周净值!AI208)</f>
        <v/>
      </c>
      <c r="E159" s="12" t="str">
        <f>IF(A159="","",(MAX(B$3:B159)-B159)/MAX(B$3:B159))</f>
        <v/>
      </c>
      <c r="F159" s="12" t="str">
        <f>IF(A159="","",MAX(E$4:E159))</f>
        <v/>
      </c>
      <c r="H159" s="14" t="str">
        <f t="shared" si="11"/>
        <v/>
      </c>
      <c r="I159" s="14" t="str">
        <f t="shared" si="9"/>
        <v/>
      </c>
      <c r="J159" s="15" t="str">
        <f t="shared" si="10"/>
        <v/>
      </c>
    </row>
    <row r="160" spans="1:10">
      <c r="A160" s="7" t="str">
        <f>IF(子基金及业绩基准周净值!A209="","",子基金及业绩基准周净值!A209)</f>
        <v/>
      </c>
      <c r="B160" s="1" t="str">
        <f>IF(A160="","",VLOOKUP($A160,子基金及业绩基准周净值!$A:$AV,21))</f>
        <v/>
      </c>
      <c r="C160" s="8" t="str">
        <f t="shared" si="8"/>
        <v/>
      </c>
      <c r="D160" s="9" t="str">
        <f>IF(A160="","",C160-子基金及业绩基准周净值!AI209)</f>
        <v/>
      </c>
      <c r="E160" s="12" t="str">
        <f>IF(A160="","",(MAX(B$3:B160)-B160)/MAX(B$3:B160))</f>
        <v/>
      </c>
      <c r="F160" s="12" t="str">
        <f>IF(A160="","",MAX(E$4:E160))</f>
        <v/>
      </c>
      <c r="H160" s="14" t="str">
        <f t="shared" si="11"/>
        <v/>
      </c>
      <c r="I160" s="14" t="str">
        <f t="shared" si="9"/>
        <v/>
      </c>
      <c r="J160" s="15" t="str">
        <f t="shared" si="10"/>
        <v/>
      </c>
    </row>
    <row r="161" spans="1:10">
      <c r="A161" s="7" t="str">
        <f>IF(子基金及业绩基准周净值!A210="","",子基金及业绩基准周净值!A210)</f>
        <v/>
      </c>
      <c r="B161" s="1" t="str">
        <f>IF(A161="","",VLOOKUP($A161,子基金及业绩基准周净值!$A:$AV,21))</f>
        <v/>
      </c>
      <c r="C161" s="8" t="str">
        <f t="shared" si="8"/>
        <v/>
      </c>
      <c r="D161" s="9" t="str">
        <f>IF(A161="","",C161-子基金及业绩基准周净值!AI210)</f>
        <v/>
      </c>
      <c r="E161" s="12" t="str">
        <f>IF(A161="","",(MAX(B$3:B161)-B161)/MAX(B$3:B161))</f>
        <v/>
      </c>
      <c r="F161" s="12" t="str">
        <f>IF(A161="","",MAX(E$4:E161))</f>
        <v/>
      </c>
      <c r="H161" s="14" t="str">
        <f t="shared" si="11"/>
        <v/>
      </c>
      <c r="I161" s="14" t="str">
        <f t="shared" si="9"/>
        <v/>
      </c>
      <c r="J161" s="15" t="str">
        <f t="shared" si="10"/>
        <v/>
      </c>
    </row>
    <row r="162" spans="1:10">
      <c r="A162" s="7" t="str">
        <f>IF(子基金及业绩基准周净值!A211="","",子基金及业绩基准周净值!A211)</f>
        <v/>
      </c>
      <c r="B162" s="1" t="str">
        <f>IF(A162="","",VLOOKUP($A162,子基金及业绩基准周净值!$A:$AV,21))</f>
        <v/>
      </c>
      <c r="C162" s="8" t="str">
        <f t="shared" si="8"/>
        <v/>
      </c>
      <c r="D162" s="9" t="str">
        <f>IF(A162="","",C162-子基金及业绩基准周净值!AI211)</f>
        <v/>
      </c>
      <c r="E162" s="12" t="str">
        <f>IF(A162="","",(MAX(B$3:B162)-B162)/MAX(B$3:B162))</f>
        <v/>
      </c>
      <c r="F162" s="12" t="str">
        <f>IF(A162="","",MAX(E$4:E162))</f>
        <v/>
      </c>
      <c r="H162" s="14" t="str">
        <f t="shared" si="11"/>
        <v/>
      </c>
      <c r="I162" s="14" t="str">
        <f t="shared" si="9"/>
        <v/>
      </c>
      <c r="J162" s="15" t="str">
        <f t="shared" si="10"/>
        <v/>
      </c>
    </row>
    <row r="163" spans="1:10">
      <c r="A163" s="7" t="str">
        <f>IF(子基金及业绩基准周净值!A212="","",子基金及业绩基准周净值!A212)</f>
        <v/>
      </c>
      <c r="B163" s="1" t="str">
        <f>IF(A163="","",VLOOKUP($A163,子基金及业绩基准周净值!$A:$AV,21))</f>
        <v/>
      </c>
      <c r="C163" s="8" t="str">
        <f t="shared" si="8"/>
        <v/>
      </c>
      <c r="D163" s="9" t="str">
        <f>IF(A163="","",C163-子基金及业绩基准周净值!AI212)</f>
        <v/>
      </c>
      <c r="E163" s="12" t="str">
        <f>IF(A163="","",(MAX(B$3:B163)-B163)/MAX(B$3:B163))</f>
        <v/>
      </c>
      <c r="F163" s="12" t="str">
        <f>IF(A163="","",MAX(E$4:E163))</f>
        <v/>
      </c>
      <c r="H163" s="14" t="str">
        <f t="shared" si="11"/>
        <v/>
      </c>
      <c r="I163" s="14" t="str">
        <f t="shared" si="9"/>
        <v/>
      </c>
      <c r="J163" s="15" t="str">
        <f t="shared" si="10"/>
        <v/>
      </c>
    </row>
    <row r="164" spans="1:10">
      <c r="A164" s="7" t="str">
        <f>IF(子基金及业绩基准周净值!A213="","",子基金及业绩基准周净值!A213)</f>
        <v/>
      </c>
      <c r="B164" s="1" t="str">
        <f>IF(A164="","",VLOOKUP($A164,子基金及业绩基准周净值!$A:$AV,21))</f>
        <v/>
      </c>
      <c r="C164" s="8" t="str">
        <f t="shared" si="8"/>
        <v/>
      </c>
      <c r="D164" s="9" t="str">
        <f>IF(A164="","",C164-子基金及业绩基准周净值!AI213)</f>
        <v/>
      </c>
      <c r="E164" s="12" t="str">
        <f>IF(A164="","",(MAX(B$3:B164)-B164)/MAX(B$3:B164))</f>
        <v/>
      </c>
      <c r="F164" s="12" t="str">
        <f>IF(A164="","",MAX(E$4:E164))</f>
        <v/>
      </c>
      <c r="H164" s="14" t="str">
        <f t="shared" si="11"/>
        <v/>
      </c>
      <c r="I164" s="14" t="str">
        <f t="shared" si="9"/>
        <v/>
      </c>
      <c r="J164" s="15" t="str">
        <f t="shared" si="10"/>
        <v/>
      </c>
    </row>
    <row r="165" spans="1:10">
      <c r="A165" s="7" t="str">
        <f>IF(子基金及业绩基准周净值!A214="","",子基金及业绩基准周净值!A214)</f>
        <v/>
      </c>
      <c r="B165" s="1" t="str">
        <f>IF(A165="","",VLOOKUP($A165,子基金及业绩基准周净值!$A:$AV,21))</f>
        <v/>
      </c>
      <c r="C165" s="8" t="str">
        <f t="shared" si="8"/>
        <v/>
      </c>
      <c r="D165" s="9" t="str">
        <f>IF(A165="","",C165-子基金及业绩基准周净值!AI214)</f>
        <v/>
      </c>
      <c r="E165" s="12" t="str">
        <f>IF(A165="","",(MAX(B$3:B165)-B165)/MAX(B$3:B165))</f>
        <v/>
      </c>
      <c r="F165" s="12" t="str">
        <f>IF(A165="","",MAX(E$4:E165))</f>
        <v/>
      </c>
      <c r="H165" s="14" t="str">
        <f t="shared" si="11"/>
        <v/>
      </c>
      <c r="I165" s="14" t="str">
        <f t="shared" si="9"/>
        <v/>
      </c>
      <c r="J165" s="15" t="str">
        <f t="shared" si="10"/>
        <v/>
      </c>
    </row>
    <row r="166" spans="1:10">
      <c r="A166" s="7" t="str">
        <f>IF(子基金及业绩基准周净值!A215="","",子基金及业绩基准周净值!A215)</f>
        <v/>
      </c>
      <c r="B166" s="1" t="str">
        <f>IF(A166="","",VLOOKUP($A166,子基金及业绩基准周净值!$A:$AV,21))</f>
        <v/>
      </c>
      <c r="C166" s="8" t="str">
        <f t="shared" si="8"/>
        <v/>
      </c>
      <c r="D166" s="9" t="str">
        <f>IF(A166="","",C166-子基金及业绩基准周净值!AI215)</f>
        <v/>
      </c>
      <c r="E166" s="12" t="str">
        <f>IF(A166="","",(MAX(B$3:B166)-B166)/MAX(B$3:B166))</f>
        <v/>
      </c>
      <c r="F166" s="12" t="str">
        <f>IF(A166="","",MAX(E$4:E166))</f>
        <v/>
      </c>
      <c r="H166" s="14" t="str">
        <f t="shared" si="11"/>
        <v/>
      </c>
      <c r="I166" s="14" t="str">
        <f t="shared" si="9"/>
        <v/>
      </c>
      <c r="J166" s="15" t="str">
        <f t="shared" si="10"/>
        <v/>
      </c>
    </row>
    <row r="167" spans="1:10">
      <c r="A167" s="7" t="str">
        <f>IF(子基金及业绩基准周净值!A216="","",子基金及业绩基准周净值!A216)</f>
        <v/>
      </c>
      <c r="B167" s="1" t="str">
        <f>IF(A167="","",VLOOKUP($A167,子基金及业绩基准周净值!$A:$AV,21))</f>
        <v/>
      </c>
      <c r="C167" s="8" t="str">
        <f t="shared" si="8"/>
        <v/>
      </c>
      <c r="D167" s="9" t="str">
        <f>IF(A167="","",C167-子基金及业绩基准周净值!AI216)</f>
        <v/>
      </c>
      <c r="E167" s="12" t="str">
        <f>IF(A167="","",(MAX(B$3:B167)-B167)/MAX(B$3:B167))</f>
        <v/>
      </c>
      <c r="F167" s="12" t="str">
        <f>IF(A167="","",MAX(E$4:E167))</f>
        <v/>
      </c>
      <c r="H167" s="14" t="str">
        <f t="shared" si="11"/>
        <v/>
      </c>
      <c r="I167" s="14" t="str">
        <f t="shared" si="9"/>
        <v/>
      </c>
      <c r="J167" s="15" t="str">
        <f t="shared" si="10"/>
        <v/>
      </c>
    </row>
    <row r="168" spans="1:10">
      <c r="A168" s="7" t="str">
        <f>IF(子基金及业绩基准周净值!A217="","",子基金及业绩基准周净值!A217)</f>
        <v/>
      </c>
      <c r="B168" s="1" t="str">
        <f>IF(A168="","",VLOOKUP($A168,子基金及业绩基准周净值!$A:$AV,21))</f>
        <v/>
      </c>
      <c r="C168" s="8" t="str">
        <f t="shared" si="8"/>
        <v/>
      </c>
      <c r="D168" s="9" t="str">
        <f>IF(A168="","",C168-子基金及业绩基准周净值!AI217)</f>
        <v/>
      </c>
      <c r="E168" s="12" t="str">
        <f>IF(A168="","",(MAX(B$3:B168)-B168)/MAX(B$3:B168))</f>
        <v/>
      </c>
      <c r="F168" s="12" t="str">
        <f>IF(A168="","",MAX(E$4:E168))</f>
        <v/>
      </c>
      <c r="H168" s="14" t="str">
        <f t="shared" si="11"/>
        <v/>
      </c>
      <c r="I168" s="14" t="str">
        <f t="shared" si="9"/>
        <v/>
      </c>
      <c r="J168" s="15" t="str">
        <f t="shared" si="10"/>
        <v/>
      </c>
    </row>
    <row r="169" spans="1:10">
      <c r="A169" s="7" t="str">
        <f>IF(子基金及业绩基准周净值!A218="","",子基金及业绩基准周净值!A218)</f>
        <v/>
      </c>
      <c r="B169" s="1" t="str">
        <f>IF(A169="","",VLOOKUP($A169,子基金及业绩基准周净值!$A:$AV,21))</f>
        <v/>
      </c>
      <c r="C169" s="8" t="str">
        <f t="shared" si="8"/>
        <v/>
      </c>
      <c r="D169" s="9" t="str">
        <f>IF(A169="","",C169-子基金及业绩基准周净值!AI218)</f>
        <v/>
      </c>
      <c r="E169" s="12" t="str">
        <f>IF(A169="","",(MAX(B$3:B169)-B169)/MAX(B$3:B169))</f>
        <v/>
      </c>
      <c r="F169" s="12" t="str">
        <f>IF(A169="","",MAX(E$4:E169))</f>
        <v/>
      </c>
      <c r="H169" s="14" t="str">
        <f t="shared" si="11"/>
        <v/>
      </c>
      <c r="I169" s="14" t="str">
        <f t="shared" si="9"/>
        <v/>
      </c>
      <c r="J169" s="15" t="str">
        <f t="shared" si="10"/>
        <v/>
      </c>
    </row>
    <row r="170" spans="1:10">
      <c r="A170" s="7" t="str">
        <f>IF(子基金及业绩基准周净值!A219="","",子基金及业绩基准周净值!A219)</f>
        <v/>
      </c>
      <c r="B170" s="1" t="str">
        <f>IF(A170="","",VLOOKUP($A170,子基金及业绩基准周净值!$A:$AV,21))</f>
        <v/>
      </c>
      <c r="C170" s="8" t="str">
        <f t="shared" si="8"/>
        <v/>
      </c>
      <c r="D170" s="9" t="str">
        <f>IF(A170="","",C170-子基金及业绩基准周净值!AI219)</f>
        <v/>
      </c>
      <c r="E170" s="12" t="str">
        <f>IF(A170="","",(MAX(B$3:B170)-B170)/MAX(B$3:B170))</f>
        <v/>
      </c>
      <c r="F170" s="12" t="str">
        <f>IF(A170="","",MAX(E$4:E170))</f>
        <v/>
      </c>
      <c r="H170" s="14" t="str">
        <f t="shared" si="11"/>
        <v/>
      </c>
      <c r="I170" s="14" t="str">
        <f t="shared" si="9"/>
        <v/>
      </c>
      <c r="J170" s="15" t="str">
        <f t="shared" si="10"/>
        <v/>
      </c>
    </row>
    <row r="171" spans="1:10">
      <c r="A171" s="7" t="str">
        <f>IF(子基金及业绩基准周净值!A220="","",子基金及业绩基准周净值!A220)</f>
        <v/>
      </c>
      <c r="B171" s="1" t="str">
        <f>IF(A171="","",VLOOKUP($A171,子基金及业绩基准周净值!$A:$AV,21))</f>
        <v/>
      </c>
      <c r="C171" s="8" t="str">
        <f t="shared" si="8"/>
        <v/>
      </c>
      <c r="D171" s="9" t="str">
        <f>IF(A171="","",C171-子基金及业绩基准周净值!AI220)</f>
        <v/>
      </c>
      <c r="E171" s="12" t="str">
        <f>IF(A171="","",(MAX(B$3:B171)-B171)/MAX(B$3:B171))</f>
        <v/>
      </c>
      <c r="F171" s="12" t="str">
        <f>IF(A171="","",MAX(E$4:E171))</f>
        <v/>
      </c>
      <c r="H171" s="14" t="str">
        <f t="shared" si="11"/>
        <v/>
      </c>
      <c r="I171" s="14" t="str">
        <f t="shared" si="9"/>
        <v/>
      </c>
      <c r="J171" s="15" t="str">
        <f t="shared" si="10"/>
        <v/>
      </c>
    </row>
    <row r="172" spans="1:10">
      <c r="A172" s="7" t="str">
        <f>IF(子基金及业绩基准周净值!A221="","",子基金及业绩基准周净值!A221)</f>
        <v/>
      </c>
      <c r="B172" s="1" t="str">
        <f>IF(A172="","",VLOOKUP($A172,子基金及业绩基准周净值!$A:$AV,21))</f>
        <v/>
      </c>
      <c r="C172" s="8" t="str">
        <f t="shared" si="8"/>
        <v/>
      </c>
      <c r="D172" s="9" t="str">
        <f>IF(A172="","",C172-子基金及业绩基准周净值!AI221)</f>
        <v/>
      </c>
      <c r="E172" s="12" t="str">
        <f>IF(A172="","",(MAX(B$3:B172)-B172)/MAX(B$3:B172))</f>
        <v/>
      </c>
      <c r="F172" s="12" t="str">
        <f>IF(A172="","",MAX(E$4:E172))</f>
        <v/>
      </c>
      <c r="H172" s="14" t="str">
        <f t="shared" si="11"/>
        <v/>
      </c>
      <c r="I172" s="14" t="str">
        <f t="shared" si="9"/>
        <v/>
      </c>
      <c r="J172" s="15" t="str">
        <f t="shared" si="10"/>
        <v/>
      </c>
    </row>
    <row r="173" spans="1:10">
      <c r="A173" s="7" t="str">
        <f>IF(子基金及业绩基准周净值!A222="","",子基金及业绩基准周净值!A222)</f>
        <v/>
      </c>
      <c r="B173" s="1" t="str">
        <f>IF(A173="","",VLOOKUP($A173,子基金及业绩基准周净值!$A:$AV,21))</f>
        <v/>
      </c>
      <c r="C173" s="8" t="str">
        <f t="shared" si="8"/>
        <v/>
      </c>
      <c r="D173" s="9" t="str">
        <f>IF(A173="","",C173-子基金及业绩基准周净值!AI222)</f>
        <v/>
      </c>
      <c r="E173" s="12" t="str">
        <f>IF(A173="","",(MAX(B$3:B173)-B173)/MAX(B$3:B173))</f>
        <v/>
      </c>
      <c r="F173" s="12" t="str">
        <f>IF(A173="","",MAX(E$4:E173))</f>
        <v/>
      </c>
      <c r="H173" s="14" t="str">
        <f t="shared" si="11"/>
        <v/>
      </c>
      <c r="I173" s="14" t="str">
        <f t="shared" si="9"/>
        <v/>
      </c>
      <c r="J173" s="15" t="str">
        <f t="shared" si="10"/>
        <v/>
      </c>
    </row>
    <row r="174" spans="1:10">
      <c r="A174" s="7" t="str">
        <f>IF(子基金及业绩基准周净值!A223="","",子基金及业绩基准周净值!A223)</f>
        <v/>
      </c>
      <c r="B174" s="1" t="str">
        <f>IF(A174="","",VLOOKUP($A174,子基金及业绩基准周净值!$A:$AV,21))</f>
        <v/>
      </c>
      <c r="C174" s="8" t="str">
        <f t="shared" si="8"/>
        <v/>
      </c>
      <c r="D174" s="9" t="str">
        <f>IF(A174="","",C174-子基金及业绩基准周净值!AI223)</f>
        <v/>
      </c>
      <c r="E174" s="12" t="str">
        <f>IF(A174="","",(MAX(B$3:B174)-B174)/MAX(B$3:B174))</f>
        <v/>
      </c>
      <c r="F174" s="12" t="str">
        <f>IF(A174="","",MAX(E$4:E174))</f>
        <v/>
      </c>
      <c r="H174" s="14" t="str">
        <f t="shared" si="11"/>
        <v/>
      </c>
      <c r="I174" s="14" t="str">
        <f t="shared" si="9"/>
        <v/>
      </c>
      <c r="J174" s="15" t="str">
        <f t="shared" si="10"/>
        <v/>
      </c>
    </row>
    <row r="175" spans="1:10">
      <c r="A175" s="7" t="str">
        <f>IF(子基金及业绩基准周净值!A224="","",子基金及业绩基准周净值!A224)</f>
        <v/>
      </c>
      <c r="B175" s="1" t="str">
        <f>IF(A175="","",VLOOKUP($A175,子基金及业绩基准周净值!$A:$AV,21))</f>
        <v/>
      </c>
      <c r="C175" s="8" t="str">
        <f t="shared" si="8"/>
        <v/>
      </c>
      <c r="D175" s="9" t="str">
        <f>IF(A175="","",C175-子基金及业绩基准周净值!AI224)</f>
        <v/>
      </c>
      <c r="E175" s="12" t="str">
        <f>IF(A175="","",(MAX(B$3:B175)-B175)/MAX(B$3:B175))</f>
        <v/>
      </c>
      <c r="F175" s="12" t="str">
        <f>IF(A175="","",MAX(E$4:E175))</f>
        <v/>
      </c>
      <c r="H175" s="14" t="str">
        <f t="shared" si="11"/>
        <v/>
      </c>
      <c r="I175" s="14" t="str">
        <f t="shared" si="9"/>
        <v/>
      </c>
      <c r="J175" s="15" t="str">
        <f t="shared" si="10"/>
        <v/>
      </c>
    </row>
    <row r="176" spans="1:10">
      <c r="A176" s="7" t="str">
        <f>IF(子基金及业绩基准周净值!A225="","",子基金及业绩基准周净值!A225)</f>
        <v/>
      </c>
      <c r="B176" s="1" t="str">
        <f>IF(A176="","",VLOOKUP($A176,子基金及业绩基准周净值!$A:$AV,21))</f>
        <v/>
      </c>
      <c r="C176" s="8" t="str">
        <f t="shared" si="8"/>
        <v/>
      </c>
      <c r="D176" s="9" t="str">
        <f>IF(A176="","",C176-子基金及业绩基准周净值!AI225)</f>
        <v/>
      </c>
      <c r="E176" s="12" t="str">
        <f>IF(A176="","",(MAX(B$3:B176)-B176)/MAX(B$3:B176))</f>
        <v/>
      </c>
      <c r="F176" s="12" t="str">
        <f>IF(A176="","",MAX(E$4:E176))</f>
        <v/>
      </c>
      <c r="H176" s="14" t="str">
        <f t="shared" si="11"/>
        <v/>
      </c>
      <c r="I176" s="14" t="str">
        <f t="shared" si="9"/>
        <v/>
      </c>
      <c r="J176" s="15" t="str">
        <f t="shared" si="10"/>
        <v/>
      </c>
    </row>
    <row r="177" spans="1:10">
      <c r="A177" s="7" t="str">
        <f>IF(子基金及业绩基准周净值!A226="","",子基金及业绩基准周净值!A226)</f>
        <v/>
      </c>
      <c r="B177" s="1" t="str">
        <f>IF(A177="","",VLOOKUP($A177,子基金及业绩基准周净值!$A:$AV,21))</f>
        <v/>
      </c>
      <c r="C177" s="8" t="str">
        <f t="shared" si="8"/>
        <v/>
      </c>
      <c r="D177" s="9" t="str">
        <f>IF(A177="","",C177-子基金及业绩基准周净值!AI226)</f>
        <v/>
      </c>
      <c r="E177" s="12" t="str">
        <f>IF(A177="","",(MAX(B$3:B177)-B177)/MAX(B$3:B177))</f>
        <v/>
      </c>
      <c r="F177" s="12" t="str">
        <f>IF(A177="","",MAX(E$4:E177))</f>
        <v/>
      </c>
      <c r="H177" s="14" t="str">
        <f t="shared" si="11"/>
        <v/>
      </c>
      <c r="I177" s="14" t="str">
        <f t="shared" si="9"/>
        <v/>
      </c>
      <c r="J177" s="15" t="str">
        <f t="shared" si="10"/>
        <v/>
      </c>
    </row>
    <row r="178" spans="1:10">
      <c r="A178" s="7" t="str">
        <f>IF(子基金及业绩基准周净值!A227="","",子基金及业绩基准周净值!A227)</f>
        <v/>
      </c>
      <c r="B178" s="1" t="str">
        <f>IF(A178="","",VLOOKUP($A178,子基金及业绩基准周净值!$A:$AV,21))</f>
        <v/>
      </c>
      <c r="C178" s="8" t="str">
        <f t="shared" si="8"/>
        <v/>
      </c>
      <c r="D178" s="9" t="str">
        <f>IF(A178="","",C178-子基金及业绩基准周净值!AI227)</f>
        <v/>
      </c>
      <c r="E178" s="12" t="str">
        <f>IF(A178="","",(MAX(B$3:B178)-B178)/MAX(B$3:B178))</f>
        <v/>
      </c>
      <c r="F178" s="12" t="str">
        <f>IF(A178="","",MAX(E$4:E178))</f>
        <v/>
      </c>
      <c r="H178" s="14" t="str">
        <f t="shared" si="11"/>
        <v/>
      </c>
      <c r="I178" s="14" t="str">
        <f t="shared" si="9"/>
        <v/>
      </c>
      <c r="J178" s="15" t="str">
        <f t="shared" si="10"/>
        <v/>
      </c>
    </row>
    <row r="179" spans="1:10">
      <c r="A179" s="7" t="str">
        <f>IF(子基金及业绩基准周净值!A228="","",子基金及业绩基准周净值!A228)</f>
        <v/>
      </c>
      <c r="B179" s="1" t="str">
        <f>IF(A179="","",VLOOKUP($A179,子基金及业绩基准周净值!$A:$AV,21))</f>
        <v/>
      </c>
      <c r="C179" s="8" t="str">
        <f t="shared" si="8"/>
        <v/>
      </c>
      <c r="D179" s="9" t="str">
        <f>IF(A179="","",C179-子基金及业绩基准周净值!AI228)</f>
        <v/>
      </c>
      <c r="E179" s="12" t="str">
        <f>IF(A179="","",(MAX(B$3:B179)-B179)/MAX(B$3:B179))</f>
        <v/>
      </c>
      <c r="F179" s="12" t="str">
        <f>IF(A179="","",MAX(E$4:E179))</f>
        <v/>
      </c>
      <c r="H179" s="14" t="str">
        <f t="shared" si="11"/>
        <v/>
      </c>
      <c r="I179" s="14" t="str">
        <f t="shared" si="9"/>
        <v/>
      </c>
      <c r="J179" s="15" t="str">
        <f t="shared" si="10"/>
        <v/>
      </c>
    </row>
    <row r="180" spans="1:10">
      <c r="A180" s="7" t="str">
        <f>IF(子基金及业绩基准周净值!A229="","",子基金及业绩基准周净值!A229)</f>
        <v/>
      </c>
      <c r="B180" s="1" t="str">
        <f>IF(A180="","",VLOOKUP($A180,子基金及业绩基准周净值!$A:$AV,21))</f>
        <v/>
      </c>
      <c r="C180" s="8" t="str">
        <f t="shared" si="8"/>
        <v/>
      </c>
      <c r="D180" s="9" t="str">
        <f>IF(A180="","",C180-子基金及业绩基准周净值!AI229)</f>
        <v/>
      </c>
      <c r="E180" s="12" t="str">
        <f>IF(A180="","",(MAX(B$3:B180)-B180)/MAX(B$3:B180))</f>
        <v/>
      </c>
      <c r="F180" s="12" t="str">
        <f>IF(A180="","",MAX(E$4:E180))</f>
        <v/>
      </c>
      <c r="H180" s="14" t="str">
        <f t="shared" si="11"/>
        <v/>
      </c>
      <c r="I180" s="14" t="str">
        <f t="shared" si="9"/>
        <v/>
      </c>
      <c r="J180" s="15" t="str">
        <f t="shared" si="10"/>
        <v/>
      </c>
    </row>
    <row r="181" spans="1:10">
      <c r="A181" s="7" t="str">
        <f>IF(子基金及业绩基准周净值!A230="","",子基金及业绩基准周净值!A230)</f>
        <v/>
      </c>
      <c r="B181" s="1" t="str">
        <f>IF(A181="","",VLOOKUP($A181,子基金及业绩基准周净值!$A:$AV,21))</f>
        <v/>
      </c>
      <c r="C181" s="8" t="str">
        <f t="shared" si="8"/>
        <v/>
      </c>
      <c r="D181" s="9" t="str">
        <f>IF(A181="","",C181-子基金及业绩基准周净值!AI230)</f>
        <v/>
      </c>
      <c r="E181" s="12" t="str">
        <f>IF(A181="","",(MAX(B$3:B181)-B181)/MAX(B$3:B181))</f>
        <v/>
      </c>
      <c r="F181" s="12" t="str">
        <f>IF(A181="","",MAX(E$4:E181))</f>
        <v/>
      </c>
      <c r="H181" s="14" t="str">
        <f t="shared" si="11"/>
        <v/>
      </c>
      <c r="I181" s="14" t="str">
        <f t="shared" si="9"/>
        <v/>
      </c>
      <c r="J181" s="15" t="str">
        <f t="shared" si="10"/>
        <v/>
      </c>
    </row>
    <row r="182" spans="1:10">
      <c r="A182" s="7" t="str">
        <f>IF(子基金及业绩基准周净值!A231="","",子基金及业绩基准周净值!A231)</f>
        <v/>
      </c>
      <c r="B182" s="1" t="str">
        <f>IF(A182="","",VLOOKUP($A182,子基金及业绩基准周净值!$A:$AV,21))</f>
        <v/>
      </c>
      <c r="C182" s="8" t="str">
        <f t="shared" si="8"/>
        <v/>
      </c>
      <c r="D182" s="9" t="str">
        <f>IF(A182="","",C182-子基金及业绩基准周净值!AI231)</f>
        <v/>
      </c>
      <c r="E182" s="12" t="str">
        <f>IF(A182="","",(MAX(B$3:B182)-B182)/MAX(B$3:B182))</f>
        <v/>
      </c>
      <c r="F182" s="12" t="str">
        <f>IF(A182="","",MAX(E$4:E182))</f>
        <v/>
      </c>
      <c r="H182" s="14" t="str">
        <f t="shared" si="11"/>
        <v/>
      </c>
      <c r="I182" s="14" t="str">
        <f t="shared" si="9"/>
        <v/>
      </c>
      <c r="J182" s="15" t="str">
        <f t="shared" si="10"/>
        <v/>
      </c>
    </row>
    <row r="183" spans="1:10">
      <c r="A183" s="7" t="str">
        <f>IF(子基金及业绩基准周净值!A232="","",子基金及业绩基准周净值!A232)</f>
        <v/>
      </c>
      <c r="B183" s="1" t="str">
        <f>IF(A183="","",VLOOKUP($A183,子基金及业绩基准周净值!$A:$AV,21))</f>
        <v/>
      </c>
      <c r="C183" s="8" t="str">
        <f t="shared" si="8"/>
        <v/>
      </c>
      <c r="D183" s="9" t="str">
        <f>IF(A183="","",C183-子基金及业绩基准周净值!AI232)</f>
        <v/>
      </c>
      <c r="E183" s="12" t="str">
        <f>IF(A183="","",(MAX(B$3:B183)-B183)/MAX(B$3:B183))</f>
        <v/>
      </c>
      <c r="F183" s="12" t="str">
        <f>IF(A183="","",MAX(E$4:E183))</f>
        <v/>
      </c>
      <c r="H183" s="14" t="str">
        <f t="shared" si="11"/>
        <v/>
      </c>
      <c r="I183" s="14" t="str">
        <f t="shared" si="9"/>
        <v/>
      </c>
      <c r="J183" s="15" t="str">
        <f t="shared" si="10"/>
        <v/>
      </c>
    </row>
    <row r="184" spans="1:10">
      <c r="A184" s="7" t="str">
        <f>IF(子基金及业绩基准周净值!A233="","",子基金及业绩基准周净值!A233)</f>
        <v/>
      </c>
      <c r="B184" s="1" t="str">
        <f>IF(A184="","",VLOOKUP($A184,子基金及业绩基准周净值!$A:$AV,21))</f>
        <v/>
      </c>
      <c r="C184" s="8" t="str">
        <f t="shared" si="8"/>
        <v/>
      </c>
      <c r="D184" s="9" t="str">
        <f>IF(A184="","",C184-子基金及业绩基准周净值!AI233)</f>
        <v/>
      </c>
      <c r="E184" s="12" t="str">
        <f>IF(A184="","",(MAX(B$3:B184)-B184)/MAX(B$3:B184))</f>
        <v/>
      </c>
      <c r="F184" s="12" t="str">
        <f>IF(A184="","",MAX(E$4:E184))</f>
        <v/>
      </c>
      <c r="H184" s="14" t="str">
        <f t="shared" si="11"/>
        <v/>
      </c>
      <c r="I184" s="14" t="str">
        <f t="shared" si="9"/>
        <v/>
      </c>
      <c r="J184" s="15" t="str">
        <f t="shared" si="10"/>
        <v/>
      </c>
    </row>
    <row r="185" spans="1:10">
      <c r="A185" s="7" t="str">
        <f>IF(子基金及业绩基准周净值!A234="","",子基金及业绩基准周净值!A234)</f>
        <v/>
      </c>
      <c r="B185" s="1" t="str">
        <f>IF(A185="","",VLOOKUP($A185,子基金及业绩基准周净值!$A:$AV,21))</f>
        <v/>
      </c>
      <c r="C185" s="8" t="str">
        <f t="shared" si="8"/>
        <v/>
      </c>
      <c r="D185" s="9" t="str">
        <f>IF(A185="","",C185-子基金及业绩基准周净值!AI234)</f>
        <v/>
      </c>
      <c r="E185" s="12" t="str">
        <f>IF(A185="","",(MAX(B$3:B185)-B185)/MAX(B$3:B185))</f>
        <v/>
      </c>
      <c r="F185" s="12" t="str">
        <f>IF(A185="","",MAX(E$4:E185))</f>
        <v/>
      </c>
      <c r="H185" s="14" t="str">
        <f t="shared" si="11"/>
        <v/>
      </c>
      <c r="I185" s="14" t="str">
        <f t="shared" si="9"/>
        <v/>
      </c>
      <c r="J185" s="15" t="str">
        <f t="shared" si="10"/>
        <v/>
      </c>
    </row>
    <row r="186" spans="1:10">
      <c r="A186" s="7" t="str">
        <f>IF(子基金及业绩基准周净值!A235="","",子基金及业绩基准周净值!A235)</f>
        <v/>
      </c>
      <c r="B186" s="1" t="str">
        <f>IF(A186="","",VLOOKUP($A186,子基金及业绩基准周净值!$A:$AV,21))</f>
        <v/>
      </c>
      <c r="C186" s="8" t="str">
        <f t="shared" si="8"/>
        <v/>
      </c>
      <c r="D186" s="9" t="str">
        <f>IF(A186="","",C186-子基金及业绩基准周净值!AI235)</f>
        <v/>
      </c>
      <c r="E186" s="12" t="str">
        <f>IF(A186="","",(MAX(B$3:B186)-B186)/MAX(B$3:B186))</f>
        <v/>
      </c>
      <c r="F186" s="12" t="str">
        <f>IF(A186="","",MAX(E$4:E186))</f>
        <v/>
      </c>
      <c r="H186" s="14" t="str">
        <f t="shared" si="11"/>
        <v/>
      </c>
      <c r="I186" s="14" t="str">
        <f t="shared" si="9"/>
        <v/>
      </c>
      <c r="J186" s="15" t="str">
        <f t="shared" si="10"/>
        <v/>
      </c>
    </row>
    <row r="187" spans="1:10">
      <c r="A187" s="7" t="str">
        <f>IF(子基金及业绩基准周净值!A236="","",子基金及业绩基准周净值!A236)</f>
        <v/>
      </c>
      <c r="B187" s="1" t="str">
        <f>IF(A187="","",VLOOKUP($A187,子基金及业绩基准周净值!$A:$AV,21))</f>
        <v/>
      </c>
      <c r="C187" s="8" t="str">
        <f t="shared" si="8"/>
        <v/>
      </c>
      <c r="D187" s="9" t="str">
        <f>IF(A187="","",C187-子基金及业绩基准周净值!AI236)</f>
        <v/>
      </c>
      <c r="E187" s="12" t="str">
        <f>IF(A187="","",(MAX(B$3:B187)-B187)/MAX(B$3:B187))</f>
        <v/>
      </c>
      <c r="F187" s="12" t="str">
        <f>IF(A187="","",MAX(E$4:E187))</f>
        <v/>
      </c>
      <c r="H187" s="14" t="str">
        <f t="shared" si="11"/>
        <v/>
      </c>
      <c r="I187" s="14" t="str">
        <f t="shared" si="9"/>
        <v/>
      </c>
      <c r="J187" s="15" t="str">
        <f t="shared" si="10"/>
        <v/>
      </c>
    </row>
    <row r="188" spans="1:10">
      <c r="A188" s="7" t="str">
        <f>IF(子基金及业绩基准周净值!A237="","",子基金及业绩基准周净值!A237)</f>
        <v/>
      </c>
      <c r="B188" s="1" t="str">
        <f>IF(A188="","",VLOOKUP($A188,子基金及业绩基准周净值!$A:$AV,21))</f>
        <v/>
      </c>
      <c r="C188" s="8" t="str">
        <f t="shared" si="8"/>
        <v/>
      </c>
      <c r="D188" s="9" t="str">
        <f>IF(A188="","",C188-子基金及业绩基准周净值!AI237)</f>
        <v/>
      </c>
      <c r="E188" s="12" t="str">
        <f>IF(A188="","",(MAX(B$3:B188)-B188)/MAX(B$3:B188))</f>
        <v/>
      </c>
      <c r="F188" s="12" t="str">
        <f>IF(A188="","",MAX(E$4:E188))</f>
        <v/>
      </c>
      <c r="H188" s="14" t="str">
        <f t="shared" si="11"/>
        <v/>
      </c>
      <c r="I188" s="14" t="str">
        <f t="shared" si="9"/>
        <v/>
      </c>
      <c r="J188" s="15" t="str">
        <f t="shared" si="10"/>
        <v/>
      </c>
    </row>
    <row r="189" spans="1:10">
      <c r="A189" s="7" t="str">
        <f>IF(子基金及业绩基准周净值!A238="","",子基金及业绩基准周净值!A238)</f>
        <v/>
      </c>
      <c r="B189" s="1" t="str">
        <f>IF(A189="","",VLOOKUP($A189,子基金及业绩基准周净值!$A:$AV,21))</f>
        <v/>
      </c>
      <c r="C189" s="8" t="str">
        <f t="shared" si="8"/>
        <v/>
      </c>
      <c r="D189" s="9" t="str">
        <f>IF(A189="","",C189-子基金及业绩基准周净值!AI238)</f>
        <v/>
      </c>
      <c r="E189" s="12" t="str">
        <f>IF(A189="","",(MAX(B$3:B189)-B189)/MAX(B$3:B189))</f>
        <v/>
      </c>
      <c r="F189" s="12" t="str">
        <f>IF(A189="","",MAX(E$4:E189))</f>
        <v/>
      </c>
      <c r="H189" s="14" t="str">
        <f t="shared" si="11"/>
        <v/>
      </c>
      <c r="I189" s="14" t="str">
        <f t="shared" si="9"/>
        <v/>
      </c>
      <c r="J189" s="15" t="str">
        <f t="shared" si="10"/>
        <v/>
      </c>
    </row>
    <row r="190" spans="1:10">
      <c r="A190" s="7" t="str">
        <f>IF(子基金及业绩基准周净值!A239="","",子基金及业绩基准周净值!A239)</f>
        <v/>
      </c>
      <c r="B190" s="1" t="str">
        <f>IF(A190="","",VLOOKUP($A190,子基金及业绩基准周净值!$A:$AV,21))</f>
        <v/>
      </c>
      <c r="C190" s="8" t="str">
        <f t="shared" si="8"/>
        <v/>
      </c>
      <c r="D190" s="9" t="str">
        <f>IF(A190="","",C190-子基金及业绩基准周净值!AI239)</f>
        <v/>
      </c>
      <c r="E190" s="12" t="str">
        <f>IF(A190="","",(MAX(B$3:B190)-B190)/MAX(B$3:B190))</f>
        <v/>
      </c>
      <c r="F190" s="12" t="str">
        <f>IF(A190="","",MAX(E$4:E190))</f>
        <v/>
      </c>
      <c r="H190" s="14" t="str">
        <f t="shared" si="11"/>
        <v/>
      </c>
      <c r="I190" s="14" t="str">
        <f t="shared" si="9"/>
        <v/>
      </c>
      <c r="J190" s="15" t="str">
        <f t="shared" si="10"/>
        <v/>
      </c>
    </row>
    <row r="191" spans="1:10">
      <c r="A191" s="7" t="str">
        <f>IF(子基金及业绩基准周净值!A240="","",子基金及业绩基准周净值!A240)</f>
        <v/>
      </c>
      <c r="B191" s="1" t="str">
        <f>IF(A191="","",VLOOKUP($A191,子基金及业绩基准周净值!$A:$AV,21))</f>
        <v/>
      </c>
      <c r="C191" s="8" t="str">
        <f t="shared" si="8"/>
        <v/>
      </c>
      <c r="D191" s="9" t="str">
        <f>IF(A191="","",C191-子基金及业绩基准周净值!AI240)</f>
        <v/>
      </c>
      <c r="E191" s="12" t="str">
        <f>IF(A191="","",(MAX(B$3:B191)-B191)/MAX(B$3:B191))</f>
        <v/>
      </c>
      <c r="F191" s="12" t="str">
        <f>IF(A191="","",MAX(E$4:E191))</f>
        <v/>
      </c>
      <c r="H191" s="14" t="str">
        <f t="shared" si="11"/>
        <v/>
      </c>
      <c r="I191" s="14" t="str">
        <f t="shared" si="9"/>
        <v/>
      </c>
      <c r="J191" s="15" t="str">
        <f t="shared" si="10"/>
        <v/>
      </c>
    </row>
    <row r="192" spans="1:10">
      <c r="A192" s="7" t="str">
        <f>IF(子基金及业绩基准周净值!A241="","",子基金及业绩基准周净值!A241)</f>
        <v/>
      </c>
      <c r="B192" s="1" t="str">
        <f>IF(A192="","",VLOOKUP($A192,子基金及业绩基准周净值!$A:$AV,21))</f>
        <v/>
      </c>
      <c r="C192" s="8" t="str">
        <f t="shared" si="8"/>
        <v/>
      </c>
      <c r="D192" s="9" t="str">
        <f>IF(A192="","",C192-子基金及业绩基准周净值!AI241)</f>
        <v/>
      </c>
      <c r="E192" s="12" t="str">
        <f>IF(A192="","",(MAX(B$3:B192)-B192)/MAX(B$3:B192))</f>
        <v/>
      </c>
      <c r="F192" s="12" t="str">
        <f>IF(A192="","",MAX(E$4:E192))</f>
        <v/>
      </c>
      <c r="H192" s="14" t="str">
        <f t="shared" si="11"/>
        <v/>
      </c>
      <c r="I192" s="14" t="str">
        <f t="shared" si="9"/>
        <v/>
      </c>
      <c r="J192" s="15" t="str">
        <f t="shared" si="10"/>
        <v/>
      </c>
    </row>
    <row r="193" spans="1:10">
      <c r="A193" s="7" t="str">
        <f>IF(子基金及业绩基准周净值!A242="","",子基金及业绩基准周净值!A242)</f>
        <v/>
      </c>
      <c r="B193" s="1" t="str">
        <f>IF(A193="","",VLOOKUP($A193,子基金及业绩基准周净值!$A:$AV,21))</f>
        <v/>
      </c>
      <c r="C193" s="8" t="str">
        <f t="shared" si="8"/>
        <v/>
      </c>
      <c r="D193" s="9" t="str">
        <f>IF(A193="","",C193-子基金及业绩基准周净值!AI242)</f>
        <v/>
      </c>
      <c r="E193" s="12" t="str">
        <f>IF(A193="","",(MAX(B$3:B193)-B193)/MAX(B$3:B193))</f>
        <v/>
      </c>
      <c r="F193" s="12" t="str">
        <f>IF(A193="","",MAX(E$4:E193))</f>
        <v/>
      </c>
      <c r="H193" s="14" t="str">
        <f t="shared" si="11"/>
        <v/>
      </c>
      <c r="I193" s="14" t="str">
        <f t="shared" si="9"/>
        <v/>
      </c>
      <c r="J193" s="15" t="str">
        <f t="shared" si="10"/>
        <v/>
      </c>
    </row>
    <row r="194" spans="1:10">
      <c r="A194" s="7" t="str">
        <f>IF(子基金及业绩基准周净值!A243="","",子基金及业绩基准周净值!A243)</f>
        <v/>
      </c>
      <c r="B194" s="1" t="str">
        <f>IF(A194="","",VLOOKUP($A194,子基金及业绩基准周净值!$A:$AV,21))</f>
        <v/>
      </c>
      <c r="C194" s="8" t="str">
        <f t="shared" si="8"/>
        <v/>
      </c>
      <c r="D194" s="9" t="str">
        <f>IF(A194="","",C194-子基金及业绩基准周净值!AI243)</f>
        <v/>
      </c>
      <c r="E194" s="12" t="str">
        <f>IF(A194="","",(MAX(B$3:B194)-B194)/MAX(B$3:B194))</f>
        <v/>
      </c>
      <c r="F194" s="12" t="str">
        <f>IF(A194="","",MAX(E$4:E194))</f>
        <v/>
      </c>
      <c r="H194" s="14" t="str">
        <f t="shared" si="11"/>
        <v/>
      </c>
      <c r="I194" s="14" t="str">
        <f t="shared" si="9"/>
        <v/>
      </c>
      <c r="J194" s="15" t="str">
        <f t="shared" si="10"/>
        <v/>
      </c>
    </row>
    <row r="195" spans="1:10">
      <c r="A195" s="7" t="str">
        <f>IF(子基金及业绩基准周净值!A244="","",子基金及业绩基准周净值!A244)</f>
        <v/>
      </c>
      <c r="B195" s="1" t="str">
        <f>IF(A195="","",VLOOKUP($A195,子基金及业绩基准周净值!$A:$AV,21))</f>
        <v/>
      </c>
      <c r="C195" s="8" t="str">
        <f t="shared" si="8"/>
        <v/>
      </c>
      <c r="D195" s="9" t="str">
        <f>IF(A195="","",C195-子基金及业绩基准周净值!AI244)</f>
        <v/>
      </c>
      <c r="E195" s="12" t="str">
        <f>IF(A195="","",(MAX(B$3:B195)-B195)/MAX(B$3:B195))</f>
        <v/>
      </c>
      <c r="F195" s="12" t="str">
        <f>IF(A195="","",MAX(E$4:E195))</f>
        <v/>
      </c>
      <c r="H195" s="14" t="str">
        <f t="shared" si="11"/>
        <v/>
      </c>
      <c r="I195" s="14" t="str">
        <f t="shared" si="9"/>
        <v/>
      </c>
      <c r="J195" s="15" t="str">
        <f t="shared" si="10"/>
        <v/>
      </c>
    </row>
    <row r="196" spans="1:10">
      <c r="A196" s="7" t="str">
        <f>IF(子基金及业绩基准周净值!A245="","",子基金及业绩基准周净值!A245)</f>
        <v/>
      </c>
      <c r="B196" s="1" t="str">
        <f>IF(A196="","",VLOOKUP($A196,子基金及业绩基准周净值!$A:$AV,21))</f>
        <v/>
      </c>
      <c r="C196" s="8" t="str">
        <f t="shared" ref="C196:C259" si="12">IF(A196="","",(B196-B195)/B195)</f>
        <v/>
      </c>
      <c r="D196" s="9" t="str">
        <f>IF(A196="","",C196-子基金及业绩基准周净值!AI245)</f>
        <v/>
      </c>
      <c r="E196" s="12" t="str">
        <f>IF(A196="","",(MAX(B$3:B196)-B196)/MAX(B$3:B196))</f>
        <v/>
      </c>
      <c r="F196" s="12" t="str">
        <f>IF(A196="","",MAX(E$4:E196))</f>
        <v/>
      </c>
      <c r="H196" s="14" t="str">
        <f t="shared" si="11"/>
        <v/>
      </c>
      <c r="I196" s="14" t="str">
        <f t="shared" ref="I196:I259" si="13">IF(A196="","",IF(F196&gt;5%,"是","否"))</f>
        <v/>
      </c>
      <c r="J196" s="15" t="str">
        <f t="shared" ref="J196:J259" si="14">IF(A196="","",IF(G196&gt;=4,"是","否"))</f>
        <v/>
      </c>
    </row>
    <row r="197" spans="1:10">
      <c r="A197" s="7" t="str">
        <f>IF(子基金及业绩基准周净值!A246="","",子基金及业绩基准周净值!A246)</f>
        <v/>
      </c>
      <c r="B197" s="1" t="str">
        <f>IF(A197="","",VLOOKUP($A197,子基金及业绩基准周净值!$A:$AV,21))</f>
        <v/>
      </c>
      <c r="C197" s="8" t="str">
        <f t="shared" si="12"/>
        <v/>
      </c>
      <c r="D197" s="9" t="str">
        <f>IF(A197="","",C197-子基金及业绩基准周净值!AI246)</f>
        <v/>
      </c>
      <c r="E197" s="12" t="str">
        <f>IF(A197="","",(MAX(B$3:B197)-B197)/MAX(B$3:B197))</f>
        <v/>
      </c>
      <c r="F197" s="12" t="str">
        <f>IF(A197="","",MAX(E$4:E197))</f>
        <v/>
      </c>
      <c r="H197" s="14" t="str">
        <f t="shared" ref="H197:H260" si="15">IF(B197="","",IF(C197&lt;-3%,"是","否"))</f>
        <v/>
      </c>
      <c r="I197" s="14" t="str">
        <f t="shared" si="13"/>
        <v/>
      </c>
      <c r="J197" s="15" t="str">
        <f t="shared" si="14"/>
        <v/>
      </c>
    </row>
    <row r="198" spans="1:10">
      <c r="A198" s="7" t="str">
        <f>IF(子基金及业绩基准周净值!A247="","",子基金及业绩基准周净值!A247)</f>
        <v/>
      </c>
      <c r="B198" s="1" t="str">
        <f>IF(A198="","",VLOOKUP($A198,子基金及业绩基准周净值!$A:$AV,21))</f>
        <v/>
      </c>
      <c r="C198" s="8" t="str">
        <f t="shared" si="12"/>
        <v/>
      </c>
      <c r="D198" s="9" t="str">
        <f>IF(A198="","",C198-子基金及业绩基准周净值!AI247)</f>
        <v/>
      </c>
      <c r="E198" s="12" t="str">
        <f>IF(A198="","",(MAX(B$3:B198)-B198)/MAX(B$3:B198))</f>
        <v/>
      </c>
      <c r="F198" s="12" t="str">
        <f>IF(A198="","",MAX(E$4:E198))</f>
        <v/>
      </c>
      <c r="H198" s="14" t="str">
        <f t="shared" si="15"/>
        <v/>
      </c>
      <c r="I198" s="14" t="str">
        <f t="shared" si="13"/>
        <v/>
      </c>
      <c r="J198" s="15" t="str">
        <f t="shared" si="14"/>
        <v/>
      </c>
    </row>
    <row r="199" spans="1:10">
      <c r="A199" s="7" t="str">
        <f>IF(子基金及业绩基准周净值!A248="","",子基金及业绩基准周净值!A248)</f>
        <v/>
      </c>
      <c r="B199" s="1" t="str">
        <f>IF(A199="","",VLOOKUP($A199,子基金及业绩基准周净值!$A:$AV,21))</f>
        <v/>
      </c>
      <c r="C199" s="8" t="str">
        <f t="shared" si="12"/>
        <v/>
      </c>
      <c r="D199" s="9" t="str">
        <f>IF(A199="","",C199-子基金及业绩基准周净值!AI248)</f>
        <v/>
      </c>
      <c r="E199" s="12" t="str">
        <f>IF(A199="","",(MAX(B$3:B199)-B199)/MAX(B$3:B199))</f>
        <v/>
      </c>
      <c r="F199" s="12" t="str">
        <f>IF(A199="","",MAX(E$4:E199))</f>
        <v/>
      </c>
      <c r="H199" s="14" t="str">
        <f t="shared" si="15"/>
        <v/>
      </c>
      <c r="I199" s="14" t="str">
        <f t="shared" si="13"/>
        <v/>
      </c>
      <c r="J199" s="15" t="str">
        <f t="shared" si="14"/>
        <v/>
      </c>
    </row>
    <row r="200" spans="1:10">
      <c r="A200" s="7" t="str">
        <f>IF(子基金及业绩基准周净值!A249="","",子基金及业绩基准周净值!A249)</f>
        <v/>
      </c>
      <c r="B200" s="1" t="str">
        <f>IF(A200="","",VLOOKUP($A200,子基金及业绩基准周净值!$A:$AV,21))</f>
        <v/>
      </c>
      <c r="C200" s="8" t="str">
        <f t="shared" si="12"/>
        <v/>
      </c>
      <c r="D200" s="9" t="str">
        <f>IF(A200="","",C200-子基金及业绩基准周净值!AI249)</f>
        <v/>
      </c>
      <c r="E200" s="12" t="str">
        <f>IF(A200="","",(MAX(B$3:B200)-B200)/MAX(B$3:B200))</f>
        <v/>
      </c>
      <c r="F200" s="12" t="str">
        <f>IF(A200="","",MAX(E$4:E200))</f>
        <v/>
      </c>
      <c r="H200" s="14" t="str">
        <f t="shared" si="15"/>
        <v/>
      </c>
      <c r="I200" s="14" t="str">
        <f t="shared" si="13"/>
        <v/>
      </c>
      <c r="J200" s="15" t="str">
        <f t="shared" si="14"/>
        <v/>
      </c>
    </row>
    <row r="201" spans="1:10">
      <c r="A201" s="7" t="str">
        <f>IF(子基金及业绩基准周净值!A250="","",子基金及业绩基准周净值!A250)</f>
        <v/>
      </c>
      <c r="B201" s="1" t="str">
        <f>IF(A201="","",VLOOKUP($A201,子基金及业绩基准周净值!$A:$AV,21))</f>
        <v/>
      </c>
      <c r="C201" s="8" t="str">
        <f t="shared" si="12"/>
        <v/>
      </c>
      <c r="D201" s="9" t="str">
        <f>IF(A201="","",C201-子基金及业绩基准周净值!AI250)</f>
        <v/>
      </c>
      <c r="E201" s="12" t="str">
        <f>IF(A201="","",(MAX(B$3:B201)-B201)/MAX(B$3:B201))</f>
        <v/>
      </c>
      <c r="F201" s="12" t="str">
        <f>IF(A201="","",MAX(E$4:E201))</f>
        <v/>
      </c>
      <c r="H201" s="14" t="str">
        <f t="shared" si="15"/>
        <v/>
      </c>
      <c r="I201" s="14" t="str">
        <f t="shared" si="13"/>
        <v/>
      </c>
      <c r="J201" s="15" t="str">
        <f t="shared" si="14"/>
        <v/>
      </c>
    </row>
    <row r="202" spans="1:10">
      <c r="A202" s="7" t="str">
        <f>IF(子基金及业绩基准周净值!A251="","",子基金及业绩基准周净值!A251)</f>
        <v/>
      </c>
      <c r="B202" s="1" t="str">
        <f>IF(A202="","",VLOOKUP($A202,子基金及业绩基准周净值!$A:$AV,21))</f>
        <v/>
      </c>
      <c r="C202" s="8" t="str">
        <f t="shared" si="12"/>
        <v/>
      </c>
      <c r="D202" s="9" t="str">
        <f>IF(A202="","",C202-子基金及业绩基准周净值!AI251)</f>
        <v/>
      </c>
      <c r="E202" s="12" t="str">
        <f>IF(A202="","",(MAX(B$3:B202)-B202)/MAX(B$3:B202))</f>
        <v/>
      </c>
      <c r="F202" s="12" t="str">
        <f>IF(A202="","",MAX(E$4:E202))</f>
        <v/>
      </c>
      <c r="H202" s="14" t="str">
        <f t="shared" si="15"/>
        <v/>
      </c>
      <c r="I202" s="14" t="str">
        <f t="shared" si="13"/>
        <v/>
      </c>
      <c r="J202" s="15" t="str">
        <f t="shared" si="14"/>
        <v/>
      </c>
    </row>
    <row r="203" spans="1:10">
      <c r="A203" s="7" t="str">
        <f>IF(子基金及业绩基准周净值!A252="","",子基金及业绩基准周净值!A252)</f>
        <v/>
      </c>
      <c r="B203" s="1" t="str">
        <f>IF(A203="","",VLOOKUP($A203,子基金及业绩基准周净值!$A:$AV,21))</f>
        <v/>
      </c>
      <c r="C203" s="8" t="str">
        <f t="shared" si="12"/>
        <v/>
      </c>
      <c r="D203" s="9" t="str">
        <f>IF(A203="","",C203-子基金及业绩基准周净值!AI252)</f>
        <v/>
      </c>
      <c r="E203" s="12" t="str">
        <f>IF(A203="","",(MAX(B$3:B203)-B203)/MAX(B$3:B203))</f>
        <v/>
      </c>
      <c r="F203" s="12" t="str">
        <f>IF(A203="","",MAX(E$4:E203))</f>
        <v/>
      </c>
      <c r="H203" s="14" t="str">
        <f t="shared" si="15"/>
        <v/>
      </c>
      <c r="I203" s="14" t="str">
        <f t="shared" si="13"/>
        <v/>
      </c>
      <c r="J203" s="15" t="str">
        <f t="shared" si="14"/>
        <v/>
      </c>
    </row>
    <row r="204" spans="1:10">
      <c r="A204" s="7" t="str">
        <f>IF(子基金及业绩基准周净值!A253="","",子基金及业绩基准周净值!A253)</f>
        <v/>
      </c>
      <c r="B204" s="1" t="str">
        <f>IF(A204="","",VLOOKUP($A204,子基金及业绩基准周净值!$A:$AV,21))</f>
        <v/>
      </c>
      <c r="C204" s="8" t="str">
        <f t="shared" si="12"/>
        <v/>
      </c>
      <c r="D204" s="9" t="str">
        <f>IF(A204="","",C204-子基金及业绩基准周净值!AI253)</f>
        <v/>
      </c>
      <c r="E204" s="12" t="str">
        <f>IF(A204="","",(MAX(B$3:B204)-B204)/MAX(B$3:B204))</f>
        <v/>
      </c>
      <c r="F204" s="12" t="str">
        <f>IF(A204="","",MAX(E$4:E204))</f>
        <v/>
      </c>
      <c r="H204" s="14" t="str">
        <f t="shared" si="15"/>
        <v/>
      </c>
      <c r="I204" s="14" t="str">
        <f t="shared" si="13"/>
        <v/>
      </c>
      <c r="J204" s="15" t="str">
        <f t="shared" si="14"/>
        <v/>
      </c>
    </row>
    <row r="205" spans="1:10">
      <c r="A205" s="7" t="str">
        <f>IF(子基金及业绩基准周净值!A254="","",子基金及业绩基准周净值!A254)</f>
        <v/>
      </c>
      <c r="B205" s="1" t="str">
        <f>IF(A205="","",VLOOKUP($A205,子基金及业绩基准周净值!$A:$AV,21))</f>
        <v/>
      </c>
      <c r="C205" s="8" t="str">
        <f t="shared" si="12"/>
        <v/>
      </c>
      <c r="D205" s="9" t="str">
        <f>IF(A205="","",C205-子基金及业绩基准周净值!AI254)</f>
        <v/>
      </c>
      <c r="E205" s="12" t="str">
        <f>IF(A205="","",(MAX(B$3:B205)-B205)/MAX(B$3:B205))</f>
        <v/>
      </c>
      <c r="F205" s="12" t="str">
        <f>IF(A205="","",MAX(E$4:E205))</f>
        <v/>
      </c>
      <c r="H205" s="14" t="str">
        <f t="shared" si="15"/>
        <v/>
      </c>
      <c r="I205" s="14" t="str">
        <f t="shared" si="13"/>
        <v/>
      </c>
      <c r="J205" s="15" t="str">
        <f t="shared" si="14"/>
        <v/>
      </c>
    </row>
    <row r="206" spans="1:10">
      <c r="A206" s="7" t="str">
        <f>IF(子基金及业绩基准周净值!A255="","",子基金及业绩基准周净值!A255)</f>
        <v/>
      </c>
      <c r="B206" s="1" t="str">
        <f>IF(A206="","",VLOOKUP($A206,子基金及业绩基准周净值!$A:$AV,21))</f>
        <v/>
      </c>
      <c r="C206" s="8" t="str">
        <f t="shared" si="12"/>
        <v/>
      </c>
      <c r="D206" s="9" t="str">
        <f>IF(A206="","",C206-子基金及业绩基准周净值!AI255)</f>
        <v/>
      </c>
      <c r="E206" s="12" t="str">
        <f>IF(A206="","",(MAX(B$3:B206)-B206)/MAX(B$3:B206))</f>
        <v/>
      </c>
      <c r="F206" s="12" t="str">
        <f>IF(A206="","",MAX(E$4:E206))</f>
        <v/>
      </c>
      <c r="H206" s="14" t="str">
        <f t="shared" si="15"/>
        <v/>
      </c>
      <c r="I206" s="14" t="str">
        <f t="shared" si="13"/>
        <v/>
      </c>
      <c r="J206" s="15" t="str">
        <f t="shared" si="14"/>
        <v/>
      </c>
    </row>
    <row r="207" spans="1:10">
      <c r="A207" s="7" t="str">
        <f>IF(子基金及业绩基准周净值!A256="","",子基金及业绩基准周净值!A256)</f>
        <v/>
      </c>
      <c r="B207" s="1" t="str">
        <f>IF(A207="","",VLOOKUP($A207,子基金及业绩基准周净值!$A:$AV,21))</f>
        <v/>
      </c>
      <c r="C207" s="8" t="str">
        <f t="shared" si="12"/>
        <v/>
      </c>
      <c r="D207" s="9" t="str">
        <f>IF(A207="","",C207-子基金及业绩基准周净值!AI256)</f>
        <v/>
      </c>
      <c r="E207" s="12" t="str">
        <f>IF(A207="","",(MAX(B$3:B207)-B207)/MAX(B$3:B207))</f>
        <v/>
      </c>
      <c r="F207" s="12" t="str">
        <f>IF(A207="","",MAX(E$4:E207))</f>
        <v/>
      </c>
      <c r="H207" s="14" t="str">
        <f t="shared" si="15"/>
        <v/>
      </c>
      <c r="I207" s="14" t="str">
        <f t="shared" si="13"/>
        <v/>
      </c>
      <c r="J207" s="15" t="str">
        <f t="shared" si="14"/>
        <v/>
      </c>
    </row>
    <row r="208" spans="1:10">
      <c r="A208" s="7" t="str">
        <f>IF(子基金及业绩基准周净值!A257="","",子基金及业绩基准周净值!A257)</f>
        <v/>
      </c>
      <c r="B208" s="1" t="str">
        <f>IF(A208="","",VLOOKUP($A208,子基金及业绩基准周净值!$A:$AV,21))</f>
        <v/>
      </c>
      <c r="C208" s="8" t="str">
        <f t="shared" si="12"/>
        <v/>
      </c>
      <c r="D208" s="9" t="str">
        <f>IF(A208="","",C208-子基金及业绩基准周净值!AI257)</f>
        <v/>
      </c>
      <c r="E208" s="12" t="str">
        <f>IF(A208="","",(MAX(B$3:B208)-B208)/MAX(B$3:B208))</f>
        <v/>
      </c>
      <c r="F208" s="12" t="str">
        <f>IF(A208="","",MAX(E$4:E208))</f>
        <v/>
      </c>
      <c r="H208" s="14" t="str">
        <f t="shared" si="15"/>
        <v/>
      </c>
      <c r="I208" s="14" t="str">
        <f t="shared" si="13"/>
        <v/>
      </c>
      <c r="J208" s="15" t="str">
        <f t="shared" si="14"/>
        <v/>
      </c>
    </row>
    <row r="209" spans="1:10">
      <c r="A209" s="7" t="str">
        <f>IF(子基金及业绩基准周净值!A258="","",子基金及业绩基准周净值!A258)</f>
        <v/>
      </c>
      <c r="B209" s="1" t="str">
        <f>IF(A209="","",VLOOKUP($A209,子基金及业绩基准周净值!$A:$AV,21))</f>
        <v/>
      </c>
      <c r="C209" s="8" t="str">
        <f t="shared" si="12"/>
        <v/>
      </c>
      <c r="D209" s="9" t="str">
        <f>IF(A209="","",C209-子基金及业绩基准周净值!AI258)</f>
        <v/>
      </c>
      <c r="E209" s="12" t="str">
        <f>IF(A209="","",(MAX(B$3:B209)-B209)/MAX(B$3:B209))</f>
        <v/>
      </c>
      <c r="F209" s="12" t="str">
        <f>IF(A209="","",MAX(E$4:E209))</f>
        <v/>
      </c>
      <c r="H209" s="14" t="str">
        <f t="shared" si="15"/>
        <v/>
      </c>
      <c r="I209" s="14" t="str">
        <f t="shared" si="13"/>
        <v/>
      </c>
      <c r="J209" s="15" t="str">
        <f t="shared" si="14"/>
        <v/>
      </c>
    </row>
    <row r="210" spans="1:10">
      <c r="A210" s="7" t="str">
        <f>IF(子基金及业绩基准周净值!A259="","",子基金及业绩基准周净值!A259)</f>
        <v/>
      </c>
      <c r="B210" s="1" t="str">
        <f>IF(A210="","",VLOOKUP($A210,子基金及业绩基准周净值!$A:$AV,21))</f>
        <v/>
      </c>
      <c r="C210" s="8" t="str">
        <f t="shared" si="12"/>
        <v/>
      </c>
      <c r="D210" s="9" t="str">
        <f>IF(A210="","",C210-子基金及业绩基准周净值!AI259)</f>
        <v/>
      </c>
      <c r="E210" s="12" t="str">
        <f>IF(A210="","",(MAX(B$3:B210)-B210)/MAX(B$3:B210))</f>
        <v/>
      </c>
      <c r="F210" s="12" t="str">
        <f>IF(A210="","",MAX(E$4:E210))</f>
        <v/>
      </c>
      <c r="H210" s="14" t="str">
        <f t="shared" si="15"/>
        <v/>
      </c>
      <c r="I210" s="14" t="str">
        <f t="shared" si="13"/>
        <v/>
      </c>
      <c r="J210" s="15" t="str">
        <f t="shared" si="14"/>
        <v/>
      </c>
    </row>
    <row r="211" spans="1:10">
      <c r="A211" s="7" t="str">
        <f>IF(子基金及业绩基准周净值!A260="","",子基金及业绩基准周净值!A260)</f>
        <v/>
      </c>
      <c r="B211" s="1" t="str">
        <f>IF(A211="","",VLOOKUP($A211,子基金及业绩基准周净值!$A:$AV,21))</f>
        <v/>
      </c>
      <c r="C211" s="8" t="str">
        <f t="shared" si="12"/>
        <v/>
      </c>
      <c r="D211" s="9" t="str">
        <f>IF(A211="","",C211-子基金及业绩基准周净值!AI260)</f>
        <v/>
      </c>
      <c r="E211" s="12" t="str">
        <f>IF(A211="","",(MAX(B$3:B211)-B211)/MAX(B$3:B211))</f>
        <v/>
      </c>
      <c r="F211" s="12" t="str">
        <f>IF(A211="","",MAX(E$4:E211))</f>
        <v/>
      </c>
      <c r="H211" s="14" t="str">
        <f t="shared" si="15"/>
        <v/>
      </c>
      <c r="I211" s="14" t="str">
        <f t="shared" si="13"/>
        <v/>
      </c>
      <c r="J211" s="15" t="str">
        <f t="shared" si="14"/>
        <v/>
      </c>
    </row>
    <row r="212" spans="1:10">
      <c r="A212" s="7" t="str">
        <f>IF(子基金及业绩基准周净值!A261="","",子基金及业绩基准周净值!A261)</f>
        <v/>
      </c>
      <c r="B212" s="1" t="str">
        <f>IF(A212="","",VLOOKUP($A212,子基金及业绩基准周净值!$A:$AV,21))</f>
        <v/>
      </c>
      <c r="C212" s="8" t="str">
        <f t="shared" si="12"/>
        <v/>
      </c>
      <c r="D212" s="9" t="str">
        <f>IF(A212="","",C212-子基金及业绩基准周净值!AI261)</f>
        <v/>
      </c>
      <c r="E212" s="12" t="str">
        <f>IF(A212="","",(MAX(B$3:B212)-B212)/MAX(B$3:B212))</f>
        <v/>
      </c>
      <c r="F212" s="12" t="str">
        <f>IF(A212="","",MAX(E$4:E212))</f>
        <v/>
      </c>
      <c r="H212" s="14" t="str">
        <f t="shared" si="15"/>
        <v/>
      </c>
      <c r="I212" s="14" t="str">
        <f t="shared" si="13"/>
        <v/>
      </c>
      <c r="J212" s="15" t="str">
        <f t="shared" si="14"/>
        <v/>
      </c>
    </row>
    <row r="213" spans="1:10">
      <c r="A213" s="7" t="str">
        <f>IF(子基金及业绩基准周净值!A262="","",子基金及业绩基准周净值!A262)</f>
        <v/>
      </c>
      <c r="B213" s="1" t="str">
        <f>IF(A213="","",VLOOKUP($A213,子基金及业绩基准周净值!$A:$AV,21))</f>
        <v/>
      </c>
      <c r="C213" s="8" t="str">
        <f t="shared" si="12"/>
        <v/>
      </c>
      <c r="D213" s="9" t="str">
        <f>IF(A213="","",C213-子基金及业绩基准周净值!AI262)</f>
        <v/>
      </c>
      <c r="E213" s="12" t="str">
        <f>IF(A213="","",(MAX(B$3:B213)-B213)/MAX(B$3:B213))</f>
        <v/>
      </c>
      <c r="F213" s="12" t="str">
        <f>IF(A213="","",MAX(E$4:E213))</f>
        <v/>
      </c>
      <c r="H213" s="14" t="str">
        <f t="shared" si="15"/>
        <v/>
      </c>
      <c r="I213" s="14" t="str">
        <f t="shared" si="13"/>
        <v/>
      </c>
      <c r="J213" s="15" t="str">
        <f t="shared" si="14"/>
        <v/>
      </c>
    </row>
    <row r="214" spans="1:10">
      <c r="A214" s="7" t="str">
        <f>IF(子基金及业绩基准周净值!A263="","",子基金及业绩基准周净值!A263)</f>
        <v/>
      </c>
      <c r="B214" s="1" t="str">
        <f>IF(A214="","",VLOOKUP($A214,子基金及业绩基准周净值!$A:$AV,21))</f>
        <v/>
      </c>
      <c r="C214" s="8" t="str">
        <f t="shared" si="12"/>
        <v/>
      </c>
      <c r="D214" s="9" t="str">
        <f>IF(A214="","",C214-子基金及业绩基准周净值!AI263)</f>
        <v/>
      </c>
      <c r="E214" s="12" t="str">
        <f>IF(A214="","",(MAX(B$3:B214)-B214)/MAX(B$3:B214))</f>
        <v/>
      </c>
      <c r="F214" s="12" t="str">
        <f>IF(A214="","",MAX(E$4:E214))</f>
        <v/>
      </c>
      <c r="H214" s="14" t="str">
        <f t="shared" si="15"/>
        <v/>
      </c>
      <c r="I214" s="14" t="str">
        <f t="shared" si="13"/>
        <v/>
      </c>
      <c r="J214" s="15" t="str">
        <f t="shared" si="14"/>
        <v/>
      </c>
    </row>
    <row r="215" spans="1:10">
      <c r="A215" s="7" t="str">
        <f>IF(子基金及业绩基准周净值!A264="","",子基金及业绩基准周净值!A264)</f>
        <v/>
      </c>
      <c r="B215" s="1" t="str">
        <f>IF(A215="","",VLOOKUP($A215,子基金及业绩基准周净值!$A:$AV,21))</f>
        <v/>
      </c>
      <c r="C215" s="8" t="str">
        <f t="shared" si="12"/>
        <v/>
      </c>
      <c r="D215" s="9" t="str">
        <f>IF(A215="","",C215-子基金及业绩基准周净值!AI264)</f>
        <v/>
      </c>
      <c r="E215" s="12" t="str">
        <f>IF(A215="","",(MAX(B$3:B215)-B215)/MAX(B$3:B215))</f>
        <v/>
      </c>
      <c r="F215" s="12" t="str">
        <f>IF(A215="","",MAX(E$4:E215))</f>
        <v/>
      </c>
      <c r="H215" s="14" t="str">
        <f t="shared" si="15"/>
        <v/>
      </c>
      <c r="I215" s="14" t="str">
        <f t="shared" si="13"/>
        <v/>
      </c>
      <c r="J215" s="15" t="str">
        <f t="shared" si="14"/>
        <v/>
      </c>
    </row>
    <row r="216" spans="1:10">
      <c r="A216" s="7" t="str">
        <f>IF(子基金及业绩基准周净值!A265="","",子基金及业绩基准周净值!A265)</f>
        <v/>
      </c>
      <c r="B216" s="1" t="str">
        <f>IF(A216="","",VLOOKUP($A216,子基金及业绩基准周净值!$A:$AV,21))</f>
        <v/>
      </c>
      <c r="C216" s="8" t="str">
        <f t="shared" si="12"/>
        <v/>
      </c>
      <c r="D216" s="9" t="str">
        <f>IF(A216="","",C216-子基金及业绩基准周净值!AI265)</f>
        <v/>
      </c>
      <c r="E216" s="12" t="str">
        <f>IF(A216="","",(MAX(B$3:B216)-B216)/MAX(B$3:B216))</f>
        <v/>
      </c>
      <c r="F216" s="12" t="str">
        <f>IF(A216="","",MAX(E$4:E216))</f>
        <v/>
      </c>
      <c r="H216" s="14" t="str">
        <f t="shared" si="15"/>
        <v/>
      </c>
      <c r="I216" s="14" t="str">
        <f t="shared" si="13"/>
        <v/>
      </c>
      <c r="J216" s="15" t="str">
        <f t="shared" si="14"/>
        <v/>
      </c>
    </row>
    <row r="217" spans="1:10">
      <c r="A217" s="7" t="str">
        <f>IF(子基金及业绩基准周净值!A266="","",子基金及业绩基准周净值!A266)</f>
        <v/>
      </c>
      <c r="B217" s="1" t="str">
        <f>IF(A217="","",VLOOKUP($A217,子基金及业绩基准周净值!$A:$AV,21))</f>
        <v/>
      </c>
      <c r="C217" s="8" t="str">
        <f t="shared" si="12"/>
        <v/>
      </c>
      <c r="D217" s="9" t="str">
        <f>IF(A217="","",C217-子基金及业绩基准周净值!AI266)</f>
        <v/>
      </c>
      <c r="E217" s="12" t="str">
        <f>IF(A217="","",(MAX(B$3:B217)-B217)/MAX(B$3:B217))</f>
        <v/>
      </c>
      <c r="F217" s="12" t="str">
        <f>IF(A217="","",MAX(E$4:E217))</f>
        <v/>
      </c>
      <c r="H217" s="14" t="str">
        <f t="shared" si="15"/>
        <v/>
      </c>
      <c r="I217" s="14" t="str">
        <f t="shared" si="13"/>
        <v/>
      </c>
      <c r="J217" s="15" t="str">
        <f t="shared" si="14"/>
        <v/>
      </c>
    </row>
    <row r="218" spans="1:10">
      <c r="A218" s="7" t="str">
        <f>IF(子基金及业绩基准周净值!A267="","",子基金及业绩基准周净值!A267)</f>
        <v/>
      </c>
      <c r="B218" s="1" t="str">
        <f>IF(A218="","",VLOOKUP($A218,子基金及业绩基准周净值!$A:$AV,21))</f>
        <v/>
      </c>
      <c r="C218" s="8" t="str">
        <f t="shared" si="12"/>
        <v/>
      </c>
      <c r="D218" s="9" t="str">
        <f>IF(A218="","",C218-子基金及业绩基准周净值!AI267)</f>
        <v/>
      </c>
      <c r="E218" s="12" t="str">
        <f>IF(A218="","",(MAX(B$3:B218)-B218)/MAX(B$3:B218))</f>
        <v/>
      </c>
      <c r="F218" s="12" t="str">
        <f>IF(A218="","",MAX(E$4:E218))</f>
        <v/>
      </c>
      <c r="H218" s="14" t="str">
        <f t="shared" si="15"/>
        <v/>
      </c>
      <c r="I218" s="14" t="str">
        <f t="shared" si="13"/>
        <v/>
      </c>
      <c r="J218" s="15" t="str">
        <f t="shared" si="14"/>
        <v/>
      </c>
    </row>
    <row r="219" spans="1:10">
      <c r="A219" s="7" t="str">
        <f>IF(子基金及业绩基准周净值!A268="","",子基金及业绩基准周净值!A268)</f>
        <v/>
      </c>
      <c r="B219" s="1" t="str">
        <f>IF(A219="","",VLOOKUP($A219,子基金及业绩基准周净值!$A:$AV,21))</f>
        <v/>
      </c>
      <c r="C219" s="8" t="str">
        <f t="shared" si="12"/>
        <v/>
      </c>
      <c r="D219" s="9" t="str">
        <f>IF(A219="","",C219-子基金及业绩基准周净值!AI268)</f>
        <v/>
      </c>
      <c r="E219" s="12" t="str">
        <f>IF(A219="","",(MAX(B$3:B219)-B219)/MAX(B$3:B219))</f>
        <v/>
      </c>
      <c r="F219" s="12" t="str">
        <f>IF(A219="","",MAX(E$4:E219))</f>
        <v/>
      </c>
      <c r="H219" s="14" t="str">
        <f t="shared" si="15"/>
        <v/>
      </c>
      <c r="I219" s="14" t="str">
        <f t="shared" si="13"/>
        <v/>
      </c>
      <c r="J219" s="15" t="str">
        <f t="shared" si="14"/>
        <v/>
      </c>
    </row>
    <row r="220" spans="1:10">
      <c r="A220" s="7" t="str">
        <f>IF(子基金及业绩基准周净值!A269="","",子基金及业绩基准周净值!A269)</f>
        <v/>
      </c>
      <c r="B220" s="1" t="str">
        <f>IF(A220="","",VLOOKUP($A220,子基金及业绩基准周净值!$A:$AV,21))</f>
        <v/>
      </c>
      <c r="C220" s="8" t="str">
        <f t="shared" si="12"/>
        <v/>
      </c>
      <c r="D220" s="9" t="str">
        <f>IF(A220="","",C220-子基金及业绩基准周净值!AI269)</f>
        <v/>
      </c>
      <c r="E220" s="12" t="str">
        <f>IF(A220="","",(MAX(B$3:B220)-B220)/MAX(B$3:B220))</f>
        <v/>
      </c>
      <c r="F220" s="12" t="str">
        <f>IF(A220="","",MAX(E$4:E220))</f>
        <v/>
      </c>
      <c r="H220" s="14" t="str">
        <f t="shared" si="15"/>
        <v/>
      </c>
      <c r="I220" s="14" t="str">
        <f t="shared" si="13"/>
        <v/>
      </c>
      <c r="J220" s="15" t="str">
        <f t="shared" si="14"/>
        <v/>
      </c>
    </row>
    <row r="221" spans="1:10">
      <c r="A221" s="7" t="str">
        <f>IF(子基金及业绩基准周净值!A270="","",子基金及业绩基准周净值!A270)</f>
        <v/>
      </c>
      <c r="B221" s="1" t="str">
        <f>IF(A221="","",VLOOKUP($A221,子基金及业绩基准周净值!$A:$AV,21))</f>
        <v/>
      </c>
      <c r="C221" s="8" t="str">
        <f t="shared" si="12"/>
        <v/>
      </c>
      <c r="D221" s="9" t="str">
        <f>IF(A221="","",C221-子基金及业绩基准周净值!AI270)</f>
        <v/>
      </c>
      <c r="E221" s="12" t="str">
        <f>IF(A221="","",(MAX(B$3:B221)-B221)/MAX(B$3:B221))</f>
        <v/>
      </c>
      <c r="F221" s="12" t="str">
        <f>IF(A221="","",MAX(E$4:E221))</f>
        <v/>
      </c>
      <c r="H221" s="14" t="str">
        <f t="shared" si="15"/>
        <v/>
      </c>
      <c r="I221" s="14" t="str">
        <f t="shared" si="13"/>
        <v/>
      </c>
      <c r="J221" s="15" t="str">
        <f t="shared" si="14"/>
        <v/>
      </c>
    </row>
    <row r="222" spans="1:10">
      <c r="A222" s="7" t="str">
        <f>IF(子基金及业绩基准周净值!A271="","",子基金及业绩基准周净值!A271)</f>
        <v/>
      </c>
      <c r="B222" s="1" t="str">
        <f>IF(A222="","",VLOOKUP($A222,子基金及业绩基准周净值!$A:$AV,21))</f>
        <v/>
      </c>
      <c r="C222" s="8" t="str">
        <f t="shared" si="12"/>
        <v/>
      </c>
      <c r="D222" s="9" t="str">
        <f>IF(A222="","",C222-子基金及业绩基准周净值!AI271)</f>
        <v/>
      </c>
      <c r="E222" s="12" t="str">
        <f>IF(A222="","",(MAX(B$3:B222)-B222)/MAX(B$3:B222))</f>
        <v/>
      </c>
      <c r="F222" s="12" t="str">
        <f>IF(A222="","",MAX(E$4:E222))</f>
        <v/>
      </c>
      <c r="H222" s="14" t="str">
        <f t="shared" si="15"/>
        <v/>
      </c>
      <c r="I222" s="14" t="str">
        <f t="shared" si="13"/>
        <v/>
      </c>
      <c r="J222" s="15" t="str">
        <f t="shared" si="14"/>
        <v/>
      </c>
    </row>
    <row r="223" spans="1:10">
      <c r="A223" s="7" t="str">
        <f>IF(子基金及业绩基准周净值!A272="","",子基金及业绩基准周净值!A272)</f>
        <v/>
      </c>
      <c r="B223" s="1" t="str">
        <f>IF(A223="","",VLOOKUP($A223,子基金及业绩基准周净值!$A:$AV,21))</f>
        <v/>
      </c>
      <c r="C223" s="8" t="str">
        <f t="shared" si="12"/>
        <v/>
      </c>
      <c r="D223" s="9" t="str">
        <f>IF(A223="","",C223-子基金及业绩基准周净值!AI272)</f>
        <v/>
      </c>
      <c r="E223" s="12" t="str">
        <f>IF(A223="","",(MAX(B$3:B223)-B223)/MAX(B$3:B223))</f>
        <v/>
      </c>
      <c r="F223" s="12" t="str">
        <f>IF(A223="","",MAX(E$4:E223))</f>
        <v/>
      </c>
      <c r="H223" s="14" t="str">
        <f t="shared" si="15"/>
        <v/>
      </c>
      <c r="I223" s="14" t="str">
        <f t="shared" si="13"/>
        <v/>
      </c>
      <c r="J223" s="15" t="str">
        <f t="shared" si="14"/>
        <v/>
      </c>
    </row>
    <row r="224" spans="1:10">
      <c r="A224" s="7" t="str">
        <f>IF(子基金及业绩基准周净值!A273="","",子基金及业绩基准周净值!A273)</f>
        <v/>
      </c>
      <c r="B224" s="1" t="str">
        <f>IF(A224="","",VLOOKUP($A224,子基金及业绩基准周净值!$A:$AV,21))</f>
        <v/>
      </c>
      <c r="C224" s="8" t="str">
        <f t="shared" si="12"/>
        <v/>
      </c>
      <c r="D224" s="9" t="str">
        <f>IF(A224="","",C224-子基金及业绩基准周净值!AI273)</f>
        <v/>
      </c>
      <c r="E224" s="12" t="str">
        <f>IF(A224="","",(MAX(B$3:B224)-B224)/MAX(B$3:B224))</f>
        <v/>
      </c>
      <c r="F224" s="12" t="str">
        <f>IF(A224="","",MAX(E$4:E224))</f>
        <v/>
      </c>
      <c r="H224" s="14" t="str">
        <f t="shared" si="15"/>
        <v/>
      </c>
      <c r="I224" s="14" t="str">
        <f t="shared" si="13"/>
        <v/>
      </c>
      <c r="J224" s="15" t="str">
        <f t="shared" si="14"/>
        <v/>
      </c>
    </row>
    <row r="225" spans="1:10">
      <c r="A225" s="7" t="str">
        <f>IF(子基金及业绩基准周净值!A274="","",子基金及业绩基准周净值!A274)</f>
        <v/>
      </c>
      <c r="B225" s="1" t="str">
        <f>IF(A225="","",VLOOKUP($A225,子基金及业绩基准周净值!$A:$AV,21))</f>
        <v/>
      </c>
      <c r="C225" s="8" t="str">
        <f t="shared" si="12"/>
        <v/>
      </c>
      <c r="D225" s="9" t="str">
        <f>IF(A225="","",C225-子基金及业绩基准周净值!AI274)</f>
        <v/>
      </c>
      <c r="E225" s="12" t="str">
        <f>IF(A225="","",(MAX(B$3:B225)-B225)/MAX(B$3:B225))</f>
        <v/>
      </c>
      <c r="F225" s="12" t="str">
        <f>IF(A225="","",MAX(E$4:E225))</f>
        <v/>
      </c>
      <c r="H225" s="14" t="str">
        <f t="shared" si="15"/>
        <v/>
      </c>
      <c r="I225" s="14" t="str">
        <f t="shared" si="13"/>
        <v/>
      </c>
      <c r="J225" s="15" t="str">
        <f t="shared" si="14"/>
        <v/>
      </c>
    </row>
    <row r="226" spans="1:10">
      <c r="A226" s="7" t="str">
        <f>IF(子基金及业绩基准周净值!A275="","",子基金及业绩基准周净值!A275)</f>
        <v/>
      </c>
      <c r="B226" s="1" t="str">
        <f>IF(A226="","",VLOOKUP($A226,子基金及业绩基准周净值!$A:$AV,21))</f>
        <v/>
      </c>
      <c r="C226" s="8" t="str">
        <f t="shared" si="12"/>
        <v/>
      </c>
      <c r="D226" s="9" t="str">
        <f>IF(A226="","",C226-子基金及业绩基准周净值!AI275)</f>
        <v/>
      </c>
      <c r="E226" s="12" t="str">
        <f>IF(A226="","",(MAX(B$3:B226)-B226)/MAX(B$3:B226))</f>
        <v/>
      </c>
      <c r="F226" s="12" t="str">
        <f>IF(A226="","",MAX(E$4:E226))</f>
        <v/>
      </c>
      <c r="H226" s="14" t="str">
        <f t="shared" si="15"/>
        <v/>
      </c>
      <c r="I226" s="14" t="str">
        <f t="shared" si="13"/>
        <v/>
      </c>
      <c r="J226" s="15" t="str">
        <f t="shared" si="14"/>
        <v/>
      </c>
    </row>
    <row r="227" spans="1:10">
      <c r="A227" s="7" t="str">
        <f>IF(子基金及业绩基准周净值!A276="","",子基金及业绩基准周净值!A276)</f>
        <v/>
      </c>
      <c r="B227" s="1" t="str">
        <f>IF(A227="","",VLOOKUP($A227,子基金及业绩基准周净值!$A:$AV,21))</f>
        <v/>
      </c>
      <c r="C227" s="8" t="str">
        <f t="shared" si="12"/>
        <v/>
      </c>
      <c r="D227" s="9" t="str">
        <f>IF(A227="","",C227-子基金及业绩基准周净值!AI276)</f>
        <v/>
      </c>
      <c r="E227" s="12" t="str">
        <f>IF(A227="","",(MAX(B$3:B227)-B227)/MAX(B$3:B227))</f>
        <v/>
      </c>
      <c r="F227" s="12" t="str">
        <f>IF(A227="","",MAX(E$4:E227))</f>
        <v/>
      </c>
      <c r="H227" s="14" t="str">
        <f t="shared" si="15"/>
        <v/>
      </c>
      <c r="I227" s="14" t="str">
        <f t="shared" si="13"/>
        <v/>
      </c>
      <c r="J227" s="15" t="str">
        <f t="shared" si="14"/>
        <v/>
      </c>
    </row>
    <row r="228" spans="1:10">
      <c r="A228" s="7" t="str">
        <f>IF(子基金及业绩基准周净值!A277="","",子基金及业绩基准周净值!A277)</f>
        <v/>
      </c>
      <c r="B228" s="1" t="str">
        <f>IF(A228="","",VLOOKUP($A228,子基金及业绩基准周净值!$A:$AV,21))</f>
        <v/>
      </c>
      <c r="C228" s="8" t="str">
        <f t="shared" si="12"/>
        <v/>
      </c>
      <c r="D228" s="9" t="str">
        <f>IF(A228="","",C228-子基金及业绩基准周净值!AI277)</f>
        <v/>
      </c>
      <c r="E228" s="12" t="str">
        <f>IF(A228="","",(MAX(B$3:B228)-B228)/MAX(B$3:B228))</f>
        <v/>
      </c>
      <c r="F228" s="12" t="str">
        <f>IF(A228="","",MAX(E$4:E228))</f>
        <v/>
      </c>
      <c r="H228" s="14" t="str">
        <f t="shared" si="15"/>
        <v/>
      </c>
      <c r="I228" s="14" t="str">
        <f t="shared" si="13"/>
        <v/>
      </c>
      <c r="J228" s="15" t="str">
        <f t="shared" si="14"/>
        <v/>
      </c>
    </row>
    <row r="229" spans="1:10">
      <c r="A229" s="7" t="str">
        <f>IF(子基金及业绩基准周净值!A278="","",子基金及业绩基准周净值!A278)</f>
        <v/>
      </c>
      <c r="B229" s="1" t="str">
        <f>IF(A229="","",VLOOKUP($A229,子基金及业绩基准周净值!$A:$AV,21))</f>
        <v/>
      </c>
      <c r="C229" s="8" t="str">
        <f t="shared" si="12"/>
        <v/>
      </c>
      <c r="D229" s="9" t="str">
        <f>IF(A229="","",C229-子基金及业绩基准周净值!AI278)</f>
        <v/>
      </c>
      <c r="E229" s="12" t="str">
        <f>IF(A229="","",(MAX(B$3:B229)-B229)/MAX(B$3:B229))</f>
        <v/>
      </c>
      <c r="F229" s="12" t="str">
        <f>IF(A229="","",MAX(E$4:E229))</f>
        <v/>
      </c>
      <c r="H229" s="14" t="str">
        <f t="shared" si="15"/>
        <v/>
      </c>
      <c r="I229" s="14" t="str">
        <f t="shared" si="13"/>
        <v/>
      </c>
      <c r="J229" s="15" t="str">
        <f t="shared" si="14"/>
        <v/>
      </c>
    </row>
    <row r="230" spans="1:10">
      <c r="A230" s="7" t="str">
        <f>IF(子基金及业绩基准周净值!A279="","",子基金及业绩基准周净值!A279)</f>
        <v/>
      </c>
      <c r="B230" s="1" t="str">
        <f>IF(A230="","",VLOOKUP($A230,子基金及业绩基准周净值!$A:$AV,21))</f>
        <v/>
      </c>
      <c r="C230" s="8" t="str">
        <f t="shared" si="12"/>
        <v/>
      </c>
      <c r="D230" s="9" t="str">
        <f>IF(A230="","",C230-子基金及业绩基准周净值!AI279)</f>
        <v/>
      </c>
      <c r="E230" s="12" t="str">
        <f>IF(A230="","",(MAX(B$3:B230)-B230)/MAX(B$3:B230))</f>
        <v/>
      </c>
      <c r="F230" s="12" t="str">
        <f>IF(A230="","",MAX(E$4:E230))</f>
        <v/>
      </c>
      <c r="H230" s="14" t="str">
        <f t="shared" si="15"/>
        <v/>
      </c>
      <c r="I230" s="14" t="str">
        <f t="shared" si="13"/>
        <v/>
      </c>
      <c r="J230" s="15" t="str">
        <f t="shared" si="14"/>
        <v/>
      </c>
    </row>
    <row r="231" spans="1:10">
      <c r="A231" s="7" t="str">
        <f>IF(子基金及业绩基准周净值!A280="","",子基金及业绩基准周净值!A280)</f>
        <v/>
      </c>
      <c r="B231" s="1" t="str">
        <f>IF(A231="","",VLOOKUP($A231,子基金及业绩基准周净值!$A:$AV,21))</f>
        <v/>
      </c>
      <c r="C231" s="8" t="str">
        <f t="shared" si="12"/>
        <v/>
      </c>
      <c r="D231" s="9" t="str">
        <f>IF(A231="","",C231-子基金及业绩基准周净值!AI280)</f>
        <v/>
      </c>
      <c r="E231" s="12" t="str">
        <f>IF(A231="","",(MAX(B$3:B231)-B231)/MAX(B$3:B231))</f>
        <v/>
      </c>
      <c r="F231" s="12" t="str">
        <f>IF(A231="","",MAX(E$4:E231))</f>
        <v/>
      </c>
      <c r="H231" s="14" t="str">
        <f t="shared" si="15"/>
        <v/>
      </c>
      <c r="I231" s="14" t="str">
        <f t="shared" si="13"/>
        <v/>
      </c>
      <c r="J231" s="15" t="str">
        <f t="shared" si="14"/>
        <v/>
      </c>
    </row>
    <row r="232" spans="1:10">
      <c r="A232" s="7" t="str">
        <f>IF(子基金及业绩基准周净值!A281="","",子基金及业绩基准周净值!A281)</f>
        <v/>
      </c>
      <c r="B232" s="1" t="str">
        <f>IF(A232="","",VLOOKUP($A232,子基金及业绩基准周净值!$A:$AV,21))</f>
        <v/>
      </c>
      <c r="C232" s="8" t="str">
        <f t="shared" si="12"/>
        <v/>
      </c>
      <c r="D232" s="9" t="str">
        <f>IF(A232="","",C232-子基金及业绩基准周净值!AI281)</f>
        <v/>
      </c>
      <c r="E232" s="12" t="str">
        <f>IF(A232="","",(MAX(B$3:B232)-B232)/MAX(B$3:B232))</f>
        <v/>
      </c>
      <c r="F232" s="12" t="str">
        <f>IF(A232="","",MAX(E$4:E232))</f>
        <v/>
      </c>
      <c r="H232" s="14" t="str">
        <f t="shared" si="15"/>
        <v/>
      </c>
      <c r="I232" s="14" t="str">
        <f t="shared" si="13"/>
        <v/>
      </c>
      <c r="J232" s="15" t="str">
        <f t="shared" si="14"/>
        <v/>
      </c>
    </row>
    <row r="233" spans="1:10">
      <c r="A233" s="7" t="str">
        <f>IF(子基金及业绩基准周净值!A282="","",子基金及业绩基准周净值!A282)</f>
        <v/>
      </c>
      <c r="B233" s="1" t="str">
        <f>IF(A233="","",VLOOKUP($A233,子基金及业绩基准周净值!$A:$AV,21))</f>
        <v/>
      </c>
      <c r="C233" s="8" t="str">
        <f t="shared" si="12"/>
        <v/>
      </c>
      <c r="D233" s="9" t="str">
        <f>IF(A233="","",C233-子基金及业绩基准周净值!AI282)</f>
        <v/>
      </c>
      <c r="E233" s="12" t="str">
        <f>IF(A233="","",(MAX(B$3:B233)-B233)/MAX(B$3:B233))</f>
        <v/>
      </c>
      <c r="F233" s="12" t="str">
        <f>IF(A233="","",MAX(E$4:E233))</f>
        <v/>
      </c>
      <c r="H233" s="14" t="str">
        <f t="shared" si="15"/>
        <v/>
      </c>
      <c r="I233" s="14" t="str">
        <f t="shared" si="13"/>
        <v/>
      </c>
      <c r="J233" s="15" t="str">
        <f t="shared" si="14"/>
        <v/>
      </c>
    </row>
    <row r="234" spans="1:10">
      <c r="A234" s="7" t="str">
        <f>IF(子基金及业绩基准周净值!A283="","",子基金及业绩基准周净值!A283)</f>
        <v/>
      </c>
      <c r="B234" s="1" t="str">
        <f>IF(A234="","",VLOOKUP($A234,子基金及业绩基准周净值!$A:$AV,21))</f>
        <v/>
      </c>
      <c r="C234" s="8" t="str">
        <f t="shared" si="12"/>
        <v/>
      </c>
      <c r="D234" s="9" t="str">
        <f>IF(A234="","",C234-子基金及业绩基准周净值!AI283)</f>
        <v/>
      </c>
      <c r="E234" s="12" t="str">
        <f>IF(A234="","",(MAX(B$3:B234)-B234)/MAX(B$3:B234))</f>
        <v/>
      </c>
      <c r="F234" s="12" t="str">
        <f>IF(A234="","",MAX(E$4:E234))</f>
        <v/>
      </c>
      <c r="H234" s="14" t="str">
        <f t="shared" si="15"/>
        <v/>
      </c>
      <c r="I234" s="14" t="str">
        <f t="shared" si="13"/>
        <v/>
      </c>
      <c r="J234" s="15" t="str">
        <f t="shared" si="14"/>
        <v/>
      </c>
    </row>
    <row r="235" spans="1:10">
      <c r="A235" s="7" t="str">
        <f>IF(子基金及业绩基准周净值!A284="","",子基金及业绩基准周净值!A284)</f>
        <v/>
      </c>
      <c r="B235" s="1" t="str">
        <f>IF(A235="","",VLOOKUP($A235,子基金及业绩基准周净值!$A:$AV,21))</f>
        <v/>
      </c>
      <c r="C235" s="8" t="str">
        <f t="shared" si="12"/>
        <v/>
      </c>
      <c r="D235" s="9" t="str">
        <f>IF(A235="","",C235-子基金及业绩基准周净值!AI284)</f>
        <v/>
      </c>
      <c r="E235" s="12" t="str">
        <f>IF(A235="","",(MAX(B$3:B235)-B235)/MAX(B$3:B235))</f>
        <v/>
      </c>
      <c r="F235" s="12" t="str">
        <f>IF(A235="","",MAX(E$4:E235))</f>
        <v/>
      </c>
      <c r="H235" s="14" t="str">
        <f t="shared" si="15"/>
        <v/>
      </c>
      <c r="I235" s="14" t="str">
        <f t="shared" si="13"/>
        <v/>
      </c>
      <c r="J235" s="15" t="str">
        <f t="shared" si="14"/>
        <v/>
      </c>
    </row>
    <row r="236" spans="1:10">
      <c r="A236" s="7" t="str">
        <f>IF(子基金及业绩基准周净值!A285="","",子基金及业绩基准周净值!A285)</f>
        <v/>
      </c>
      <c r="B236" s="1" t="str">
        <f>IF(A236="","",VLOOKUP($A236,子基金及业绩基准周净值!$A:$AV,21))</f>
        <v/>
      </c>
      <c r="C236" s="8" t="str">
        <f t="shared" si="12"/>
        <v/>
      </c>
      <c r="D236" s="9" t="str">
        <f>IF(A236="","",C236-子基金及业绩基准周净值!AI285)</f>
        <v/>
      </c>
      <c r="E236" s="12" t="str">
        <f>IF(A236="","",(MAX(B$3:B236)-B236)/MAX(B$3:B236))</f>
        <v/>
      </c>
      <c r="F236" s="12" t="str">
        <f>IF(A236="","",MAX(E$4:E236))</f>
        <v/>
      </c>
      <c r="H236" s="14" t="str">
        <f t="shared" si="15"/>
        <v/>
      </c>
      <c r="I236" s="14" t="str">
        <f t="shared" si="13"/>
        <v/>
      </c>
      <c r="J236" s="15" t="str">
        <f t="shared" si="14"/>
        <v/>
      </c>
    </row>
    <row r="237" spans="1:10">
      <c r="A237" s="7" t="str">
        <f>IF(子基金及业绩基准周净值!A286="","",子基金及业绩基准周净值!A286)</f>
        <v/>
      </c>
      <c r="B237" s="1" t="str">
        <f>IF(A237="","",VLOOKUP($A237,子基金及业绩基准周净值!$A:$AV,21))</f>
        <v/>
      </c>
      <c r="C237" s="8" t="str">
        <f t="shared" si="12"/>
        <v/>
      </c>
      <c r="D237" s="9" t="str">
        <f>IF(A237="","",C237-子基金及业绩基准周净值!AI286)</f>
        <v/>
      </c>
      <c r="E237" s="12" t="str">
        <f>IF(A237="","",(MAX(B$3:B237)-B237)/MAX(B$3:B237))</f>
        <v/>
      </c>
      <c r="F237" s="12" t="str">
        <f>IF(A237="","",MAX(E$4:E237))</f>
        <v/>
      </c>
      <c r="H237" s="14" t="str">
        <f t="shared" si="15"/>
        <v/>
      </c>
      <c r="I237" s="14" t="str">
        <f t="shared" si="13"/>
        <v/>
      </c>
      <c r="J237" s="15" t="str">
        <f t="shared" si="14"/>
        <v/>
      </c>
    </row>
    <row r="238" spans="1:10">
      <c r="A238" s="7" t="str">
        <f>IF(子基金及业绩基准周净值!A287="","",子基金及业绩基准周净值!A287)</f>
        <v/>
      </c>
      <c r="B238" s="1" t="str">
        <f>IF(A238="","",VLOOKUP($A238,子基金及业绩基准周净值!$A:$AV,21))</f>
        <v/>
      </c>
      <c r="C238" s="8" t="str">
        <f t="shared" si="12"/>
        <v/>
      </c>
      <c r="D238" s="9" t="str">
        <f>IF(A238="","",C238-子基金及业绩基准周净值!AI287)</f>
        <v/>
      </c>
      <c r="E238" s="12" t="str">
        <f>IF(A238="","",(MAX(B$3:B238)-B238)/MAX(B$3:B238))</f>
        <v/>
      </c>
      <c r="F238" s="12" t="str">
        <f>IF(A238="","",MAX(E$4:E238))</f>
        <v/>
      </c>
      <c r="H238" s="14" t="str">
        <f t="shared" si="15"/>
        <v/>
      </c>
      <c r="I238" s="14" t="str">
        <f t="shared" si="13"/>
        <v/>
      </c>
      <c r="J238" s="15" t="str">
        <f t="shared" si="14"/>
        <v/>
      </c>
    </row>
    <row r="239" spans="1:10">
      <c r="A239" s="7" t="str">
        <f>IF(子基金及业绩基准周净值!A288="","",子基金及业绩基准周净值!A288)</f>
        <v/>
      </c>
      <c r="B239" s="1" t="str">
        <f>IF(A239="","",VLOOKUP($A239,子基金及业绩基准周净值!$A:$AV,21))</f>
        <v/>
      </c>
      <c r="C239" s="8" t="str">
        <f t="shared" si="12"/>
        <v/>
      </c>
      <c r="D239" s="9" t="str">
        <f>IF(A239="","",C239-子基金及业绩基准周净值!AI288)</f>
        <v/>
      </c>
      <c r="E239" s="12" t="str">
        <f>IF(A239="","",(MAX(B$3:B239)-B239)/MAX(B$3:B239))</f>
        <v/>
      </c>
      <c r="F239" s="12" t="str">
        <f>IF(A239="","",MAX(E$4:E239))</f>
        <v/>
      </c>
      <c r="H239" s="14" t="str">
        <f t="shared" si="15"/>
        <v/>
      </c>
      <c r="I239" s="14" t="str">
        <f t="shared" si="13"/>
        <v/>
      </c>
      <c r="J239" s="15" t="str">
        <f t="shared" si="14"/>
        <v/>
      </c>
    </row>
    <row r="240" spans="1:10">
      <c r="A240" s="7" t="str">
        <f>IF(子基金及业绩基准周净值!A289="","",子基金及业绩基准周净值!A289)</f>
        <v/>
      </c>
      <c r="B240" s="1" t="str">
        <f>IF(A240="","",VLOOKUP($A240,子基金及业绩基准周净值!$A:$AV,21))</f>
        <v/>
      </c>
      <c r="C240" s="8" t="str">
        <f t="shared" si="12"/>
        <v/>
      </c>
      <c r="D240" s="9" t="str">
        <f>IF(A240="","",C240-子基金及业绩基准周净值!AI289)</f>
        <v/>
      </c>
      <c r="E240" s="12" t="str">
        <f>IF(A240="","",(MAX(B$3:B240)-B240)/MAX(B$3:B240))</f>
        <v/>
      </c>
      <c r="F240" s="12" t="str">
        <f>IF(A240="","",MAX(E$4:E240))</f>
        <v/>
      </c>
      <c r="H240" s="14" t="str">
        <f t="shared" si="15"/>
        <v/>
      </c>
      <c r="I240" s="14" t="str">
        <f t="shared" si="13"/>
        <v/>
      </c>
      <c r="J240" s="15" t="str">
        <f t="shared" si="14"/>
        <v/>
      </c>
    </row>
    <row r="241" spans="1:10">
      <c r="A241" s="7" t="str">
        <f>IF(子基金及业绩基准周净值!A290="","",子基金及业绩基准周净值!A290)</f>
        <v/>
      </c>
      <c r="B241" s="1" t="str">
        <f>IF(A241="","",VLOOKUP($A241,子基金及业绩基准周净值!$A:$AV,21))</f>
        <v/>
      </c>
      <c r="C241" s="8" t="str">
        <f t="shared" si="12"/>
        <v/>
      </c>
      <c r="D241" s="9" t="str">
        <f>IF(A241="","",C241-子基金及业绩基准周净值!AI290)</f>
        <v/>
      </c>
      <c r="E241" s="12" t="str">
        <f>IF(A241="","",(MAX(B$3:B241)-B241)/MAX(B$3:B241))</f>
        <v/>
      </c>
      <c r="F241" s="12" t="str">
        <f>IF(A241="","",MAX(E$4:E241))</f>
        <v/>
      </c>
      <c r="H241" s="14" t="str">
        <f t="shared" si="15"/>
        <v/>
      </c>
      <c r="I241" s="14" t="str">
        <f t="shared" si="13"/>
        <v/>
      </c>
      <c r="J241" s="15" t="str">
        <f t="shared" si="14"/>
        <v/>
      </c>
    </row>
    <row r="242" spans="1:10">
      <c r="A242" s="7" t="str">
        <f>IF(子基金及业绩基准周净值!A291="","",子基金及业绩基准周净值!A291)</f>
        <v/>
      </c>
      <c r="B242" s="1" t="str">
        <f>IF(A242="","",VLOOKUP($A242,子基金及业绩基准周净值!$A:$AV,21))</f>
        <v/>
      </c>
      <c r="C242" s="8" t="str">
        <f t="shared" si="12"/>
        <v/>
      </c>
      <c r="D242" s="9" t="str">
        <f>IF(A242="","",C242-子基金及业绩基准周净值!AI291)</f>
        <v/>
      </c>
      <c r="E242" s="12" t="str">
        <f>IF(A242="","",(MAX(B$3:B242)-B242)/MAX(B$3:B242))</f>
        <v/>
      </c>
      <c r="F242" s="12" t="str">
        <f>IF(A242="","",MAX(E$4:E242))</f>
        <v/>
      </c>
      <c r="H242" s="14" t="str">
        <f t="shared" si="15"/>
        <v/>
      </c>
      <c r="I242" s="14" t="str">
        <f t="shared" si="13"/>
        <v/>
      </c>
      <c r="J242" s="15" t="str">
        <f t="shared" si="14"/>
        <v/>
      </c>
    </row>
    <row r="243" spans="1:10">
      <c r="A243" s="7" t="str">
        <f>IF(子基金及业绩基准周净值!A292="","",子基金及业绩基准周净值!A292)</f>
        <v/>
      </c>
      <c r="B243" s="1" t="str">
        <f>IF(A243="","",VLOOKUP($A243,子基金及业绩基准周净值!$A:$AV,21))</f>
        <v/>
      </c>
      <c r="C243" s="8" t="str">
        <f t="shared" si="12"/>
        <v/>
      </c>
      <c r="D243" s="9" t="str">
        <f>IF(A243="","",C243-子基金及业绩基准周净值!AI292)</f>
        <v/>
      </c>
      <c r="E243" s="12" t="str">
        <f>IF(A243="","",(MAX(B$3:B243)-B243)/MAX(B$3:B243))</f>
        <v/>
      </c>
      <c r="F243" s="12" t="str">
        <f>IF(A243="","",MAX(E$4:E243))</f>
        <v/>
      </c>
      <c r="H243" s="14" t="str">
        <f t="shared" si="15"/>
        <v/>
      </c>
      <c r="I243" s="14" t="str">
        <f t="shared" si="13"/>
        <v/>
      </c>
      <c r="J243" s="15" t="str">
        <f t="shared" si="14"/>
        <v/>
      </c>
    </row>
    <row r="244" spans="1:10">
      <c r="A244" s="7" t="str">
        <f>IF(子基金及业绩基准周净值!A293="","",子基金及业绩基准周净值!A293)</f>
        <v/>
      </c>
      <c r="B244" s="1" t="str">
        <f>IF(A244="","",VLOOKUP($A244,子基金及业绩基准周净值!$A:$AV,21))</f>
        <v/>
      </c>
      <c r="C244" s="8" t="str">
        <f t="shared" si="12"/>
        <v/>
      </c>
      <c r="D244" s="9" t="str">
        <f>IF(A244="","",C244-子基金及业绩基准周净值!AI293)</f>
        <v/>
      </c>
      <c r="E244" s="12" t="str">
        <f>IF(A244="","",(MAX(B$3:B244)-B244)/MAX(B$3:B244))</f>
        <v/>
      </c>
      <c r="F244" s="12" t="str">
        <f>IF(A244="","",MAX(E$4:E244))</f>
        <v/>
      </c>
      <c r="H244" s="14" t="str">
        <f t="shared" si="15"/>
        <v/>
      </c>
      <c r="I244" s="14" t="str">
        <f t="shared" si="13"/>
        <v/>
      </c>
      <c r="J244" s="15" t="str">
        <f t="shared" si="14"/>
        <v/>
      </c>
    </row>
    <row r="245" spans="1:10">
      <c r="A245" s="7" t="str">
        <f>IF(子基金及业绩基准周净值!A294="","",子基金及业绩基准周净值!A294)</f>
        <v/>
      </c>
      <c r="B245" s="1" t="str">
        <f>IF(A245="","",VLOOKUP($A245,子基金及业绩基准周净值!$A:$AV,21))</f>
        <v/>
      </c>
      <c r="C245" s="8" t="str">
        <f t="shared" si="12"/>
        <v/>
      </c>
      <c r="D245" s="9" t="str">
        <f>IF(A245="","",C245-子基金及业绩基准周净值!AI294)</f>
        <v/>
      </c>
      <c r="E245" s="12" t="str">
        <f>IF(A245="","",(MAX(B$3:B245)-B245)/MAX(B$3:B245))</f>
        <v/>
      </c>
      <c r="F245" s="12" t="str">
        <f>IF(A245="","",MAX(E$4:E245))</f>
        <v/>
      </c>
      <c r="H245" s="14" t="str">
        <f t="shared" si="15"/>
        <v/>
      </c>
      <c r="I245" s="14" t="str">
        <f t="shared" si="13"/>
        <v/>
      </c>
      <c r="J245" s="15" t="str">
        <f t="shared" si="14"/>
        <v/>
      </c>
    </row>
    <row r="246" spans="1:10">
      <c r="A246" s="7" t="str">
        <f>IF(子基金及业绩基准周净值!A295="","",子基金及业绩基准周净值!A295)</f>
        <v/>
      </c>
      <c r="B246" s="1" t="str">
        <f>IF(A246="","",VLOOKUP($A246,子基金及业绩基准周净值!$A:$AV,21))</f>
        <v/>
      </c>
      <c r="C246" s="8" t="str">
        <f t="shared" si="12"/>
        <v/>
      </c>
      <c r="D246" s="9" t="str">
        <f>IF(A246="","",C246-子基金及业绩基准周净值!AI295)</f>
        <v/>
      </c>
      <c r="E246" s="12" t="str">
        <f>IF(A246="","",(MAX(B$3:B246)-B246)/MAX(B$3:B246))</f>
        <v/>
      </c>
      <c r="F246" s="12" t="str">
        <f>IF(A246="","",MAX(E$4:E246))</f>
        <v/>
      </c>
      <c r="H246" s="14" t="str">
        <f t="shared" si="15"/>
        <v/>
      </c>
      <c r="I246" s="14" t="str">
        <f t="shared" si="13"/>
        <v/>
      </c>
      <c r="J246" s="15" t="str">
        <f t="shared" si="14"/>
        <v/>
      </c>
    </row>
    <row r="247" spans="1:10">
      <c r="A247" s="7" t="str">
        <f>IF(子基金及业绩基准周净值!A296="","",子基金及业绩基准周净值!A296)</f>
        <v/>
      </c>
      <c r="B247" s="1" t="str">
        <f>IF(A247="","",VLOOKUP($A247,子基金及业绩基准周净值!$A:$AV,21))</f>
        <v/>
      </c>
      <c r="C247" s="8" t="str">
        <f t="shared" si="12"/>
        <v/>
      </c>
      <c r="D247" s="9" t="str">
        <f>IF(A247="","",C247-子基金及业绩基准周净值!AI296)</f>
        <v/>
      </c>
      <c r="E247" s="12" t="str">
        <f>IF(A247="","",(MAX(B$3:B247)-B247)/MAX(B$3:B247))</f>
        <v/>
      </c>
      <c r="F247" s="12" t="str">
        <f>IF(A247="","",MAX(E$4:E247))</f>
        <v/>
      </c>
      <c r="H247" s="14" t="str">
        <f t="shared" si="15"/>
        <v/>
      </c>
      <c r="I247" s="14" t="str">
        <f t="shared" si="13"/>
        <v/>
      </c>
      <c r="J247" s="15" t="str">
        <f t="shared" si="14"/>
        <v/>
      </c>
    </row>
    <row r="248" spans="1:10">
      <c r="A248" s="7" t="str">
        <f>IF(子基金及业绩基准周净值!A297="","",子基金及业绩基准周净值!A297)</f>
        <v/>
      </c>
      <c r="B248" s="1" t="str">
        <f>IF(A248="","",VLOOKUP($A248,子基金及业绩基准周净值!$A:$AV,21))</f>
        <v/>
      </c>
      <c r="C248" s="8" t="str">
        <f t="shared" si="12"/>
        <v/>
      </c>
      <c r="D248" s="9" t="str">
        <f>IF(A248="","",C248-子基金及业绩基准周净值!AI297)</f>
        <v/>
      </c>
      <c r="E248" s="12" t="str">
        <f>IF(A248="","",(MAX(B$3:B248)-B248)/MAX(B$3:B248))</f>
        <v/>
      </c>
      <c r="F248" s="12" t="str">
        <f>IF(A248="","",MAX(E$4:E248))</f>
        <v/>
      </c>
      <c r="H248" s="14" t="str">
        <f t="shared" si="15"/>
        <v/>
      </c>
      <c r="I248" s="14" t="str">
        <f t="shared" si="13"/>
        <v/>
      </c>
      <c r="J248" s="15" t="str">
        <f t="shared" si="14"/>
        <v/>
      </c>
    </row>
    <row r="249" spans="1:10">
      <c r="A249" s="7" t="str">
        <f>IF(子基金及业绩基准周净值!A298="","",子基金及业绩基准周净值!A298)</f>
        <v/>
      </c>
      <c r="B249" s="1" t="str">
        <f>IF(A249="","",VLOOKUP($A249,子基金及业绩基准周净值!$A:$AV,21))</f>
        <v/>
      </c>
      <c r="C249" s="8" t="str">
        <f t="shared" si="12"/>
        <v/>
      </c>
      <c r="D249" s="9" t="str">
        <f>IF(A249="","",C249-子基金及业绩基准周净值!AI298)</f>
        <v/>
      </c>
      <c r="E249" s="12" t="str">
        <f>IF(A249="","",(MAX(B$3:B249)-B249)/MAX(B$3:B249))</f>
        <v/>
      </c>
      <c r="F249" s="12" t="str">
        <f>IF(A249="","",MAX(E$4:E249))</f>
        <v/>
      </c>
      <c r="H249" s="14" t="str">
        <f t="shared" si="15"/>
        <v/>
      </c>
      <c r="I249" s="14" t="str">
        <f t="shared" si="13"/>
        <v/>
      </c>
      <c r="J249" s="15" t="str">
        <f t="shared" si="14"/>
        <v/>
      </c>
    </row>
    <row r="250" spans="1:10">
      <c r="A250" s="7" t="str">
        <f>IF(子基金及业绩基准周净值!A299="","",子基金及业绩基准周净值!A299)</f>
        <v/>
      </c>
      <c r="B250" s="1" t="str">
        <f>IF(A250="","",VLOOKUP($A250,子基金及业绩基准周净值!$A:$AV,21))</f>
        <v/>
      </c>
      <c r="C250" s="8" t="str">
        <f t="shared" si="12"/>
        <v/>
      </c>
      <c r="D250" s="9" t="str">
        <f>IF(A250="","",C250-子基金及业绩基准周净值!AI299)</f>
        <v/>
      </c>
      <c r="E250" s="12" t="str">
        <f>IF(A250="","",(MAX(B$3:B250)-B250)/MAX(B$3:B250))</f>
        <v/>
      </c>
      <c r="F250" s="12" t="str">
        <f>IF(A250="","",MAX(E$4:E250))</f>
        <v/>
      </c>
      <c r="H250" s="14" t="str">
        <f t="shared" si="15"/>
        <v/>
      </c>
      <c r="I250" s="14" t="str">
        <f t="shared" si="13"/>
        <v/>
      </c>
      <c r="J250" s="15" t="str">
        <f t="shared" si="14"/>
        <v/>
      </c>
    </row>
    <row r="251" spans="1:10">
      <c r="A251" s="7" t="str">
        <f>IF(子基金及业绩基准周净值!A300="","",子基金及业绩基准周净值!A300)</f>
        <v/>
      </c>
      <c r="B251" s="1" t="str">
        <f>IF(A251="","",VLOOKUP($A251,子基金及业绩基准周净值!$A:$AV,21))</f>
        <v/>
      </c>
      <c r="C251" s="8" t="str">
        <f t="shared" si="12"/>
        <v/>
      </c>
      <c r="D251" s="9" t="str">
        <f>IF(A251="","",C251-子基金及业绩基准周净值!AI300)</f>
        <v/>
      </c>
      <c r="E251" s="12" t="str">
        <f>IF(A251="","",(MAX(B$3:B251)-B251)/MAX(B$3:B251))</f>
        <v/>
      </c>
      <c r="F251" s="12" t="str">
        <f>IF(A251="","",MAX(E$4:E251))</f>
        <v/>
      </c>
      <c r="H251" s="14" t="str">
        <f t="shared" si="15"/>
        <v/>
      </c>
      <c r="I251" s="14" t="str">
        <f t="shared" si="13"/>
        <v/>
      </c>
      <c r="J251" s="15" t="str">
        <f t="shared" si="14"/>
        <v/>
      </c>
    </row>
    <row r="252" spans="1:10">
      <c r="A252" s="7" t="str">
        <f>IF(子基金及业绩基准周净值!A301="","",子基金及业绩基准周净值!A301)</f>
        <v/>
      </c>
      <c r="B252" s="1" t="str">
        <f>IF(A252="","",VLOOKUP($A252,子基金及业绩基准周净值!$A:$AV,21))</f>
        <v/>
      </c>
      <c r="C252" s="8" t="str">
        <f t="shared" si="12"/>
        <v/>
      </c>
      <c r="D252" s="9" t="str">
        <f>IF(A252="","",C252-子基金及业绩基准周净值!AI301)</f>
        <v/>
      </c>
      <c r="E252" s="12" t="str">
        <f>IF(A252="","",(MAX(B$3:B252)-B252)/MAX(B$3:B252))</f>
        <v/>
      </c>
      <c r="F252" s="12" t="str">
        <f>IF(A252="","",MAX(E$4:E252))</f>
        <v/>
      </c>
      <c r="H252" s="14" t="str">
        <f t="shared" si="15"/>
        <v/>
      </c>
      <c r="I252" s="14" t="str">
        <f t="shared" si="13"/>
        <v/>
      </c>
      <c r="J252" s="15" t="str">
        <f t="shared" si="14"/>
        <v/>
      </c>
    </row>
    <row r="253" spans="1:10">
      <c r="A253" s="7" t="str">
        <f>IF(子基金及业绩基准周净值!A302="","",子基金及业绩基准周净值!A302)</f>
        <v/>
      </c>
      <c r="B253" s="1" t="str">
        <f>IF(A253="","",VLOOKUP($A253,子基金及业绩基准周净值!$A:$AV,21))</f>
        <v/>
      </c>
      <c r="C253" s="8" t="str">
        <f t="shared" si="12"/>
        <v/>
      </c>
      <c r="D253" s="9" t="str">
        <f>IF(A253="","",C253-子基金及业绩基准周净值!AI302)</f>
        <v/>
      </c>
      <c r="E253" s="12" t="str">
        <f>IF(A253="","",(MAX(B$3:B253)-B253)/MAX(B$3:B253))</f>
        <v/>
      </c>
      <c r="F253" s="12" t="str">
        <f>IF(A253="","",MAX(E$4:E253))</f>
        <v/>
      </c>
      <c r="H253" s="14" t="str">
        <f t="shared" si="15"/>
        <v/>
      </c>
      <c r="I253" s="14" t="str">
        <f t="shared" si="13"/>
        <v/>
      </c>
      <c r="J253" s="15" t="str">
        <f t="shared" si="14"/>
        <v/>
      </c>
    </row>
    <row r="254" spans="1:10">
      <c r="A254" s="7" t="str">
        <f>IF(子基金及业绩基准周净值!A303="","",子基金及业绩基准周净值!A303)</f>
        <v/>
      </c>
      <c r="B254" s="1" t="str">
        <f>IF(A254="","",VLOOKUP($A254,子基金及业绩基准周净值!$A:$AV,21))</f>
        <v/>
      </c>
      <c r="C254" s="8" t="str">
        <f t="shared" si="12"/>
        <v/>
      </c>
      <c r="D254" s="9" t="str">
        <f>IF(A254="","",C254-子基金及业绩基准周净值!AI303)</f>
        <v/>
      </c>
      <c r="E254" s="12" t="str">
        <f>IF(A254="","",(MAX(B$3:B254)-B254)/MAX(B$3:B254))</f>
        <v/>
      </c>
      <c r="F254" s="12" t="str">
        <f>IF(A254="","",MAX(E$4:E254))</f>
        <v/>
      </c>
      <c r="H254" s="14" t="str">
        <f t="shared" si="15"/>
        <v/>
      </c>
      <c r="I254" s="14" t="str">
        <f t="shared" si="13"/>
        <v/>
      </c>
      <c r="J254" s="15" t="str">
        <f t="shared" si="14"/>
        <v/>
      </c>
    </row>
    <row r="255" spans="1:10">
      <c r="A255" s="7" t="str">
        <f>IF(子基金及业绩基准周净值!A304="","",子基金及业绩基准周净值!A304)</f>
        <v/>
      </c>
      <c r="B255" s="1" t="str">
        <f>IF(A255="","",VLOOKUP($A255,子基金及业绩基准周净值!$A:$AV,21))</f>
        <v/>
      </c>
      <c r="C255" s="8" t="str">
        <f t="shared" si="12"/>
        <v/>
      </c>
      <c r="D255" s="9" t="str">
        <f>IF(A255="","",C255-子基金及业绩基准周净值!AI304)</f>
        <v/>
      </c>
      <c r="E255" s="12" t="str">
        <f>IF(A255="","",(MAX(B$3:B255)-B255)/MAX(B$3:B255))</f>
        <v/>
      </c>
      <c r="F255" s="12" t="str">
        <f>IF(A255="","",MAX(E$4:E255))</f>
        <v/>
      </c>
      <c r="H255" s="14" t="str">
        <f t="shared" si="15"/>
        <v/>
      </c>
      <c r="I255" s="14" t="str">
        <f t="shared" si="13"/>
        <v/>
      </c>
      <c r="J255" s="15" t="str">
        <f t="shared" si="14"/>
        <v/>
      </c>
    </row>
    <row r="256" spans="1:10">
      <c r="A256" s="7" t="str">
        <f>IF(子基金及业绩基准周净值!A305="","",子基金及业绩基准周净值!A305)</f>
        <v/>
      </c>
      <c r="B256" s="1" t="str">
        <f>IF(A256="","",VLOOKUP($A256,子基金及业绩基准周净值!$A:$AV,21))</f>
        <v/>
      </c>
      <c r="C256" s="8" t="str">
        <f t="shared" si="12"/>
        <v/>
      </c>
      <c r="D256" s="9" t="str">
        <f>IF(A256="","",C256-子基金及业绩基准周净值!AI305)</f>
        <v/>
      </c>
      <c r="E256" s="12" t="str">
        <f>IF(A256="","",(MAX(B$3:B256)-B256)/MAX(B$3:B256))</f>
        <v/>
      </c>
      <c r="F256" s="12" t="str">
        <f>IF(A256="","",MAX(E$4:E256))</f>
        <v/>
      </c>
      <c r="H256" s="14" t="str">
        <f t="shared" si="15"/>
        <v/>
      </c>
      <c r="I256" s="14" t="str">
        <f t="shared" si="13"/>
        <v/>
      </c>
      <c r="J256" s="15" t="str">
        <f t="shared" si="14"/>
        <v/>
      </c>
    </row>
    <row r="257" spans="1:10">
      <c r="A257" s="7" t="str">
        <f>IF(子基金及业绩基准周净值!A306="","",子基金及业绩基准周净值!A306)</f>
        <v/>
      </c>
      <c r="B257" s="1" t="str">
        <f>IF(A257="","",VLOOKUP($A257,子基金及业绩基准周净值!$A:$AV,21))</f>
        <v/>
      </c>
      <c r="C257" s="8" t="str">
        <f t="shared" si="12"/>
        <v/>
      </c>
      <c r="D257" s="9" t="str">
        <f>IF(A257="","",C257-子基金及业绩基准周净值!AI306)</f>
        <v/>
      </c>
      <c r="E257" s="12" t="str">
        <f>IF(A257="","",(MAX(B$3:B257)-B257)/MAX(B$3:B257))</f>
        <v/>
      </c>
      <c r="F257" s="12" t="str">
        <f>IF(A257="","",MAX(E$4:E257))</f>
        <v/>
      </c>
      <c r="H257" s="14" t="str">
        <f t="shared" si="15"/>
        <v/>
      </c>
      <c r="I257" s="14" t="str">
        <f t="shared" si="13"/>
        <v/>
      </c>
      <c r="J257" s="15" t="str">
        <f t="shared" si="14"/>
        <v/>
      </c>
    </row>
    <row r="258" spans="1:10">
      <c r="A258" s="7" t="str">
        <f>IF(子基金及业绩基准周净值!A307="","",子基金及业绩基准周净值!A307)</f>
        <v/>
      </c>
      <c r="B258" s="1" t="str">
        <f>IF(A258="","",VLOOKUP($A258,子基金及业绩基准周净值!$A:$AV,21))</f>
        <v/>
      </c>
      <c r="C258" s="8" t="str">
        <f t="shared" si="12"/>
        <v/>
      </c>
      <c r="D258" s="9" t="str">
        <f>IF(A258="","",C258-子基金及业绩基准周净值!AI307)</f>
        <v/>
      </c>
      <c r="E258" s="12" t="str">
        <f>IF(A258="","",(MAX(B$3:B258)-B258)/MAX(B$3:B258))</f>
        <v/>
      </c>
      <c r="F258" s="12" t="str">
        <f>IF(A258="","",MAX(E$4:E258))</f>
        <v/>
      </c>
      <c r="H258" s="14" t="str">
        <f t="shared" si="15"/>
        <v/>
      </c>
      <c r="I258" s="14" t="str">
        <f t="shared" si="13"/>
        <v/>
      </c>
      <c r="J258" s="15" t="str">
        <f t="shared" si="14"/>
        <v/>
      </c>
    </row>
    <row r="259" spans="1:10">
      <c r="A259" s="7" t="str">
        <f>IF(子基金及业绩基准周净值!A308="","",子基金及业绩基准周净值!A308)</f>
        <v/>
      </c>
      <c r="B259" s="1" t="str">
        <f>IF(A259="","",VLOOKUP($A259,子基金及业绩基准周净值!$A:$AV,21))</f>
        <v/>
      </c>
      <c r="C259" s="8" t="str">
        <f t="shared" si="12"/>
        <v/>
      </c>
      <c r="D259" s="9" t="str">
        <f>IF(A259="","",C259-子基金及业绩基准周净值!AI308)</f>
        <v/>
      </c>
      <c r="E259" s="12" t="str">
        <f>IF(A259="","",(MAX(B$3:B259)-B259)/MAX(B$3:B259))</f>
        <v/>
      </c>
      <c r="F259" s="12" t="str">
        <f>IF(A259="","",MAX(E$4:E259))</f>
        <v/>
      </c>
      <c r="H259" s="14" t="str">
        <f t="shared" si="15"/>
        <v/>
      </c>
      <c r="I259" s="14" t="str">
        <f t="shared" si="13"/>
        <v/>
      </c>
      <c r="J259" s="15" t="str">
        <f t="shared" si="14"/>
        <v/>
      </c>
    </row>
    <row r="260" spans="1:10">
      <c r="A260" s="7" t="str">
        <f>IF(子基金及业绩基准周净值!A309="","",子基金及业绩基准周净值!A309)</f>
        <v/>
      </c>
      <c r="B260" s="1" t="str">
        <f>IF(A260="","",VLOOKUP($A260,子基金及业绩基准周净值!$A:$AV,21))</f>
        <v/>
      </c>
      <c r="C260" s="8" t="str">
        <f t="shared" ref="C260:C308" si="16">IF(A260="","",(B260-B259)/B259)</f>
        <v/>
      </c>
      <c r="D260" s="9" t="str">
        <f>IF(A260="","",C260-子基金及业绩基准周净值!AI309)</f>
        <v/>
      </c>
      <c r="E260" s="12" t="str">
        <f>IF(A260="","",(MAX(B$3:B260)-B260)/MAX(B$3:B260))</f>
        <v/>
      </c>
      <c r="F260" s="12" t="str">
        <f>IF(A260="","",MAX(E$4:E260))</f>
        <v/>
      </c>
      <c r="H260" s="14" t="str">
        <f t="shared" si="15"/>
        <v/>
      </c>
      <c r="I260" s="14" t="str">
        <f t="shared" ref="I260:I308" si="17">IF(A260="","",IF(F260&gt;5%,"是","否"))</f>
        <v/>
      </c>
      <c r="J260" s="15" t="str">
        <f t="shared" ref="J260:J308" si="18">IF(A260="","",IF(G260&gt;=4,"是","否"))</f>
        <v/>
      </c>
    </row>
    <row r="261" spans="1:10">
      <c r="A261" s="7" t="str">
        <f>IF(子基金及业绩基准周净值!A310="","",子基金及业绩基准周净值!A310)</f>
        <v/>
      </c>
      <c r="B261" s="1" t="str">
        <f>IF(A261="","",VLOOKUP($A261,子基金及业绩基准周净值!$A:$AV,21))</f>
        <v/>
      </c>
      <c r="C261" s="8" t="str">
        <f t="shared" si="16"/>
        <v/>
      </c>
      <c r="D261" s="9" t="str">
        <f>IF(A261="","",C261-子基金及业绩基准周净值!AI310)</f>
        <v/>
      </c>
      <c r="E261" s="12" t="str">
        <f>IF(A261="","",(MAX(B$3:B261)-B261)/MAX(B$3:B261))</f>
        <v/>
      </c>
      <c r="F261" s="12" t="str">
        <f>IF(A261="","",MAX(E$4:E261))</f>
        <v/>
      </c>
      <c r="H261" s="14" t="str">
        <f t="shared" ref="H261:H308" si="19">IF(B261="","",IF(C261&lt;-3%,"是","否"))</f>
        <v/>
      </c>
      <c r="I261" s="14" t="str">
        <f t="shared" si="17"/>
        <v/>
      </c>
      <c r="J261" s="15" t="str">
        <f t="shared" si="18"/>
        <v/>
      </c>
    </row>
    <row r="262" spans="1:10">
      <c r="A262" s="7" t="str">
        <f>IF(子基金及业绩基准周净值!A311="","",子基金及业绩基准周净值!A311)</f>
        <v/>
      </c>
      <c r="B262" s="1" t="str">
        <f>IF(A262="","",VLOOKUP($A262,子基金及业绩基准周净值!$A:$AV,21))</f>
        <v/>
      </c>
      <c r="C262" s="8" t="str">
        <f t="shared" si="16"/>
        <v/>
      </c>
      <c r="D262" s="9" t="str">
        <f>IF(A262="","",C262-子基金及业绩基准周净值!AI311)</f>
        <v/>
      </c>
      <c r="E262" s="12" t="str">
        <f>IF(A262="","",(MAX(B$3:B262)-B262)/MAX(B$3:B262))</f>
        <v/>
      </c>
      <c r="F262" s="12" t="str">
        <f>IF(A262="","",MAX(E$4:E262))</f>
        <v/>
      </c>
      <c r="H262" s="14" t="str">
        <f t="shared" si="19"/>
        <v/>
      </c>
      <c r="I262" s="14" t="str">
        <f t="shared" si="17"/>
        <v/>
      </c>
      <c r="J262" s="15" t="str">
        <f t="shared" si="18"/>
        <v/>
      </c>
    </row>
    <row r="263" spans="1:10">
      <c r="A263" s="7" t="str">
        <f>IF(子基金及业绩基准周净值!A312="","",子基金及业绩基准周净值!A312)</f>
        <v/>
      </c>
      <c r="B263" s="1" t="str">
        <f>IF(A263="","",VLOOKUP($A263,子基金及业绩基准周净值!$A:$AV,21))</f>
        <v/>
      </c>
      <c r="C263" s="8" t="str">
        <f t="shared" si="16"/>
        <v/>
      </c>
      <c r="D263" s="9" t="str">
        <f>IF(A263="","",C263-子基金及业绩基准周净值!AI312)</f>
        <v/>
      </c>
      <c r="E263" s="12" t="str">
        <f>IF(A263="","",(MAX(B$3:B263)-B263)/MAX(B$3:B263))</f>
        <v/>
      </c>
      <c r="F263" s="12" t="str">
        <f>IF(A263="","",MAX(E$4:E263))</f>
        <v/>
      </c>
      <c r="H263" s="14" t="str">
        <f t="shared" si="19"/>
        <v/>
      </c>
      <c r="I263" s="14" t="str">
        <f t="shared" si="17"/>
        <v/>
      </c>
      <c r="J263" s="15" t="str">
        <f t="shared" si="18"/>
        <v/>
      </c>
    </row>
    <row r="264" spans="1:10">
      <c r="A264" s="7" t="str">
        <f>IF(子基金及业绩基准周净值!A313="","",子基金及业绩基准周净值!A313)</f>
        <v/>
      </c>
      <c r="B264" s="1" t="str">
        <f>IF(A264="","",VLOOKUP($A264,子基金及业绩基准周净值!$A:$AV,21))</f>
        <v/>
      </c>
      <c r="C264" s="8" t="str">
        <f t="shared" si="16"/>
        <v/>
      </c>
      <c r="D264" s="9" t="str">
        <f>IF(A264="","",C264-子基金及业绩基准周净值!AI313)</f>
        <v/>
      </c>
      <c r="E264" s="12" t="str">
        <f>IF(A264="","",(MAX(B$3:B264)-B264)/MAX(B$3:B264))</f>
        <v/>
      </c>
      <c r="F264" s="12" t="str">
        <f>IF(A264="","",MAX(E$4:E264))</f>
        <v/>
      </c>
      <c r="H264" s="14" t="str">
        <f t="shared" si="19"/>
        <v/>
      </c>
      <c r="I264" s="14" t="str">
        <f t="shared" si="17"/>
        <v/>
      </c>
      <c r="J264" s="15" t="str">
        <f t="shared" si="18"/>
        <v/>
      </c>
    </row>
    <row r="265" spans="1:10">
      <c r="A265" s="7" t="str">
        <f>IF(子基金及业绩基准周净值!A314="","",子基金及业绩基准周净值!A314)</f>
        <v/>
      </c>
      <c r="B265" s="1" t="str">
        <f>IF(A265="","",VLOOKUP($A265,子基金及业绩基准周净值!$A:$AV,21))</f>
        <v/>
      </c>
      <c r="C265" s="8" t="str">
        <f t="shared" si="16"/>
        <v/>
      </c>
      <c r="D265" s="9" t="str">
        <f>IF(A265="","",C265-子基金及业绩基准周净值!AI314)</f>
        <v/>
      </c>
      <c r="E265" s="12" t="str">
        <f>IF(A265="","",(MAX(B$3:B265)-B265)/MAX(B$3:B265))</f>
        <v/>
      </c>
      <c r="F265" s="12" t="str">
        <f>IF(A265="","",MAX(E$4:E265))</f>
        <v/>
      </c>
      <c r="H265" s="14" t="str">
        <f t="shared" si="19"/>
        <v/>
      </c>
      <c r="I265" s="14" t="str">
        <f t="shared" si="17"/>
        <v/>
      </c>
      <c r="J265" s="15" t="str">
        <f t="shared" si="18"/>
        <v/>
      </c>
    </row>
    <row r="266" spans="1:10">
      <c r="A266" s="7" t="str">
        <f>IF(子基金及业绩基准周净值!A315="","",子基金及业绩基准周净值!A315)</f>
        <v/>
      </c>
      <c r="B266" s="1" t="str">
        <f>IF(A266="","",VLOOKUP($A266,子基金及业绩基准周净值!$A:$AV,21))</f>
        <v/>
      </c>
      <c r="C266" s="8" t="str">
        <f t="shared" si="16"/>
        <v/>
      </c>
      <c r="D266" s="9" t="str">
        <f>IF(A266="","",C266-子基金及业绩基准周净值!AI315)</f>
        <v/>
      </c>
      <c r="E266" s="12" t="str">
        <f>IF(A266="","",(MAX(B$3:B266)-B266)/MAX(B$3:B266))</f>
        <v/>
      </c>
      <c r="F266" s="12" t="str">
        <f>IF(A266="","",MAX(E$4:E266))</f>
        <v/>
      </c>
      <c r="H266" s="14" t="str">
        <f t="shared" si="19"/>
        <v/>
      </c>
      <c r="I266" s="14" t="str">
        <f t="shared" si="17"/>
        <v/>
      </c>
      <c r="J266" s="15" t="str">
        <f t="shared" si="18"/>
        <v/>
      </c>
    </row>
    <row r="267" spans="1:10">
      <c r="A267" s="7" t="str">
        <f>IF(子基金及业绩基准周净值!A316="","",子基金及业绩基准周净值!A316)</f>
        <v/>
      </c>
      <c r="B267" s="1" t="str">
        <f>IF(A267="","",VLOOKUP($A267,子基金及业绩基准周净值!$A:$AV,21))</f>
        <v/>
      </c>
      <c r="C267" s="8" t="str">
        <f t="shared" si="16"/>
        <v/>
      </c>
      <c r="D267" s="9" t="str">
        <f>IF(A267="","",C267-子基金及业绩基准周净值!AI316)</f>
        <v/>
      </c>
      <c r="E267" s="12" t="str">
        <f>IF(A267="","",(MAX(B$3:B267)-B267)/MAX(B$3:B267))</f>
        <v/>
      </c>
      <c r="F267" s="12" t="str">
        <f>IF(A267="","",MAX(E$4:E267))</f>
        <v/>
      </c>
      <c r="H267" s="14" t="str">
        <f t="shared" si="19"/>
        <v/>
      </c>
      <c r="I267" s="14" t="str">
        <f t="shared" si="17"/>
        <v/>
      </c>
      <c r="J267" s="15" t="str">
        <f t="shared" si="18"/>
        <v/>
      </c>
    </row>
    <row r="268" spans="1:10">
      <c r="A268" s="7" t="str">
        <f>IF(子基金及业绩基准周净值!A317="","",子基金及业绩基准周净值!A317)</f>
        <v/>
      </c>
      <c r="B268" s="1" t="str">
        <f>IF(A268="","",VLOOKUP($A268,子基金及业绩基准周净值!$A:$AV,21))</f>
        <v/>
      </c>
      <c r="C268" s="8" t="str">
        <f t="shared" si="16"/>
        <v/>
      </c>
      <c r="D268" s="9" t="str">
        <f>IF(A268="","",C268-子基金及业绩基准周净值!AI317)</f>
        <v/>
      </c>
      <c r="E268" s="12" t="str">
        <f>IF(A268="","",(MAX(B$3:B268)-B268)/MAX(B$3:B268))</f>
        <v/>
      </c>
      <c r="F268" s="12" t="str">
        <f>IF(A268="","",MAX(E$4:E268))</f>
        <v/>
      </c>
      <c r="H268" s="14" t="str">
        <f t="shared" si="19"/>
        <v/>
      </c>
      <c r="I268" s="14" t="str">
        <f t="shared" si="17"/>
        <v/>
      </c>
      <c r="J268" s="15" t="str">
        <f t="shared" si="18"/>
        <v/>
      </c>
    </row>
    <row r="269" spans="1:10">
      <c r="A269" s="7" t="str">
        <f>IF(子基金及业绩基准周净值!A318="","",子基金及业绩基准周净值!A318)</f>
        <v/>
      </c>
      <c r="B269" s="1" t="str">
        <f>IF(A269="","",VLOOKUP($A269,子基金及业绩基准周净值!$A:$AV,21))</f>
        <v/>
      </c>
      <c r="C269" s="8" t="str">
        <f t="shared" si="16"/>
        <v/>
      </c>
      <c r="D269" s="9" t="str">
        <f>IF(A269="","",C269-子基金及业绩基准周净值!AI318)</f>
        <v/>
      </c>
      <c r="E269" s="12" t="str">
        <f>IF(A269="","",(MAX(B$3:B269)-B269)/MAX(B$3:B269))</f>
        <v/>
      </c>
      <c r="F269" s="12" t="str">
        <f>IF(A269="","",MAX(E$4:E269))</f>
        <v/>
      </c>
      <c r="H269" s="14" t="str">
        <f t="shared" si="19"/>
        <v/>
      </c>
      <c r="I269" s="14" t="str">
        <f t="shared" si="17"/>
        <v/>
      </c>
      <c r="J269" s="15" t="str">
        <f t="shared" si="18"/>
        <v/>
      </c>
    </row>
    <row r="270" spans="1:10">
      <c r="A270" s="7" t="str">
        <f>IF(子基金及业绩基准周净值!A319="","",子基金及业绩基准周净值!A319)</f>
        <v/>
      </c>
      <c r="B270" s="1" t="str">
        <f>IF(A270="","",VLOOKUP($A270,子基金及业绩基准周净值!$A:$AV,21))</f>
        <v/>
      </c>
      <c r="C270" s="8" t="str">
        <f t="shared" si="16"/>
        <v/>
      </c>
      <c r="D270" s="9" t="str">
        <f>IF(A270="","",C270-子基金及业绩基准周净值!AI319)</f>
        <v/>
      </c>
      <c r="E270" s="12" t="str">
        <f>IF(A270="","",(MAX(B$3:B270)-B270)/MAX(B$3:B270))</f>
        <v/>
      </c>
      <c r="F270" s="12" t="str">
        <f>IF(A270="","",MAX(E$4:E270))</f>
        <v/>
      </c>
      <c r="H270" s="14" t="str">
        <f t="shared" si="19"/>
        <v/>
      </c>
      <c r="I270" s="14" t="str">
        <f t="shared" si="17"/>
        <v/>
      </c>
      <c r="J270" s="15" t="str">
        <f t="shared" si="18"/>
        <v/>
      </c>
    </row>
    <row r="271" spans="1:10">
      <c r="A271" s="7" t="str">
        <f>IF(子基金及业绩基准周净值!A320="","",子基金及业绩基准周净值!A320)</f>
        <v/>
      </c>
      <c r="B271" s="1" t="str">
        <f>IF(A271="","",VLOOKUP($A271,子基金及业绩基准周净值!$A:$AV,21))</f>
        <v/>
      </c>
      <c r="C271" s="8" t="str">
        <f t="shared" si="16"/>
        <v/>
      </c>
      <c r="D271" s="9" t="str">
        <f>IF(A271="","",C271-子基金及业绩基准周净值!AI320)</f>
        <v/>
      </c>
      <c r="E271" s="12" t="str">
        <f>IF(A271="","",(MAX(B$3:B271)-B271)/MAX(B$3:B271))</f>
        <v/>
      </c>
      <c r="F271" s="12" t="str">
        <f>IF(A271="","",MAX(E$4:E271))</f>
        <v/>
      </c>
      <c r="H271" s="14" t="str">
        <f t="shared" si="19"/>
        <v/>
      </c>
      <c r="I271" s="14" t="str">
        <f t="shared" si="17"/>
        <v/>
      </c>
      <c r="J271" s="15" t="str">
        <f t="shared" si="18"/>
        <v/>
      </c>
    </row>
    <row r="272" spans="1:10">
      <c r="A272" s="7" t="str">
        <f>IF(子基金及业绩基准周净值!A321="","",子基金及业绩基准周净值!A321)</f>
        <v/>
      </c>
      <c r="B272" s="1" t="str">
        <f>IF(A272="","",VLOOKUP($A272,子基金及业绩基准周净值!$A:$AV,21))</f>
        <v/>
      </c>
      <c r="C272" s="8" t="str">
        <f t="shared" si="16"/>
        <v/>
      </c>
      <c r="D272" s="9" t="str">
        <f>IF(A272="","",C272-子基金及业绩基准周净值!AI321)</f>
        <v/>
      </c>
      <c r="E272" s="12" t="str">
        <f>IF(A272="","",(MAX(B$3:B272)-B272)/MAX(B$3:B272))</f>
        <v/>
      </c>
      <c r="F272" s="12" t="str">
        <f>IF(A272="","",MAX(E$4:E272))</f>
        <v/>
      </c>
      <c r="H272" s="14" t="str">
        <f t="shared" si="19"/>
        <v/>
      </c>
      <c r="I272" s="14" t="str">
        <f t="shared" si="17"/>
        <v/>
      </c>
      <c r="J272" s="15" t="str">
        <f t="shared" si="18"/>
        <v/>
      </c>
    </row>
    <row r="273" spans="1:10">
      <c r="A273" s="7" t="str">
        <f>IF(子基金及业绩基准周净值!A322="","",子基金及业绩基准周净值!A322)</f>
        <v/>
      </c>
      <c r="B273" s="1" t="str">
        <f>IF(A273="","",VLOOKUP($A273,子基金及业绩基准周净值!$A:$AV,21))</f>
        <v/>
      </c>
      <c r="C273" s="8" t="str">
        <f t="shared" si="16"/>
        <v/>
      </c>
      <c r="D273" s="9" t="str">
        <f>IF(A273="","",C273-子基金及业绩基准周净值!AI322)</f>
        <v/>
      </c>
      <c r="E273" s="12" t="str">
        <f>IF(A273="","",(MAX(B$3:B273)-B273)/MAX(B$3:B273))</f>
        <v/>
      </c>
      <c r="F273" s="12" t="str">
        <f>IF(A273="","",MAX(E$4:E273))</f>
        <v/>
      </c>
      <c r="H273" s="14" t="str">
        <f t="shared" si="19"/>
        <v/>
      </c>
      <c r="I273" s="14" t="str">
        <f t="shared" si="17"/>
        <v/>
      </c>
      <c r="J273" s="15" t="str">
        <f t="shared" si="18"/>
        <v/>
      </c>
    </row>
    <row r="274" spans="1:10">
      <c r="A274" s="7" t="str">
        <f>IF(子基金及业绩基准周净值!A323="","",子基金及业绩基准周净值!A323)</f>
        <v/>
      </c>
      <c r="B274" s="1" t="str">
        <f>IF(A274="","",VLOOKUP($A274,子基金及业绩基准周净值!$A:$AV,21))</f>
        <v/>
      </c>
      <c r="C274" s="8" t="str">
        <f t="shared" si="16"/>
        <v/>
      </c>
      <c r="D274" s="9" t="str">
        <f>IF(A274="","",C274-子基金及业绩基准周净值!AI323)</f>
        <v/>
      </c>
      <c r="E274" s="12" t="str">
        <f>IF(A274="","",(MAX(B$3:B274)-B274)/MAX(B$3:B274))</f>
        <v/>
      </c>
      <c r="F274" s="12" t="str">
        <f>IF(A274="","",MAX(E$4:E274))</f>
        <v/>
      </c>
      <c r="H274" s="14" t="str">
        <f t="shared" si="19"/>
        <v/>
      </c>
      <c r="I274" s="14" t="str">
        <f t="shared" si="17"/>
        <v/>
      </c>
      <c r="J274" s="15" t="str">
        <f t="shared" si="18"/>
        <v/>
      </c>
    </row>
    <row r="275" spans="1:10">
      <c r="A275" s="7" t="str">
        <f>IF(子基金及业绩基准周净值!A324="","",子基金及业绩基准周净值!A324)</f>
        <v/>
      </c>
      <c r="B275" s="1" t="str">
        <f>IF(A275="","",VLOOKUP($A275,子基金及业绩基准周净值!$A:$AV,21))</f>
        <v/>
      </c>
      <c r="C275" s="8" t="str">
        <f t="shared" si="16"/>
        <v/>
      </c>
      <c r="D275" s="9" t="str">
        <f>IF(A275="","",C275-子基金及业绩基准周净值!AI324)</f>
        <v/>
      </c>
      <c r="E275" s="12" t="str">
        <f>IF(A275="","",(MAX(B$3:B275)-B275)/MAX(B$3:B275))</f>
        <v/>
      </c>
      <c r="F275" s="12" t="str">
        <f>IF(A275="","",MAX(E$4:E275))</f>
        <v/>
      </c>
      <c r="H275" s="14" t="str">
        <f t="shared" si="19"/>
        <v/>
      </c>
      <c r="I275" s="14" t="str">
        <f t="shared" si="17"/>
        <v/>
      </c>
      <c r="J275" s="15" t="str">
        <f t="shared" si="18"/>
        <v/>
      </c>
    </row>
    <row r="276" spans="1:10">
      <c r="A276" s="7" t="str">
        <f>IF(子基金及业绩基准周净值!A325="","",子基金及业绩基准周净值!A325)</f>
        <v/>
      </c>
      <c r="B276" s="1" t="str">
        <f>IF(A276="","",VLOOKUP($A276,子基金及业绩基准周净值!$A:$AV,21))</f>
        <v/>
      </c>
      <c r="C276" s="8" t="str">
        <f t="shared" si="16"/>
        <v/>
      </c>
      <c r="D276" s="9" t="str">
        <f>IF(A276="","",C276-子基金及业绩基准周净值!AI325)</f>
        <v/>
      </c>
      <c r="E276" s="12" t="str">
        <f>IF(A276="","",(MAX(B$3:B276)-B276)/MAX(B$3:B276))</f>
        <v/>
      </c>
      <c r="F276" s="12" t="str">
        <f>IF(A276="","",MAX(E$4:E276))</f>
        <v/>
      </c>
      <c r="H276" s="14" t="str">
        <f t="shared" si="19"/>
        <v/>
      </c>
      <c r="I276" s="14" t="str">
        <f t="shared" si="17"/>
        <v/>
      </c>
      <c r="J276" s="15" t="str">
        <f t="shared" si="18"/>
        <v/>
      </c>
    </row>
    <row r="277" spans="1:10">
      <c r="A277" s="7" t="str">
        <f>IF(子基金及业绩基准周净值!A326="","",子基金及业绩基准周净值!A326)</f>
        <v/>
      </c>
      <c r="B277" s="1" t="str">
        <f>IF(A277="","",VLOOKUP($A277,子基金及业绩基准周净值!$A:$AV,21))</f>
        <v/>
      </c>
      <c r="C277" s="8" t="str">
        <f t="shared" si="16"/>
        <v/>
      </c>
      <c r="D277" s="9" t="str">
        <f>IF(A277="","",C277-子基金及业绩基准周净值!AI326)</f>
        <v/>
      </c>
      <c r="E277" s="12" t="str">
        <f>IF(A277="","",(MAX(B$3:B277)-B277)/MAX(B$3:B277))</f>
        <v/>
      </c>
      <c r="F277" s="12" t="str">
        <f>IF(A277="","",MAX(E$4:E277))</f>
        <v/>
      </c>
      <c r="H277" s="14" t="str">
        <f t="shared" si="19"/>
        <v/>
      </c>
      <c r="I277" s="14" t="str">
        <f t="shared" si="17"/>
        <v/>
      </c>
      <c r="J277" s="15" t="str">
        <f t="shared" si="18"/>
        <v/>
      </c>
    </row>
    <row r="278" spans="1:10">
      <c r="A278" s="7" t="str">
        <f>IF(子基金及业绩基准周净值!A327="","",子基金及业绩基准周净值!A327)</f>
        <v/>
      </c>
      <c r="B278" s="1" t="str">
        <f>IF(A278="","",VLOOKUP($A278,子基金及业绩基准周净值!$A:$AV,21))</f>
        <v/>
      </c>
      <c r="C278" s="8" t="str">
        <f t="shared" si="16"/>
        <v/>
      </c>
      <c r="D278" s="9" t="str">
        <f>IF(A278="","",C278-子基金及业绩基准周净值!AI327)</f>
        <v/>
      </c>
      <c r="E278" s="12" t="str">
        <f>IF(A278="","",(MAX(B$3:B278)-B278)/MAX(B$3:B278))</f>
        <v/>
      </c>
      <c r="F278" s="12" t="str">
        <f>IF(A278="","",MAX(E$4:E278))</f>
        <v/>
      </c>
      <c r="H278" s="14" t="str">
        <f t="shared" si="19"/>
        <v/>
      </c>
      <c r="I278" s="14" t="str">
        <f t="shared" si="17"/>
        <v/>
      </c>
      <c r="J278" s="15" t="str">
        <f t="shared" si="18"/>
        <v/>
      </c>
    </row>
    <row r="279" spans="1:10">
      <c r="A279" s="7" t="str">
        <f>IF(子基金及业绩基准周净值!A328="","",子基金及业绩基准周净值!A328)</f>
        <v/>
      </c>
      <c r="B279" s="1" t="str">
        <f>IF(A279="","",VLOOKUP($A279,子基金及业绩基准周净值!$A:$AV,21))</f>
        <v/>
      </c>
      <c r="C279" s="8" t="str">
        <f t="shared" si="16"/>
        <v/>
      </c>
      <c r="D279" s="9" t="str">
        <f>IF(A279="","",C279-子基金及业绩基准周净值!AI328)</f>
        <v/>
      </c>
      <c r="E279" s="12" t="str">
        <f>IF(A279="","",(MAX(B$3:B279)-B279)/MAX(B$3:B279))</f>
        <v/>
      </c>
      <c r="F279" s="12" t="str">
        <f>IF(A279="","",MAX(E$4:E279))</f>
        <v/>
      </c>
      <c r="H279" s="14" t="str">
        <f t="shared" si="19"/>
        <v/>
      </c>
      <c r="I279" s="14" t="str">
        <f t="shared" si="17"/>
        <v/>
      </c>
      <c r="J279" s="15" t="str">
        <f t="shared" si="18"/>
        <v/>
      </c>
    </row>
    <row r="280" spans="1:10">
      <c r="A280" s="7" t="str">
        <f>IF(子基金及业绩基准周净值!A329="","",子基金及业绩基准周净值!A329)</f>
        <v/>
      </c>
      <c r="B280" s="1" t="str">
        <f>IF(A280="","",VLOOKUP($A280,子基金及业绩基准周净值!$A:$AV,21))</f>
        <v/>
      </c>
      <c r="C280" s="8" t="str">
        <f t="shared" si="16"/>
        <v/>
      </c>
      <c r="D280" s="9" t="str">
        <f>IF(A280="","",C280-子基金及业绩基准周净值!AI329)</f>
        <v/>
      </c>
      <c r="E280" s="12" t="str">
        <f>IF(A280="","",(MAX(B$3:B280)-B280)/MAX(B$3:B280))</f>
        <v/>
      </c>
      <c r="F280" s="12" t="str">
        <f>IF(A280="","",MAX(E$4:E280))</f>
        <v/>
      </c>
      <c r="H280" s="14" t="str">
        <f t="shared" si="19"/>
        <v/>
      </c>
      <c r="I280" s="14" t="str">
        <f t="shared" si="17"/>
        <v/>
      </c>
      <c r="J280" s="15" t="str">
        <f t="shared" si="18"/>
        <v/>
      </c>
    </row>
    <row r="281" spans="1:10">
      <c r="A281" s="7" t="str">
        <f>IF(子基金及业绩基准周净值!A330="","",子基金及业绩基准周净值!A330)</f>
        <v/>
      </c>
      <c r="B281" s="1" t="str">
        <f>IF(A281="","",VLOOKUP($A281,子基金及业绩基准周净值!$A:$AV,21))</f>
        <v/>
      </c>
      <c r="C281" s="8" t="str">
        <f t="shared" si="16"/>
        <v/>
      </c>
      <c r="D281" s="9" t="str">
        <f>IF(A281="","",C281-子基金及业绩基准周净值!AI330)</f>
        <v/>
      </c>
      <c r="E281" s="12" t="str">
        <f>IF(A281="","",(MAX(B$3:B281)-B281)/MAX(B$3:B281))</f>
        <v/>
      </c>
      <c r="F281" s="12" t="str">
        <f>IF(A281="","",MAX(E$4:E281))</f>
        <v/>
      </c>
      <c r="H281" s="14" t="str">
        <f t="shared" si="19"/>
        <v/>
      </c>
      <c r="I281" s="14" t="str">
        <f t="shared" si="17"/>
        <v/>
      </c>
      <c r="J281" s="15" t="str">
        <f t="shared" si="18"/>
        <v/>
      </c>
    </row>
    <row r="282" spans="1:10">
      <c r="A282" s="7" t="str">
        <f>IF(子基金及业绩基准周净值!A331="","",子基金及业绩基准周净值!A331)</f>
        <v/>
      </c>
      <c r="B282" s="1" t="str">
        <f>IF(A282="","",VLOOKUP($A282,子基金及业绩基准周净值!$A:$AV,21))</f>
        <v/>
      </c>
      <c r="C282" s="8" t="str">
        <f t="shared" si="16"/>
        <v/>
      </c>
      <c r="D282" s="9" t="str">
        <f>IF(A282="","",C282-子基金及业绩基准周净值!AI331)</f>
        <v/>
      </c>
      <c r="E282" s="12" t="str">
        <f>IF(A282="","",(MAX(B$3:B282)-B282)/MAX(B$3:B282))</f>
        <v/>
      </c>
      <c r="F282" s="12" t="str">
        <f>IF(A282="","",MAX(E$4:E282))</f>
        <v/>
      </c>
      <c r="H282" s="14" t="str">
        <f t="shared" si="19"/>
        <v/>
      </c>
      <c r="I282" s="14" t="str">
        <f t="shared" si="17"/>
        <v/>
      </c>
      <c r="J282" s="15" t="str">
        <f t="shared" si="18"/>
        <v/>
      </c>
    </row>
    <row r="283" spans="1:10">
      <c r="A283" s="7" t="str">
        <f>IF(子基金及业绩基准周净值!A332="","",子基金及业绩基准周净值!A332)</f>
        <v/>
      </c>
      <c r="B283" s="1" t="str">
        <f>IF(A283="","",VLOOKUP($A283,子基金及业绩基准周净值!$A:$AV,21))</f>
        <v/>
      </c>
      <c r="C283" s="8" t="str">
        <f t="shared" si="16"/>
        <v/>
      </c>
      <c r="D283" s="9" t="str">
        <f>IF(A283="","",C283-子基金及业绩基准周净值!AI332)</f>
        <v/>
      </c>
      <c r="E283" s="12" t="str">
        <f>IF(A283="","",(MAX(B$3:B283)-B283)/MAX(B$3:B283))</f>
        <v/>
      </c>
      <c r="F283" s="12" t="str">
        <f>IF(A283="","",MAX(E$4:E283))</f>
        <v/>
      </c>
      <c r="H283" s="14" t="str">
        <f t="shared" si="19"/>
        <v/>
      </c>
      <c r="I283" s="14" t="str">
        <f t="shared" si="17"/>
        <v/>
      </c>
      <c r="J283" s="15" t="str">
        <f t="shared" si="18"/>
        <v/>
      </c>
    </row>
    <row r="284" spans="1:10">
      <c r="A284" s="7" t="str">
        <f>IF(子基金及业绩基准周净值!A333="","",子基金及业绩基准周净值!A333)</f>
        <v/>
      </c>
      <c r="B284" s="1" t="str">
        <f>IF(A284="","",VLOOKUP($A284,子基金及业绩基准周净值!$A:$AV,21))</f>
        <v/>
      </c>
      <c r="C284" s="8" t="str">
        <f t="shared" si="16"/>
        <v/>
      </c>
      <c r="D284" s="9" t="str">
        <f>IF(A284="","",C284-子基金及业绩基准周净值!AI333)</f>
        <v/>
      </c>
      <c r="E284" s="12" t="str">
        <f>IF(A284="","",(MAX(B$3:B284)-B284)/MAX(B$3:B284))</f>
        <v/>
      </c>
      <c r="F284" s="12" t="str">
        <f>IF(A284="","",MAX(E$4:E284))</f>
        <v/>
      </c>
      <c r="H284" s="14" t="str">
        <f t="shared" si="19"/>
        <v/>
      </c>
      <c r="I284" s="14" t="str">
        <f t="shared" si="17"/>
        <v/>
      </c>
      <c r="J284" s="15" t="str">
        <f t="shared" si="18"/>
        <v/>
      </c>
    </row>
    <row r="285" spans="1:10">
      <c r="A285" s="7" t="str">
        <f>IF(子基金及业绩基准周净值!A334="","",子基金及业绩基准周净值!A334)</f>
        <v/>
      </c>
      <c r="B285" s="1" t="str">
        <f>IF(A285="","",VLOOKUP($A285,子基金及业绩基准周净值!$A:$AV,21))</f>
        <v/>
      </c>
      <c r="C285" s="8" t="str">
        <f t="shared" si="16"/>
        <v/>
      </c>
      <c r="D285" s="9" t="str">
        <f>IF(A285="","",C285-子基金及业绩基准周净值!AI334)</f>
        <v/>
      </c>
      <c r="E285" s="12" t="str">
        <f>IF(A285="","",(MAX(B$3:B285)-B285)/MAX(B$3:B285))</f>
        <v/>
      </c>
      <c r="F285" s="12" t="str">
        <f>IF(A285="","",MAX(E$4:E285))</f>
        <v/>
      </c>
      <c r="H285" s="14" t="str">
        <f t="shared" si="19"/>
        <v/>
      </c>
      <c r="I285" s="14" t="str">
        <f t="shared" si="17"/>
        <v/>
      </c>
      <c r="J285" s="15" t="str">
        <f t="shared" si="18"/>
        <v/>
      </c>
    </row>
    <row r="286" spans="1:10">
      <c r="A286" s="7" t="str">
        <f>IF(子基金及业绩基准周净值!A335="","",子基金及业绩基准周净值!A335)</f>
        <v/>
      </c>
      <c r="B286" s="1" t="str">
        <f>IF(A286="","",VLOOKUP($A286,子基金及业绩基准周净值!$A:$AV,21))</f>
        <v/>
      </c>
      <c r="C286" s="8" t="str">
        <f t="shared" si="16"/>
        <v/>
      </c>
      <c r="D286" s="9" t="str">
        <f>IF(A286="","",C286-子基金及业绩基准周净值!AI335)</f>
        <v/>
      </c>
      <c r="E286" s="12" t="str">
        <f>IF(A286="","",(MAX(B$3:B286)-B286)/MAX(B$3:B286))</f>
        <v/>
      </c>
      <c r="F286" s="12" t="str">
        <f>IF(A286="","",MAX(E$4:E286))</f>
        <v/>
      </c>
      <c r="H286" s="14" t="str">
        <f t="shared" si="19"/>
        <v/>
      </c>
      <c r="I286" s="14" t="str">
        <f t="shared" si="17"/>
        <v/>
      </c>
      <c r="J286" s="15" t="str">
        <f t="shared" si="18"/>
        <v/>
      </c>
    </row>
    <row r="287" spans="1:10">
      <c r="A287" s="7" t="str">
        <f>IF(子基金及业绩基准周净值!A336="","",子基金及业绩基准周净值!A336)</f>
        <v/>
      </c>
      <c r="B287" s="1" t="str">
        <f>IF(A287="","",VLOOKUP($A287,子基金及业绩基准周净值!$A:$AV,21))</f>
        <v/>
      </c>
      <c r="C287" s="8" t="str">
        <f t="shared" si="16"/>
        <v/>
      </c>
      <c r="D287" s="9" t="str">
        <f>IF(A287="","",C287-子基金及业绩基准周净值!AI336)</f>
        <v/>
      </c>
      <c r="E287" s="12" t="str">
        <f>IF(A287="","",(MAX(B$3:B287)-B287)/MAX(B$3:B287))</f>
        <v/>
      </c>
      <c r="F287" s="12" t="str">
        <f>IF(A287="","",MAX(E$4:E287))</f>
        <v/>
      </c>
      <c r="H287" s="14" t="str">
        <f t="shared" si="19"/>
        <v/>
      </c>
      <c r="I287" s="14" t="str">
        <f t="shared" si="17"/>
        <v/>
      </c>
      <c r="J287" s="15" t="str">
        <f t="shared" si="18"/>
        <v/>
      </c>
    </row>
    <row r="288" spans="1:10">
      <c r="A288" s="7" t="str">
        <f>IF(子基金及业绩基准周净值!A337="","",子基金及业绩基准周净值!A337)</f>
        <v/>
      </c>
      <c r="B288" s="1" t="str">
        <f>IF(A288="","",VLOOKUP($A288,子基金及业绩基准周净值!$A:$AV,21))</f>
        <v/>
      </c>
      <c r="C288" s="8" t="str">
        <f t="shared" si="16"/>
        <v/>
      </c>
      <c r="D288" s="9" t="str">
        <f>IF(A288="","",C288-子基金及业绩基准周净值!AI337)</f>
        <v/>
      </c>
      <c r="E288" s="12" t="str">
        <f>IF(A288="","",(MAX(B$3:B288)-B288)/MAX(B$3:B288))</f>
        <v/>
      </c>
      <c r="F288" s="12" t="str">
        <f>IF(A288="","",MAX(E$4:E288))</f>
        <v/>
      </c>
      <c r="H288" s="14" t="str">
        <f t="shared" si="19"/>
        <v/>
      </c>
      <c r="I288" s="14" t="str">
        <f t="shared" si="17"/>
        <v/>
      </c>
      <c r="J288" s="15" t="str">
        <f t="shared" si="18"/>
        <v/>
      </c>
    </row>
    <row r="289" spans="1:10">
      <c r="A289" s="7" t="str">
        <f>IF(子基金及业绩基准周净值!A338="","",子基金及业绩基准周净值!A338)</f>
        <v/>
      </c>
      <c r="B289" s="1" t="str">
        <f>IF(A289="","",VLOOKUP($A289,子基金及业绩基准周净值!$A:$AV,21))</f>
        <v/>
      </c>
      <c r="C289" s="8" t="str">
        <f t="shared" si="16"/>
        <v/>
      </c>
      <c r="D289" s="9" t="str">
        <f>IF(A289="","",C289-子基金及业绩基准周净值!AI338)</f>
        <v/>
      </c>
      <c r="E289" s="12" t="str">
        <f>IF(A289="","",(MAX(B$3:B289)-B289)/MAX(B$3:B289))</f>
        <v/>
      </c>
      <c r="F289" s="12" t="str">
        <f>IF(A289="","",MAX(E$4:E289))</f>
        <v/>
      </c>
      <c r="H289" s="14" t="str">
        <f t="shared" si="19"/>
        <v/>
      </c>
      <c r="I289" s="14" t="str">
        <f t="shared" si="17"/>
        <v/>
      </c>
      <c r="J289" s="15" t="str">
        <f t="shared" si="18"/>
        <v/>
      </c>
    </row>
    <row r="290" spans="1:10">
      <c r="A290" s="7" t="str">
        <f>IF(子基金及业绩基准周净值!A339="","",子基金及业绩基准周净值!A339)</f>
        <v/>
      </c>
      <c r="B290" s="1" t="str">
        <f>IF(A290="","",VLOOKUP($A290,子基金及业绩基准周净值!$A:$AV,21))</f>
        <v/>
      </c>
      <c r="C290" s="8" t="str">
        <f t="shared" si="16"/>
        <v/>
      </c>
      <c r="D290" s="9" t="str">
        <f>IF(A290="","",C290-子基金及业绩基准周净值!AI339)</f>
        <v/>
      </c>
      <c r="E290" s="12" t="str">
        <f>IF(A290="","",(MAX(B$3:B290)-B290)/MAX(B$3:B290))</f>
        <v/>
      </c>
      <c r="F290" s="12" t="str">
        <f>IF(A290="","",MAX(E$4:E290))</f>
        <v/>
      </c>
      <c r="H290" s="14" t="str">
        <f t="shared" si="19"/>
        <v/>
      </c>
      <c r="I290" s="14" t="str">
        <f t="shared" si="17"/>
        <v/>
      </c>
      <c r="J290" s="15" t="str">
        <f t="shared" si="18"/>
        <v/>
      </c>
    </row>
    <row r="291" spans="1:10">
      <c r="A291" s="7" t="str">
        <f>IF(子基金及业绩基准周净值!A340="","",子基金及业绩基准周净值!A340)</f>
        <v/>
      </c>
      <c r="B291" s="1" t="str">
        <f>IF(A291="","",VLOOKUP($A291,子基金及业绩基准周净值!$A:$AV,21))</f>
        <v/>
      </c>
      <c r="C291" s="8" t="str">
        <f t="shared" si="16"/>
        <v/>
      </c>
      <c r="D291" s="9" t="str">
        <f>IF(A291="","",C291-子基金及业绩基准周净值!AI340)</f>
        <v/>
      </c>
      <c r="E291" s="12" t="str">
        <f>IF(A291="","",(MAX(B$3:B291)-B291)/MAX(B$3:B291))</f>
        <v/>
      </c>
      <c r="F291" s="12" t="str">
        <f>IF(A291="","",MAX(E$4:E291))</f>
        <v/>
      </c>
      <c r="H291" s="14" t="str">
        <f t="shared" si="19"/>
        <v/>
      </c>
      <c r="I291" s="14" t="str">
        <f t="shared" si="17"/>
        <v/>
      </c>
      <c r="J291" s="15" t="str">
        <f t="shared" si="18"/>
        <v/>
      </c>
    </row>
    <row r="292" spans="1:10">
      <c r="A292" s="7" t="str">
        <f>IF(子基金及业绩基准周净值!A341="","",子基金及业绩基准周净值!A341)</f>
        <v/>
      </c>
      <c r="B292" s="1" t="str">
        <f>IF(A292="","",VLOOKUP($A292,子基金及业绩基准周净值!$A:$AV,21))</f>
        <v/>
      </c>
      <c r="C292" s="8" t="str">
        <f t="shared" si="16"/>
        <v/>
      </c>
      <c r="D292" s="9" t="str">
        <f>IF(A292="","",C292-子基金及业绩基准周净值!AI341)</f>
        <v/>
      </c>
      <c r="E292" s="12" t="str">
        <f>IF(A292="","",(MAX(B$3:B292)-B292)/MAX(B$3:B292))</f>
        <v/>
      </c>
      <c r="F292" s="12" t="str">
        <f>IF(A292="","",MAX(E$4:E292))</f>
        <v/>
      </c>
      <c r="H292" s="14" t="str">
        <f t="shared" si="19"/>
        <v/>
      </c>
      <c r="I292" s="14" t="str">
        <f t="shared" si="17"/>
        <v/>
      </c>
      <c r="J292" s="15" t="str">
        <f t="shared" si="18"/>
        <v/>
      </c>
    </row>
    <row r="293" spans="1:10">
      <c r="A293" s="7" t="str">
        <f>IF(子基金及业绩基准周净值!A342="","",子基金及业绩基准周净值!A342)</f>
        <v/>
      </c>
      <c r="B293" s="1" t="str">
        <f>IF(A293="","",VLOOKUP($A293,子基金及业绩基准周净值!$A:$AV,21))</f>
        <v/>
      </c>
      <c r="C293" s="8" t="str">
        <f t="shared" si="16"/>
        <v/>
      </c>
      <c r="D293" s="9" t="str">
        <f>IF(A293="","",C293-子基金及业绩基准周净值!AI342)</f>
        <v/>
      </c>
      <c r="E293" s="12" t="str">
        <f>IF(A293="","",(MAX(B$3:B293)-B293)/MAX(B$3:B293))</f>
        <v/>
      </c>
      <c r="F293" s="12" t="str">
        <f>IF(A293="","",MAX(E$4:E293))</f>
        <v/>
      </c>
      <c r="H293" s="14" t="str">
        <f t="shared" si="19"/>
        <v/>
      </c>
      <c r="I293" s="14" t="str">
        <f t="shared" si="17"/>
        <v/>
      </c>
      <c r="J293" s="15" t="str">
        <f t="shared" si="18"/>
        <v/>
      </c>
    </row>
    <row r="294" spans="1:10">
      <c r="A294" s="7" t="str">
        <f>IF(子基金及业绩基准周净值!A343="","",子基金及业绩基准周净值!A343)</f>
        <v/>
      </c>
      <c r="B294" s="1" t="str">
        <f>IF(A294="","",VLOOKUP($A294,子基金及业绩基准周净值!$A:$AV,21))</f>
        <v/>
      </c>
      <c r="C294" s="8" t="str">
        <f t="shared" si="16"/>
        <v/>
      </c>
      <c r="D294" s="9" t="str">
        <f>IF(A294="","",C294-子基金及业绩基准周净值!AI343)</f>
        <v/>
      </c>
      <c r="E294" s="12" t="str">
        <f>IF(A294="","",(MAX(B$3:B294)-B294)/MAX(B$3:B294))</f>
        <v/>
      </c>
      <c r="F294" s="12" t="str">
        <f>IF(A294="","",MAX(E$4:E294))</f>
        <v/>
      </c>
      <c r="H294" s="14" t="str">
        <f t="shared" si="19"/>
        <v/>
      </c>
      <c r="I294" s="14" t="str">
        <f t="shared" si="17"/>
        <v/>
      </c>
      <c r="J294" s="15" t="str">
        <f t="shared" si="18"/>
        <v/>
      </c>
    </row>
    <row r="295" spans="1:10">
      <c r="A295" s="7" t="str">
        <f>IF(子基金及业绩基准周净值!A344="","",子基金及业绩基准周净值!A344)</f>
        <v/>
      </c>
      <c r="B295" s="1" t="str">
        <f>IF(A295="","",VLOOKUP($A295,子基金及业绩基准周净值!$A:$AV,21))</f>
        <v/>
      </c>
      <c r="C295" s="8" t="str">
        <f t="shared" si="16"/>
        <v/>
      </c>
      <c r="D295" s="9" t="str">
        <f>IF(A295="","",C295-子基金及业绩基准周净值!AI344)</f>
        <v/>
      </c>
      <c r="E295" s="12" t="str">
        <f>IF(A295="","",(MAX(B$3:B295)-B295)/MAX(B$3:B295))</f>
        <v/>
      </c>
      <c r="F295" s="12" t="str">
        <f>IF(A295="","",MAX(E$4:E295))</f>
        <v/>
      </c>
      <c r="H295" s="14" t="str">
        <f t="shared" si="19"/>
        <v/>
      </c>
      <c r="I295" s="14" t="str">
        <f t="shared" si="17"/>
        <v/>
      </c>
      <c r="J295" s="15" t="str">
        <f t="shared" si="18"/>
        <v/>
      </c>
    </row>
    <row r="296" spans="1:10">
      <c r="A296" s="7" t="str">
        <f>IF(子基金及业绩基准周净值!A345="","",子基金及业绩基准周净值!A345)</f>
        <v/>
      </c>
      <c r="B296" s="1" t="str">
        <f>IF(A296="","",VLOOKUP($A296,子基金及业绩基准周净值!$A:$AV,21))</f>
        <v/>
      </c>
      <c r="C296" s="8" t="str">
        <f t="shared" si="16"/>
        <v/>
      </c>
      <c r="D296" s="9" t="str">
        <f>IF(A296="","",C296-子基金及业绩基准周净值!AI345)</f>
        <v/>
      </c>
      <c r="E296" s="12" t="str">
        <f>IF(A296="","",(MAX(B$3:B296)-B296)/MAX(B$3:B296))</f>
        <v/>
      </c>
      <c r="F296" s="12" t="str">
        <f>IF(A296="","",MAX(E$4:E296))</f>
        <v/>
      </c>
      <c r="H296" s="14" t="str">
        <f t="shared" si="19"/>
        <v/>
      </c>
      <c r="I296" s="14" t="str">
        <f t="shared" si="17"/>
        <v/>
      </c>
      <c r="J296" s="15" t="str">
        <f t="shared" si="18"/>
        <v/>
      </c>
    </row>
    <row r="297" spans="1:10">
      <c r="A297" s="7" t="str">
        <f>IF(子基金及业绩基准周净值!A346="","",子基金及业绩基准周净值!A346)</f>
        <v/>
      </c>
      <c r="B297" s="1" t="str">
        <f>IF(A297="","",VLOOKUP($A297,子基金及业绩基准周净值!$A:$AV,21))</f>
        <v/>
      </c>
      <c r="C297" s="8" t="str">
        <f t="shared" si="16"/>
        <v/>
      </c>
      <c r="D297" s="9" t="str">
        <f>IF(A297="","",C297-子基金及业绩基准周净值!AI346)</f>
        <v/>
      </c>
      <c r="E297" s="12" t="str">
        <f>IF(A297="","",(MAX(B$3:B297)-B297)/MAX(B$3:B297))</f>
        <v/>
      </c>
      <c r="F297" s="12" t="str">
        <f>IF(A297="","",MAX(E$4:E297))</f>
        <v/>
      </c>
      <c r="H297" s="14" t="str">
        <f t="shared" si="19"/>
        <v/>
      </c>
      <c r="I297" s="14" t="str">
        <f t="shared" si="17"/>
        <v/>
      </c>
      <c r="J297" s="15" t="str">
        <f t="shared" si="18"/>
        <v/>
      </c>
    </row>
    <row r="298" spans="1:10">
      <c r="A298" s="7" t="str">
        <f>IF(子基金及业绩基准周净值!A347="","",子基金及业绩基准周净值!A347)</f>
        <v/>
      </c>
      <c r="B298" s="1" t="str">
        <f>IF(A298="","",VLOOKUP($A298,子基金及业绩基准周净值!$A:$AV,21))</f>
        <v/>
      </c>
      <c r="C298" s="8" t="str">
        <f t="shared" si="16"/>
        <v/>
      </c>
      <c r="D298" s="9" t="str">
        <f>IF(A298="","",C298-子基金及业绩基准周净值!AI347)</f>
        <v/>
      </c>
      <c r="E298" s="12" t="str">
        <f>IF(A298="","",(MAX(B$3:B298)-B298)/MAX(B$3:B298))</f>
        <v/>
      </c>
      <c r="F298" s="12" t="str">
        <f>IF(A298="","",MAX(E$4:E298))</f>
        <v/>
      </c>
      <c r="H298" s="14" t="str">
        <f t="shared" si="19"/>
        <v/>
      </c>
      <c r="I298" s="14" t="str">
        <f t="shared" si="17"/>
        <v/>
      </c>
      <c r="J298" s="15" t="str">
        <f t="shared" si="18"/>
        <v/>
      </c>
    </row>
    <row r="299" spans="1:10">
      <c r="A299" s="7" t="str">
        <f>IF(子基金及业绩基准周净值!A348="","",子基金及业绩基准周净值!A348)</f>
        <v/>
      </c>
      <c r="B299" s="1" t="str">
        <f>IF(A299="","",VLOOKUP($A299,子基金及业绩基准周净值!$A:$AV,21))</f>
        <v/>
      </c>
      <c r="C299" s="8" t="str">
        <f t="shared" si="16"/>
        <v/>
      </c>
      <c r="D299" s="9" t="str">
        <f>IF(A299="","",C299-子基金及业绩基准周净值!AI348)</f>
        <v/>
      </c>
      <c r="E299" s="12" t="str">
        <f>IF(A299="","",(MAX(B$3:B299)-B299)/MAX(B$3:B299))</f>
        <v/>
      </c>
      <c r="F299" s="12" t="str">
        <f>IF(A299="","",MAX(E$4:E299))</f>
        <v/>
      </c>
      <c r="H299" s="14" t="str">
        <f t="shared" si="19"/>
        <v/>
      </c>
      <c r="I299" s="14" t="str">
        <f t="shared" si="17"/>
        <v/>
      </c>
      <c r="J299" s="15" t="str">
        <f t="shared" si="18"/>
        <v/>
      </c>
    </row>
    <row r="300" spans="1:10">
      <c r="A300" s="7" t="str">
        <f>IF(子基金及业绩基准周净值!A349="","",子基金及业绩基准周净值!A349)</f>
        <v/>
      </c>
      <c r="B300" s="1" t="str">
        <f>IF(A300="","",VLOOKUP($A300,子基金及业绩基准周净值!$A:$AV,21))</f>
        <v/>
      </c>
      <c r="C300" s="8" t="str">
        <f t="shared" si="16"/>
        <v/>
      </c>
      <c r="D300" s="9" t="str">
        <f>IF(A300="","",C300-子基金及业绩基准周净值!AI349)</f>
        <v/>
      </c>
      <c r="E300" s="12" t="str">
        <f>IF(A300="","",(MAX(B$3:B300)-B300)/MAX(B$3:B300))</f>
        <v/>
      </c>
      <c r="F300" s="12" t="str">
        <f>IF(A300="","",MAX(E$4:E300))</f>
        <v/>
      </c>
      <c r="H300" s="14" t="str">
        <f t="shared" si="19"/>
        <v/>
      </c>
      <c r="I300" s="14" t="str">
        <f t="shared" si="17"/>
        <v/>
      </c>
      <c r="J300" s="15" t="str">
        <f t="shared" si="18"/>
        <v/>
      </c>
    </row>
    <row r="301" spans="1:10">
      <c r="A301" s="7" t="str">
        <f>IF(子基金及业绩基准周净值!A350="","",子基金及业绩基准周净值!A350)</f>
        <v/>
      </c>
      <c r="B301" s="1" t="str">
        <f>IF(A301="","",VLOOKUP($A301,子基金及业绩基准周净值!$A:$AV,21))</f>
        <v/>
      </c>
      <c r="C301" s="8" t="str">
        <f t="shared" si="16"/>
        <v/>
      </c>
      <c r="D301" s="9" t="str">
        <f>IF(A301="","",C301-子基金及业绩基准周净值!AI350)</f>
        <v/>
      </c>
      <c r="E301" s="12" t="str">
        <f>IF(A301="","",(MAX(B$3:B301)-B301)/MAX(B$3:B301))</f>
        <v/>
      </c>
      <c r="F301" s="12" t="str">
        <f>IF(A301="","",MAX(E$4:E301))</f>
        <v/>
      </c>
      <c r="H301" s="14" t="str">
        <f t="shared" si="19"/>
        <v/>
      </c>
      <c r="I301" s="14" t="str">
        <f t="shared" si="17"/>
        <v/>
      </c>
      <c r="J301" s="15" t="str">
        <f t="shared" si="18"/>
        <v/>
      </c>
    </row>
    <row r="302" spans="1:10">
      <c r="A302" s="7" t="str">
        <f>IF(子基金及业绩基准周净值!A351="","",子基金及业绩基准周净值!A351)</f>
        <v/>
      </c>
      <c r="B302" s="1" t="str">
        <f>IF(A302="","",VLOOKUP($A302,子基金及业绩基准周净值!$A:$AV,21))</f>
        <v/>
      </c>
      <c r="C302" s="8" t="str">
        <f t="shared" si="16"/>
        <v/>
      </c>
      <c r="D302" s="9" t="str">
        <f>IF(A302="","",C302-子基金及业绩基准周净值!AI351)</f>
        <v/>
      </c>
      <c r="E302" s="12" t="str">
        <f>IF(A302="","",(MAX(B$3:B302)-B302)/MAX(B$3:B302))</f>
        <v/>
      </c>
      <c r="F302" s="12" t="str">
        <f>IF(A302="","",MAX(E$4:E302))</f>
        <v/>
      </c>
      <c r="H302" s="14" t="str">
        <f t="shared" si="19"/>
        <v/>
      </c>
      <c r="I302" s="14" t="str">
        <f t="shared" si="17"/>
        <v/>
      </c>
      <c r="J302" s="15" t="str">
        <f t="shared" si="18"/>
        <v/>
      </c>
    </row>
    <row r="303" spans="1:10">
      <c r="A303" s="7" t="str">
        <f>IF(子基金及业绩基准周净值!A352="","",子基金及业绩基准周净值!A352)</f>
        <v/>
      </c>
      <c r="B303" s="1" t="str">
        <f>IF(A303="","",VLOOKUP($A303,子基金及业绩基准周净值!$A:$AV,21))</f>
        <v/>
      </c>
      <c r="C303" s="8" t="str">
        <f t="shared" si="16"/>
        <v/>
      </c>
      <c r="D303" s="9" t="str">
        <f>IF(A303="","",C303-子基金及业绩基准周净值!AI352)</f>
        <v/>
      </c>
      <c r="E303" s="12" t="str">
        <f>IF(A303="","",(MAX(B$3:B303)-B303)/MAX(B$3:B303))</f>
        <v/>
      </c>
      <c r="F303" s="12" t="str">
        <f>IF(A303="","",MAX(E$4:E303))</f>
        <v/>
      </c>
      <c r="H303" s="14" t="str">
        <f t="shared" si="19"/>
        <v/>
      </c>
      <c r="I303" s="14" t="str">
        <f t="shared" si="17"/>
        <v/>
      </c>
      <c r="J303" s="15" t="str">
        <f t="shared" si="18"/>
        <v/>
      </c>
    </row>
    <row r="304" spans="1:10">
      <c r="A304" s="7" t="str">
        <f>IF(子基金及业绩基准周净值!A353="","",子基金及业绩基准周净值!A353)</f>
        <v/>
      </c>
      <c r="B304" s="1" t="str">
        <f>IF(A304="","",VLOOKUP($A304,子基金及业绩基准周净值!$A:$AV,21))</f>
        <v/>
      </c>
      <c r="C304" s="8" t="str">
        <f t="shared" si="16"/>
        <v/>
      </c>
      <c r="D304" s="9" t="str">
        <f>IF(A304="","",C304-子基金及业绩基准周净值!AI353)</f>
        <v/>
      </c>
      <c r="E304" s="12" t="str">
        <f>IF(A304="","",(MAX(B$3:B304)-B304)/MAX(B$3:B304))</f>
        <v/>
      </c>
      <c r="F304" s="12" t="str">
        <f>IF(A304="","",MAX(E$4:E304))</f>
        <v/>
      </c>
      <c r="H304" s="14" t="str">
        <f t="shared" si="19"/>
        <v/>
      </c>
      <c r="I304" s="14" t="str">
        <f t="shared" si="17"/>
        <v/>
      </c>
      <c r="J304" s="15" t="str">
        <f t="shared" si="18"/>
        <v/>
      </c>
    </row>
    <row r="305" spans="1:10">
      <c r="A305" s="7" t="str">
        <f>IF(子基金及业绩基准周净值!A354="","",子基金及业绩基准周净值!A354)</f>
        <v/>
      </c>
      <c r="B305" s="1" t="str">
        <f>IF(A305="","",VLOOKUP($A305,子基金及业绩基准周净值!$A:$AV,21))</f>
        <v/>
      </c>
      <c r="C305" s="8" t="str">
        <f t="shared" si="16"/>
        <v/>
      </c>
      <c r="D305" s="9" t="str">
        <f>IF(A305="","",C305-子基金及业绩基准周净值!AI354)</f>
        <v/>
      </c>
      <c r="E305" s="12" t="str">
        <f>IF(A305="","",(MAX(B$3:B305)-B305)/MAX(B$3:B305))</f>
        <v/>
      </c>
      <c r="F305" s="12" t="str">
        <f>IF(A305="","",MAX(E$4:E305))</f>
        <v/>
      </c>
      <c r="H305" s="14" t="str">
        <f t="shared" si="19"/>
        <v/>
      </c>
      <c r="I305" s="14" t="str">
        <f t="shared" si="17"/>
        <v/>
      </c>
      <c r="J305" s="15" t="str">
        <f t="shared" si="18"/>
        <v/>
      </c>
    </row>
    <row r="306" spans="1:10">
      <c r="A306" s="7" t="str">
        <f>IF(子基金及业绩基准周净值!A355="","",子基金及业绩基准周净值!A355)</f>
        <v/>
      </c>
      <c r="B306" s="1" t="str">
        <f>IF(A306="","",VLOOKUP($A306,子基金及业绩基准周净值!$A:$AV,21))</f>
        <v/>
      </c>
      <c r="C306" s="8" t="str">
        <f t="shared" si="16"/>
        <v/>
      </c>
      <c r="D306" s="9" t="str">
        <f>IF(A306="","",C306-子基金及业绩基准周净值!AI355)</f>
        <v/>
      </c>
      <c r="E306" s="12" t="str">
        <f>IF(A306="","",(MAX(B$3:B306)-B306)/MAX(B$3:B306))</f>
        <v/>
      </c>
      <c r="F306" s="12" t="str">
        <f>IF(A306="","",MAX(E$4:E306))</f>
        <v/>
      </c>
      <c r="H306" s="14" t="str">
        <f t="shared" si="19"/>
        <v/>
      </c>
      <c r="I306" s="14" t="str">
        <f t="shared" si="17"/>
        <v/>
      </c>
      <c r="J306" s="15" t="str">
        <f t="shared" si="18"/>
        <v/>
      </c>
    </row>
    <row r="307" spans="1:10">
      <c r="A307" s="7" t="str">
        <f>IF(子基金及业绩基准周净值!A356="","",子基金及业绩基准周净值!A356)</f>
        <v/>
      </c>
      <c r="B307" s="1" t="str">
        <f>IF(A307="","",VLOOKUP($A307,子基金及业绩基准周净值!$A:$AV,21))</f>
        <v/>
      </c>
      <c r="C307" s="8" t="str">
        <f t="shared" si="16"/>
        <v/>
      </c>
      <c r="D307" s="9" t="str">
        <f>IF(A307="","",C307-子基金及业绩基准周净值!AI356)</f>
        <v/>
      </c>
      <c r="E307" s="12" t="str">
        <f>IF(A307="","",(MAX(B$3:B307)-B307)/MAX(B$3:B307))</f>
        <v/>
      </c>
      <c r="F307" s="12" t="str">
        <f>IF(A307="","",MAX(E$4:E307))</f>
        <v/>
      </c>
      <c r="H307" s="14" t="str">
        <f t="shared" si="19"/>
        <v/>
      </c>
      <c r="I307" s="14" t="str">
        <f t="shared" si="17"/>
        <v/>
      </c>
      <c r="J307" s="15" t="str">
        <f t="shared" si="18"/>
        <v/>
      </c>
    </row>
    <row r="308" spans="1:10">
      <c r="A308" s="7" t="str">
        <f>IF(子基金及业绩基准周净值!A357="","",子基金及业绩基准周净值!A357)</f>
        <v/>
      </c>
      <c r="B308" s="1" t="str">
        <f>IF(A308="","",VLOOKUP($A308,子基金及业绩基准周净值!$A:$AV,21))</f>
        <v/>
      </c>
      <c r="C308" s="8" t="str">
        <f t="shared" si="16"/>
        <v/>
      </c>
      <c r="D308" s="9" t="str">
        <f>IF(A308="","",C308-子基金及业绩基准周净值!AI357)</f>
        <v/>
      </c>
      <c r="E308" s="12" t="str">
        <f>IF(A308="","",(MAX(B$3:B308)-B308)/MAX(B$3:B308))</f>
        <v/>
      </c>
      <c r="F308" s="12" t="str">
        <f>IF(A308="","",MAX(E$4:E308))</f>
        <v/>
      </c>
      <c r="H308" s="14" t="str">
        <f t="shared" si="19"/>
        <v/>
      </c>
      <c r="I308" s="14" t="str">
        <f t="shared" si="17"/>
        <v/>
      </c>
      <c r="J308" s="15" t="str">
        <f t="shared" si="18"/>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K308"/>
  <sheetViews>
    <sheetView topLeftCell="A4" workbookViewId="0">
      <selection activeCell="G25" sqref="G25"/>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59</v>
      </c>
      <c r="C2" s="5" t="s">
        <v>310</v>
      </c>
      <c r="D2" s="6" t="s">
        <v>311</v>
      </c>
      <c r="F2" s="5" t="s">
        <v>22</v>
      </c>
      <c r="G2" s="10" t="s">
        <v>312</v>
      </c>
      <c r="H2" s="11" t="s">
        <v>313</v>
      </c>
      <c r="I2" s="11" t="s">
        <v>314</v>
      </c>
      <c r="J2" s="11" t="s">
        <v>315</v>
      </c>
      <c r="K2" s="5" t="s">
        <v>316</v>
      </c>
    </row>
    <row r="3" spans="1:2">
      <c r="A3" s="7">
        <f>IF(子基金及业绩基准周净值!A52="","",子基金及业绩基准周净值!A52)</f>
        <v>45814</v>
      </c>
      <c r="B3" s="1">
        <f>IF(A3="","",VLOOKUP($A3,子基金及业绩基准周净值!$A:$AV,22))</f>
        <v>0.9978</v>
      </c>
    </row>
    <row r="4" spans="1:10">
      <c r="A4" s="7">
        <f>IF(子基金及业绩基准周净值!A53="","",子基金及业绩基准周净值!A53)</f>
        <v>45821</v>
      </c>
      <c r="B4" s="1">
        <f>IF(A4="","",VLOOKUP($A4,子基金及业绩基准周净值!$A:$AV,22))</f>
        <v>0.9979</v>
      </c>
      <c r="C4" s="8">
        <f>IF(A4="","",(B4-B3)/B3)</f>
        <v>0.000100220485067137</v>
      </c>
      <c r="D4" s="9">
        <f>IF(A4="","",C4-子基金及业绩基准周净值!AK53)</f>
        <v>-0.00589977951493286</v>
      </c>
      <c r="E4" s="12">
        <f>IF(A4="","",(MAX(B$3:B4)-B4)/MAX(B$3:B4))</f>
        <v>0</v>
      </c>
      <c r="F4" s="12">
        <f>IF(A4="","",MAX(E$4:E4))</f>
        <v>0</v>
      </c>
      <c r="G4" s="13">
        <v>1</v>
      </c>
      <c r="H4" s="14" t="str">
        <f>IF(B4="","",IF(C4&lt;-3%,"是","否"))</f>
        <v>否</v>
      </c>
      <c r="I4" s="14" t="str">
        <f t="shared" ref="I4:I67" si="0">IF(A4="","",IF(F4&gt;5%,"是","否"))</f>
        <v>否</v>
      </c>
      <c r="J4" s="15" t="str">
        <f t="shared" ref="J4:J67" si="1">IF(A4="","",IF(G4&gt;=4,"是","否"))</f>
        <v>否</v>
      </c>
    </row>
    <row r="5" spans="1:10">
      <c r="A5" s="7">
        <f>IF(子基金及业绩基准周净值!A54="","",子基金及业绩基准周净值!A54)</f>
        <v>45828</v>
      </c>
      <c r="B5" s="1">
        <f>IF(A5="","",VLOOKUP($A5,子基金及业绩基准周净值!$A:$AV,22))</f>
        <v>0.9996</v>
      </c>
      <c r="C5" s="8">
        <f t="shared" ref="C5:C67" si="2">IF(A5="","",(B5-B4)/B4)</f>
        <v>0.00170357751277687</v>
      </c>
      <c r="D5" s="9">
        <f>IF(A5="","",C5-子基金及业绩基准周净值!AK54)</f>
        <v>0.00630357751277687</v>
      </c>
      <c r="E5" s="12">
        <f>IF(A5="","",(MAX(B$3:B5)-B5)/MAX(B$3:B5))</f>
        <v>0</v>
      </c>
      <c r="F5" s="12">
        <f>IF(A5="","",MAX(E$4:E5))</f>
        <v>0</v>
      </c>
      <c r="G5" s="13">
        <v>0</v>
      </c>
      <c r="H5" s="14" t="str">
        <f t="shared" ref="H5:H68" si="3">IF(B5="","",IF(C5&lt;-3%,"是","否"))</f>
        <v>否</v>
      </c>
      <c r="I5" s="14" t="str">
        <f t="shared" si="0"/>
        <v>否</v>
      </c>
      <c r="J5" s="15" t="str">
        <f t="shared" si="1"/>
        <v>否</v>
      </c>
    </row>
    <row r="6" spans="1:10">
      <c r="A6" s="7">
        <f>IF(子基金及业绩基准周净值!A55="","",子基金及业绩基准周净值!A55)</f>
        <v>45835</v>
      </c>
      <c r="B6" s="1">
        <f>IF(A6="","",VLOOKUP($A6,子基金及业绩基准周净值!$A:$AV,22))</f>
        <v>0.9994</v>
      </c>
      <c r="C6" s="8">
        <f t="shared" si="2"/>
        <v>-0.000200080032012894</v>
      </c>
      <c r="D6" s="9">
        <f>IF(A6="","",C6-子基金及业绩基准周净值!AK55)</f>
        <v>0.00209991996798711</v>
      </c>
      <c r="E6" s="12">
        <f>IF(A6="","",(MAX(B$3:B6)-B6)/MAX(B$3:B6))</f>
        <v>0.000200080032012894</v>
      </c>
      <c r="F6" s="12">
        <f>IF(A6="","",MAX(E$4:E6))</f>
        <v>0.000200080032012894</v>
      </c>
      <c r="G6" s="13">
        <v>0</v>
      </c>
      <c r="H6" s="14" t="str">
        <f t="shared" si="3"/>
        <v>否</v>
      </c>
      <c r="I6" s="14" t="str">
        <f t="shared" si="0"/>
        <v>否</v>
      </c>
      <c r="J6" s="15" t="str">
        <f t="shared" si="1"/>
        <v>否</v>
      </c>
    </row>
    <row r="7" spans="1:10">
      <c r="A7" s="7">
        <f>IF(子基金及业绩基准周净值!A56="","",子基金及业绩基准周净值!A56)</f>
        <v>45842</v>
      </c>
      <c r="B7" s="1">
        <f>IF(A7="","",VLOOKUP($A7,子基金及业绩基准周净值!$A:$AV,22))</f>
        <v>1.0026</v>
      </c>
      <c r="C7" s="8">
        <f t="shared" si="2"/>
        <v>0.0032019211526916</v>
      </c>
      <c r="D7" s="9">
        <f>IF(A7="","",C7-子基金及业绩基准周净值!AK56)</f>
        <v>-0.0022980788473084</v>
      </c>
      <c r="E7" s="12">
        <f>IF(A7="","",(MAX(B$3:B7)-B7)/MAX(B$3:B7))</f>
        <v>0</v>
      </c>
      <c r="F7" s="12">
        <f>IF(A7="","",MAX(E$4:E7))</f>
        <v>0.000200080032012894</v>
      </c>
      <c r="G7" s="13">
        <v>1</v>
      </c>
      <c r="H7" s="14" t="str">
        <f t="shared" si="3"/>
        <v>否</v>
      </c>
      <c r="I7" s="14" t="str">
        <f t="shared" si="0"/>
        <v>否</v>
      </c>
      <c r="J7" s="15" t="str">
        <f t="shared" si="1"/>
        <v>否</v>
      </c>
    </row>
    <row r="8" spans="1:10">
      <c r="A8" s="7">
        <f>IF(子基金及业绩基准周净值!A57="","",子基金及业绩基准周净值!A57)</f>
        <v>45849</v>
      </c>
      <c r="B8" s="1">
        <f>IF(A8="","",VLOOKUP($A8,子基金及业绩基准周净值!$A:$AV,22))</f>
        <v>1.0059</v>
      </c>
      <c r="C8" s="8">
        <f t="shared" si="2"/>
        <v>0.00329144225014969</v>
      </c>
      <c r="D8" s="9">
        <f>IF(A8="","",C8-子基金及业绩基准周净值!AK57)</f>
        <v>0.00279144225014969</v>
      </c>
      <c r="E8" s="12">
        <f>IF(A8="","",(MAX(B$3:B8)-B8)/MAX(B$3:B8))</f>
        <v>0</v>
      </c>
      <c r="F8" s="12">
        <f>IF(A8="","",MAX(E$4:E8))</f>
        <v>0.000200080032012894</v>
      </c>
      <c r="G8" s="13">
        <v>0</v>
      </c>
      <c r="H8" s="14" t="str">
        <f t="shared" si="3"/>
        <v>否</v>
      </c>
      <c r="I8" s="14" t="str">
        <f t="shared" si="0"/>
        <v>否</v>
      </c>
      <c r="J8" s="15" t="str">
        <f t="shared" si="1"/>
        <v>否</v>
      </c>
    </row>
    <row r="9" spans="1:10">
      <c r="A9" s="7">
        <f>IF(子基金及业绩基准周净值!A58="","",子基金及业绩基准周净值!A58)</f>
        <v>45856</v>
      </c>
      <c r="B9" s="1">
        <f>IF(A9="","",VLOOKUP($A9,子基金及业绩基准周净值!$A:$AV,22))</f>
        <v>1.0069</v>
      </c>
      <c r="C9" s="8">
        <f t="shared" si="2"/>
        <v>0.000994134605825519</v>
      </c>
      <c r="D9" s="9">
        <f>IF(A9="","",C9-子基金及业绩基准周净值!AK58)</f>
        <v>-0.00340586539417448</v>
      </c>
      <c r="E9" s="12">
        <f>IF(A9="","",(MAX(B$3:B9)-B9)/MAX(B$3:B9))</f>
        <v>0</v>
      </c>
      <c r="F9" s="12">
        <f>IF(A9="","",MAX(E$4:E9))</f>
        <v>0.000200080032012894</v>
      </c>
      <c r="G9" s="13">
        <v>1</v>
      </c>
      <c r="H9" s="14" t="str">
        <f t="shared" si="3"/>
        <v>否</v>
      </c>
      <c r="I9" s="14" t="str">
        <f t="shared" si="0"/>
        <v>否</v>
      </c>
      <c r="J9" s="15" t="str">
        <f t="shared" si="1"/>
        <v>否</v>
      </c>
    </row>
    <row r="10" spans="1:10">
      <c r="A10" s="7">
        <f>IF(子基金及业绩基准周净值!A59="","",子基金及业绩基准周净值!A59)</f>
        <v>45863</v>
      </c>
      <c r="B10" s="1">
        <f>IF(A10="","",VLOOKUP($A10,子基金及业绩基准周净值!$A:$AV,22))</f>
        <v>1.0098</v>
      </c>
      <c r="C10" s="8">
        <f t="shared" si="2"/>
        <v>0.00288012712285244</v>
      </c>
      <c r="D10" s="9">
        <f>IF(A10="","",C10-子基金及业绩基准周净值!AK59)</f>
        <v>-0.000819872877147557</v>
      </c>
      <c r="E10" s="12">
        <f>IF(A10="","",(MAX(B$3:B10)-B10)/MAX(B$3:B10))</f>
        <v>0</v>
      </c>
      <c r="F10" s="12">
        <f>IF(A10="","",MAX(E$4:E10))</f>
        <v>0.000200080032012894</v>
      </c>
      <c r="G10" s="13">
        <v>2</v>
      </c>
      <c r="H10" s="14" t="str">
        <f t="shared" si="3"/>
        <v>否</v>
      </c>
      <c r="I10" s="14" t="str">
        <f t="shared" si="0"/>
        <v>否</v>
      </c>
      <c r="J10" s="15" t="str">
        <f t="shared" si="1"/>
        <v>否</v>
      </c>
    </row>
    <row r="11" spans="1:10">
      <c r="A11" s="7">
        <f>IF(子基金及业绩基准周净值!A60="","",子基金及业绩基准周净值!A60)</f>
        <v>45870</v>
      </c>
      <c r="B11" s="1">
        <f>IF(A11="","",VLOOKUP($A11,子基金及业绩基准周净值!$A:$AV,22))</f>
        <v>1.0054</v>
      </c>
      <c r="C11" s="8">
        <f t="shared" si="2"/>
        <v>-0.00435729847494549</v>
      </c>
      <c r="D11" s="9">
        <f>IF(A11="","",C11-子基金及业绩基准周净值!AK60)</f>
        <v>0.00144270152505451</v>
      </c>
      <c r="E11" s="12">
        <f>IF(A11="","",(MAX(B$3:B11)-B11)/MAX(B$3:B11))</f>
        <v>0.00435729847494549</v>
      </c>
      <c r="F11" s="12">
        <f>IF(A11="","",MAX(E$4:E11))</f>
        <v>0.00435729847494549</v>
      </c>
      <c r="G11" s="13">
        <v>0</v>
      </c>
      <c r="H11" s="14" t="str">
        <f t="shared" si="3"/>
        <v>否</v>
      </c>
      <c r="I11" s="14" t="str">
        <f t="shared" si="0"/>
        <v>否</v>
      </c>
      <c r="J11" s="15" t="str">
        <f t="shared" si="1"/>
        <v>否</v>
      </c>
    </row>
    <row r="12" spans="1:10">
      <c r="A12" s="7">
        <f>IF(子基金及业绩基准周净值!A61="","",子基金及业绩基准周净值!A61)</f>
        <v>45877</v>
      </c>
      <c r="B12" s="1">
        <f>IF(A12="","",VLOOKUP($A12,子基金及业绩基准周净值!$A:$AV,22))</f>
        <v>1.0065</v>
      </c>
      <c r="C12" s="8">
        <f t="shared" si="2"/>
        <v>0.00109409190371979</v>
      </c>
      <c r="D12" s="9">
        <f>IF(A12="","",C12-子基金及业绩基准周净值!AK61)</f>
        <v>-0.00810590809628021</v>
      </c>
      <c r="E12" s="12">
        <f>IF(A12="","",(MAX(B$3:B12)-B12)/MAX(B$3:B12))</f>
        <v>0.00326797385620923</v>
      </c>
      <c r="F12" s="12">
        <f>IF(A12="","",MAX(E$4:E12))</f>
        <v>0.00435729847494549</v>
      </c>
      <c r="G12" s="13">
        <v>1</v>
      </c>
      <c r="H12" s="14" t="str">
        <f t="shared" si="3"/>
        <v>否</v>
      </c>
      <c r="I12" s="14" t="str">
        <f t="shared" si="0"/>
        <v>否</v>
      </c>
      <c r="J12" s="15" t="str">
        <f t="shared" si="1"/>
        <v>否</v>
      </c>
    </row>
    <row r="13" spans="1:10">
      <c r="A13" s="7">
        <f>IF(子基金及业绩基准周净值!A62="","",子基金及业绩基准周净值!A62)</f>
        <v>45884</v>
      </c>
      <c r="B13" s="1">
        <f>IF(A13="","",VLOOKUP($A13,子基金及业绩基准周净值!$A:$AV,22))</f>
        <v>1.0154</v>
      </c>
      <c r="C13" s="8">
        <f t="shared" si="2"/>
        <v>0.00884252359662209</v>
      </c>
      <c r="D13" s="9">
        <f>IF(A13="","",C13-子基金及业绩基准周净值!AK62)</f>
        <v>0.00974252359662209</v>
      </c>
      <c r="E13" s="12">
        <f>IF(A13="","",(MAX(B$3:B13)-B13)/MAX(B$3:B13))</f>
        <v>0</v>
      </c>
      <c r="F13" s="12">
        <f>IF(A13="","",MAX(E$4:E13))</f>
        <v>0.00435729847494549</v>
      </c>
      <c r="G13" s="13">
        <v>0</v>
      </c>
      <c r="H13" s="14" t="str">
        <f t="shared" si="3"/>
        <v>否</v>
      </c>
      <c r="I13" s="14" t="str">
        <f t="shared" si="0"/>
        <v>否</v>
      </c>
      <c r="J13" s="15" t="str">
        <f t="shared" si="1"/>
        <v>否</v>
      </c>
    </row>
    <row r="14" spans="1:10">
      <c r="A14" s="7">
        <f>IF(子基金及业绩基准周净值!A63="","",子基金及业绩基准周净值!A63)</f>
        <v>45891</v>
      </c>
      <c r="B14" s="1">
        <f>IF(A14="","",VLOOKUP($A14,子基金及业绩基准周净值!$A:$AV,22))</f>
        <v>1.0266</v>
      </c>
      <c r="C14" s="8">
        <f t="shared" si="2"/>
        <v>0.0110301359070316</v>
      </c>
      <c r="D14" s="9">
        <f>IF(A14="","",C14-子基金及业绩基准周净值!AK63)</f>
        <v>0.00883013590703159</v>
      </c>
      <c r="E14" s="12">
        <f>IF(A14="","",(MAX(B$3:B14)-B14)/MAX(B$3:B14))</f>
        <v>0</v>
      </c>
      <c r="F14" s="12">
        <f>IF(A14="","",MAX(E$4:E14))</f>
        <v>0.00435729847494549</v>
      </c>
      <c r="G14" s="13">
        <v>0</v>
      </c>
      <c r="H14" s="14" t="str">
        <f t="shared" si="3"/>
        <v>否</v>
      </c>
      <c r="I14" s="14" t="str">
        <f t="shared" si="0"/>
        <v>否</v>
      </c>
      <c r="J14" s="15" t="str">
        <f t="shared" si="1"/>
        <v>否</v>
      </c>
    </row>
    <row r="15" spans="1:10">
      <c r="A15" s="7">
        <f>IF(子基金及业绩基准周净值!A64="","",子基金及业绩基准周净值!A64)</f>
        <v>45898</v>
      </c>
      <c r="B15" s="1">
        <f>IF(A15="","",VLOOKUP($A15,子基金及业绩基准周净值!$A:$AV,22))</f>
        <v>1.0337</v>
      </c>
      <c r="C15" s="8">
        <f t="shared" si="2"/>
        <v>0.0069160335086695</v>
      </c>
      <c r="D15" s="9">
        <f>IF(A15="","",C15-子基金及业绩基准周净值!AK64)</f>
        <v>-0.000523966491330502</v>
      </c>
      <c r="E15" s="12">
        <f>IF(A15="","",(MAX(B$3:B15)-B15)/MAX(B$3:B15))</f>
        <v>0</v>
      </c>
      <c r="F15" s="12">
        <f>IF(A15="","",MAX(E$4:E15))</f>
        <v>0.00435729847494549</v>
      </c>
      <c r="G15" s="13">
        <v>1</v>
      </c>
      <c r="H15" s="14" t="str">
        <f t="shared" si="3"/>
        <v>否</v>
      </c>
      <c r="I15" s="14" t="str">
        <f t="shared" si="0"/>
        <v>否</v>
      </c>
      <c r="J15" s="15" t="str">
        <f t="shared" si="1"/>
        <v>否</v>
      </c>
    </row>
    <row r="16" spans="1:10">
      <c r="A16" s="7">
        <f>IF(子基金及业绩基准周净值!A65="","",子基金及业绩基准周净值!A65)</f>
        <v>45905</v>
      </c>
      <c r="B16" s="1">
        <f>IF(A16="","",VLOOKUP($A16,子基金及业绩基准周净值!$A:$AV,22))</f>
        <v>1.041</v>
      </c>
      <c r="C16" s="8">
        <f t="shared" si="2"/>
        <v>0.00706201025442572</v>
      </c>
      <c r="D16" s="9">
        <f>IF(A16="","",C16-子基金及业绩基准周净值!AK65)</f>
        <v>-0.00353798974557428</v>
      </c>
      <c r="E16" s="12">
        <f>IF(A16="","",(MAX(B$3:B16)-B16)/MAX(B$3:B16))</f>
        <v>0</v>
      </c>
      <c r="F16" s="12">
        <f>IF(A16="","",MAX(E$4:E16))</f>
        <v>0.00435729847494549</v>
      </c>
      <c r="G16" s="13">
        <v>2</v>
      </c>
      <c r="H16" s="14" t="str">
        <f t="shared" si="3"/>
        <v>否</v>
      </c>
      <c r="I16" s="14" t="str">
        <f t="shared" si="0"/>
        <v>否</v>
      </c>
      <c r="J16" s="15" t="str">
        <f t="shared" si="1"/>
        <v>否</v>
      </c>
    </row>
    <row r="17" spans="1:10">
      <c r="A17" s="7">
        <f>IF(子基金及业绩基准周净值!A66="","",子基金及业绩基准周净值!A66)</f>
        <v>45912</v>
      </c>
      <c r="B17" s="1">
        <f>IF(A17="","",VLOOKUP($A17,子基金及业绩基准周净值!$A:$AV,22))</f>
        <v>1.0488</v>
      </c>
      <c r="C17" s="8">
        <f t="shared" si="2"/>
        <v>0.00749279538904902</v>
      </c>
      <c r="D17" s="9">
        <f>IF(A17="","",C17-子基金及业绩基准周净值!AK66)</f>
        <v>-0.00230720461095098</v>
      </c>
      <c r="E17" s="12">
        <f>IF(A17="","",(MAX(B$3:B17)-B17)/MAX(B$3:B17))</f>
        <v>0</v>
      </c>
      <c r="F17" s="12">
        <f>IF(A17="","",MAX(E$4:E17))</f>
        <v>0.00435729847494549</v>
      </c>
      <c r="G17" s="13">
        <v>3</v>
      </c>
      <c r="H17" s="14" t="str">
        <f t="shared" si="3"/>
        <v>否</v>
      </c>
      <c r="I17" s="14" t="str">
        <f t="shared" si="0"/>
        <v>否</v>
      </c>
      <c r="J17" s="15" t="str">
        <f t="shared" si="1"/>
        <v>否</v>
      </c>
    </row>
    <row r="18" spans="1:10">
      <c r="A18" s="7">
        <f>IF(子基金及业绩基准周净值!A67="","",子基金及业绩基准周净值!A67)</f>
        <v>45919</v>
      </c>
      <c r="B18" s="1">
        <f>IF(A18="","",VLOOKUP($A18,子基金及业绩基准周净值!$A:$AV,22))</f>
        <v>1.0435</v>
      </c>
      <c r="C18" s="8">
        <f t="shared" si="2"/>
        <v>-0.00505339435545372</v>
      </c>
      <c r="D18" s="9">
        <f>IF(A18="","",C18-子基金及业绩基准周净值!AK67)</f>
        <v>-0.00335339435545372</v>
      </c>
      <c r="E18" s="12">
        <f>IF(A18="","",(MAX(B$3:B18)-B18)/MAX(B$3:B18))</f>
        <v>0.00505339435545372</v>
      </c>
      <c r="F18" s="12">
        <f>IF(A18="","",MAX(E$4:E18))</f>
        <v>0.00505339435545372</v>
      </c>
      <c r="G18" s="13">
        <v>4</v>
      </c>
      <c r="H18" s="14" t="str">
        <f t="shared" si="3"/>
        <v>否</v>
      </c>
      <c r="I18" s="14" t="str">
        <f t="shared" si="0"/>
        <v>否</v>
      </c>
      <c r="J18" s="15" t="str">
        <f t="shared" si="1"/>
        <v>是</v>
      </c>
    </row>
    <row r="19" spans="1:10">
      <c r="A19" s="7">
        <f>IF(子基金及业绩基准周净值!A68="","",子基金及业绩基准周净值!A68)</f>
        <v>45926</v>
      </c>
      <c r="B19" s="1">
        <f>IF(A19="","",VLOOKUP($A19,子基金及业绩基准周净值!$A:$AV,22))</f>
        <v>1.052</v>
      </c>
      <c r="C19" s="8">
        <f t="shared" si="2"/>
        <v>0.00814566363200762</v>
      </c>
      <c r="D19" s="9">
        <f>IF(A19="","",C19-子基金及业绩基准周净值!AK68)</f>
        <v>-0.00135433636799238</v>
      </c>
      <c r="E19" s="12">
        <f>IF(A19="","",(MAX(B$3:B19)-B19)/MAX(B$3:B19))</f>
        <v>0</v>
      </c>
      <c r="F19" s="12">
        <f>IF(A19="","",MAX(E$4:E19))</f>
        <v>0.00505339435545372</v>
      </c>
      <c r="G19" s="13">
        <v>5</v>
      </c>
      <c r="H19" s="14" t="str">
        <f t="shared" si="3"/>
        <v>否</v>
      </c>
      <c r="I19" s="14" t="str">
        <f t="shared" si="0"/>
        <v>否</v>
      </c>
      <c r="J19" s="15" t="str">
        <f t="shared" si="1"/>
        <v>是</v>
      </c>
    </row>
    <row r="20" spans="1:10">
      <c r="A20" s="7">
        <f>IF(子基金及业绩基准周净值!A69="","",子基金及业绩基准周净值!A69)</f>
        <v>45940</v>
      </c>
      <c r="B20" s="1">
        <f>IF(A20="","",VLOOKUP($A20,子基金及业绩基准周净值!$A:$AV,22))</f>
        <v>1.0727</v>
      </c>
      <c r="C20" s="8">
        <f t="shared" si="2"/>
        <v>0.0196768060836501</v>
      </c>
      <c r="D20" s="9">
        <f>IF(A20="","",C20-子基金及业绩基准周净值!AK69)</f>
        <v>0.0103768060836501</v>
      </c>
      <c r="E20" s="12">
        <f>IF(A20="","",(MAX(B$3:B20)-B20)/MAX(B$3:B20))</f>
        <v>0</v>
      </c>
      <c r="F20" s="12">
        <f>IF(A20="","",MAX(E$4:E20))</f>
        <v>0.00505339435545372</v>
      </c>
      <c r="G20" s="13">
        <v>0</v>
      </c>
      <c r="H20" s="14" t="str">
        <f t="shared" si="3"/>
        <v>否</v>
      </c>
      <c r="I20" s="14" t="str">
        <f t="shared" si="0"/>
        <v>否</v>
      </c>
      <c r="J20" s="15" t="str">
        <f t="shared" si="1"/>
        <v>否</v>
      </c>
    </row>
    <row r="21" spans="1:10">
      <c r="A21" s="7">
        <f>IF(子基金及业绩基准周净值!A70="","",子基金及业绩基准周净值!A70)</f>
        <v>45947</v>
      </c>
      <c r="B21" s="1">
        <f>IF(A21="","",VLOOKUP($A21,子基金及业绩基准周净值!$A:$AV,22))</f>
        <v>1.0864</v>
      </c>
      <c r="C21" s="8">
        <f t="shared" si="2"/>
        <v>0.0127715111401138</v>
      </c>
      <c r="D21" s="9">
        <f>IF(A21="","",C21-子基金及业绩基准周净值!AK70)</f>
        <v>-0.0148284888598862</v>
      </c>
      <c r="E21" s="12">
        <f>IF(A21="","",(MAX(B$3:B21)-B21)/MAX(B$3:B21))</f>
        <v>0</v>
      </c>
      <c r="F21" s="12">
        <f>IF(A21="","",MAX(E$4:E21))</f>
        <v>0.00505339435545372</v>
      </c>
      <c r="G21" s="20">
        <v>1</v>
      </c>
      <c r="H21" s="14" t="str">
        <f t="shared" si="3"/>
        <v>否</v>
      </c>
      <c r="I21" s="14" t="str">
        <f t="shared" si="0"/>
        <v>否</v>
      </c>
      <c r="J21" s="15" t="str">
        <f t="shared" si="1"/>
        <v>否</v>
      </c>
    </row>
    <row r="22" spans="1:10">
      <c r="A22" s="7">
        <f>IF(子基金及业绩基准周净值!A71="","",子基金及业绩基准周净值!A71)</f>
        <v>45954</v>
      </c>
      <c r="B22" s="1">
        <f>IF(A22="","",VLOOKUP($A22,子基金及业绩基准周净值!$A:$AV,22))</f>
        <v>1.0776</v>
      </c>
      <c r="C22" s="8">
        <f t="shared" si="2"/>
        <v>-0.00810014727540514</v>
      </c>
      <c r="D22" s="9">
        <f>IF(A22="","",C22-子基金及业绩基准周净值!AK71)</f>
        <v>0.00579985272459486</v>
      </c>
      <c r="E22" s="12">
        <f>IF(A22="","",(MAX(B$3:B22)-B22)/MAX(B$3:B22))</f>
        <v>0.00810014727540514</v>
      </c>
      <c r="F22" s="12">
        <f>IF(A22="","",MAX(E$4:E22))</f>
        <v>0.00810014727540514</v>
      </c>
      <c r="G22" s="13">
        <v>0</v>
      </c>
      <c r="H22" s="14" t="str">
        <f t="shared" si="3"/>
        <v>否</v>
      </c>
      <c r="I22" s="14" t="str">
        <f t="shared" si="0"/>
        <v>否</v>
      </c>
      <c r="J22" s="15" t="str">
        <f t="shared" si="1"/>
        <v>否</v>
      </c>
    </row>
    <row r="23" spans="1:10">
      <c r="A23" s="7">
        <f>IF(子基金及业绩基准周净值!A72="","",子基金及业绩基准周净值!A72)</f>
        <v>45961</v>
      </c>
      <c r="B23" s="1">
        <f>IF(A23="","",VLOOKUP($A23,子基金及业绩基准周净值!$A:$AV,22))</f>
        <v>1.0784</v>
      </c>
      <c r="C23" s="8">
        <f t="shared" si="2"/>
        <v>0.000742390497401758</v>
      </c>
      <c r="D23" s="9">
        <f>IF(A23="","",C23-子基金及业绩基准周净值!AK72)</f>
        <v>0.00344239049740176</v>
      </c>
      <c r="E23" s="12">
        <f>IF(A23="","",(MAX(B$3:B23)-B23)/MAX(B$3:B23))</f>
        <v>0.00736377025036819</v>
      </c>
      <c r="F23" s="12">
        <f>IF(A23="","",MAX(E$4:E23))</f>
        <v>0.00810014727540514</v>
      </c>
      <c r="G23" s="13">
        <v>0</v>
      </c>
      <c r="H23" s="14" t="str">
        <f t="shared" si="3"/>
        <v>否</v>
      </c>
      <c r="I23" s="14" t="str">
        <f t="shared" si="0"/>
        <v>否</v>
      </c>
      <c r="J23" s="15" t="str">
        <f t="shared" si="1"/>
        <v>否</v>
      </c>
    </row>
    <row r="24" spans="1:10">
      <c r="A24" s="7" t="str">
        <f>IF(子基金及业绩基准周净值!A73="","",子基金及业绩基准周净值!A73)</f>
        <v/>
      </c>
      <c r="B24" s="1" t="str">
        <f>IF(A24="","",VLOOKUP($A24,子基金及业绩基准周净值!$A:$AV,22))</f>
        <v/>
      </c>
      <c r="C24" s="8" t="str">
        <f t="shared" si="2"/>
        <v/>
      </c>
      <c r="D24" s="9" t="str">
        <f>IF(A24="","",C24-子基金及业绩基准周净值!AK73)</f>
        <v/>
      </c>
      <c r="E24" s="12" t="str">
        <f>IF(A24="","",(MAX(B$3:B24)-B24)/MAX(B$3:B24))</f>
        <v/>
      </c>
      <c r="F24" s="12" t="str">
        <f>IF(A24="","",MAX(E$4:E24))</f>
        <v/>
      </c>
      <c r="G24" s="13"/>
      <c r="H24" s="14" t="str">
        <f t="shared" si="3"/>
        <v/>
      </c>
      <c r="I24" s="14" t="str">
        <f t="shared" si="0"/>
        <v/>
      </c>
      <c r="J24" s="15" t="str">
        <f t="shared" si="1"/>
        <v/>
      </c>
    </row>
    <row r="25" spans="1:10">
      <c r="A25" s="7" t="str">
        <f>IF(子基金及业绩基准周净值!A74="","",子基金及业绩基准周净值!A74)</f>
        <v/>
      </c>
      <c r="B25" s="1" t="str">
        <f>IF(A25="","",VLOOKUP($A25,子基金及业绩基准周净值!$A:$AV,22))</f>
        <v/>
      </c>
      <c r="C25" s="8" t="str">
        <f t="shared" si="2"/>
        <v/>
      </c>
      <c r="D25" s="9" t="str">
        <f>IF(A25="","",C25-子基金及业绩基准周净值!AK74)</f>
        <v/>
      </c>
      <c r="E25" s="12" t="str">
        <f>IF(A25="","",(MAX(B$3:B25)-B25)/MAX(B$3:B25))</f>
        <v/>
      </c>
      <c r="F25" s="12" t="str">
        <f>IF(A25="","",MAX(E$4:E25))</f>
        <v/>
      </c>
      <c r="G25" s="13"/>
      <c r="H25" s="14" t="str">
        <f t="shared" si="3"/>
        <v/>
      </c>
      <c r="I25" s="14" t="str">
        <f t="shared" si="0"/>
        <v/>
      </c>
      <c r="J25" s="15" t="str">
        <f t="shared" si="1"/>
        <v/>
      </c>
    </row>
    <row r="26" spans="1:10">
      <c r="A26" s="7" t="str">
        <f>IF(子基金及业绩基准周净值!A75="","",子基金及业绩基准周净值!A75)</f>
        <v/>
      </c>
      <c r="B26" s="1" t="str">
        <f>IF(A26="","",VLOOKUP($A26,子基金及业绩基准周净值!$A:$AV,22))</f>
        <v/>
      </c>
      <c r="C26" s="8" t="str">
        <f t="shared" si="2"/>
        <v/>
      </c>
      <c r="D26" s="9" t="str">
        <f>IF(A26="","",C26-子基金及业绩基准周净值!AK75)</f>
        <v/>
      </c>
      <c r="E26" s="12" t="str">
        <f>IF(A26="","",(MAX(B$3:B26)-B26)/MAX(B$3:B26))</f>
        <v/>
      </c>
      <c r="F26" s="12" t="str">
        <f>IF(A26="","",MAX(E$4:E26))</f>
        <v/>
      </c>
      <c r="G26" s="13"/>
      <c r="H26" s="14" t="str">
        <f t="shared" si="3"/>
        <v/>
      </c>
      <c r="I26" s="14" t="str">
        <f t="shared" si="0"/>
        <v/>
      </c>
      <c r="J26" s="15" t="str">
        <f t="shared" si="1"/>
        <v/>
      </c>
    </row>
    <row r="27" spans="1:10">
      <c r="A27" s="7" t="str">
        <f>IF(子基金及业绩基准周净值!A76="","",子基金及业绩基准周净值!A76)</f>
        <v/>
      </c>
      <c r="B27" s="1" t="str">
        <f>IF(A27="","",VLOOKUP($A27,子基金及业绩基准周净值!$A:$AV,22))</f>
        <v/>
      </c>
      <c r="C27" s="8" t="str">
        <f t="shared" si="2"/>
        <v/>
      </c>
      <c r="D27" s="9" t="str">
        <f>IF(A27="","",C27-子基金及业绩基准周净值!AK76)</f>
        <v/>
      </c>
      <c r="E27" s="12" t="str">
        <f>IF(A27="","",(MAX(B$3:B27)-B27)/MAX(B$3:B27))</f>
        <v/>
      </c>
      <c r="F27" s="12" t="str">
        <f>IF(A27="","",MAX(E$4:E27))</f>
        <v/>
      </c>
      <c r="G27" s="13"/>
      <c r="H27" s="14" t="str">
        <f t="shared" si="3"/>
        <v/>
      </c>
      <c r="I27" s="14" t="str">
        <f t="shared" si="0"/>
        <v/>
      </c>
      <c r="J27" s="15" t="str">
        <f t="shared" si="1"/>
        <v/>
      </c>
    </row>
    <row r="28" spans="1:10">
      <c r="A28" s="7" t="str">
        <f>IF(子基金及业绩基准周净值!A77="","",子基金及业绩基准周净值!A77)</f>
        <v/>
      </c>
      <c r="B28" s="1" t="str">
        <f>IF(A28="","",VLOOKUP($A28,子基金及业绩基准周净值!$A:$AV,22))</f>
        <v/>
      </c>
      <c r="C28" s="8" t="str">
        <f t="shared" si="2"/>
        <v/>
      </c>
      <c r="D28" s="9" t="str">
        <f>IF(A28="","",C28-子基金及业绩基准周净值!AK77)</f>
        <v/>
      </c>
      <c r="E28" s="12" t="str">
        <f>IF(A28="","",(MAX(B$3:B28)-B28)/MAX(B$3:B28))</f>
        <v/>
      </c>
      <c r="F28" s="12" t="str">
        <f>IF(A28="","",MAX(E$4:E28))</f>
        <v/>
      </c>
      <c r="G28" s="13"/>
      <c r="H28" s="14" t="str">
        <f t="shared" si="3"/>
        <v/>
      </c>
      <c r="I28" s="14" t="str">
        <f t="shared" si="0"/>
        <v/>
      </c>
      <c r="J28" s="15" t="str">
        <f t="shared" si="1"/>
        <v/>
      </c>
    </row>
    <row r="29" spans="1:10">
      <c r="A29" s="7" t="str">
        <f>IF(子基金及业绩基准周净值!A78="","",子基金及业绩基准周净值!A78)</f>
        <v/>
      </c>
      <c r="B29" s="1" t="str">
        <f>IF(A29="","",VLOOKUP($A29,子基金及业绩基准周净值!$A:$AV,22))</f>
        <v/>
      </c>
      <c r="C29" s="8" t="str">
        <f t="shared" si="2"/>
        <v/>
      </c>
      <c r="D29" s="9" t="str">
        <f>IF(A29="","",C29-子基金及业绩基准周净值!AK78)</f>
        <v/>
      </c>
      <c r="E29" s="12" t="str">
        <f>IF(A29="","",(MAX(B$3:B29)-B29)/MAX(B$3:B29))</f>
        <v/>
      </c>
      <c r="F29" s="12" t="str">
        <f>IF(A29="","",MAX(E$4:E29))</f>
        <v/>
      </c>
      <c r="G29" s="13"/>
      <c r="H29" s="14" t="str">
        <f t="shared" si="3"/>
        <v/>
      </c>
      <c r="I29" s="14" t="str">
        <f t="shared" si="0"/>
        <v/>
      </c>
      <c r="J29" s="15" t="str">
        <f t="shared" si="1"/>
        <v/>
      </c>
    </row>
    <row r="30" spans="1:10">
      <c r="A30" s="7" t="str">
        <f>IF(子基金及业绩基准周净值!A79="","",子基金及业绩基准周净值!A79)</f>
        <v/>
      </c>
      <c r="B30" s="1" t="str">
        <f>IF(A30="","",VLOOKUP($A30,子基金及业绩基准周净值!$A:$AV,22))</f>
        <v/>
      </c>
      <c r="C30" s="8" t="str">
        <f t="shared" si="2"/>
        <v/>
      </c>
      <c r="D30" s="9" t="str">
        <f>IF(A30="","",C30-子基金及业绩基准周净值!AK79)</f>
        <v/>
      </c>
      <c r="E30" s="12" t="str">
        <f>IF(A30="","",(MAX(B$3:B30)-B30)/MAX(B$3:B30))</f>
        <v/>
      </c>
      <c r="F30" s="12" t="str">
        <f>IF(A30="","",MAX(E$4:E30))</f>
        <v/>
      </c>
      <c r="G30" s="13"/>
      <c r="H30" s="14" t="str">
        <f t="shared" si="3"/>
        <v/>
      </c>
      <c r="I30" s="14" t="str">
        <f t="shared" si="0"/>
        <v/>
      </c>
      <c r="J30" s="15" t="str">
        <f t="shared" si="1"/>
        <v/>
      </c>
    </row>
    <row r="31" spans="1:10">
      <c r="A31" s="7" t="str">
        <f>IF(子基金及业绩基准周净值!A80="","",子基金及业绩基准周净值!A80)</f>
        <v/>
      </c>
      <c r="B31" s="1" t="str">
        <f>IF(A31="","",VLOOKUP($A31,子基金及业绩基准周净值!$A:$AV,22))</f>
        <v/>
      </c>
      <c r="C31" s="8" t="str">
        <f t="shared" si="2"/>
        <v/>
      </c>
      <c r="D31" s="9" t="str">
        <f>IF(A31="","",C31-子基金及业绩基准周净值!AK80)</f>
        <v/>
      </c>
      <c r="E31" s="12" t="str">
        <f>IF(A31="","",(MAX(B$3:B31)-B31)/MAX(B$3:B31))</f>
        <v/>
      </c>
      <c r="F31" s="12" t="str">
        <f>IF(A31="","",MAX(E$4:E31))</f>
        <v/>
      </c>
      <c r="G31" s="13"/>
      <c r="H31" s="14" t="str">
        <f t="shared" si="3"/>
        <v/>
      </c>
      <c r="I31" s="14" t="str">
        <f t="shared" si="0"/>
        <v/>
      </c>
      <c r="J31" s="15" t="str">
        <f t="shared" si="1"/>
        <v/>
      </c>
    </row>
    <row r="32" spans="1:10">
      <c r="A32" s="7" t="str">
        <f>IF(子基金及业绩基准周净值!A81="","",子基金及业绩基准周净值!A81)</f>
        <v/>
      </c>
      <c r="B32" s="1" t="str">
        <f>IF(A32="","",VLOOKUP($A32,子基金及业绩基准周净值!$A:$AV,22))</f>
        <v/>
      </c>
      <c r="C32" s="8" t="str">
        <f t="shared" si="2"/>
        <v/>
      </c>
      <c r="D32" s="9" t="str">
        <f>IF(A32="","",C32-子基金及业绩基准周净值!AK81)</f>
        <v/>
      </c>
      <c r="E32" s="12" t="str">
        <f>IF(A32="","",(MAX(B$3:B32)-B32)/MAX(B$3:B32))</f>
        <v/>
      </c>
      <c r="F32" s="12" t="str">
        <f>IF(A32="","",MAX(E$4:E32))</f>
        <v/>
      </c>
      <c r="G32" s="13"/>
      <c r="H32" s="14" t="str">
        <f t="shared" si="3"/>
        <v/>
      </c>
      <c r="I32" s="14" t="str">
        <f t="shared" si="0"/>
        <v/>
      </c>
      <c r="J32" s="15" t="str">
        <f t="shared" si="1"/>
        <v/>
      </c>
    </row>
    <row r="33" spans="1:10">
      <c r="A33" s="7" t="str">
        <f>IF(子基金及业绩基准周净值!A82="","",子基金及业绩基准周净值!A82)</f>
        <v/>
      </c>
      <c r="B33" s="1" t="str">
        <f>IF(A33="","",VLOOKUP($A33,子基金及业绩基准周净值!$A:$AV,22))</f>
        <v/>
      </c>
      <c r="C33" s="8" t="str">
        <f t="shared" si="2"/>
        <v/>
      </c>
      <c r="D33" s="9" t="str">
        <f>IF(A33="","",C33-子基金及业绩基准周净值!AK82)</f>
        <v/>
      </c>
      <c r="E33" s="12" t="str">
        <f>IF(A33="","",(MAX(B$3:B33)-B33)/MAX(B$3:B33))</f>
        <v/>
      </c>
      <c r="F33" s="12" t="str">
        <f>IF(A33="","",MAX(E$4:E33))</f>
        <v/>
      </c>
      <c r="G33" s="13"/>
      <c r="H33" s="14" t="str">
        <f t="shared" si="3"/>
        <v/>
      </c>
      <c r="I33" s="14" t="str">
        <f t="shared" si="0"/>
        <v/>
      </c>
      <c r="J33" s="15" t="str">
        <f t="shared" si="1"/>
        <v/>
      </c>
    </row>
    <row r="34" spans="1:10">
      <c r="A34" s="7" t="str">
        <f>IF(子基金及业绩基准周净值!A83="","",子基金及业绩基准周净值!A83)</f>
        <v/>
      </c>
      <c r="B34" s="1" t="str">
        <f>IF(A34="","",VLOOKUP($A34,子基金及业绩基准周净值!$A:$AV,22))</f>
        <v/>
      </c>
      <c r="C34" s="8" t="str">
        <f t="shared" si="2"/>
        <v/>
      </c>
      <c r="D34" s="9" t="str">
        <f>IF(A34="","",C34-子基金及业绩基准周净值!AK83)</f>
        <v/>
      </c>
      <c r="E34" s="12" t="str">
        <f>IF(A34="","",(MAX(B$3:B34)-B34)/MAX(B$3:B34))</f>
        <v/>
      </c>
      <c r="F34" s="12" t="str">
        <f>IF(A34="","",MAX(E$4:E34))</f>
        <v/>
      </c>
      <c r="G34" s="13"/>
      <c r="H34" s="14" t="str">
        <f t="shared" si="3"/>
        <v/>
      </c>
      <c r="I34" s="14" t="str">
        <f t="shared" si="0"/>
        <v/>
      </c>
      <c r="J34" s="15" t="str">
        <f t="shared" si="1"/>
        <v/>
      </c>
    </row>
    <row r="35" spans="1:10">
      <c r="A35" s="7" t="str">
        <f>IF(子基金及业绩基准周净值!A84="","",子基金及业绩基准周净值!A84)</f>
        <v/>
      </c>
      <c r="B35" s="1" t="str">
        <f>IF(A35="","",VLOOKUP($A35,子基金及业绩基准周净值!$A:$AV,22))</f>
        <v/>
      </c>
      <c r="C35" s="8" t="str">
        <f t="shared" si="2"/>
        <v/>
      </c>
      <c r="D35" s="9" t="str">
        <f>IF(A35="","",C35-子基金及业绩基准周净值!AK84)</f>
        <v/>
      </c>
      <c r="E35" s="12" t="str">
        <f>IF(A35="","",(MAX(B$3:B35)-B35)/MAX(B$3:B35))</f>
        <v/>
      </c>
      <c r="F35" s="12" t="str">
        <f>IF(A35="","",MAX(E$4:E35))</f>
        <v/>
      </c>
      <c r="G35" s="13"/>
      <c r="H35" s="14" t="str">
        <f t="shared" si="3"/>
        <v/>
      </c>
      <c r="I35" s="14" t="str">
        <f t="shared" si="0"/>
        <v/>
      </c>
      <c r="J35" s="15" t="str">
        <f t="shared" si="1"/>
        <v/>
      </c>
    </row>
    <row r="36" spans="1:10">
      <c r="A36" s="7" t="str">
        <f>IF(子基金及业绩基准周净值!A85="","",子基金及业绩基准周净值!A85)</f>
        <v/>
      </c>
      <c r="B36" s="1" t="str">
        <f>IF(A36="","",VLOOKUP($A36,子基金及业绩基准周净值!$A:$AV,22))</f>
        <v/>
      </c>
      <c r="C36" s="8" t="str">
        <f t="shared" si="2"/>
        <v/>
      </c>
      <c r="D36" s="9" t="str">
        <f>IF(A36="","",C36-子基金及业绩基准周净值!AK85)</f>
        <v/>
      </c>
      <c r="E36" s="12" t="str">
        <f>IF(A36="","",(MAX(B$3:B36)-B36)/MAX(B$3:B36))</f>
        <v/>
      </c>
      <c r="F36" s="12" t="str">
        <f>IF(A36="","",MAX(E$4:E36))</f>
        <v/>
      </c>
      <c r="G36" s="13"/>
      <c r="H36" s="14" t="str">
        <f t="shared" si="3"/>
        <v/>
      </c>
      <c r="I36" s="14" t="str">
        <f t="shared" si="0"/>
        <v/>
      </c>
      <c r="J36" s="15" t="str">
        <f t="shared" si="1"/>
        <v/>
      </c>
    </row>
    <row r="37" spans="1:10">
      <c r="A37" s="7" t="str">
        <f>IF(子基金及业绩基准周净值!A86="","",子基金及业绩基准周净值!A86)</f>
        <v/>
      </c>
      <c r="B37" s="1" t="str">
        <f>IF(A37="","",VLOOKUP($A37,子基金及业绩基准周净值!$A:$AV,22))</f>
        <v/>
      </c>
      <c r="C37" s="8" t="str">
        <f t="shared" si="2"/>
        <v/>
      </c>
      <c r="D37" s="9" t="str">
        <f>IF(A37="","",C37-子基金及业绩基准周净值!AK86)</f>
        <v/>
      </c>
      <c r="E37" s="12" t="str">
        <f>IF(A37="","",(MAX(B$3:B37)-B37)/MAX(B$3:B37))</f>
        <v/>
      </c>
      <c r="F37" s="12" t="str">
        <f>IF(A37="","",MAX(E$4:E37))</f>
        <v/>
      </c>
      <c r="G37" s="13"/>
      <c r="H37" s="14" t="str">
        <f t="shared" si="3"/>
        <v/>
      </c>
      <c r="I37" s="14" t="str">
        <f t="shared" si="0"/>
        <v/>
      </c>
      <c r="J37" s="15" t="str">
        <f t="shared" si="1"/>
        <v/>
      </c>
    </row>
    <row r="38" spans="1:10">
      <c r="A38" s="7" t="str">
        <f>IF(子基金及业绩基准周净值!A87="","",子基金及业绩基准周净值!A87)</f>
        <v/>
      </c>
      <c r="B38" s="1" t="str">
        <f>IF(A38="","",VLOOKUP($A38,子基金及业绩基准周净值!$A:$AV,22))</f>
        <v/>
      </c>
      <c r="C38" s="8" t="str">
        <f t="shared" si="2"/>
        <v/>
      </c>
      <c r="D38" s="9" t="str">
        <f>IF(A38="","",C38-子基金及业绩基准周净值!AK87)</f>
        <v/>
      </c>
      <c r="E38" s="12" t="str">
        <f>IF(A38="","",(MAX(B$3:B38)-B38)/MAX(B$3:B38))</f>
        <v/>
      </c>
      <c r="F38" s="12" t="str">
        <f>IF(A38="","",MAX(E$4:E38))</f>
        <v/>
      </c>
      <c r="G38" s="13"/>
      <c r="H38" s="14" t="str">
        <f t="shared" si="3"/>
        <v/>
      </c>
      <c r="I38" s="14" t="str">
        <f t="shared" si="0"/>
        <v/>
      </c>
      <c r="J38" s="15" t="str">
        <f t="shared" si="1"/>
        <v/>
      </c>
    </row>
    <row r="39" spans="1:10">
      <c r="A39" s="7" t="str">
        <f>IF(子基金及业绩基准周净值!A88="","",子基金及业绩基准周净值!A88)</f>
        <v/>
      </c>
      <c r="B39" s="1" t="str">
        <f>IF(A39="","",VLOOKUP($A39,子基金及业绩基准周净值!$A:$AV,22))</f>
        <v/>
      </c>
      <c r="C39" s="8" t="str">
        <f t="shared" si="2"/>
        <v/>
      </c>
      <c r="D39" s="9" t="str">
        <f>IF(A39="","",C39-子基金及业绩基准周净值!AK88)</f>
        <v/>
      </c>
      <c r="E39" s="12" t="str">
        <f>IF(A39="","",(MAX(B$3:B39)-B39)/MAX(B$3:B39))</f>
        <v/>
      </c>
      <c r="F39" s="12" t="str">
        <f>IF(A39="","",MAX(E$4:E39))</f>
        <v/>
      </c>
      <c r="G39" s="13"/>
      <c r="H39" s="14" t="str">
        <f t="shared" si="3"/>
        <v/>
      </c>
      <c r="I39" s="14" t="str">
        <f t="shared" si="0"/>
        <v/>
      </c>
      <c r="J39" s="15" t="str">
        <f t="shared" si="1"/>
        <v/>
      </c>
    </row>
    <row r="40" spans="1:10">
      <c r="A40" s="7" t="str">
        <f>IF(子基金及业绩基准周净值!A89="","",子基金及业绩基准周净值!A89)</f>
        <v/>
      </c>
      <c r="B40" s="1" t="str">
        <f>IF(A40="","",VLOOKUP($A40,子基金及业绩基准周净值!$A:$AV,22))</f>
        <v/>
      </c>
      <c r="C40" s="8" t="str">
        <f t="shared" si="2"/>
        <v/>
      </c>
      <c r="D40" s="9" t="str">
        <f>IF(A40="","",C40-子基金及业绩基准周净值!AK89)</f>
        <v/>
      </c>
      <c r="E40" s="12" t="str">
        <f>IF(A40="","",(MAX(B$3:B40)-B40)/MAX(B$3:B40))</f>
        <v/>
      </c>
      <c r="F40" s="12" t="str">
        <f>IF(A40="","",MAX(E$4:E40))</f>
        <v/>
      </c>
      <c r="G40" s="13"/>
      <c r="H40" s="14" t="str">
        <f t="shared" si="3"/>
        <v/>
      </c>
      <c r="I40" s="14" t="str">
        <f t="shared" si="0"/>
        <v/>
      </c>
      <c r="J40" s="15" t="str">
        <f t="shared" si="1"/>
        <v/>
      </c>
    </row>
    <row r="41" spans="1:10">
      <c r="A41" s="7" t="str">
        <f>IF(子基金及业绩基准周净值!A90="","",子基金及业绩基准周净值!A90)</f>
        <v/>
      </c>
      <c r="B41" s="1" t="str">
        <f>IF(A41="","",VLOOKUP($A41,子基金及业绩基准周净值!$A:$AV,22))</f>
        <v/>
      </c>
      <c r="C41" s="8" t="str">
        <f t="shared" si="2"/>
        <v/>
      </c>
      <c r="D41" s="9" t="str">
        <f>IF(A41="","",C41-子基金及业绩基准周净值!AK90)</f>
        <v/>
      </c>
      <c r="E41" s="12" t="str">
        <f>IF(A41="","",(MAX(B$3:B41)-B41)/MAX(B$3:B41))</f>
        <v/>
      </c>
      <c r="F41" s="12" t="str">
        <f>IF(A41="","",MAX(E$4:E41))</f>
        <v/>
      </c>
      <c r="G41" s="13"/>
      <c r="H41" s="14" t="str">
        <f t="shared" si="3"/>
        <v/>
      </c>
      <c r="I41" s="14" t="str">
        <f t="shared" si="0"/>
        <v/>
      </c>
      <c r="J41" s="15" t="str">
        <f t="shared" si="1"/>
        <v/>
      </c>
    </row>
    <row r="42" spans="1:10">
      <c r="A42" s="7" t="str">
        <f>IF(子基金及业绩基准周净值!A91="","",子基金及业绩基准周净值!A91)</f>
        <v/>
      </c>
      <c r="B42" s="1" t="str">
        <f>IF(A42="","",VLOOKUP($A42,子基金及业绩基准周净值!$A:$AV,22))</f>
        <v/>
      </c>
      <c r="C42" s="8" t="str">
        <f t="shared" si="2"/>
        <v/>
      </c>
      <c r="D42" s="9" t="str">
        <f>IF(A42="","",C42-子基金及业绩基准周净值!AK91)</f>
        <v/>
      </c>
      <c r="E42" s="12" t="str">
        <f>IF(A42="","",(MAX(B$3:B42)-B42)/MAX(B$3:B42))</f>
        <v/>
      </c>
      <c r="F42" s="12" t="str">
        <f>IF(A42="","",MAX(E$4:E42))</f>
        <v/>
      </c>
      <c r="G42" s="13"/>
      <c r="H42" s="14" t="str">
        <f t="shared" si="3"/>
        <v/>
      </c>
      <c r="I42" s="14" t="str">
        <f t="shared" si="0"/>
        <v/>
      </c>
      <c r="J42" s="15" t="str">
        <f t="shared" si="1"/>
        <v/>
      </c>
    </row>
    <row r="43" spans="1:10">
      <c r="A43" s="7" t="str">
        <f>IF(子基金及业绩基准周净值!A92="","",子基金及业绩基准周净值!A92)</f>
        <v/>
      </c>
      <c r="B43" s="1" t="str">
        <f>IF(A43="","",VLOOKUP($A43,子基金及业绩基准周净值!$A:$AV,22))</f>
        <v/>
      </c>
      <c r="C43" s="8" t="str">
        <f t="shared" si="2"/>
        <v/>
      </c>
      <c r="D43" s="9" t="str">
        <f>IF(A43="","",C43-子基金及业绩基准周净值!AK92)</f>
        <v/>
      </c>
      <c r="E43" s="12" t="str">
        <f>IF(A43="","",(MAX(B$3:B43)-B43)/MAX(B$3:B43))</f>
        <v/>
      </c>
      <c r="F43" s="12" t="str">
        <f>IF(A43="","",MAX(E$4:E43))</f>
        <v/>
      </c>
      <c r="G43" s="13"/>
      <c r="H43" s="14" t="str">
        <f t="shared" si="3"/>
        <v/>
      </c>
      <c r="I43" s="14" t="str">
        <f t="shared" si="0"/>
        <v/>
      </c>
      <c r="J43" s="15" t="str">
        <f t="shared" si="1"/>
        <v/>
      </c>
    </row>
    <row r="44" spans="1:10">
      <c r="A44" s="7" t="str">
        <f>IF(子基金及业绩基准周净值!A93="","",子基金及业绩基准周净值!A93)</f>
        <v/>
      </c>
      <c r="B44" s="1" t="str">
        <f>IF(A44="","",VLOOKUP($A44,子基金及业绩基准周净值!$A:$AV,22))</f>
        <v/>
      </c>
      <c r="C44" s="8" t="str">
        <f t="shared" si="2"/>
        <v/>
      </c>
      <c r="D44" s="9" t="str">
        <f>IF(A44="","",C44-子基金及业绩基准周净值!AK93)</f>
        <v/>
      </c>
      <c r="E44" s="12" t="str">
        <f>IF(A44="","",(MAX(B$3:B44)-B44)/MAX(B$3:B44))</f>
        <v/>
      </c>
      <c r="F44" s="12" t="str">
        <f>IF(A44="","",MAX(E$4:E44))</f>
        <v/>
      </c>
      <c r="G44" s="13"/>
      <c r="H44" s="14" t="str">
        <f t="shared" si="3"/>
        <v/>
      </c>
      <c r="I44" s="14" t="str">
        <f t="shared" si="0"/>
        <v/>
      </c>
      <c r="J44" s="15" t="str">
        <f t="shared" si="1"/>
        <v/>
      </c>
    </row>
    <row r="45" spans="1:10">
      <c r="A45" s="7" t="str">
        <f>IF(子基金及业绩基准周净值!A94="","",子基金及业绩基准周净值!A94)</f>
        <v/>
      </c>
      <c r="B45" s="1" t="str">
        <f>IF(A45="","",VLOOKUP($A45,子基金及业绩基准周净值!$A:$AV,22))</f>
        <v/>
      </c>
      <c r="C45" s="8" t="str">
        <f t="shared" si="2"/>
        <v/>
      </c>
      <c r="D45" s="9" t="str">
        <f>IF(A45="","",C45-子基金及业绩基准周净值!AK94)</f>
        <v/>
      </c>
      <c r="E45" s="12" t="str">
        <f>IF(A45="","",(MAX(B$3:B45)-B45)/MAX(B$3:B45))</f>
        <v/>
      </c>
      <c r="F45" s="12" t="str">
        <f>IF(A45="","",MAX(E$4:E45))</f>
        <v/>
      </c>
      <c r="G45" s="13"/>
      <c r="H45" s="14" t="str">
        <f t="shared" si="3"/>
        <v/>
      </c>
      <c r="I45" s="14" t="str">
        <f t="shared" si="0"/>
        <v/>
      </c>
      <c r="J45" s="15" t="str">
        <f t="shared" si="1"/>
        <v/>
      </c>
    </row>
    <row r="46" spans="1:10">
      <c r="A46" s="7" t="str">
        <f>IF(子基金及业绩基准周净值!A95="","",子基金及业绩基准周净值!A95)</f>
        <v/>
      </c>
      <c r="B46" s="1" t="str">
        <f>IF(A46="","",VLOOKUP($A46,子基金及业绩基准周净值!$A:$AV,22))</f>
        <v/>
      </c>
      <c r="C46" s="8" t="str">
        <f t="shared" si="2"/>
        <v/>
      </c>
      <c r="D46" s="9" t="str">
        <f>IF(A46="","",C46-子基金及业绩基准周净值!AK95)</f>
        <v/>
      </c>
      <c r="E46" s="12" t="str">
        <f>IF(A46="","",(MAX(B$3:B46)-B46)/MAX(B$3:B46))</f>
        <v/>
      </c>
      <c r="F46" s="12" t="str">
        <f>IF(A46="","",MAX(E$4:E46))</f>
        <v/>
      </c>
      <c r="G46" s="13"/>
      <c r="H46" s="14" t="str">
        <f t="shared" si="3"/>
        <v/>
      </c>
      <c r="I46" s="14" t="str">
        <f t="shared" si="0"/>
        <v/>
      </c>
      <c r="J46" s="15" t="str">
        <f t="shared" si="1"/>
        <v/>
      </c>
    </row>
    <row r="47" spans="1:10">
      <c r="A47" s="7" t="str">
        <f>IF(子基金及业绩基准周净值!A96="","",子基金及业绩基准周净值!A96)</f>
        <v/>
      </c>
      <c r="B47" s="1" t="str">
        <f>IF(A47="","",VLOOKUP($A47,子基金及业绩基准周净值!$A:$AV,22))</f>
        <v/>
      </c>
      <c r="C47" s="8" t="str">
        <f t="shared" si="2"/>
        <v/>
      </c>
      <c r="D47" s="9" t="str">
        <f>IF(A47="","",C47-子基金及业绩基准周净值!AK96)</f>
        <v/>
      </c>
      <c r="E47" s="12" t="str">
        <f>IF(A47="","",(MAX(B$3:B47)-B47)/MAX(B$3:B47))</f>
        <v/>
      </c>
      <c r="F47" s="12" t="str">
        <f>IF(A47="","",MAX(E$4:E47))</f>
        <v/>
      </c>
      <c r="G47" s="13"/>
      <c r="H47" s="14" t="str">
        <f t="shared" si="3"/>
        <v/>
      </c>
      <c r="I47" s="14" t="str">
        <f t="shared" si="0"/>
        <v/>
      </c>
      <c r="J47" s="15" t="str">
        <f t="shared" si="1"/>
        <v/>
      </c>
    </row>
    <row r="48" spans="1:10">
      <c r="A48" s="7" t="str">
        <f>IF(子基金及业绩基准周净值!A97="","",子基金及业绩基准周净值!A97)</f>
        <v/>
      </c>
      <c r="B48" s="1" t="str">
        <f>IF(A48="","",VLOOKUP($A48,子基金及业绩基准周净值!$A:$AV,22))</f>
        <v/>
      </c>
      <c r="C48" s="8" t="str">
        <f t="shared" si="2"/>
        <v/>
      </c>
      <c r="D48" s="9" t="str">
        <f>IF(A48="","",C48-子基金及业绩基准周净值!AK97)</f>
        <v/>
      </c>
      <c r="E48" s="12" t="str">
        <f>IF(A48="","",(MAX(B$3:B48)-B48)/MAX(B$3:B48))</f>
        <v/>
      </c>
      <c r="F48" s="12" t="str">
        <f>IF(A48="","",MAX(E$4:E48))</f>
        <v/>
      </c>
      <c r="G48" s="13"/>
      <c r="H48" s="14" t="str">
        <f t="shared" si="3"/>
        <v/>
      </c>
      <c r="I48" s="14" t="str">
        <f t="shared" si="0"/>
        <v/>
      </c>
      <c r="J48" s="15" t="str">
        <f t="shared" si="1"/>
        <v/>
      </c>
    </row>
    <row r="49" spans="1:10">
      <c r="A49" s="7" t="str">
        <f>IF(子基金及业绩基准周净值!A98="","",子基金及业绩基准周净值!A98)</f>
        <v/>
      </c>
      <c r="B49" s="1" t="str">
        <f>IF(A49="","",VLOOKUP($A49,子基金及业绩基准周净值!$A:$AV,22))</f>
        <v/>
      </c>
      <c r="C49" s="8" t="str">
        <f t="shared" si="2"/>
        <v/>
      </c>
      <c r="D49" s="9" t="str">
        <f>IF(A49="","",C49-子基金及业绩基准周净值!AK98)</f>
        <v/>
      </c>
      <c r="E49" s="12" t="str">
        <f>IF(A49="","",(MAX(B$3:B49)-B49)/MAX(B$3:B49))</f>
        <v/>
      </c>
      <c r="F49" s="12" t="str">
        <f>IF(A49="","",MAX(E$4:E49))</f>
        <v/>
      </c>
      <c r="G49" s="13"/>
      <c r="H49" s="14" t="str">
        <f t="shared" si="3"/>
        <v/>
      </c>
      <c r="I49" s="14" t="str">
        <f t="shared" si="0"/>
        <v/>
      </c>
      <c r="J49" s="15" t="str">
        <f t="shared" si="1"/>
        <v/>
      </c>
    </row>
    <row r="50" spans="1:10">
      <c r="A50" s="7" t="str">
        <f>IF(子基金及业绩基准周净值!A99="","",子基金及业绩基准周净值!A99)</f>
        <v/>
      </c>
      <c r="B50" s="1" t="str">
        <f>IF(A50="","",VLOOKUP($A50,子基金及业绩基准周净值!$A:$AV,22))</f>
        <v/>
      </c>
      <c r="C50" s="8" t="str">
        <f t="shared" si="2"/>
        <v/>
      </c>
      <c r="D50" s="9" t="str">
        <f>IF(A50="","",C50-子基金及业绩基准周净值!AK99)</f>
        <v/>
      </c>
      <c r="E50" s="12" t="str">
        <f>IF(A50="","",(MAX(B$3:B50)-B50)/MAX(B$3:B50))</f>
        <v/>
      </c>
      <c r="F50" s="12" t="str">
        <f>IF(A50="","",MAX(E$4:E50))</f>
        <v/>
      </c>
      <c r="G50" s="13"/>
      <c r="H50" s="14" t="str">
        <f t="shared" si="3"/>
        <v/>
      </c>
      <c r="I50" s="14" t="str">
        <f t="shared" si="0"/>
        <v/>
      </c>
      <c r="J50" s="15" t="str">
        <f t="shared" si="1"/>
        <v/>
      </c>
    </row>
    <row r="51" spans="1:10">
      <c r="A51" s="7" t="str">
        <f>IF(子基金及业绩基准周净值!A100="","",子基金及业绩基准周净值!A100)</f>
        <v/>
      </c>
      <c r="B51" s="1" t="str">
        <f>IF(A51="","",VLOOKUP($A51,子基金及业绩基准周净值!$A:$AV,22))</f>
        <v/>
      </c>
      <c r="C51" s="8" t="str">
        <f t="shared" si="2"/>
        <v/>
      </c>
      <c r="D51" s="9" t="str">
        <f>IF(A51="","",C51-子基金及业绩基准周净值!AK100)</f>
        <v/>
      </c>
      <c r="E51" s="12" t="str">
        <f>IF(A51="","",(MAX(B$3:B51)-B51)/MAX(B$3:B51))</f>
        <v/>
      </c>
      <c r="F51" s="12" t="str">
        <f>IF(A51="","",MAX(E$4:E51))</f>
        <v/>
      </c>
      <c r="G51" s="13"/>
      <c r="H51" s="14" t="str">
        <f t="shared" si="3"/>
        <v/>
      </c>
      <c r="I51" s="14" t="str">
        <f t="shared" si="0"/>
        <v/>
      </c>
      <c r="J51" s="15" t="str">
        <f t="shared" si="1"/>
        <v/>
      </c>
    </row>
    <row r="52" spans="1:10">
      <c r="A52" s="7" t="str">
        <f>IF(子基金及业绩基准周净值!A101="","",子基金及业绩基准周净值!A101)</f>
        <v/>
      </c>
      <c r="B52" s="1" t="str">
        <f>IF(A52="","",VLOOKUP($A52,子基金及业绩基准周净值!$A:$AV,22))</f>
        <v/>
      </c>
      <c r="C52" s="8" t="str">
        <f t="shared" si="2"/>
        <v/>
      </c>
      <c r="D52" s="9" t="str">
        <f>IF(A52="","",C52-子基金及业绩基准周净值!AK101)</f>
        <v/>
      </c>
      <c r="E52" s="12" t="str">
        <f>IF(A52="","",(MAX(B$3:B52)-B52)/MAX(B$3:B52))</f>
        <v/>
      </c>
      <c r="F52" s="12" t="str">
        <f>IF(A52="","",MAX(E$4:E52))</f>
        <v/>
      </c>
      <c r="G52" s="13"/>
      <c r="H52" s="14" t="str">
        <f t="shared" si="3"/>
        <v/>
      </c>
      <c r="I52" s="14" t="str">
        <f t="shared" si="0"/>
        <v/>
      </c>
      <c r="J52" s="15" t="str">
        <f t="shared" si="1"/>
        <v/>
      </c>
    </row>
    <row r="53" spans="1:10">
      <c r="A53" s="7" t="str">
        <f>IF(子基金及业绩基准周净值!A102="","",子基金及业绩基准周净值!A102)</f>
        <v/>
      </c>
      <c r="B53" s="1" t="str">
        <f>IF(A53="","",VLOOKUP($A53,子基金及业绩基准周净值!$A:$AV,22))</f>
        <v/>
      </c>
      <c r="C53" s="8" t="str">
        <f t="shared" si="2"/>
        <v/>
      </c>
      <c r="D53" s="9" t="str">
        <f>IF(A53="","",C53-子基金及业绩基准周净值!AK102)</f>
        <v/>
      </c>
      <c r="E53" s="12" t="str">
        <f>IF(A53="","",(MAX(B$3:B53)-B53)/MAX(B$3:B53))</f>
        <v/>
      </c>
      <c r="F53" s="12" t="str">
        <f>IF(A53="","",MAX(E$4:E53))</f>
        <v/>
      </c>
      <c r="G53" s="13"/>
      <c r="H53" s="14" t="str">
        <f t="shared" si="3"/>
        <v/>
      </c>
      <c r="I53" s="14" t="str">
        <f t="shared" si="0"/>
        <v/>
      </c>
      <c r="J53" s="15" t="str">
        <f t="shared" si="1"/>
        <v/>
      </c>
    </row>
    <row r="54" spans="1:10">
      <c r="A54" s="7" t="str">
        <f>IF(子基金及业绩基准周净值!A103="","",子基金及业绩基准周净值!A103)</f>
        <v/>
      </c>
      <c r="B54" s="1" t="str">
        <f>IF(A54="","",VLOOKUP($A54,子基金及业绩基准周净值!$A:$AV,22))</f>
        <v/>
      </c>
      <c r="C54" s="8" t="str">
        <f t="shared" si="2"/>
        <v/>
      </c>
      <c r="D54" s="9" t="str">
        <f>IF(A54="","",C54-子基金及业绩基准周净值!AK103)</f>
        <v/>
      </c>
      <c r="E54" s="12" t="str">
        <f>IF(A54="","",(MAX(B$3:B54)-B54)/MAX(B$3:B54))</f>
        <v/>
      </c>
      <c r="F54" s="12" t="str">
        <f>IF(A54="","",MAX(E$4:E54))</f>
        <v/>
      </c>
      <c r="G54" s="13"/>
      <c r="H54" s="14" t="str">
        <f t="shared" si="3"/>
        <v/>
      </c>
      <c r="I54" s="14" t="str">
        <f t="shared" si="0"/>
        <v/>
      </c>
      <c r="J54" s="15" t="str">
        <f t="shared" si="1"/>
        <v/>
      </c>
    </row>
    <row r="55" spans="1:10">
      <c r="A55" s="7" t="str">
        <f>IF(子基金及业绩基准周净值!A104="","",子基金及业绩基准周净值!A104)</f>
        <v/>
      </c>
      <c r="B55" s="1" t="str">
        <f>IF(A55="","",VLOOKUP($A55,子基金及业绩基准周净值!$A:$AV,22))</f>
        <v/>
      </c>
      <c r="C55" s="8" t="str">
        <f t="shared" si="2"/>
        <v/>
      </c>
      <c r="D55" s="9" t="str">
        <f>IF(A55="","",C55-子基金及业绩基准周净值!AK104)</f>
        <v/>
      </c>
      <c r="E55" s="12" t="str">
        <f>IF(A55="","",(MAX(B$3:B55)-B55)/MAX(B$3:B55))</f>
        <v/>
      </c>
      <c r="F55" s="12" t="str">
        <f>IF(A55="","",MAX(E$4:E55))</f>
        <v/>
      </c>
      <c r="G55" s="13"/>
      <c r="H55" s="14" t="str">
        <f t="shared" si="3"/>
        <v/>
      </c>
      <c r="I55" s="14" t="str">
        <f t="shared" si="0"/>
        <v/>
      </c>
      <c r="J55" s="15" t="str">
        <f t="shared" si="1"/>
        <v/>
      </c>
    </row>
    <row r="56" spans="1:10">
      <c r="A56" s="7" t="str">
        <f>IF(子基金及业绩基准周净值!A105="","",子基金及业绩基准周净值!A105)</f>
        <v/>
      </c>
      <c r="B56" s="1" t="str">
        <f>IF(A56="","",VLOOKUP($A56,子基金及业绩基准周净值!$A:$AV,22))</f>
        <v/>
      </c>
      <c r="C56" s="8" t="str">
        <f t="shared" si="2"/>
        <v/>
      </c>
      <c r="D56" s="9" t="str">
        <f>IF(A56="","",C56-子基金及业绩基准周净值!AK105)</f>
        <v/>
      </c>
      <c r="E56" s="12" t="str">
        <f>IF(A56="","",(MAX(B$3:B56)-B56)/MAX(B$3:B56))</f>
        <v/>
      </c>
      <c r="F56" s="12" t="str">
        <f>IF(A56="","",MAX(E$4:E56))</f>
        <v/>
      </c>
      <c r="G56" s="13"/>
      <c r="H56" s="14" t="str">
        <f t="shared" si="3"/>
        <v/>
      </c>
      <c r="I56" s="14" t="str">
        <f t="shared" si="0"/>
        <v/>
      </c>
      <c r="J56" s="15" t="str">
        <f t="shared" si="1"/>
        <v/>
      </c>
    </row>
    <row r="57" spans="1:10">
      <c r="A57" s="7" t="str">
        <f>IF(子基金及业绩基准周净值!A106="","",子基金及业绩基准周净值!A106)</f>
        <v/>
      </c>
      <c r="B57" s="1" t="str">
        <f>IF(A57="","",VLOOKUP($A57,子基金及业绩基准周净值!$A:$AV,22))</f>
        <v/>
      </c>
      <c r="C57" s="8" t="str">
        <f t="shared" si="2"/>
        <v/>
      </c>
      <c r="D57" s="9" t="str">
        <f>IF(A57="","",C57-子基金及业绩基准周净值!AK106)</f>
        <v/>
      </c>
      <c r="E57" s="12" t="str">
        <f>IF(A57="","",(MAX(B$3:B57)-B57)/MAX(B$3:B57))</f>
        <v/>
      </c>
      <c r="F57" s="12" t="str">
        <f>IF(A57="","",MAX(E$4:E57))</f>
        <v/>
      </c>
      <c r="G57" s="13"/>
      <c r="H57" s="14" t="str">
        <f t="shared" si="3"/>
        <v/>
      </c>
      <c r="I57" s="14" t="str">
        <f t="shared" si="0"/>
        <v/>
      </c>
      <c r="J57" s="15" t="str">
        <f t="shared" si="1"/>
        <v/>
      </c>
    </row>
    <row r="58" spans="1:10">
      <c r="A58" s="7" t="str">
        <f>IF(子基金及业绩基准周净值!A107="","",子基金及业绩基准周净值!A107)</f>
        <v/>
      </c>
      <c r="B58" s="1" t="str">
        <f>IF(A58="","",VLOOKUP($A58,子基金及业绩基准周净值!$A:$AV,22))</f>
        <v/>
      </c>
      <c r="C58" s="8" t="str">
        <f t="shared" si="2"/>
        <v/>
      </c>
      <c r="D58" s="9" t="str">
        <f>IF(A58="","",C58-子基金及业绩基准周净值!AK107)</f>
        <v/>
      </c>
      <c r="E58" s="12" t="str">
        <f>IF(A58="","",(MAX(B$3:B58)-B58)/MAX(B$3:B58))</f>
        <v/>
      </c>
      <c r="F58" s="12" t="str">
        <f>IF(A58="","",MAX(E$4:E58))</f>
        <v/>
      </c>
      <c r="G58" s="13"/>
      <c r="H58" s="14" t="str">
        <f t="shared" si="3"/>
        <v/>
      </c>
      <c r="I58" s="14" t="str">
        <f t="shared" si="0"/>
        <v/>
      </c>
      <c r="J58" s="15" t="str">
        <f t="shared" si="1"/>
        <v/>
      </c>
    </row>
    <row r="59" spans="1:10">
      <c r="A59" s="7" t="str">
        <f>IF(子基金及业绩基准周净值!A108="","",子基金及业绩基准周净值!A108)</f>
        <v/>
      </c>
      <c r="B59" s="1" t="str">
        <f>IF(A59="","",VLOOKUP($A59,子基金及业绩基准周净值!$A:$AV,22))</f>
        <v/>
      </c>
      <c r="C59" s="8" t="str">
        <f t="shared" si="2"/>
        <v/>
      </c>
      <c r="D59" s="9" t="str">
        <f>IF(A59="","",C59-子基金及业绩基准周净值!AK108)</f>
        <v/>
      </c>
      <c r="E59" s="12" t="str">
        <f>IF(A59="","",(MAX(B$3:B59)-B59)/MAX(B$3:B59))</f>
        <v/>
      </c>
      <c r="F59" s="12" t="str">
        <f>IF(A59="","",MAX(E$4:E59))</f>
        <v/>
      </c>
      <c r="G59" s="13"/>
      <c r="H59" s="14" t="str">
        <f t="shared" si="3"/>
        <v/>
      </c>
      <c r="I59" s="14" t="str">
        <f t="shared" si="0"/>
        <v/>
      </c>
      <c r="J59" s="15" t="str">
        <f t="shared" si="1"/>
        <v/>
      </c>
    </row>
    <row r="60" spans="1:10">
      <c r="A60" s="7" t="str">
        <f>IF(子基金及业绩基准周净值!A109="","",子基金及业绩基准周净值!A109)</f>
        <v/>
      </c>
      <c r="B60" s="1" t="str">
        <f>IF(A60="","",VLOOKUP($A60,子基金及业绩基准周净值!$A:$AV,22))</f>
        <v/>
      </c>
      <c r="C60" s="8" t="str">
        <f t="shared" si="2"/>
        <v/>
      </c>
      <c r="D60" s="9" t="str">
        <f>IF(A60="","",C60-子基金及业绩基准周净值!AK109)</f>
        <v/>
      </c>
      <c r="E60" s="12" t="str">
        <f>IF(A60="","",(MAX(B$3:B60)-B60)/MAX(B$3:B60))</f>
        <v/>
      </c>
      <c r="F60" s="12" t="str">
        <f>IF(A60="","",MAX(E$4:E60))</f>
        <v/>
      </c>
      <c r="G60" s="13"/>
      <c r="H60" s="14" t="str">
        <f t="shared" si="3"/>
        <v/>
      </c>
      <c r="I60" s="14" t="str">
        <f t="shared" si="0"/>
        <v/>
      </c>
      <c r="J60" s="15" t="str">
        <f t="shared" si="1"/>
        <v/>
      </c>
    </row>
    <row r="61" spans="1:10">
      <c r="A61" s="7" t="str">
        <f>IF(子基金及业绩基准周净值!A110="","",子基金及业绩基准周净值!A110)</f>
        <v/>
      </c>
      <c r="B61" s="1" t="str">
        <f>IF(A61="","",VLOOKUP($A61,子基金及业绩基准周净值!$A:$AV,22))</f>
        <v/>
      </c>
      <c r="C61" s="8" t="str">
        <f t="shared" si="2"/>
        <v/>
      </c>
      <c r="D61" s="9" t="str">
        <f>IF(A61="","",C61-子基金及业绩基准周净值!AK110)</f>
        <v/>
      </c>
      <c r="E61" s="12" t="str">
        <f>IF(A61="","",(MAX(B$3:B61)-B61)/MAX(B$3:B61))</f>
        <v/>
      </c>
      <c r="F61" s="12" t="str">
        <f>IF(A61="","",MAX(E$4:E61))</f>
        <v/>
      </c>
      <c r="G61" s="13"/>
      <c r="H61" s="14" t="str">
        <f t="shared" si="3"/>
        <v/>
      </c>
      <c r="I61" s="14" t="str">
        <f t="shared" si="0"/>
        <v/>
      </c>
      <c r="J61" s="15" t="str">
        <f t="shared" si="1"/>
        <v/>
      </c>
    </row>
    <row r="62" spans="1:10">
      <c r="A62" s="7" t="str">
        <f>IF(子基金及业绩基准周净值!A111="","",子基金及业绩基准周净值!A111)</f>
        <v/>
      </c>
      <c r="B62" s="1" t="str">
        <f>IF(A62="","",VLOOKUP($A62,子基金及业绩基准周净值!$A:$AV,22))</f>
        <v/>
      </c>
      <c r="C62" s="8" t="str">
        <f t="shared" si="2"/>
        <v/>
      </c>
      <c r="D62" s="9" t="str">
        <f>IF(A62="","",C62-子基金及业绩基准周净值!AK111)</f>
        <v/>
      </c>
      <c r="E62" s="12" t="str">
        <f>IF(A62="","",(MAX(B$3:B62)-B62)/MAX(B$3:B62))</f>
        <v/>
      </c>
      <c r="F62" s="12" t="str">
        <f>IF(A62="","",MAX(E$4:E62))</f>
        <v/>
      </c>
      <c r="G62" s="13"/>
      <c r="H62" s="14" t="str">
        <f t="shared" si="3"/>
        <v/>
      </c>
      <c r="I62" s="14" t="str">
        <f t="shared" si="0"/>
        <v/>
      </c>
      <c r="J62" s="15" t="str">
        <f t="shared" si="1"/>
        <v/>
      </c>
    </row>
    <row r="63" spans="1:10">
      <c r="A63" s="7" t="str">
        <f>IF(子基金及业绩基准周净值!A112="","",子基金及业绩基准周净值!A112)</f>
        <v/>
      </c>
      <c r="B63" s="1" t="str">
        <f>IF(A63="","",VLOOKUP($A63,子基金及业绩基准周净值!$A:$AV,22))</f>
        <v/>
      </c>
      <c r="C63" s="8" t="str">
        <f t="shared" si="2"/>
        <v/>
      </c>
      <c r="D63" s="9" t="str">
        <f>IF(A63="","",C63-子基金及业绩基准周净值!AK112)</f>
        <v/>
      </c>
      <c r="E63" s="12" t="str">
        <f>IF(A63="","",(MAX(B$3:B63)-B63)/MAX(B$3:B63))</f>
        <v/>
      </c>
      <c r="F63" s="12" t="str">
        <f>IF(A63="","",MAX(E$4:E63))</f>
        <v/>
      </c>
      <c r="G63" s="13"/>
      <c r="H63" s="14" t="str">
        <f t="shared" si="3"/>
        <v/>
      </c>
      <c r="I63" s="14" t="str">
        <f t="shared" si="0"/>
        <v/>
      </c>
      <c r="J63" s="15" t="str">
        <f t="shared" si="1"/>
        <v/>
      </c>
    </row>
    <row r="64" spans="1:10">
      <c r="A64" s="7" t="str">
        <f>IF(子基金及业绩基准周净值!A113="","",子基金及业绩基准周净值!A113)</f>
        <v/>
      </c>
      <c r="B64" s="1" t="str">
        <f>IF(A64="","",VLOOKUP($A64,子基金及业绩基准周净值!$A:$AV,22))</f>
        <v/>
      </c>
      <c r="C64" s="8" t="str">
        <f t="shared" si="2"/>
        <v/>
      </c>
      <c r="D64" s="9" t="str">
        <f>IF(A64="","",C64-子基金及业绩基准周净值!AK113)</f>
        <v/>
      </c>
      <c r="E64" s="12" t="str">
        <f>IF(A64="","",(MAX(B$3:B64)-B64)/MAX(B$3:B64))</f>
        <v/>
      </c>
      <c r="F64" s="12" t="str">
        <f>IF(A64="","",MAX(E$4:E64))</f>
        <v/>
      </c>
      <c r="G64" s="13"/>
      <c r="H64" s="14" t="str">
        <f t="shared" si="3"/>
        <v/>
      </c>
      <c r="I64" s="14" t="str">
        <f t="shared" si="0"/>
        <v/>
      </c>
      <c r="J64" s="15" t="str">
        <f t="shared" si="1"/>
        <v/>
      </c>
    </row>
    <row r="65" spans="1:10">
      <c r="A65" s="7" t="str">
        <f>IF(子基金及业绩基准周净值!A114="","",子基金及业绩基准周净值!A114)</f>
        <v/>
      </c>
      <c r="B65" s="1" t="str">
        <f>IF(A65="","",VLOOKUP($A65,子基金及业绩基准周净值!$A:$AV,22))</f>
        <v/>
      </c>
      <c r="C65" s="8" t="str">
        <f t="shared" si="2"/>
        <v/>
      </c>
      <c r="D65" s="9" t="str">
        <f>IF(A65="","",C65-子基金及业绩基准周净值!AK114)</f>
        <v/>
      </c>
      <c r="E65" s="12" t="str">
        <f>IF(A65="","",(MAX(B$3:B65)-B65)/MAX(B$3:B65))</f>
        <v/>
      </c>
      <c r="F65" s="12" t="str">
        <f>IF(A65="","",MAX(E$4:E65))</f>
        <v/>
      </c>
      <c r="G65" s="13"/>
      <c r="H65" s="14" t="str">
        <f t="shared" si="3"/>
        <v/>
      </c>
      <c r="I65" s="14" t="str">
        <f t="shared" si="0"/>
        <v/>
      </c>
      <c r="J65" s="15" t="str">
        <f t="shared" si="1"/>
        <v/>
      </c>
    </row>
    <row r="66" spans="1:10">
      <c r="A66" s="7" t="str">
        <f>IF(子基金及业绩基准周净值!A115="","",子基金及业绩基准周净值!A115)</f>
        <v/>
      </c>
      <c r="B66" s="1" t="str">
        <f>IF(A66="","",VLOOKUP($A66,子基金及业绩基准周净值!$A:$AV,22))</f>
        <v/>
      </c>
      <c r="C66" s="8" t="str">
        <f t="shared" si="2"/>
        <v/>
      </c>
      <c r="D66" s="9" t="str">
        <f>IF(A66="","",C66-子基金及业绩基准周净值!AK115)</f>
        <v/>
      </c>
      <c r="E66" s="12" t="str">
        <f>IF(A66="","",(MAX(B$3:B66)-B66)/MAX(B$3:B66))</f>
        <v/>
      </c>
      <c r="F66" s="12" t="str">
        <f>IF(A66="","",MAX(E$4:E66))</f>
        <v/>
      </c>
      <c r="G66" s="13"/>
      <c r="H66" s="14" t="str">
        <f t="shared" si="3"/>
        <v/>
      </c>
      <c r="I66" s="14" t="str">
        <f t="shared" si="0"/>
        <v/>
      </c>
      <c r="J66" s="15" t="str">
        <f t="shared" si="1"/>
        <v/>
      </c>
    </row>
    <row r="67" spans="1:10">
      <c r="A67" s="7" t="str">
        <f>IF(子基金及业绩基准周净值!A116="","",子基金及业绩基准周净值!A116)</f>
        <v/>
      </c>
      <c r="B67" s="1" t="str">
        <f>IF(A67="","",VLOOKUP($A67,子基金及业绩基准周净值!$A:$AV,22))</f>
        <v/>
      </c>
      <c r="C67" s="8" t="str">
        <f t="shared" si="2"/>
        <v/>
      </c>
      <c r="D67" s="9" t="str">
        <f>IF(A67="","",C67-子基金及业绩基准周净值!AK116)</f>
        <v/>
      </c>
      <c r="E67" s="12" t="str">
        <f>IF(A67="","",(MAX(B$3:B67)-B67)/MAX(B$3:B67))</f>
        <v/>
      </c>
      <c r="F67" s="12" t="str">
        <f>IF(A67="","",MAX(E$4:E67))</f>
        <v/>
      </c>
      <c r="G67" s="13"/>
      <c r="H67" s="14" t="str">
        <f t="shared" si="3"/>
        <v/>
      </c>
      <c r="I67" s="14" t="str">
        <f t="shared" si="0"/>
        <v/>
      </c>
      <c r="J67" s="15" t="str">
        <f t="shared" si="1"/>
        <v/>
      </c>
    </row>
    <row r="68" spans="1:10">
      <c r="A68" s="7" t="str">
        <f>IF(子基金及业绩基准周净值!A117="","",子基金及业绩基准周净值!A117)</f>
        <v/>
      </c>
      <c r="B68" s="1" t="str">
        <f>IF(A68="","",VLOOKUP($A68,子基金及业绩基准周净值!$A:$AV,22))</f>
        <v/>
      </c>
      <c r="C68" s="8" t="str">
        <f t="shared" ref="C68:C131" si="4">IF(A68="","",(B68-B67)/B67)</f>
        <v/>
      </c>
      <c r="D68" s="9" t="str">
        <f>IF(A68="","",C68-子基金及业绩基准周净值!AK117)</f>
        <v/>
      </c>
      <c r="E68" s="12" t="str">
        <f>IF(A68="","",(MAX(B$3:B68)-B68)/MAX(B$3:B68))</f>
        <v/>
      </c>
      <c r="F68" s="12" t="str">
        <f>IF(A68="","",MAX(E$4:E68))</f>
        <v/>
      </c>
      <c r="G68" s="13"/>
      <c r="H68" s="14" t="str">
        <f t="shared" si="3"/>
        <v/>
      </c>
      <c r="I68" s="14" t="str">
        <f t="shared" ref="I68:I131" si="5">IF(A68="","",IF(F68&gt;5%,"是","否"))</f>
        <v/>
      </c>
      <c r="J68" s="15" t="str">
        <f t="shared" ref="J68:J131" si="6">IF(A68="","",IF(G68&gt;=4,"是","否"))</f>
        <v/>
      </c>
    </row>
    <row r="69" spans="1:10">
      <c r="A69" s="7" t="str">
        <f>IF(子基金及业绩基准周净值!A118="","",子基金及业绩基准周净值!A118)</f>
        <v/>
      </c>
      <c r="B69" s="1" t="str">
        <f>IF(A69="","",VLOOKUP($A69,子基金及业绩基准周净值!$A:$AV,22))</f>
        <v/>
      </c>
      <c r="C69" s="8" t="str">
        <f t="shared" si="4"/>
        <v/>
      </c>
      <c r="D69" s="9" t="str">
        <f>IF(A69="","",C69-子基金及业绩基准周净值!AK118)</f>
        <v/>
      </c>
      <c r="E69" s="12" t="str">
        <f>IF(A69="","",(MAX(B$3:B69)-B69)/MAX(B$3:B69))</f>
        <v/>
      </c>
      <c r="F69" s="12" t="str">
        <f>IF(A69="","",MAX(E$4:E69))</f>
        <v/>
      </c>
      <c r="G69" s="13"/>
      <c r="H69" s="14" t="str">
        <f t="shared" ref="H69:H132" si="7">IF(B69="","",IF(C69&lt;-3%,"是","否"))</f>
        <v/>
      </c>
      <c r="I69" s="14" t="str">
        <f t="shared" si="5"/>
        <v/>
      </c>
      <c r="J69" s="15" t="str">
        <f t="shared" si="6"/>
        <v/>
      </c>
    </row>
    <row r="70" spans="1:10">
      <c r="A70" s="7" t="str">
        <f>IF(子基金及业绩基准周净值!A119="","",子基金及业绩基准周净值!A119)</f>
        <v/>
      </c>
      <c r="B70" s="1" t="str">
        <f>IF(A70="","",VLOOKUP($A70,子基金及业绩基准周净值!$A:$AV,22))</f>
        <v/>
      </c>
      <c r="C70" s="8" t="str">
        <f t="shared" si="4"/>
        <v/>
      </c>
      <c r="D70" s="9" t="str">
        <f>IF(A70="","",C70-子基金及业绩基准周净值!AK119)</f>
        <v/>
      </c>
      <c r="E70" s="12" t="str">
        <f>IF(A70="","",(MAX(B$3:B70)-B70)/MAX(B$3:B70))</f>
        <v/>
      </c>
      <c r="F70" s="12" t="str">
        <f>IF(A70="","",MAX(E$4:E70))</f>
        <v/>
      </c>
      <c r="G70" s="13"/>
      <c r="H70" s="14" t="str">
        <f t="shared" si="7"/>
        <v/>
      </c>
      <c r="I70" s="14" t="str">
        <f t="shared" si="5"/>
        <v/>
      </c>
      <c r="J70" s="15" t="str">
        <f t="shared" si="6"/>
        <v/>
      </c>
    </row>
    <row r="71" spans="1:10">
      <c r="A71" s="7" t="str">
        <f>IF(子基金及业绩基准周净值!A120="","",子基金及业绩基准周净值!A120)</f>
        <v/>
      </c>
      <c r="B71" s="1" t="str">
        <f>IF(A71="","",VLOOKUP($A71,子基金及业绩基准周净值!$A:$AV,22))</f>
        <v/>
      </c>
      <c r="C71" s="8" t="str">
        <f t="shared" si="4"/>
        <v/>
      </c>
      <c r="D71" s="9" t="str">
        <f>IF(A71="","",C71-子基金及业绩基准周净值!AK120)</f>
        <v/>
      </c>
      <c r="E71" s="12" t="str">
        <f>IF(A71="","",(MAX(B$3:B71)-B71)/MAX(B$3:B71))</f>
        <v/>
      </c>
      <c r="F71" s="12" t="str">
        <f>IF(A71="","",MAX(E$4:E71))</f>
        <v/>
      </c>
      <c r="G71" s="13"/>
      <c r="H71" s="14" t="str">
        <f t="shared" si="7"/>
        <v/>
      </c>
      <c r="I71" s="14" t="str">
        <f t="shared" si="5"/>
        <v/>
      </c>
      <c r="J71" s="15" t="str">
        <f t="shared" si="6"/>
        <v/>
      </c>
    </row>
    <row r="72" spans="1:10">
      <c r="A72" s="7" t="str">
        <f>IF(子基金及业绩基准周净值!A121="","",子基金及业绩基准周净值!A121)</f>
        <v/>
      </c>
      <c r="B72" s="1" t="str">
        <f>IF(A72="","",VLOOKUP($A72,子基金及业绩基准周净值!$A:$AV,22))</f>
        <v/>
      </c>
      <c r="C72" s="8" t="str">
        <f t="shared" si="4"/>
        <v/>
      </c>
      <c r="D72" s="9" t="str">
        <f>IF(A72="","",C72-子基金及业绩基准周净值!AK121)</f>
        <v/>
      </c>
      <c r="E72" s="12" t="str">
        <f>IF(A72="","",(MAX(B$3:B72)-B72)/MAX(B$3:B72))</f>
        <v/>
      </c>
      <c r="F72" s="12" t="str">
        <f>IF(A72="","",MAX(E$4:E72))</f>
        <v/>
      </c>
      <c r="G72" s="13"/>
      <c r="H72" s="14" t="str">
        <f t="shared" si="7"/>
        <v/>
      </c>
      <c r="I72" s="14" t="str">
        <f t="shared" si="5"/>
        <v/>
      </c>
      <c r="J72" s="15" t="str">
        <f t="shared" si="6"/>
        <v/>
      </c>
    </row>
    <row r="73" spans="1:10">
      <c r="A73" s="7" t="str">
        <f>IF(子基金及业绩基准周净值!A122="","",子基金及业绩基准周净值!A122)</f>
        <v/>
      </c>
      <c r="B73" s="1" t="str">
        <f>IF(A73="","",VLOOKUP($A73,子基金及业绩基准周净值!$A:$AV,22))</f>
        <v/>
      </c>
      <c r="C73" s="8" t="str">
        <f t="shared" si="4"/>
        <v/>
      </c>
      <c r="D73" s="9" t="str">
        <f>IF(A73="","",C73-子基金及业绩基准周净值!AK122)</f>
        <v/>
      </c>
      <c r="E73" s="12" t="str">
        <f>IF(A73="","",(MAX(B$3:B73)-B73)/MAX(B$3:B73))</f>
        <v/>
      </c>
      <c r="F73" s="12" t="str">
        <f>IF(A73="","",MAX(E$4:E73))</f>
        <v/>
      </c>
      <c r="G73" s="13"/>
      <c r="H73" s="14" t="str">
        <f t="shared" si="7"/>
        <v/>
      </c>
      <c r="I73" s="14" t="str">
        <f t="shared" si="5"/>
        <v/>
      </c>
      <c r="J73" s="15" t="str">
        <f t="shared" si="6"/>
        <v/>
      </c>
    </row>
    <row r="74" spans="1:10">
      <c r="A74" s="7" t="str">
        <f>IF(子基金及业绩基准周净值!A123="","",子基金及业绩基准周净值!A123)</f>
        <v/>
      </c>
      <c r="B74" s="1" t="str">
        <f>IF(A74="","",VLOOKUP($A74,子基金及业绩基准周净值!$A:$AV,22))</f>
        <v/>
      </c>
      <c r="C74" s="8" t="str">
        <f t="shared" si="4"/>
        <v/>
      </c>
      <c r="D74" s="9" t="str">
        <f>IF(A74="","",C74-子基金及业绩基准周净值!AK123)</f>
        <v/>
      </c>
      <c r="E74" s="12" t="str">
        <f>IF(A74="","",(MAX(B$3:B74)-B74)/MAX(B$3:B74))</f>
        <v/>
      </c>
      <c r="F74" s="12" t="str">
        <f>IF(A74="","",MAX(E$4:E74))</f>
        <v/>
      </c>
      <c r="G74" s="13"/>
      <c r="H74" s="14" t="str">
        <f t="shared" si="7"/>
        <v/>
      </c>
      <c r="I74" s="14" t="str">
        <f t="shared" si="5"/>
        <v/>
      </c>
      <c r="J74" s="15" t="str">
        <f t="shared" si="6"/>
        <v/>
      </c>
    </row>
    <row r="75" spans="1:10">
      <c r="A75" s="7" t="str">
        <f>IF(子基金及业绩基准周净值!A124="","",子基金及业绩基准周净值!A124)</f>
        <v/>
      </c>
      <c r="B75" s="1" t="str">
        <f>IF(A75="","",VLOOKUP($A75,子基金及业绩基准周净值!$A:$AV,22))</f>
        <v/>
      </c>
      <c r="C75" s="8" t="str">
        <f t="shared" si="4"/>
        <v/>
      </c>
      <c r="D75" s="9" t="str">
        <f>IF(A75="","",C75-子基金及业绩基准周净值!AK124)</f>
        <v/>
      </c>
      <c r="E75" s="12" t="str">
        <f>IF(A75="","",(MAX(B$3:B75)-B75)/MAX(B$3:B75))</f>
        <v/>
      </c>
      <c r="F75" s="12" t="str">
        <f>IF(A75="","",MAX(E$4:E75))</f>
        <v/>
      </c>
      <c r="G75" s="13"/>
      <c r="H75" s="14" t="str">
        <f t="shared" si="7"/>
        <v/>
      </c>
      <c r="I75" s="14" t="str">
        <f t="shared" si="5"/>
        <v/>
      </c>
      <c r="J75" s="15" t="str">
        <f t="shared" si="6"/>
        <v/>
      </c>
    </row>
    <row r="76" spans="1:10">
      <c r="A76" s="7" t="str">
        <f>IF(子基金及业绩基准周净值!A125="","",子基金及业绩基准周净值!A125)</f>
        <v/>
      </c>
      <c r="B76" s="1" t="str">
        <f>IF(A76="","",VLOOKUP($A76,子基金及业绩基准周净值!$A:$AV,22))</f>
        <v/>
      </c>
      <c r="C76" s="8" t="str">
        <f t="shared" si="4"/>
        <v/>
      </c>
      <c r="D76" s="9" t="str">
        <f>IF(A76="","",C76-子基金及业绩基准周净值!AK125)</f>
        <v/>
      </c>
      <c r="E76" s="12" t="str">
        <f>IF(A76="","",(MAX(B$3:B76)-B76)/MAX(B$3:B76))</f>
        <v/>
      </c>
      <c r="F76" s="12" t="str">
        <f>IF(A76="","",MAX(E$4:E76))</f>
        <v/>
      </c>
      <c r="G76" s="13"/>
      <c r="H76" s="14" t="str">
        <f t="shared" si="7"/>
        <v/>
      </c>
      <c r="I76" s="14" t="str">
        <f t="shared" si="5"/>
        <v/>
      </c>
      <c r="J76" s="15" t="str">
        <f t="shared" si="6"/>
        <v/>
      </c>
    </row>
    <row r="77" spans="1:10">
      <c r="A77" s="7" t="str">
        <f>IF(子基金及业绩基准周净值!A126="","",子基金及业绩基准周净值!A126)</f>
        <v/>
      </c>
      <c r="B77" s="1" t="str">
        <f>IF(A77="","",VLOOKUP($A77,子基金及业绩基准周净值!$A:$AV,22))</f>
        <v/>
      </c>
      <c r="C77" s="8" t="str">
        <f t="shared" si="4"/>
        <v/>
      </c>
      <c r="D77" s="9" t="str">
        <f>IF(A77="","",C77-子基金及业绩基准周净值!AK126)</f>
        <v/>
      </c>
      <c r="E77" s="12" t="str">
        <f>IF(A77="","",(MAX(B$3:B77)-B77)/MAX(B$3:B77))</f>
        <v/>
      </c>
      <c r="F77" s="12" t="str">
        <f>IF(A77="","",MAX(E$4:E77))</f>
        <v/>
      </c>
      <c r="G77" s="13"/>
      <c r="H77" s="14" t="str">
        <f t="shared" si="7"/>
        <v/>
      </c>
      <c r="I77" s="14" t="str">
        <f t="shared" si="5"/>
        <v/>
      </c>
      <c r="J77" s="15" t="str">
        <f t="shared" si="6"/>
        <v/>
      </c>
    </row>
    <row r="78" spans="1:10">
      <c r="A78" s="7" t="str">
        <f>IF(子基金及业绩基准周净值!A127="","",子基金及业绩基准周净值!A127)</f>
        <v/>
      </c>
      <c r="B78" s="1" t="str">
        <f>IF(A78="","",VLOOKUP($A78,子基金及业绩基准周净值!$A:$AV,22))</f>
        <v/>
      </c>
      <c r="C78" s="8" t="str">
        <f t="shared" si="4"/>
        <v/>
      </c>
      <c r="D78" s="9" t="str">
        <f>IF(A78="","",C78-子基金及业绩基准周净值!AK127)</f>
        <v/>
      </c>
      <c r="E78" s="12" t="str">
        <f>IF(A78="","",(MAX(B$3:B78)-B78)/MAX(B$3:B78))</f>
        <v/>
      </c>
      <c r="F78" s="12" t="str">
        <f>IF(A78="","",MAX(E$4:E78))</f>
        <v/>
      </c>
      <c r="G78" s="13"/>
      <c r="H78" s="14" t="str">
        <f t="shared" si="7"/>
        <v/>
      </c>
      <c r="I78" s="14" t="str">
        <f t="shared" si="5"/>
        <v/>
      </c>
      <c r="J78" s="15" t="str">
        <f t="shared" si="6"/>
        <v/>
      </c>
    </row>
    <row r="79" spans="1:10">
      <c r="A79" s="7" t="str">
        <f>IF(子基金及业绩基准周净值!A128="","",子基金及业绩基准周净值!A128)</f>
        <v/>
      </c>
      <c r="B79" s="1" t="str">
        <f>IF(A79="","",VLOOKUP($A79,子基金及业绩基准周净值!$A:$AV,22))</f>
        <v/>
      </c>
      <c r="C79" s="8" t="str">
        <f t="shared" si="4"/>
        <v/>
      </c>
      <c r="D79" s="9" t="str">
        <f>IF(A79="","",C79-子基金及业绩基准周净值!AK128)</f>
        <v/>
      </c>
      <c r="E79" s="12" t="str">
        <f>IF(A79="","",(MAX(B$3:B79)-B79)/MAX(B$3:B79))</f>
        <v/>
      </c>
      <c r="F79" s="12" t="str">
        <f>IF(A79="","",MAX(E$4:E79))</f>
        <v/>
      </c>
      <c r="G79" s="13"/>
      <c r="H79" s="14" t="str">
        <f t="shared" si="7"/>
        <v/>
      </c>
      <c r="I79" s="14" t="str">
        <f t="shared" si="5"/>
        <v/>
      </c>
      <c r="J79" s="15" t="str">
        <f t="shared" si="6"/>
        <v/>
      </c>
    </row>
    <row r="80" spans="1:10">
      <c r="A80" s="7" t="str">
        <f>IF(子基金及业绩基准周净值!A129="","",子基金及业绩基准周净值!A129)</f>
        <v/>
      </c>
      <c r="B80" s="1" t="str">
        <f>IF(A80="","",VLOOKUP($A80,子基金及业绩基准周净值!$A:$AV,22))</f>
        <v/>
      </c>
      <c r="C80" s="8" t="str">
        <f t="shared" si="4"/>
        <v/>
      </c>
      <c r="D80" s="9" t="str">
        <f>IF(A80="","",C80-子基金及业绩基准周净值!AK129)</f>
        <v/>
      </c>
      <c r="E80" s="12" t="str">
        <f>IF(A80="","",(MAX(B$3:B80)-B80)/MAX(B$3:B80))</f>
        <v/>
      </c>
      <c r="F80" s="12" t="str">
        <f>IF(A80="","",MAX(E$4:E80))</f>
        <v/>
      </c>
      <c r="G80" s="13"/>
      <c r="H80" s="14" t="str">
        <f t="shared" si="7"/>
        <v/>
      </c>
      <c r="I80" s="14" t="str">
        <f t="shared" si="5"/>
        <v/>
      </c>
      <c r="J80" s="15" t="str">
        <f t="shared" si="6"/>
        <v/>
      </c>
    </row>
    <row r="81" spans="1:10">
      <c r="A81" s="7" t="str">
        <f>IF(子基金及业绩基准周净值!A130="","",子基金及业绩基准周净值!A130)</f>
        <v/>
      </c>
      <c r="B81" s="1" t="str">
        <f>IF(A81="","",VLOOKUP($A81,子基金及业绩基准周净值!$A:$AV,22))</f>
        <v/>
      </c>
      <c r="C81" s="8" t="str">
        <f t="shared" si="4"/>
        <v/>
      </c>
      <c r="D81" s="9" t="str">
        <f>IF(A81="","",C81-子基金及业绩基准周净值!AK130)</f>
        <v/>
      </c>
      <c r="E81" s="12" t="str">
        <f>IF(A81="","",(MAX(B$3:B81)-B81)/MAX(B$3:B81))</f>
        <v/>
      </c>
      <c r="F81" s="12" t="str">
        <f>IF(A81="","",MAX(E$4:E81))</f>
        <v/>
      </c>
      <c r="G81" s="13"/>
      <c r="H81" s="14" t="str">
        <f t="shared" si="7"/>
        <v/>
      </c>
      <c r="I81" s="14" t="str">
        <f t="shared" si="5"/>
        <v/>
      </c>
      <c r="J81" s="15" t="str">
        <f t="shared" si="6"/>
        <v/>
      </c>
    </row>
    <row r="82" spans="1:10">
      <c r="A82" s="7" t="str">
        <f>IF(子基金及业绩基准周净值!A131="","",子基金及业绩基准周净值!A131)</f>
        <v/>
      </c>
      <c r="B82" s="1" t="str">
        <f>IF(A82="","",VLOOKUP($A82,子基金及业绩基准周净值!$A:$AV,22))</f>
        <v/>
      </c>
      <c r="C82" s="8" t="str">
        <f t="shared" si="4"/>
        <v/>
      </c>
      <c r="D82" s="9" t="str">
        <f>IF(A82="","",C82-子基金及业绩基准周净值!AK131)</f>
        <v/>
      </c>
      <c r="E82" s="12" t="str">
        <f>IF(A82="","",(MAX(B$3:B82)-B82)/MAX(B$3:B82))</f>
        <v/>
      </c>
      <c r="F82" s="12" t="str">
        <f>IF(A82="","",MAX(E$4:E82))</f>
        <v/>
      </c>
      <c r="G82" s="13"/>
      <c r="H82" s="14" t="str">
        <f t="shared" si="7"/>
        <v/>
      </c>
      <c r="I82" s="14" t="str">
        <f t="shared" si="5"/>
        <v/>
      </c>
      <c r="J82" s="15" t="str">
        <f t="shared" si="6"/>
        <v/>
      </c>
    </row>
    <row r="83" spans="1:10">
      <c r="A83" s="7" t="str">
        <f>IF(子基金及业绩基准周净值!A132="","",子基金及业绩基准周净值!A132)</f>
        <v/>
      </c>
      <c r="B83" s="1" t="str">
        <f>IF(A83="","",VLOOKUP($A83,子基金及业绩基准周净值!$A:$AV,22))</f>
        <v/>
      </c>
      <c r="C83" s="8" t="str">
        <f t="shared" si="4"/>
        <v/>
      </c>
      <c r="D83" s="9" t="str">
        <f>IF(A83="","",C83-子基金及业绩基准周净值!AK132)</f>
        <v/>
      </c>
      <c r="E83" s="12" t="str">
        <f>IF(A83="","",(MAX(B$3:B83)-B83)/MAX(B$3:B83))</f>
        <v/>
      </c>
      <c r="F83" s="12" t="str">
        <f>IF(A83="","",MAX(E$4:E83))</f>
        <v/>
      </c>
      <c r="G83" s="13"/>
      <c r="H83" s="14" t="str">
        <f t="shared" si="7"/>
        <v/>
      </c>
      <c r="I83" s="14" t="str">
        <f t="shared" si="5"/>
        <v/>
      </c>
      <c r="J83" s="15" t="str">
        <f t="shared" si="6"/>
        <v/>
      </c>
    </row>
    <row r="84" spans="1:10">
      <c r="A84" s="7" t="str">
        <f>IF(子基金及业绩基准周净值!A133="","",子基金及业绩基准周净值!A133)</f>
        <v/>
      </c>
      <c r="B84" s="1" t="str">
        <f>IF(A84="","",VLOOKUP($A84,子基金及业绩基准周净值!$A:$AV,22))</f>
        <v/>
      </c>
      <c r="C84" s="8" t="str">
        <f t="shared" si="4"/>
        <v/>
      </c>
      <c r="D84" s="9" t="str">
        <f>IF(A84="","",C84-子基金及业绩基准周净值!AK133)</f>
        <v/>
      </c>
      <c r="E84" s="12" t="str">
        <f>IF(A84="","",(MAX(B$3:B84)-B84)/MAX(B$3:B84))</f>
        <v/>
      </c>
      <c r="F84" s="12" t="str">
        <f>IF(A84="","",MAX(E$4:E84))</f>
        <v/>
      </c>
      <c r="G84" s="13"/>
      <c r="H84" s="14" t="str">
        <f t="shared" si="7"/>
        <v/>
      </c>
      <c r="I84" s="14" t="str">
        <f t="shared" si="5"/>
        <v/>
      </c>
      <c r="J84" s="15" t="str">
        <f t="shared" si="6"/>
        <v/>
      </c>
    </row>
    <row r="85" spans="1:10">
      <c r="A85" s="7" t="str">
        <f>IF(子基金及业绩基准周净值!A134="","",子基金及业绩基准周净值!A134)</f>
        <v/>
      </c>
      <c r="B85" s="1" t="str">
        <f>IF(A85="","",VLOOKUP($A85,子基金及业绩基准周净值!$A:$AV,22))</f>
        <v/>
      </c>
      <c r="C85" s="8" t="str">
        <f t="shared" si="4"/>
        <v/>
      </c>
      <c r="D85" s="9" t="str">
        <f>IF(A85="","",C85-子基金及业绩基准周净值!AK134)</f>
        <v/>
      </c>
      <c r="E85" s="12" t="str">
        <f>IF(A85="","",(MAX(B$3:B85)-B85)/MAX(B$3:B85))</f>
        <v/>
      </c>
      <c r="F85" s="12" t="str">
        <f>IF(A85="","",MAX(E$4:E85))</f>
        <v/>
      </c>
      <c r="G85" s="13"/>
      <c r="H85" s="14" t="str">
        <f t="shared" si="7"/>
        <v/>
      </c>
      <c r="I85" s="14" t="str">
        <f t="shared" si="5"/>
        <v/>
      </c>
      <c r="J85" s="15" t="str">
        <f t="shared" si="6"/>
        <v/>
      </c>
    </row>
    <row r="86" spans="1:10">
      <c r="A86" s="7" t="str">
        <f>IF(子基金及业绩基准周净值!A135="","",子基金及业绩基准周净值!A135)</f>
        <v/>
      </c>
      <c r="B86" s="1" t="str">
        <f>IF(A86="","",VLOOKUP($A86,子基金及业绩基准周净值!$A:$AV,22))</f>
        <v/>
      </c>
      <c r="C86" s="8" t="str">
        <f t="shared" si="4"/>
        <v/>
      </c>
      <c r="D86" s="9" t="str">
        <f>IF(A86="","",C86-子基金及业绩基准周净值!AK135)</f>
        <v/>
      </c>
      <c r="E86" s="12" t="str">
        <f>IF(A86="","",(MAX(B$3:B86)-B86)/MAX(B$3:B86))</f>
        <v/>
      </c>
      <c r="F86" s="12" t="str">
        <f>IF(A86="","",MAX(E$4:E86))</f>
        <v/>
      </c>
      <c r="G86" s="13"/>
      <c r="H86" s="14" t="str">
        <f t="shared" si="7"/>
        <v/>
      </c>
      <c r="I86" s="14" t="str">
        <f t="shared" si="5"/>
        <v/>
      </c>
      <c r="J86" s="15" t="str">
        <f t="shared" si="6"/>
        <v/>
      </c>
    </row>
    <row r="87" spans="1:10">
      <c r="A87" s="7" t="str">
        <f>IF(子基金及业绩基准周净值!A136="","",子基金及业绩基准周净值!A136)</f>
        <v/>
      </c>
      <c r="B87" s="1" t="str">
        <f>IF(A87="","",VLOOKUP($A87,子基金及业绩基准周净值!$A:$AV,22))</f>
        <v/>
      </c>
      <c r="C87" s="8" t="str">
        <f t="shared" si="4"/>
        <v/>
      </c>
      <c r="D87" s="9" t="str">
        <f>IF(A87="","",C87-子基金及业绩基准周净值!AK136)</f>
        <v/>
      </c>
      <c r="E87" s="12" t="str">
        <f>IF(A87="","",(MAX(B$3:B87)-B87)/MAX(B$3:B87))</f>
        <v/>
      </c>
      <c r="F87" s="12" t="str">
        <f>IF(A87="","",MAX(E$4:E87))</f>
        <v/>
      </c>
      <c r="G87" s="13"/>
      <c r="H87" s="14" t="str">
        <f t="shared" si="7"/>
        <v/>
      </c>
      <c r="I87" s="14" t="str">
        <f t="shared" si="5"/>
        <v/>
      </c>
      <c r="J87" s="15" t="str">
        <f t="shared" si="6"/>
        <v/>
      </c>
    </row>
    <row r="88" spans="1:10">
      <c r="A88" s="7" t="str">
        <f>IF(子基金及业绩基准周净值!A137="","",子基金及业绩基准周净值!A137)</f>
        <v/>
      </c>
      <c r="B88" s="1" t="str">
        <f>IF(A88="","",VLOOKUP($A88,子基金及业绩基准周净值!$A:$AV,22))</f>
        <v/>
      </c>
      <c r="C88" s="8" t="str">
        <f t="shared" si="4"/>
        <v/>
      </c>
      <c r="D88" s="9" t="str">
        <f>IF(A88="","",C88-子基金及业绩基准周净值!AK137)</f>
        <v/>
      </c>
      <c r="E88" s="12" t="str">
        <f>IF(A88="","",(MAX(B$3:B88)-B88)/MAX(B$3:B88))</f>
        <v/>
      </c>
      <c r="F88" s="12" t="str">
        <f>IF(A88="","",MAX(E$4:E88))</f>
        <v/>
      </c>
      <c r="G88" s="13"/>
      <c r="H88" s="14" t="str">
        <f t="shared" si="7"/>
        <v/>
      </c>
      <c r="I88" s="14" t="str">
        <f t="shared" si="5"/>
        <v/>
      </c>
      <c r="J88" s="15" t="str">
        <f t="shared" si="6"/>
        <v/>
      </c>
    </row>
    <row r="89" spans="1:10">
      <c r="A89" s="7" t="str">
        <f>IF(子基金及业绩基准周净值!A138="","",子基金及业绩基准周净值!A138)</f>
        <v/>
      </c>
      <c r="B89" s="1" t="str">
        <f>IF(A89="","",VLOOKUP($A89,子基金及业绩基准周净值!$A:$AV,22))</f>
        <v/>
      </c>
      <c r="C89" s="8" t="str">
        <f t="shared" si="4"/>
        <v/>
      </c>
      <c r="D89" s="9" t="str">
        <f>IF(A89="","",C89-子基金及业绩基准周净值!AK138)</f>
        <v/>
      </c>
      <c r="E89" s="12" t="str">
        <f>IF(A89="","",(MAX(B$3:B89)-B89)/MAX(B$3:B89))</f>
        <v/>
      </c>
      <c r="F89" s="12" t="str">
        <f>IF(A89="","",MAX(E$4:E89))</f>
        <v/>
      </c>
      <c r="G89" s="13"/>
      <c r="H89" s="14" t="str">
        <f t="shared" si="7"/>
        <v/>
      </c>
      <c r="I89" s="14" t="str">
        <f t="shared" si="5"/>
        <v/>
      </c>
      <c r="J89" s="15" t="str">
        <f t="shared" si="6"/>
        <v/>
      </c>
    </row>
    <row r="90" spans="1:10">
      <c r="A90" s="7" t="str">
        <f>IF(子基金及业绩基准周净值!A139="","",子基金及业绩基准周净值!A139)</f>
        <v/>
      </c>
      <c r="B90" s="1" t="str">
        <f>IF(A90="","",VLOOKUP($A90,子基金及业绩基准周净值!$A:$AV,22))</f>
        <v/>
      </c>
      <c r="C90" s="8" t="str">
        <f t="shared" si="4"/>
        <v/>
      </c>
      <c r="D90" s="9" t="str">
        <f>IF(A90="","",C90-子基金及业绩基准周净值!AK139)</f>
        <v/>
      </c>
      <c r="E90" s="12" t="str">
        <f>IF(A90="","",(MAX(B$3:B90)-B90)/MAX(B$3:B90))</f>
        <v/>
      </c>
      <c r="F90" s="12" t="str">
        <f>IF(A90="","",MAX(E$4:E90))</f>
        <v/>
      </c>
      <c r="G90" s="13"/>
      <c r="H90" s="14" t="str">
        <f t="shared" si="7"/>
        <v/>
      </c>
      <c r="I90" s="14" t="str">
        <f t="shared" si="5"/>
        <v/>
      </c>
      <c r="J90" s="15" t="str">
        <f t="shared" si="6"/>
        <v/>
      </c>
    </row>
    <row r="91" spans="1:10">
      <c r="A91" s="7" t="str">
        <f>IF(子基金及业绩基准周净值!A140="","",子基金及业绩基准周净值!A140)</f>
        <v/>
      </c>
      <c r="B91" s="1" t="str">
        <f>IF(A91="","",VLOOKUP($A91,子基金及业绩基准周净值!$A:$AV,22))</f>
        <v/>
      </c>
      <c r="C91" s="8" t="str">
        <f t="shared" si="4"/>
        <v/>
      </c>
      <c r="D91" s="9" t="str">
        <f>IF(A91="","",C91-子基金及业绩基准周净值!AK140)</f>
        <v/>
      </c>
      <c r="E91" s="12" t="str">
        <f>IF(A91="","",(MAX(B$3:B91)-B91)/MAX(B$3:B91))</f>
        <v/>
      </c>
      <c r="F91" s="12" t="str">
        <f>IF(A91="","",MAX(E$4:E91))</f>
        <v/>
      </c>
      <c r="G91" s="13"/>
      <c r="H91" s="14" t="str">
        <f t="shared" si="7"/>
        <v/>
      </c>
      <c r="I91" s="14" t="str">
        <f t="shared" si="5"/>
        <v/>
      </c>
      <c r="J91" s="15" t="str">
        <f t="shared" si="6"/>
        <v/>
      </c>
    </row>
    <row r="92" spans="1:10">
      <c r="A92" s="7" t="str">
        <f>IF(子基金及业绩基准周净值!A141="","",子基金及业绩基准周净值!A141)</f>
        <v/>
      </c>
      <c r="B92" s="1" t="str">
        <f>IF(A92="","",VLOOKUP($A92,子基金及业绩基准周净值!$A:$AV,22))</f>
        <v/>
      </c>
      <c r="C92" s="8" t="str">
        <f t="shared" si="4"/>
        <v/>
      </c>
      <c r="D92" s="9" t="str">
        <f>IF(A92="","",C92-子基金及业绩基准周净值!AK141)</f>
        <v/>
      </c>
      <c r="E92" s="12" t="str">
        <f>IF(A92="","",(MAX(B$3:B92)-B92)/MAX(B$3:B92))</f>
        <v/>
      </c>
      <c r="F92" s="12" t="str">
        <f>IF(A92="","",MAX(E$4:E92))</f>
        <v/>
      </c>
      <c r="G92" s="13"/>
      <c r="H92" s="14" t="str">
        <f t="shared" si="7"/>
        <v/>
      </c>
      <c r="I92" s="14" t="str">
        <f t="shared" si="5"/>
        <v/>
      </c>
      <c r="J92" s="15" t="str">
        <f t="shared" si="6"/>
        <v/>
      </c>
    </row>
    <row r="93" spans="1:10">
      <c r="A93" s="7" t="str">
        <f>IF(子基金及业绩基准周净值!A142="","",子基金及业绩基准周净值!A142)</f>
        <v/>
      </c>
      <c r="B93" s="1" t="str">
        <f>IF(A93="","",VLOOKUP($A93,子基金及业绩基准周净值!$A:$AV,22))</f>
        <v/>
      </c>
      <c r="C93" s="8" t="str">
        <f t="shared" si="4"/>
        <v/>
      </c>
      <c r="D93" s="9" t="str">
        <f>IF(A93="","",C93-子基金及业绩基准周净值!AK142)</f>
        <v/>
      </c>
      <c r="E93" s="12" t="str">
        <f>IF(A93="","",(MAX(B$3:B93)-B93)/MAX(B$3:B93))</f>
        <v/>
      </c>
      <c r="F93" s="12" t="str">
        <f>IF(A93="","",MAX(E$4:E93))</f>
        <v/>
      </c>
      <c r="G93" s="13"/>
      <c r="H93" s="14" t="str">
        <f t="shared" si="7"/>
        <v/>
      </c>
      <c r="I93" s="14" t="str">
        <f t="shared" si="5"/>
        <v/>
      </c>
      <c r="J93" s="15" t="str">
        <f t="shared" si="6"/>
        <v/>
      </c>
    </row>
    <row r="94" spans="1:10">
      <c r="A94" s="7" t="str">
        <f>IF(子基金及业绩基准周净值!A143="","",子基金及业绩基准周净值!A143)</f>
        <v/>
      </c>
      <c r="B94" s="1" t="str">
        <f>IF(A94="","",VLOOKUP($A94,子基金及业绩基准周净值!$A:$AV,22))</f>
        <v/>
      </c>
      <c r="C94" s="8" t="str">
        <f t="shared" si="4"/>
        <v/>
      </c>
      <c r="D94" s="9" t="str">
        <f>IF(A94="","",C94-子基金及业绩基准周净值!AK143)</f>
        <v/>
      </c>
      <c r="E94" s="12" t="str">
        <f>IF(A94="","",(MAX(B$3:B94)-B94)/MAX(B$3:B94))</f>
        <v/>
      </c>
      <c r="F94" s="12" t="str">
        <f>IF(A94="","",MAX(E$4:E94))</f>
        <v/>
      </c>
      <c r="G94" s="13"/>
      <c r="H94" s="14" t="str">
        <f t="shared" si="7"/>
        <v/>
      </c>
      <c r="I94" s="14" t="str">
        <f t="shared" si="5"/>
        <v/>
      </c>
      <c r="J94" s="15" t="str">
        <f t="shared" si="6"/>
        <v/>
      </c>
    </row>
    <row r="95" spans="1:10">
      <c r="A95" s="7" t="str">
        <f>IF(子基金及业绩基准周净值!A144="","",子基金及业绩基准周净值!A144)</f>
        <v/>
      </c>
      <c r="B95" s="1" t="str">
        <f>IF(A95="","",VLOOKUP($A95,子基金及业绩基准周净值!$A:$AV,22))</f>
        <v/>
      </c>
      <c r="C95" s="8" t="str">
        <f t="shared" si="4"/>
        <v/>
      </c>
      <c r="D95" s="9" t="str">
        <f>IF(A95="","",C95-子基金及业绩基准周净值!AK144)</f>
        <v/>
      </c>
      <c r="E95" s="12" t="str">
        <f>IF(A95="","",(MAX(B$3:B95)-B95)/MAX(B$3:B95))</f>
        <v/>
      </c>
      <c r="F95" s="12" t="str">
        <f>IF(A95="","",MAX(E$4:E95))</f>
        <v/>
      </c>
      <c r="G95" s="13"/>
      <c r="H95" s="14" t="str">
        <f t="shared" si="7"/>
        <v/>
      </c>
      <c r="I95" s="14" t="str">
        <f t="shared" si="5"/>
        <v/>
      </c>
      <c r="J95" s="15" t="str">
        <f t="shared" si="6"/>
        <v/>
      </c>
    </row>
    <row r="96" spans="1:10">
      <c r="A96" s="7" t="str">
        <f>IF(子基金及业绩基准周净值!A145="","",子基金及业绩基准周净值!A145)</f>
        <v/>
      </c>
      <c r="B96" s="1" t="str">
        <f>IF(A96="","",VLOOKUP($A96,子基金及业绩基准周净值!$A:$AV,22))</f>
        <v/>
      </c>
      <c r="C96" s="8" t="str">
        <f t="shared" si="4"/>
        <v/>
      </c>
      <c r="D96" s="9" t="str">
        <f>IF(A96="","",C96-子基金及业绩基准周净值!AK145)</f>
        <v/>
      </c>
      <c r="E96" s="12" t="str">
        <f>IF(A96="","",(MAX(B$3:B96)-B96)/MAX(B$3:B96))</f>
        <v/>
      </c>
      <c r="F96" s="12" t="str">
        <f>IF(A96="","",MAX(E$4:E96))</f>
        <v/>
      </c>
      <c r="G96" s="13"/>
      <c r="H96" s="14" t="str">
        <f t="shared" si="7"/>
        <v/>
      </c>
      <c r="I96" s="14" t="str">
        <f t="shared" si="5"/>
        <v/>
      </c>
      <c r="J96" s="15" t="str">
        <f t="shared" si="6"/>
        <v/>
      </c>
    </row>
    <row r="97" spans="1:10">
      <c r="A97" s="7" t="str">
        <f>IF(子基金及业绩基准周净值!A146="","",子基金及业绩基准周净值!A146)</f>
        <v/>
      </c>
      <c r="B97" s="1" t="str">
        <f>IF(A97="","",VLOOKUP($A97,子基金及业绩基准周净值!$A:$AV,22))</f>
        <v/>
      </c>
      <c r="C97" s="8" t="str">
        <f t="shared" si="4"/>
        <v/>
      </c>
      <c r="D97" s="9" t="str">
        <f>IF(A97="","",C97-子基金及业绩基准周净值!AK146)</f>
        <v/>
      </c>
      <c r="E97" s="12" t="str">
        <f>IF(A97="","",(MAX(B$3:B97)-B97)/MAX(B$3:B97))</f>
        <v/>
      </c>
      <c r="F97" s="12" t="str">
        <f>IF(A97="","",MAX(E$4:E97))</f>
        <v/>
      </c>
      <c r="G97" s="13"/>
      <c r="H97" s="14" t="str">
        <f t="shared" si="7"/>
        <v/>
      </c>
      <c r="I97" s="14" t="str">
        <f t="shared" si="5"/>
        <v/>
      </c>
      <c r="J97" s="15" t="str">
        <f t="shared" si="6"/>
        <v/>
      </c>
    </row>
    <row r="98" spans="1:10">
      <c r="A98" s="7" t="str">
        <f>IF(子基金及业绩基准周净值!A147="","",子基金及业绩基准周净值!A147)</f>
        <v/>
      </c>
      <c r="B98" s="1" t="str">
        <f>IF(A98="","",VLOOKUP($A98,子基金及业绩基准周净值!$A:$AV,22))</f>
        <v/>
      </c>
      <c r="C98" s="8" t="str">
        <f t="shared" si="4"/>
        <v/>
      </c>
      <c r="D98" s="9" t="str">
        <f>IF(A98="","",C98-子基金及业绩基准周净值!AK147)</f>
        <v/>
      </c>
      <c r="E98" s="12" t="str">
        <f>IF(A98="","",(MAX(B$3:B98)-B98)/MAX(B$3:B98))</f>
        <v/>
      </c>
      <c r="F98" s="12" t="str">
        <f>IF(A98="","",MAX(E$4:E98))</f>
        <v/>
      </c>
      <c r="G98" s="13"/>
      <c r="H98" s="14" t="str">
        <f t="shared" si="7"/>
        <v/>
      </c>
      <c r="I98" s="14" t="str">
        <f t="shared" si="5"/>
        <v/>
      </c>
      <c r="J98" s="15" t="str">
        <f t="shared" si="6"/>
        <v/>
      </c>
    </row>
    <row r="99" spans="1:10">
      <c r="A99" s="7" t="str">
        <f>IF(子基金及业绩基准周净值!A148="","",子基金及业绩基准周净值!A148)</f>
        <v/>
      </c>
      <c r="B99" s="1" t="str">
        <f>IF(A99="","",VLOOKUP($A99,子基金及业绩基准周净值!$A:$AV,22))</f>
        <v/>
      </c>
      <c r="C99" s="8" t="str">
        <f t="shared" si="4"/>
        <v/>
      </c>
      <c r="D99" s="9" t="str">
        <f>IF(A99="","",C99-子基金及业绩基准周净值!AK148)</f>
        <v/>
      </c>
      <c r="E99" s="12" t="str">
        <f>IF(A99="","",(MAX(B$3:B99)-B99)/MAX(B$3:B99))</f>
        <v/>
      </c>
      <c r="F99" s="12" t="str">
        <f>IF(A99="","",MAX(E$4:E99))</f>
        <v/>
      </c>
      <c r="G99" s="13"/>
      <c r="H99" s="14" t="str">
        <f t="shared" si="7"/>
        <v/>
      </c>
      <c r="I99" s="14" t="str">
        <f t="shared" si="5"/>
        <v/>
      </c>
      <c r="J99" s="15" t="str">
        <f t="shared" si="6"/>
        <v/>
      </c>
    </row>
    <row r="100" spans="1:10">
      <c r="A100" s="7" t="str">
        <f>IF(子基金及业绩基准周净值!A149="","",子基金及业绩基准周净值!A149)</f>
        <v/>
      </c>
      <c r="B100" s="1" t="str">
        <f>IF(A100="","",VLOOKUP($A100,子基金及业绩基准周净值!$A:$AV,22))</f>
        <v/>
      </c>
      <c r="C100" s="8" t="str">
        <f t="shared" si="4"/>
        <v/>
      </c>
      <c r="D100" s="9" t="str">
        <f>IF(A100="","",C100-子基金及业绩基准周净值!AK149)</f>
        <v/>
      </c>
      <c r="E100" s="12" t="str">
        <f>IF(A100="","",(MAX(B$3:B100)-B100)/MAX(B$3:B100))</f>
        <v/>
      </c>
      <c r="F100" s="12" t="str">
        <f>IF(A100="","",MAX(E$4:E100))</f>
        <v/>
      </c>
      <c r="G100" s="13"/>
      <c r="H100" s="14" t="str">
        <f t="shared" si="7"/>
        <v/>
      </c>
      <c r="I100" s="14" t="str">
        <f t="shared" si="5"/>
        <v/>
      </c>
      <c r="J100" s="15" t="str">
        <f t="shared" si="6"/>
        <v/>
      </c>
    </row>
    <row r="101" spans="1:10">
      <c r="A101" s="7" t="str">
        <f>IF(子基金及业绩基准周净值!A150="","",子基金及业绩基准周净值!A150)</f>
        <v/>
      </c>
      <c r="B101" s="1" t="str">
        <f>IF(A101="","",VLOOKUP($A101,子基金及业绩基准周净值!$A:$AV,22))</f>
        <v/>
      </c>
      <c r="C101" s="8" t="str">
        <f t="shared" si="4"/>
        <v/>
      </c>
      <c r="D101" s="9" t="str">
        <f>IF(A101="","",C101-子基金及业绩基准周净值!AK150)</f>
        <v/>
      </c>
      <c r="E101" s="12" t="str">
        <f>IF(A101="","",(MAX(B$3:B101)-B101)/MAX(B$3:B101))</f>
        <v/>
      </c>
      <c r="F101" s="12" t="str">
        <f>IF(A101="","",MAX(E$4:E101))</f>
        <v/>
      </c>
      <c r="G101" s="13"/>
      <c r="H101" s="14" t="str">
        <f t="shared" si="7"/>
        <v/>
      </c>
      <c r="I101" s="14" t="str">
        <f t="shared" si="5"/>
        <v/>
      </c>
      <c r="J101" s="15" t="str">
        <f t="shared" si="6"/>
        <v/>
      </c>
    </row>
    <row r="102" spans="1:10">
      <c r="A102" s="7" t="str">
        <f>IF(子基金及业绩基准周净值!A151="","",子基金及业绩基准周净值!A151)</f>
        <v/>
      </c>
      <c r="B102" s="1" t="str">
        <f>IF(A102="","",VLOOKUP($A102,子基金及业绩基准周净值!$A:$AV,22))</f>
        <v/>
      </c>
      <c r="C102" s="8" t="str">
        <f t="shared" si="4"/>
        <v/>
      </c>
      <c r="D102" s="9" t="str">
        <f>IF(A102="","",C102-子基金及业绩基准周净值!AK151)</f>
        <v/>
      </c>
      <c r="E102" s="12" t="str">
        <f>IF(A102="","",(MAX(B$3:B102)-B102)/MAX(B$3:B102))</f>
        <v/>
      </c>
      <c r="F102" s="12" t="str">
        <f>IF(A102="","",MAX(E$4:E102))</f>
        <v/>
      </c>
      <c r="G102" s="13"/>
      <c r="H102" s="14" t="str">
        <f t="shared" si="7"/>
        <v/>
      </c>
      <c r="I102" s="14" t="str">
        <f t="shared" si="5"/>
        <v/>
      </c>
      <c r="J102" s="15" t="str">
        <f t="shared" si="6"/>
        <v/>
      </c>
    </row>
    <row r="103" spans="1:10">
      <c r="A103" s="7" t="str">
        <f>IF(子基金及业绩基准周净值!A152="","",子基金及业绩基准周净值!A152)</f>
        <v/>
      </c>
      <c r="B103" s="1" t="str">
        <f>IF(A103="","",VLOOKUP($A103,子基金及业绩基准周净值!$A:$AV,22))</f>
        <v/>
      </c>
      <c r="C103" s="8" t="str">
        <f t="shared" si="4"/>
        <v/>
      </c>
      <c r="D103" s="9" t="str">
        <f>IF(A103="","",C103-子基金及业绩基准周净值!AK152)</f>
        <v/>
      </c>
      <c r="E103" s="12" t="str">
        <f>IF(A103="","",(MAX(B$3:B103)-B103)/MAX(B$3:B103))</f>
        <v/>
      </c>
      <c r="F103" s="12" t="str">
        <f>IF(A103="","",MAX(E$4:E103))</f>
        <v/>
      </c>
      <c r="G103" s="13"/>
      <c r="H103" s="14" t="str">
        <f t="shared" si="7"/>
        <v/>
      </c>
      <c r="I103" s="14" t="str">
        <f t="shared" si="5"/>
        <v/>
      </c>
      <c r="J103" s="15" t="str">
        <f t="shared" si="6"/>
        <v/>
      </c>
    </row>
    <row r="104" spans="1:10">
      <c r="A104" s="7" t="str">
        <f>IF(子基金及业绩基准周净值!A153="","",子基金及业绩基准周净值!A153)</f>
        <v/>
      </c>
      <c r="B104" s="1" t="str">
        <f>IF(A104="","",VLOOKUP($A104,子基金及业绩基准周净值!$A:$AV,22))</f>
        <v/>
      </c>
      <c r="C104" s="8" t="str">
        <f t="shared" si="4"/>
        <v/>
      </c>
      <c r="D104" s="9" t="str">
        <f>IF(A104="","",C104-子基金及业绩基准周净值!AK153)</f>
        <v/>
      </c>
      <c r="E104" s="12" t="str">
        <f>IF(A104="","",(MAX(B$3:B104)-B104)/MAX(B$3:B104))</f>
        <v/>
      </c>
      <c r="F104" s="12" t="str">
        <f>IF(A104="","",MAX(E$4:E104))</f>
        <v/>
      </c>
      <c r="G104" s="13"/>
      <c r="H104" s="14" t="str">
        <f t="shared" si="7"/>
        <v/>
      </c>
      <c r="I104" s="14" t="str">
        <f t="shared" si="5"/>
        <v/>
      </c>
      <c r="J104" s="15" t="str">
        <f t="shared" si="6"/>
        <v/>
      </c>
    </row>
    <row r="105" spans="1:10">
      <c r="A105" s="7" t="str">
        <f>IF(子基金及业绩基准周净值!A154="","",子基金及业绩基准周净值!A154)</f>
        <v/>
      </c>
      <c r="B105" s="1" t="str">
        <f>IF(A105="","",VLOOKUP($A105,子基金及业绩基准周净值!$A:$AV,22))</f>
        <v/>
      </c>
      <c r="C105" s="8" t="str">
        <f t="shared" si="4"/>
        <v/>
      </c>
      <c r="D105" s="9" t="str">
        <f>IF(A105="","",C105-子基金及业绩基准周净值!AK154)</f>
        <v/>
      </c>
      <c r="E105" s="12" t="str">
        <f>IF(A105="","",(MAX(B$3:B105)-B105)/MAX(B$3:B105))</f>
        <v/>
      </c>
      <c r="F105" s="12" t="str">
        <f>IF(A105="","",MAX(E$4:E105))</f>
        <v/>
      </c>
      <c r="G105" s="13"/>
      <c r="H105" s="14" t="str">
        <f t="shared" si="7"/>
        <v/>
      </c>
      <c r="I105" s="14" t="str">
        <f t="shared" si="5"/>
        <v/>
      </c>
      <c r="J105" s="15" t="str">
        <f t="shared" si="6"/>
        <v/>
      </c>
    </row>
    <row r="106" spans="1:10">
      <c r="A106" s="7" t="str">
        <f>IF(子基金及业绩基准周净值!A155="","",子基金及业绩基准周净值!A155)</f>
        <v/>
      </c>
      <c r="B106" s="1" t="str">
        <f>IF(A106="","",VLOOKUP($A106,子基金及业绩基准周净值!$A:$AV,22))</f>
        <v/>
      </c>
      <c r="C106" s="8" t="str">
        <f t="shared" si="4"/>
        <v/>
      </c>
      <c r="D106" s="9" t="str">
        <f>IF(A106="","",C106-子基金及业绩基准周净值!AK155)</f>
        <v/>
      </c>
      <c r="E106" s="12" t="str">
        <f>IF(A106="","",(MAX(B$3:B106)-B106)/MAX(B$3:B106))</f>
        <v/>
      </c>
      <c r="F106" s="12" t="str">
        <f>IF(A106="","",MAX(E$4:E106))</f>
        <v/>
      </c>
      <c r="G106" s="13"/>
      <c r="H106" s="14" t="str">
        <f t="shared" si="7"/>
        <v/>
      </c>
      <c r="I106" s="14" t="str">
        <f t="shared" si="5"/>
        <v/>
      </c>
      <c r="J106" s="15" t="str">
        <f t="shared" si="6"/>
        <v/>
      </c>
    </row>
    <row r="107" spans="1:10">
      <c r="A107" s="7" t="str">
        <f>IF(子基金及业绩基准周净值!A156="","",子基金及业绩基准周净值!A156)</f>
        <v/>
      </c>
      <c r="B107" s="1" t="str">
        <f>IF(A107="","",VLOOKUP($A107,子基金及业绩基准周净值!$A:$AV,22))</f>
        <v/>
      </c>
      <c r="C107" s="8" t="str">
        <f t="shared" si="4"/>
        <v/>
      </c>
      <c r="D107" s="9" t="str">
        <f>IF(A107="","",C107-子基金及业绩基准周净值!AK156)</f>
        <v/>
      </c>
      <c r="E107" s="12" t="str">
        <f>IF(A107="","",(MAX(B$3:B107)-B107)/MAX(B$3:B107))</f>
        <v/>
      </c>
      <c r="F107" s="12" t="str">
        <f>IF(A107="","",MAX(E$4:E107))</f>
        <v/>
      </c>
      <c r="G107" s="13"/>
      <c r="H107" s="14" t="str">
        <f t="shared" si="7"/>
        <v/>
      </c>
      <c r="I107" s="14" t="str">
        <f t="shared" si="5"/>
        <v/>
      </c>
      <c r="J107" s="15" t="str">
        <f t="shared" si="6"/>
        <v/>
      </c>
    </row>
    <row r="108" spans="1:10">
      <c r="A108" s="7" t="str">
        <f>IF(子基金及业绩基准周净值!A157="","",子基金及业绩基准周净值!A157)</f>
        <v/>
      </c>
      <c r="B108" s="1" t="str">
        <f>IF(A108="","",VLOOKUP($A108,子基金及业绩基准周净值!$A:$AV,22))</f>
        <v/>
      </c>
      <c r="C108" s="8" t="str">
        <f t="shared" si="4"/>
        <v/>
      </c>
      <c r="D108" s="9" t="str">
        <f>IF(A108="","",C108-子基金及业绩基准周净值!AK157)</f>
        <v/>
      </c>
      <c r="E108" s="12" t="str">
        <f>IF(A108="","",(MAX(B$3:B108)-B108)/MAX(B$3:B108))</f>
        <v/>
      </c>
      <c r="F108" s="12" t="str">
        <f>IF(A108="","",MAX(E$4:E108))</f>
        <v/>
      </c>
      <c r="G108" s="13"/>
      <c r="H108" s="14" t="str">
        <f t="shared" si="7"/>
        <v/>
      </c>
      <c r="I108" s="14" t="str">
        <f t="shared" si="5"/>
        <v/>
      </c>
      <c r="J108" s="15" t="str">
        <f t="shared" si="6"/>
        <v/>
      </c>
    </row>
    <row r="109" spans="1:10">
      <c r="A109" s="7" t="str">
        <f>IF(子基金及业绩基准周净值!A158="","",子基金及业绩基准周净值!A158)</f>
        <v/>
      </c>
      <c r="B109" s="1" t="str">
        <f>IF(A109="","",VLOOKUP($A109,子基金及业绩基准周净值!$A:$AV,22))</f>
        <v/>
      </c>
      <c r="C109" s="8" t="str">
        <f t="shared" si="4"/>
        <v/>
      </c>
      <c r="D109" s="9" t="str">
        <f>IF(A109="","",C109-子基金及业绩基准周净值!AK158)</f>
        <v/>
      </c>
      <c r="E109" s="12" t="str">
        <f>IF(A109="","",(MAX(B$3:B109)-B109)/MAX(B$3:B109))</f>
        <v/>
      </c>
      <c r="F109" s="12" t="str">
        <f>IF(A109="","",MAX(E$4:E109))</f>
        <v/>
      </c>
      <c r="G109" s="13"/>
      <c r="H109" s="14" t="str">
        <f t="shared" si="7"/>
        <v/>
      </c>
      <c r="I109" s="14" t="str">
        <f t="shared" si="5"/>
        <v/>
      </c>
      <c r="J109" s="15" t="str">
        <f t="shared" si="6"/>
        <v/>
      </c>
    </row>
    <row r="110" spans="1:10">
      <c r="A110" s="7" t="str">
        <f>IF(子基金及业绩基准周净值!A159="","",子基金及业绩基准周净值!A159)</f>
        <v/>
      </c>
      <c r="B110" s="1" t="str">
        <f>IF(A110="","",VLOOKUP($A110,子基金及业绩基准周净值!$A:$AV,22))</f>
        <v/>
      </c>
      <c r="C110" s="8" t="str">
        <f t="shared" si="4"/>
        <v/>
      </c>
      <c r="D110" s="9" t="str">
        <f>IF(A110="","",C110-子基金及业绩基准周净值!AK159)</f>
        <v/>
      </c>
      <c r="E110" s="12" t="str">
        <f>IF(A110="","",(MAX(B$3:B110)-B110)/MAX(B$3:B110))</f>
        <v/>
      </c>
      <c r="F110" s="12" t="str">
        <f>IF(A110="","",MAX(E$4:E110))</f>
        <v/>
      </c>
      <c r="G110" s="13"/>
      <c r="H110" s="14" t="str">
        <f t="shared" si="7"/>
        <v/>
      </c>
      <c r="I110" s="14" t="str">
        <f t="shared" si="5"/>
        <v/>
      </c>
      <c r="J110" s="15" t="str">
        <f t="shared" si="6"/>
        <v/>
      </c>
    </row>
    <row r="111" spans="1:10">
      <c r="A111" s="7" t="str">
        <f>IF(子基金及业绩基准周净值!A160="","",子基金及业绩基准周净值!A160)</f>
        <v/>
      </c>
      <c r="B111" s="1" t="str">
        <f>IF(A111="","",VLOOKUP($A111,子基金及业绩基准周净值!$A:$AV,22))</f>
        <v/>
      </c>
      <c r="C111" s="8" t="str">
        <f t="shared" si="4"/>
        <v/>
      </c>
      <c r="D111" s="9" t="str">
        <f>IF(A111="","",C111-子基金及业绩基准周净值!AK160)</f>
        <v/>
      </c>
      <c r="E111" s="12" t="str">
        <f>IF(A111="","",(MAX(B$3:B111)-B111)/MAX(B$3:B111))</f>
        <v/>
      </c>
      <c r="F111" s="12" t="str">
        <f>IF(A111="","",MAX(E$4:E111))</f>
        <v/>
      </c>
      <c r="G111" s="13"/>
      <c r="H111" s="14" t="str">
        <f t="shared" si="7"/>
        <v/>
      </c>
      <c r="I111" s="14" t="str">
        <f t="shared" si="5"/>
        <v/>
      </c>
      <c r="J111" s="15" t="str">
        <f t="shared" si="6"/>
        <v/>
      </c>
    </row>
    <row r="112" spans="1:10">
      <c r="A112" s="7" t="str">
        <f>IF(子基金及业绩基准周净值!A161="","",子基金及业绩基准周净值!A161)</f>
        <v/>
      </c>
      <c r="B112" s="1" t="str">
        <f>IF(A112="","",VLOOKUP($A112,子基金及业绩基准周净值!$A:$AV,22))</f>
        <v/>
      </c>
      <c r="C112" s="8" t="str">
        <f t="shared" si="4"/>
        <v/>
      </c>
      <c r="D112" s="9" t="str">
        <f>IF(A112="","",C112-子基金及业绩基准周净值!AK161)</f>
        <v/>
      </c>
      <c r="E112" s="12" t="str">
        <f>IF(A112="","",(MAX(B$3:B112)-B112)/MAX(B$3:B112))</f>
        <v/>
      </c>
      <c r="F112" s="12" t="str">
        <f>IF(A112="","",MAX(E$4:E112))</f>
        <v/>
      </c>
      <c r="G112" s="13"/>
      <c r="H112" s="14" t="str">
        <f t="shared" si="7"/>
        <v/>
      </c>
      <c r="I112" s="14" t="str">
        <f t="shared" si="5"/>
        <v/>
      </c>
      <c r="J112" s="15" t="str">
        <f t="shared" si="6"/>
        <v/>
      </c>
    </row>
    <row r="113" spans="1:10">
      <c r="A113" s="7" t="str">
        <f>IF(子基金及业绩基准周净值!A162="","",子基金及业绩基准周净值!A162)</f>
        <v/>
      </c>
      <c r="B113" s="1" t="str">
        <f>IF(A113="","",VLOOKUP($A113,子基金及业绩基准周净值!$A:$AV,22))</f>
        <v/>
      </c>
      <c r="C113" s="8" t="str">
        <f t="shared" si="4"/>
        <v/>
      </c>
      <c r="D113" s="9" t="str">
        <f>IF(A113="","",C113-子基金及业绩基准周净值!AK162)</f>
        <v/>
      </c>
      <c r="E113" s="12" t="str">
        <f>IF(A113="","",(MAX(B$3:B113)-B113)/MAX(B$3:B113))</f>
        <v/>
      </c>
      <c r="F113" s="12" t="str">
        <f>IF(A113="","",MAX(E$4:E113))</f>
        <v/>
      </c>
      <c r="G113" s="13"/>
      <c r="H113" s="14" t="str">
        <f t="shared" si="7"/>
        <v/>
      </c>
      <c r="I113" s="14" t="str">
        <f t="shared" si="5"/>
        <v/>
      </c>
      <c r="J113" s="15" t="str">
        <f t="shared" si="6"/>
        <v/>
      </c>
    </row>
    <row r="114" spans="1:10">
      <c r="A114" s="7" t="str">
        <f>IF(子基金及业绩基准周净值!A163="","",子基金及业绩基准周净值!A163)</f>
        <v/>
      </c>
      <c r="B114" s="1" t="str">
        <f>IF(A114="","",VLOOKUP($A114,子基金及业绩基准周净值!$A:$AV,22))</f>
        <v/>
      </c>
      <c r="C114" s="8" t="str">
        <f t="shared" si="4"/>
        <v/>
      </c>
      <c r="D114" s="9" t="str">
        <f>IF(A114="","",C114-子基金及业绩基准周净值!AK163)</f>
        <v/>
      </c>
      <c r="E114" s="12" t="str">
        <f>IF(A114="","",(MAX(B$3:B114)-B114)/MAX(B$3:B114))</f>
        <v/>
      </c>
      <c r="F114" s="12" t="str">
        <f>IF(A114="","",MAX(E$4:E114))</f>
        <v/>
      </c>
      <c r="G114" s="13"/>
      <c r="H114" s="14" t="str">
        <f t="shared" si="7"/>
        <v/>
      </c>
      <c r="I114" s="14" t="str">
        <f t="shared" si="5"/>
        <v/>
      </c>
      <c r="J114" s="15" t="str">
        <f t="shared" si="6"/>
        <v/>
      </c>
    </row>
    <row r="115" spans="1:10">
      <c r="A115" s="7" t="str">
        <f>IF(子基金及业绩基准周净值!A164="","",子基金及业绩基准周净值!A164)</f>
        <v/>
      </c>
      <c r="B115" s="1" t="str">
        <f>IF(A115="","",VLOOKUP($A115,子基金及业绩基准周净值!$A:$AV,22))</f>
        <v/>
      </c>
      <c r="C115" s="8" t="str">
        <f t="shared" si="4"/>
        <v/>
      </c>
      <c r="D115" s="9" t="str">
        <f>IF(A115="","",C115-子基金及业绩基准周净值!AK164)</f>
        <v/>
      </c>
      <c r="E115" s="12" t="str">
        <f>IF(A115="","",(MAX(B$3:B115)-B115)/MAX(B$3:B115))</f>
        <v/>
      </c>
      <c r="F115" s="12" t="str">
        <f>IF(A115="","",MAX(E$4:E115))</f>
        <v/>
      </c>
      <c r="G115" s="13"/>
      <c r="H115" s="14" t="str">
        <f t="shared" si="7"/>
        <v/>
      </c>
      <c r="I115" s="14" t="str">
        <f t="shared" si="5"/>
        <v/>
      </c>
      <c r="J115" s="15" t="str">
        <f t="shared" si="6"/>
        <v/>
      </c>
    </row>
    <row r="116" spans="1:10">
      <c r="A116" s="7" t="str">
        <f>IF(子基金及业绩基准周净值!A165="","",子基金及业绩基准周净值!A165)</f>
        <v/>
      </c>
      <c r="B116" s="1" t="str">
        <f>IF(A116="","",VLOOKUP($A116,子基金及业绩基准周净值!$A:$AV,22))</f>
        <v/>
      </c>
      <c r="C116" s="8" t="str">
        <f t="shared" si="4"/>
        <v/>
      </c>
      <c r="D116" s="9" t="str">
        <f>IF(A116="","",C116-子基金及业绩基准周净值!AK165)</f>
        <v/>
      </c>
      <c r="E116" s="12" t="str">
        <f>IF(A116="","",(MAX(B$3:B116)-B116)/MAX(B$3:B116))</f>
        <v/>
      </c>
      <c r="F116" s="12" t="str">
        <f>IF(A116="","",MAX(E$4:E116))</f>
        <v/>
      </c>
      <c r="G116" s="13"/>
      <c r="H116" s="14" t="str">
        <f t="shared" si="7"/>
        <v/>
      </c>
      <c r="I116" s="14" t="str">
        <f t="shared" si="5"/>
        <v/>
      </c>
      <c r="J116" s="15" t="str">
        <f t="shared" si="6"/>
        <v/>
      </c>
    </row>
    <row r="117" spans="1:10">
      <c r="A117" s="7" t="str">
        <f>IF(子基金及业绩基准周净值!A166="","",子基金及业绩基准周净值!A166)</f>
        <v/>
      </c>
      <c r="B117" s="1" t="str">
        <f>IF(A117="","",VLOOKUP($A117,子基金及业绩基准周净值!$A:$AV,22))</f>
        <v/>
      </c>
      <c r="C117" s="8" t="str">
        <f t="shared" si="4"/>
        <v/>
      </c>
      <c r="D117" s="9" t="str">
        <f>IF(A117="","",C117-子基金及业绩基准周净值!AK166)</f>
        <v/>
      </c>
      <c r="E117" s="12" t="str">
        <f>IF(A117="","",(MAX(B$3:B117)-B117)/MAX(B$3:B117))</f>
        <v/>
      </c>
      <c r="F117" s="12" t="str">
        <f>IF(A117="","",MAX(E$4:E117))</f>
        <v/>
      </c>
      <c r="G117" s="13"/>
      <c r="H117" s="14" t="str">
        <f t="shared" si="7"/>
        <v/>
      </c>
      <c r="I117" s="14" t="str">
        <f t="shared" si="5"/>
        <v/>
      </c>
      <c r="J117" s="15" t="str">
        <f t="shared" si="6"/>
        <v/>
      </c>
    </row>
    <row r="118" spans="1:10">
      <c r="A118" s="7" t="str">
        <f>IF(子基金及业绩基准周净值!A167="","",子基金及业绩基准周净值!A167)</f>
        <v/>
      </c>
      <c r="B118" s="1" t="str">
        <f>IF(A118="","",VLOOKUP($A118,子基金及业绩基准周净值!$A:$AV,22))</f>
        <v/>
      </c>
      <c r="C118" s="8" t="str">
        <f t="shared" si="4"/>
        <v/>
      </c>
      <c r="D118" s="9" t="str">
        <f>IF(A118="","",C118-子基金及业绩基准周净值!AK167)</f>
        <v/>
      </c>
      <c r="E118" s="12" t="str">
        <f>IF(A118="","",(MAX(B$3:B118)-B118)/MAX(B$3:B118))</f>
        <v/>
      </c>
      <c r="F118" s="12" t="str">
        <f>IF(A118="","",MAX(E$4:E118))</f>
        <v/>
      </c>
      <c r="G118" s="13"/>
      <c r="H118" s="14" t="str">
        <f t="shared" si="7"/>
        <v/>
      </c>
      <c r="I118" s="14" t="str">
        <f t="shared" si="5"/>
        <v/>
      </c>
      <c r="J118" s="15" t="str">
        <f t="shared" si="6"/>
        <v/>
      </c>
    </row>
    <row r="119" spans="1:10">
      <c r="A119" s="7" t="str">
        <f>IF(子基金及业绩基准周净值!A168="","",子基金及业绩基准周净值!A168)</f>
        <v/>
      </c>
      <c r="B119" s="1" t="str">
        <f>IF(A119="","",VLOOKUP($A119,子基金及业绩基准周净值!$A:$AV,22))</f>
        <v/>
      </c>
      <c r="C119" s="8" t="str">
        <f t="shared" si="4"/>
        <v/>
      </c>
      <c r="D119" s="9" t="str">
        <f>IF(A119="","",C119-子基金及业绩基准周净值!AK168)</f>
        <v/>
      </c>
      <c r="E119" s="12" t="str">
        <f>IF(A119="","",(MAX(B$3:B119)-B119)/MAX(B$3:B119))</f>
        <v/>
      </c>
      <c r="F119" s="12" t="str">
        <f>IF(A119="","",MAX(E$4:E119))</f>
        <v/>
      </c>
      <c r="G119" s="13"/>
      <c r="H119" s="14" t="str">
        <f t="shared" si="7"/>
        <v/>
      </c>
      <c r="I119" s="14" t="str">
        <f t="shared" si="5"/>
        <v/>
      </c>
      <c r="J119" s="15" t="str">
        <f t="shared" si="6"/>
        <v/>
      </c>
    </row>
    <row r="120" spans="1:10">
      <c r="A120" s="7" t="str">
        <f>IF(子基金及业绩基准周净值!A169="","",子基金及业绩基准周净值!A169)</f>
        <v/>
      </c>
      <c r="B120" s="1" t="str">
        <f>IF(A120="","",VLOOKUP($A120,子基金及业绩基准周净值!$A:$AV,22))</f>
        <v/>
      </c>
      <c r="C120" s="8" t="str">
        <f t="shared" si="4"/>
        <v/>
      </c>
      <c r="D120" s="9" t="str">
        <f>IF(A120="","",C120-子基金及业绩基准周净值!AK169)</f>
        <v/>
      </c>
      <c r="E120" s="12" t="str">
        <f>IF(A120="","",(MAX(B$3:B120)-B120)/MAX(B$3:B120))</f>
        <v/>
      </c>
      <c r="F120" s="12" t="str">
        <f>IF(A120="","",MAX(E$4:E120))</f>
        <v/>
      </c>
      <c r="G120" s="13"/>
      <c r="H120" s="14" t="str">
        <f t="shared" si="7"/>
        <v/>
      </c>
      <c r="I120" s="14" t="str">
        <f t="shared" si="5"/>
        <v/>
      </c>
      <c r="J120" s="15" t="str">
        <f t="shared" si="6"/>
        <v/>
      </c>
    </row>
    <row r="121" spans="1:10">
      <c r="A121" s="7" t="str">
        <f>IF(子基金及业绩基准周净值!A170="","",子基金及业绩基准周净值!A170)</f>
        <v/>
      </c>
      <c r="B121" s="1" t="str">
        <f>IF(A121="","",VLOOKUP($A121,子基金及业绩基准周净值!$A:$AV,22))</f>
        <v/>
      </c>
      <c r="C121" s="8" t="str">
        <f t="shared" si="4"/>
        <v/>
      </c>
      <c r="D121" s="9" t="str">
        <f>IF(A121="","",C121-子基金及业绩基准周净值!AK170)</f>
        <v/>
      </c>
      <c r="E121" s="12" t="str">
        <f>IF(A121="","",(MAX(B$3:B121)-B121)/MAX(B$3:B121))</f>
        <v/>
      </c>
      <c r="F121" s="12" t="str">
        <f>IF(A121="","",MAX(E$4:E121))</f>
        <v/>
      </c>
      <c r="G121" s="13"/>
      <c r="H121" s="14" t="str">
        <f t="shared" si="7"/>
        <v/>
      </c>
      <c r="I121" s="14" t="str">
        <f t="shared" si="5"/>
        <v/>
      </c>
      <c r="J121" s="15" t="str">
        <f t="shared" si="6"/>
        <v/>
      </c>
    </row>
    <row r="122" spans="1:10">
      <c r="A122" s="7" t="str">
        <f>IF(子基金及业绩基准周净值!A171="","",子基金及业绩基准周净值!A171)</f>
        <v/>
      </c>
      <c r="B122" s="1" t="str">
        <f>IF(A122="","",VLOOKUP($A122,子基金及业绩基准周净值!$A:$AV,22))</f>
        <v/>
      </c>
      <c r="C122" s="8" t="str">
        <f t="shared" si="4"/>
        <v/>
      </c>
      <c r="D122" s="9" t="str">
        <f>IF(A122="","",C122-子基金及业绩基准周净值!AK171)</f>
        <v/>
      </c>
      <c r="E122" s="12" t="str">
        <f>IF(A122="","",(MAX(B$3:B122)-B122)/MAX(B$3:B122))</f>
        <v/>
      </c>
      <c r="F122" s="12" t="str">
        <f>IF(A122="","",MAX(E$4:E122))</f>
        <v/>
      </c>
      <c r="G122" s="13"/>
      <c r="H122" s="14" t="str">
        <f t="shared" si="7"/>
        <v/>
      </c>
      <c r="I122" s="14" t="str">
        <f t="shared" si="5"/>
        <v/>
      </c>
      <c r="J122" s="15" t="str">
        <f t="shared" si="6"/>
        <v/>
      </c>
    </row>
    <row r="123" spans="1:10">
      <c r="A123" s="7" t="str">
        <f>IF(子基金及业绩基准周净值!A172="","",子基金及业绩基准周净值!A172)</f>
        <v/>
      </c>
      <c r="B123" s="1" t="str">
        <f>IF(A123="","",VLOOKUP($A123,子基金及业绩基准周净值!$A:$AV,22))</f>
        <v/>
      </c>
      <c r="C123" s="8" t="str">
        <f t="shared" si="4"/>
        <v/>
      </c>
      <c r="D123" s="9" t="str">
        <f>IF(A123="","",C123-子基金及业绩基准周净值!AK172)</f>
        <v/>
      </c>
      <c r="E123" s="12" t="str">
        <f>IF(A123="","",(MAX(B$3:B123)-B123)/MAX(B$3:B123))</f>
        <v/>
      </c>
      <c r="F123" s="12" t="str">
        <f>IF(A123="","",MAX(E$4:E123))</f>
        <v/>
      </c>
      <c r="G123" s="13"/>
      <c r="H123" s="14" t="str">
        <f t="shared" si="7"/>
        <v/>
      </c>
      <c r="I123" s="14" t="str">
        <f t="shared" si="5"/>
        <v/>
      </c>
      <c r="J123" s="15" t="str">
        <f t="shared" si="6"/>
        <v/>
      </c>
    </row>
    <row r="124" spans="1:10">
      <c r="A124" s="7" t="str">
        <f>IF(子基金及业绩基准周净值!A173="","",子基金及业绩基准周净值!A173)</f>
        <v/>
      </c>
      <c r="B124" s="1" t="str">
        <f>IF(A124="","",VLOOKUP($A124,子基金及业绩基准周净值!$A:$AV,22))</f>
        <v/>
      </c>
      <c r="C124" s="8" t="str">
        <f t="shared" si="4"/>
        <v/>
      </c>
      <c r="D124" s="9" t="str">
        <f>IF(A124="","",C124-子基金及业绩基准周净值!AK173)</f>
        <v/>
      </c>
      <c r="E124" s="12" t="str">
        <f>IF(A124="","",(MAX(B$3:B124)-B124)/MAX(B$3:B124))</f>
        <v/>
      </c>
      <c r="F124" s="12" t="str">
        <f>IF(A124="","",MAX(E$4:E124))</f>
        <v/>
      </c>
      <c r="G124" s="13"/>
      <c r="H124" s="14" t="str">
        <f t="shared" si="7"/>
        <v/>
      </c>
      <c r="I124" s="14" t="str">
        <f t="shared" si="5"/>
        <v/>
      </c>
      <c r="J124" s="15" t="str">
        <f t="shared" si="6"/>
        <v/>
      </c>
    </row>
    <row r="125" spans="1:10">
      <c r="A125" s="7" t="str">
        <f>IF(子基金及业绩基准周净值!A174="","",子基金及业绩基准周净值!A174)</f>
        <v/>
      </c>
      <c r="B125" s="1" t="str">
        <f>IF(A125="","",VLOOKUP($A125,子基金及业绩基准周净值!$A:$AV,22))</f>
        <v/>
      </c>
      <c r="C125" s="8" t="str">
        <f t="shared" si="4"/>
        <v/>
      </c>
      <c r="D125" s="9" t="str">
        <f>IF(A125="","",C125-子基金及业绩基准周净值!AK174)</f>
        <v/>
      </c>
      <c r="E125" s="12" t="str">
        <f>IF(A125="","",(MAX(B$3:B125)-B125)/MAX(B$3:B125))</f>
        <v/>
      </c>
      <c r="F125" s="12" t="str">
        <f>IF(A125="","",MAX(E$4:E125))</f>
        <v/>
      </c>
      <c r="G125" s="13"/>
      <c r="H125" s="14" t="str">
        <f t="shared" si="7"/>
        <v/>
      </c>
      <c r="I125" s="14" t="str">
        <f t="shared" si="5"/>
        <v/>
      </c>
      <c r="J125" s="15" t="str">
        <f t="shared" si="6"/>
        <v/>
      </c>
    </row>
    <row r="126" spans="1:10">
      <c r="A126" s="7" t="str">
        <f>IF(子基金及业绩基准周净值!A175="","",子基金及业绩基准周净值!A175)</f>
        <v/>
      </c>
      <c r="B126" s="1" t="str">
        <f>IF(A126="","",VLOOKUP($A126,子基金及业绩基准周净值!$A:$AV,22))</f>
        <v/>
      </c>
      <c r="C126" s="8" t="str">
        <f t="shared" si="4"/>
        <v/>
      </c>
      <c r="D126" s="9" t="str">
        <f>IF(A126="","",C126-子基金及业绩基准周净值!AK175)</f>
        <v/>
      </c>
      <c r="E126" s="12" t="str">
        <f>IF(A126="","",(MAX(B$3:B126)-B126)/MAX(B$3:B126))</f>
        <v/>
      </c>
      <c r="F126" s="12" t="str">
        <f>IF(A126="","",MAX(E$4:E126))</f>
        <v/>
      </c>
      <c r="G126" s="13"/>
      <c r="H126" s="14" t="str">
        <f t="shared" si="7"/>
        <v/>
      </c>
      <c r="I126" s="14" t="str">
        <f t="shared" si="5"/>
        <v/>
      </c>
      <c r="J126" s="15" t="str">
        <f t="shared" si="6"/>
        <v/>
      </c>
    </row>
    <row r="127" spans="1:10">
      <c r="A127" s="7" t="str">
        <f>IF(子基金及业绩基准周净值!A176="","",子基金及业绩基准周净值!A176)</f>
        <v/>
      </c>
      <c r="B127" s="1" t="str">
        <f>IF(A127="","",VLOOKUP($A127,子基金及业绩基准周净值!$A:$AV,22))</f>
        <v/>
      </c>
      <c r="C127" s="8" t="str">
        <f t="shared" si="4"/>
        <v/>
      </c>
      <c r="D127" s="9" t="str">
        <f>IF(A127="","",C127-子基金及业绩基准周净值!AK176)</f>
        <v/>
      </c>
      <c r="E127" s="12" t="str">
        <f>IF(A127="","",(MAX(B$3:B127)-B127)/MAX(B$3:B127))</f>
        <v/>
      </c>
      <c r="F127" s="12" t="str">
        <f>IF(A127="","",MAX(E$4:E127))</f>
        <v/>
      </c>
      <c r="G127" s="13"/>
      <c r="H127" s="14" t="str">
        <f t="shared" si="7"/>
        <v/>
      </c>
      <c r="I127" s="14" t="str">
        <f t="shared" si="5"/>
        <v/>
      </c>
      <c r="J127" s="15" t="str">
        <f t="shared" si="6"/>
        <v/>
      </c>
    </row>
    <row r="128" spans="1:10">
      <c r="A128" s="7" t="str">
        <f>IF(子基金及业绩基准周净值!A177="","",子基金及业绩基准周净值!A177)</f>
        <v/>
      </c>
      <c r="B128" s="1" t="str">
        <f>IF(A128="","",VLOOKUP($A128,子基金及业绩基准周净值!$A:$AV,22))</f>
        <v/>
      </c>
      <c r="C128" s="8" t="str">
        <f t="shared" si="4"/>
        <v/>
      </c>
      <c r="D128" s="9" t="str">
        <f>IF(A128="","",C128-子基金及业绩基准周净值!AK177)</f>
        <v/>
      </c>
      <c r="E128" s="12" t="str">
        <f>IF(A128="","",(MAX(B$3:B128)-B128)/MAX(B$3:B128))</f>
        <v/>
      </c>
      <c r="F128" s="12" t="str">
        <f>IF(A128="","",MAX(E$4:E128))</f>
        <v/>
      </c>
      <c r="G128" s="13"/>
      <c r="H128" s="14" t="str">
        <f t="shared" si="7"/>
        <v/>
      </c>
      <c r="I128" s="14" t="str">
        <f t="shared" si="5"/>
        <v/>
      </c>
      <c r="J128" s="15" t="str">
        <f t="shared" si="6"/>
        <v/>
      </c>
    </row>
    <row r="129" spans="1:10">
      <c r="A129" s="7" t="str">
        <f>IF(子基金及业绩基准周净值!A178="","",子基金及业绩基准周净值!A178)</f>
        <v/>
      </c>
      <c r="B129" s="1" t="str">
        <f>IF(A129="","",VLOOKUP($A129,子基金及业绩基准周净值!$A:$AV,22))</f>
        <v/>
      </c>
      <c r="C129" s="8" t="str">
        <f t="shared" si="4"/>
        <v/>
      </c>
      <c r="D129" s="9" t="str">
        <f>IF(A129="","",C129-子基金及业绩基准周净值!AK178)</f>
        <v/>
      </c>
      <c r="E129" s="12" t="str">
        <f>IF(A129="","",(MAX(B$3:B129)-B129)/MAX(B$3:B129))</f>
        <v/>
      </c>
      <c r="F129" s="12" t="str">
        <f>IF(A129="","",MAX(E$4:E129))</f>
        <v/>
      </c>
      <c r="G129" s="13"/>
      <c r="H129" s="14" t="str">
        <f t="shared" si="7"/>
        <v/>
      </c>
      <c r="I129" s="14" t="str">
        <f t="shared" si="5"/>
        <v/>
      </c>
      <c r="J129" s="15" t="str">
        <f t="shared" si="6"/>
        <v/>
      </c>
    </row>
    <row r="130" spans="1:10">
      <c r="A130" s="7" t="str">
        <f>IF(子基金及业绩基准周净值!A179="","",子基金及业绩基准周净值!A179)</f>
        <v/>
      </c>
      <c r="B130" s="1" t="str">
        <f>IF(A130="","",VLOOKUP($A130,子基金及业绩基准周净值!$A:$AV,22))</f>
        <v/>
      </c>
      <c r="C130" s="8" t="str">
        <f t="shared" si="4"/>
        <v/>
      </c>
      <c r="D130" s="9" t="str">
        <f>IF(A130="","",C130-子基金及业绩基准周净值!AK179)</f>
        <v/>
      </c>
      <c r="E130" s="12" t="str">
        <f>IF(A130="","",(MAX(B$3:B130)-B130)/MAX(B$3:B130))</f>
        <v/>
      </c>
      <c r="F130" s="12" t="str">
        <f>IF(A130="","",MAX(E$4:E130))</f>
        <v/>
      </c>
      <c r="G130" s="13"/>
      <c r="H130" s="14" t="str">
        <f t="shared" si="7"/>
        <v/>
      </c>
      <c r="I130" s="14" t="str">
        <f t="shared" si="5"/>
        <v/>
      </c>
      <c r="J130" s="15" t="str">
        <f t="shared" si="6"/>
        <v/>
      </c>
    </row>
    <row r="131" spans="1:10">
      <c r="A131" s="7" t="str">
        <f>IF(子基金及业绩基准周净值!A180="","",子基金及业绩基准周净值!A180)</f>
        <v/>
      </c>
      <c r="B131" s="1" t="str">
        <f>IF(A131="","",VLOOKUP($A131,子基金及业绩基准周净值!$A:$AV,22))</f>
        <v/>
      </c>
      <c r="C131" s="8" t="str">
        <f t="shared" si="4"/>
        <v/>
      </c>
      <c r="D131" s="9" t="str">
        <f>IF(A131="","",C131-子基金及业绩基准周净值!AK180)</f>
        <v/>
      </c>
      <c r="E131" s="12" t="str">
        <f>IF(A131="","",(MAX(B$3:B131)-B131)/MAX(B$3:B131))</f>
        <v/>
      </c>
      <c r="F131" s="12" t="str">
        <f>IF(A131="","",MAX(E$4:E131))</f>
        <v/>
      </c>
      <c r="G131" s="13"/>
      <c r="H131" s="14" t="str">
        <f t="shared" si="7"/>
        <v/>
      </c>
      <c r="I131" s="14" t="str">
        <f t="shared" si="5"/>
        <v/>
      </c>
      <c r="J131" s="15" t="str">
        <f t="shared" si="6"/>
        <v/>
      </c>
    </row>
    <row r="132" spans="1:10">
      <c r="A132" s="7" t="str">
        <f>IF(子基金及业绩基准周净值!A181="","",子基金及业绩基准周净值!A181)</f>
        <v/>
      </c>
      <c r="B132" s="1" t="str">
        <f>IF(A132="","",VLOOKUP($A132,子基金及业绩基准周净值!$A:$AV,22))</f>
        <v/>
      </c>
      <c r="C132" s="8" t="str">
        <f t="shared" ref="C132:C195" si="8">IF(A132="","",(B132-B131)/B131)</f>
        <v/>
      </c>
      <c r="D132" s="9" t="str">
        <f>IF(A132="","",C132-子基金及业绩基准周净值!AK181)</f>
        <v/>
      </c>
      <c r="E132" s="12" t="str">
        <f>IF(A132="","",(MAX(B$3:B132)-B132)/MAX(B$3:B132))</f>
        <v/>
      </c>
      <c r="F132" s="12" t="str">
        <f>IF(A132="","",MAX(E$4:E132))</f>
        <v/>
      </c>
      <c r="G132" s="13"/>
      <c r="H132" s="14" t="str">
        <f t="shared" si="7"/>
        <v/>
      </c>
      <c r="I132" s="14" t="str">
        <f t="shared" ref="I132:I195" si="9">IF(A132="","",IF(F132&gt;5%,"是","否"))</f>
        <v/>
      </c>
      <c r="J132" s="15" t="str">
        <f t="shared" ref="J132:J195" si="10">IF(A132="","",IF(G132&gt;=4,"是","否"))</f>
        <v/>
      </c>
    </row>
    <row r="133" spans="1:10">
      <c r="A133" s="7" t="str">
        <f>IF(子基金及业绩基准周净值!A182="","",子基金及业绩基准周净值!A182)</f>
        <v/>
      </c>
      <c r="B133" s="1" t="str">
        <f>IF(A133="","",VLOOKUP($A133,子基金及业绩基准周净值!$A:$AV,22))</f>
        <v/>
      </c>
      <c r="C133" s="8" t="str">
        <f t="shared" si="8"/>
        <v/>
      </c>
      <c r="D133" s="9" t="str">
        <f>IF(A133="","",C133-子基金及业绩基准周净值!AK182)</f>
        <v/>
      </c>
      <c r="E133" s="12" t="str">
        <f>IF(A133="","",(MAX(B$3:B133)-B133)/MAX(B$3:B133))</f>
        <v/>
      </c>
      <c r="F133" s="12" t="str">
        <f>IF(A133="","",MAX(E$4:E133))</f>
        <v/>
      </c>
      <c r="G133" s="13"/>
      <c r="H133" s="14" t="str">
        <f t="shared" ref="H133:H196" si="11">IF(B133="","",IF(C133&lt;-3%,"是","否"))</f>
        <v/>
      </c>
      <c r="I133" s="14" t="str">
        <f t="shared" si="9"/>
        <v/>
      </c>
      <c r="J133" s="15" t="str">
        <f t="shared" si="10"/>
        <v/>
      </c>
    </row>
    <row r="134" spans="1:10">
      <c r="A134" s="7" t="str">
        <f>IF(子基金及业绩基准周净值!A183="","",子基金及业绩基准周净值!A183)</f>
        <v/>
      </c>
      <c r="B134" s="1" t="str">
        <f>IF(A134="","",VLOOKUP($A134,子基金及业绩基准周净值!$A:$AV,22))</f>
        <v/>
      </c>
      <c r="C134" s="8" t="str">
        <f t="shared" si="8"/>
        <v/>
      </c>
      <c r="D134" s="9" t="str">
        <f>IF(A134="","",C134-子基金及业绩基准周净值!AK183)</f>
        <v/>
      </c>
      <c r="E134" s="12" t="str">
        <f>IF(A134="","",(MAX(B$3:B134)-B134)/MAX(B$3:B134))</f>
        <v/>
      </c>
      <c r="F134" s="12" t="str">
        <f>IF(A134="","",MAX(E$4:E134))</f>
        <v/>
      </c>
      <c r="G134" s="13"/>
      <c r="H134" s="14" t="str">
        <f t="shared" si="11"/>
        <v/>
      </c>
      <c r="I134" s="14" t="str">
        <f t="shared" si="9"/>
        <v/>
      </c>
      <c r="J134" s="15" t="str">
        <f t="shared" si="10"/>
        <v/>
      </c>
    </row>
    <row r="135" spans="1:10">
      <c r="A135" s="7" t="str">
        <f>IF(子基金及业绩基准周净值!A184="","",子基金及业绩基准周净值!A184)</f>
        <v/>
      </c>
      <c r="B135" s="1" t="str">
        <f>IF(A135="","",VLOOKUP($A135,子基金及业绩基准周净值!$A:$AV,22))</f>
        <v/>
      </c>
      <c r="C135" s="8" t="str">
        <f t="shared" si="8"/>
        <v/>
      </c>
      <c r="D135" s="9" t="str">
        <f>IF(A135="","",C135-子基金及业绩基准周净值!AK184)</f>
        <v/>
      </c>
      <c r="E135" s="12" t="str">
        <f>IF(A135="","",(MAX(B$3:B135)-B135)/MAX(B$3:B135))</f>
        <v/>
      </c>
      <c r="F135" s="12" t="str">
        <f>IF(A135="","",MAX(E$4:E135))</f>
        <v/>
      </c>
      <c r="G135" s="13"/>
      <c r="H135" s="14" t="str">
        <f t="shared" si="11"/>
        <v/>
      </c>
      <c r="I135" s="14" t="str">
        <f t="shared" si="9"/>
        <v/>
      </c>
      <c r="J135" s="15" t="str">
        <f t="shared" si="10"/>
        <v/>
      </c>
    </row>
    <row r="136" spans="1:10">
      <c r="A136" s="7" t="str">
        <f>IF(子基金及业绩基准周净值!A185="","",子基金及业绩基准周净值!A185)</f>
        <v/>
      </c>
      <c r="B136" s="1" t="str">
        <f>IF(A136="","",VLOOKUP($A136,子基金及业绩基准周净值!$A:$AV,22))</f>
        <v/>
      </c>
      <c r="C136" s="8" t="str">
        <f t="shared" si="8"/>
        <v/>
      </c>
      <c r="D136" s="9" t="str">
        <f>IF(A136="","",C136-子基金及业绩基准周净值!AK185)</f>
        <v/>
      </c>
      <c r="E136" s="12" t="str">
        <f>IF(A136="","",(MAX(B$3:B136)-B136)/MAX(B$3:B136))</f>
        <v/>
      </c>
      <c r="F136" s="12" t="str">
        <f>IF(A136="","",MAX(E$4:E136))</f>
        <v/>
      </c>
      <c r="G136" s="13"/>
      <c r="H136" s="14" t="str">
        <f t="shared" si="11"/>
        <v/>
      </c>
      <c r="I136" s="14" t="str">
        <f t="shared" si="9"/>
        <v/>
      </c>
      <c r="J136" s="15" t="str">
        <f t="shared" si="10"/>
        <v/>
      </c>
    </row>
    <row r="137" spans="1:10">
      <c r="A137" s="7" t="str">
        <f>IF(子基金及业绩基准周净值!A186="","",子基金及业绩基准周净值!A186)</f>
        <v/>
      </c>
      <c r="B137" s="1" t="str">
        <f>IF(A137="","",VLOOKUP($A137,子基金及业绩基准周净值!$A:$AV,22))</f>
        <v/>
      </c>
      <c r="C137" s="8" t="str">
        <f t="shared" si="8"/>
        <v/>
      </c>
      <c r="D137" s="9" t="str">
        <f>IF(A137="","",C137-子基金及业绩基准周净值!AK186)</f>
        <v/>
      </c>
      <c r="E137" s="12" t="str">
        <f>IF(A137="","",(MAX(B$3:B137)-B137)/MAX(B$3:B137))</f>
        <v/>
      </c>
      <c r="F137" s="12" t="str">
        <f>IF(A137="","",MAX(E$4:E137))</f>
        <v/>
      </c>
      <c r="G137" s="13"/>
      <c r="H137" s="14" t="str">
        <f t="shared" si="11"/>
        <v/>
      </c>
      <c r="I137" s="14" t="str">
        <f t="shared" si="9"/>
        <v/>
      </c>
      <c r="J137" s="15" t="str">
        <f t="shared" si="10"/>
        <v/>
      </c>
    </row>
    <row r="138" spans="1:10">
      <c r="A138" s="7" t="str">
        <f>IF(子基金及业绩基准周净值!A187="","",子基金及业绩基准周净值!A187)</f>
        <v/>
      </c>
      <c r="B138" s="1" t="str">
        <f>IF(A138="","",VLOOKUP($A138,子基金及业绩基准周净值!$A:$AV,22))</f>
        <v/>
      </c>
      <c r="C138" s="8" t="str">
        <f t="shared" si="8"/>
        <v/>
      </c>
      <c r="D138" s="9" t="str">
        <f>IF(A138="","",C138-子基金及业绩基准周净值!AK187)</f>
        <v/>
      </c>
      <c r="E138" s="12" t="str">
        <f>IF(A138="","",(MAX(B$3:B138)-B138)/MAX(B$3:B138))</f>
        <v/>
      </c>
      <c r="F138" s="12" t="str">
        <f>IF(A138="","",MAX(E$4:E138))</f>
        <v/>
      </c>
      <c r="G138" s="13"/>
      <c r="H138" s="14" t="str">
        <f t="shared" si="11"/>
        <v/>
      </c>
      <c r="I138" s="14" t="str">
        <f t="shared" si="9"/>
        <v/>
      </c>
      <c r="J138" s="15" t="str">
        <f t="shared" si="10"/>
        <v/>
      </c>
    </row>
    <row r="139" spans="1:10">
      <c r="A139" s="7" t="str">
        <f>IF(子基金及业绩基准周净值!A188="","",子基金及业绩基准周净值!A188)</f>
        <v/>
      </c>
      <c r="B139" s="1" t="str">
        <f>IF(A139="","",VLOOKUP($A139,子基金及业绩基准周净值!$A:$AV,22))</f>
        <v/>
      </c>
      <c r="C139" s="8" t="str">
        <f t="shared" si="8"/>
        <v/>
      </c>
      <c r="D139" s="9" t="str">
        <f>IF(A139="","",C139-子基金及业绩基准周净值!AK188)</f>
        <v/>
      </c>
      <c r="E139" s="12" t="str">
        <f>IF(A139="","",(MAX(B$3:B139)-B139)/MAX(B$3:B139))</f>
        <v/>
      </c>
      <c r="F139" s="12" t="str">
        <f>IF(A139="","",MAX(E$4:E139))</f>
        <v/>
      </c>
      <c r="G139" s="13"/>
      <c r="H139" s="14" t="str">
        <f t="shared" si="11"/>
        <v/>
      </c>
      <c r="I139" s="14" t="str">
        <f t="shared" si="9"/>
        <v/>
      </c>
      <c r="J139" s="15" t="str">
        <f t="shared" si="10"/>
        <v/>
      </c>
    </row>
    <row r="140" spans="1:10">
      <c r="A140" s="7" t="str">
        <f>IF(子基金及业绩基准周净值!A189="","",子基金及业绩基准周净值!A189)</f>
        <v/>
      </c>
      <c r="B140" s="1" t="str">
        <f>IF(A140="","",VLOOKUP($A140,子基金及业绩基准周净值!$A:$AV,22))</f>
        <v/>
      </c>
      <c r="C140" s="8" t="str">
        <f t="shared" si="8"/>
        <v/>
      </c>
      <c r="D140" s="9" t="str">
        <f>IF(A140="","",C140-子基金及业绩基准周净值!AK189)</f>
        <v/>
      </c>
      <c r="E140" s="12" t="str">
        <f>IF(A140="","",(MAX(B$3:B140)-B140)/MAX(B$3:B140))</f>
        <v/>
      </c>
      <c r="F140" s="12" t="str">
        <f>IF(A140="","",MAX(E$4:E140))</f>
        <v/>
      </c>
      <c r="G140" s="13"/>
      <c r="H140" s="14" t="str">
        <f t="shared" si="11"/>
        <v/>
      </c>
      <c r="I140" s="14" t="str">
        <f t="shared" si="9"/>
        <v/>
      </c>
      <c r="J140" s="15" t="str">
        <f t="shared" si="10"/>
        <v/>
      </c>
    </row>
    <row r="141" spans="1:10">
      <c r="A141" s="7" t="str">
        <f>IF(子基金及业绩基准周净值!A190="","",子基金及业绩基准周净值!A190)</f>
        <v/>
      </c>
      <c r="B141" s="1" t="str">
        <f>IF(A141="","",VLOOKUP($A141,子基金及业绩基准周净值!$A:$AV,22))</f>
        <v/>
      </c>
      <c r="C141" s="8" t="str">
        <f t="shared" si="8"/>
        <v/>
      </c>
      <c r="D141" s="9" t="str">
        <f>IF(A141="","",C141-子基金及业绩基准周净值!AK190)</f>
        <v/>
      </c>
      <c r="E141" s="12" t="str">
        <f>IF(A141="","",(MAX(B$3:B141)-B141)/MAX(B$3:B141))</f>
        <v/>
      </c>
      <c r="F141" s="12" t="str">
        <f>IF(A141="","",MAX(E$4:E141))</f>
        <v/>
      </c>
      <c r="G141" s="13"/>
      <c r="H141" s="14" t="str">
        <f t="shared" si="11"/>
        <v/>
      </c>
      <c r="I141" s="14" t="str">
        <f t="shared" si="9"/>
        <v/>
      </c>
      <c r="J141" s="15" t="str">
        <f t="shared" si="10"/>
        <v/>
      </c>
    </row>
    <row r="142" spans="1:10">
      <c r="A142" s="7" t="str">
        <f>IF(子基金及业绩基准周净值!A191="","",子基金及业绩基准周净值!A191)</f>
        <v/>
      </c>
      <c r="B142" s="1" t="str">
        <f>IF(A142="","",VLOOKUP($A142,子基金及业绩基准周净值!$A:$AV,22))</f>
        <v/>
      </c>
      <c r="C142" s="8" t="str">
        <f t="shared" si="8"/>
        <v/>
      </c>
      <c r="D142" s="9" t="str">
        <f>IF(A142="","",C142-子基金及业绩基准周净值!AK191)</f>
        <v/>
      </c>
      <c r="E142" s="12" t="str">
        <f>IF(A142="","",(MAX(B$3:B142)-B142)/MAX(B$3:B142))</f>
        <v/>
      </c>
      <c r="F142" s="12" t="str">
        <f>IF(A142="","",MAX(E$4:E142))</f>
        <v/>
      </c>
      <c r="G142" s="13"/>
      <c r="H142" s="14" t="str">
        <f t="shared" si="11"/>
        <v/>
      </c>
      <c r="I142" s="14" t="str">
        <f t="shared" si="9"/>
        <v/>
      </c>
      <c r="J142" s="15" t="str">
        <f t="shared" si="10"/>
        <v/>
      </c>
    </row>
    <row r="143" spans="1:10">
      <c r="A143" s="7" t="str">
        <f>IF(子基金及业绩基准周净值!A192="","",子基金及业绩基准周净值!A192)</f>
        <v/>
      </c>
      <c r="B143" s="1" t="str">
        <f>IF(A143="","",VLOOKUP($A143,子基金及业绩基准周净值!$A:$AV,22))</f>
        <v/>
      </c>
      <c r="C143" s="8" t="str">
        <f t="shared" si="8"/>
        <v/>
      </c>
      <c r="D143" s="9" t="str">
        <f>IF(A143="","",C143-子基金及业绩基准周净值!AK192)</f>
        <v/>
      </c>
      <c r="E143" s="12" t="str">
        <f>IF(A143="","",(MAX(B$3:B143)-B143)/MAX(B$3:B143))</f>
        <v/>
      </c>
      <c r="F143" s="12" t="str">
        <f>IF(A143="","",MAX(E$4:E143))</f>
        <v/>
      </c>
      <c r="G143" s="13"/>
      <c r="H143" s="14" t="str">
        <f t="shared" si="11"/>
        <v/>
      </c>
      <c r="I143" s="14" t="str">
        <f t="shared" si="9"/>
        <v/>
      </c>
      <c r="J143" s="15" t="str">
        <f t="shared" si="10"/>
        <v/>
      </c>
    </row>
    <row r="144" spans="1:10">
      <c r="A144" s="7" t="str">
        <f>IF(子基金及业绩基准周净值!A193="","",子基金及业绩基准周净值!A193)</f>
        <v/>
      </c>
      <c r="B144" s="1" t="str">
        <f>IF(A144="","",VLOOKUP($A144,子基金及业绩基准周净值!$A:$AV,22))</f>
        <v/>
      </c>
      <c r="C144" s="8" t="str">
        <f t="shared" si="8"/>
        <v/>
      </c>
      <c r="D144" s="9" t="str">
        <f>IF(A144="","",C144-子基金及业绩基准周净值!AK193)</f>
        <v/>
      </c>
      <c r="E144" s="12" t="str">
        <f>IF(A144="","",(MAX(B$3:B144)-B144)/MAX(B$3:B144))</f>
        <v/>
      </c>
      <c r="F144" s="12" t="str">
        <f>IF(A144="","",MAX(E$4:E144))</f>
        <v/>
      </c>
      <c r="G144" s="13"/>
      <c r="H144" s="14" t="str">
        <f t="shared" si="11"/>
        <v/>
      </c>
      <c r="I144" s="14" t="str">
        <f t="shared" si="9"/>
        <v/>
      </c>
      <c r="J144" s="15" t="str">
        <f t="shared" si="10"/>
        <v/>
      </c>
    </row>
    <row r="145" spans="1:10">
      <c r="A145" s="7" t="str">
        <f>IF(子基金及业绩基准周净值!A194="","",子基金及业绩基准周净值!A194)</f>
        <v/>
      </c>
      <c r="B145" s="1" t="str">
        <f>IF(A145="","",VLOOKUP($A145,子基金及业绩基准周净值!$A:$AV,22))</f>
        <v/>
      </c>
      <c r="C145" s="8" t="str">
        <f t="shared" si="8"/>
        <v/>
      </c>
      <c r="D145" s="9" t="str">
        <f>IF(A145="","",C145-子基金及业绩基准周净值!AK194)</f>
        <v/>
      </c>
      <c r="E145" s="12" t="str">
        <f>IF(A145="","",(MAX(B$3:B145)-B145)/MAX(B$3:B145))</f>
        <v/>
      </c>
      <c r="F145" s="12" t="str">
        <f>IF(A145="","",MAX(E$4:E145))</f>
        <v/>
      </c>
      <c r="G145" s="13"/>
      <c r="H145" s="14" t="str">
        <f t="shared" si="11"/>
        <v/>
      </c>
      <c r="I145" s="14" t="str">
        <f t="shared" si="9"/>
        <v/>
      </c>
      <c r="J145" s="15" t="str">
        <f t="shared" si="10"/>
        <v/>
      </c>
    </row>
    <row r="146" spans="1:10">
      <c r="A146" s="7" t="str">
        <f>IF(子基金及业绩基准周净值!A195="","",子基金及业绩基准周净值!A195)</f>
        <v/>
      </c>
      <c r="B146" s="1" t="str">
        <f>IF(A146="","",VLOOKUP($A146,子基金及业绩基准周净值!$A:$AV,22))</f>
        <v/>
      </c>
      <c r="C146" s="8" t="str">
        <f t="shared" si="8"/>
        <v/>
      </c>
      <c r="D146" s="9" t="str">
        <f>IF(A146="","",C146-子基金及业绩基准周净值!AK195)</f>
        <v/>
      </c>
      <c r="E146" s="12" t="str">
        <f>IF(A146="","",(MAX(B$3:B146)-B146)/MAX(B$3:B146))</f>
        <v/>
      </c>
      <c r="F146" s="12" t="str">
        <f>IF(A146="","",MAX(E$4:E146))</f>
        <v/>
      </c>
      <c r="G146" s="13"/>
      <c r="H146" s="14" t="str">
        <f t="shared" si="11"/>
        <v/>
      </c>
      <c r="I146" s="14" t="str">
        <f t="shared" si="9"/>
        <v/>
      </c>
      <c r="J146" s="15" t="str">
        <f t="shared" si="10"/>
        <v/>
      </c>
    </row>
    <row r="147" spans="1:10">
      <c r="A147" s="7" t="str">
        <f>IF(子基金及业绩基准周净值!A196="","",子基金及业绩基准周净值!A196)</f>
        <v/>
      </c>
      <c r="B147" s="1" t="str">
        <f>IF(A147="","",VLOOKUP($A147,子基金及业绩基准周净值!$A:$AV,22))</f>
        <v/>
      </c>
      <c r="C147" s="8" t="str">
        <f t="shared" si="8"/>
        <v/>
      </c>
      <c r="D147" s="9" t="str">
        <f>IF(A147="","",C147-子基金及业绩基准周净值!AK196)</f>
        <v/>
      </c>
      <c r="E147" s="12" t="str">
        <f>IF(A147="","",(MAX(B$3:B147)-B147)/MAX(B$3:B147))</f>
        <v/>
      </c>
      <c r="F147" s="12" t="str">
        <f>IF(A147="","",MAX(E$4:E147))</f>
        <v/>
      </c>
      <c r="G147" s="13"/>
      <c r="H147" s="14" t="str">
        <f t="shared" si="11"/>
        <v/>
      </c>
      <c r="I147" s="14" t="str">
        <f t="shared" si="9"/>
        <v/>
      </c>
      <c r="J147" s="15" t="str">
        <f t="shared" si="10"/>
        <v/>
      </c>
    </row>
    <row r="148" spans="1:10">
      <c r="A148" s="7" t="str">
        <f>IF(子基金及业绩基准周净值!A197="","",子基金及业绩基准周净值!A197)</f>
        <v/>
      </c>
      <c r="B148" s="1" t="str">
        <f>IF(A148="","",VLOOKUP($A148,子基金及业绩基准周净值!$A:$AV,22))</f>
        <v/>
      </c>
      <c r="C148" s="8" t="str">
        <f t="shared" si="8"/>
        <v/>
      </c>
      <c r="D148" s="9" t="str">
        <f>IF(A148="","",C148-子基金及业绩基准周净值!AK197)</f>
        <v/>
      </c>
      <c r="E148" s="12" t="str">
        <f>IF(A148="","",(MAX(B$3:B148)-B148)/MAX(B$3:B148))</f>
        <v/>
      </c>
      <c r="F148" s="12" t="str">
        <f>IF(A148="","",MAX(E$4:E148))</f>
        <v/>
      </c>
      <c r="H148" s="14" t="str">
        <f t="shared" si="11"/>
        <v/>
      </c>
      <c r="I148" s="14" t="str">
        <f t="shared" si="9"/>
        <v/>
      </c>
      <c r="J148" s="15" t="str">
        <f t="shared" si="10"/>
        <v/>
      </c>
    </row>
    <row r="149" spans="1:10">
      <c r="A149" s="7" t="str">
        <f>IF(子基金及业绩基准周净值!A198="","",子基金及业绩基准周净值!A198)</f>
        <v/>
      </c>
      <c r="B149" s="1" t="str">
        <f>IF(A149="","",VLOOKUP($A149,子基金及业绩基准周净值!$A:$AV,22))</f>
        <v/>
      </c>
      <c r="C149" s="8" t="str">
        <f t="shared" si="8"/>
        <v/>
      </c>
      <c r="D149" s="9" t="str">
        <f>IF(A149="","",C149-子基金及业绩基准周净值!AK198)</f>
        <v/>
      </c>
      <c r="E149" s="12" t="str">
        <f>IF(A149="","",(MAX(B$3:B149)-B149)/MAX(B$3:B149))</f>
        <v/>
      </c>
      <c r="F149" s="12" t="str">
        <f>IF(A149="","",MAX(E$4:E149))</f>
        <v/>
      </c>
      <c r="H149" s="14" t="str">
        <f t="shared" si="11"/>
        <v/>
      </c>
      <c r="I149" s="14" t="str">
        <f t="shared" si="9"/>
        <v/>
      </c>
      <c r="J149" s="15" t="str">
        <f t="shared" si="10"/>
        <v/>
      </c>
    </row>
    <row r="150" spans="1:10">
      <c r="A150" s="7" t="str">
        <f>IF(子基金及业绩基准周净值!A199="","",子基金及业绩基准周净值!A199)</f>
        <v/>
      </c>
      <c r="B150" s="1" t="str">
        <f>IF(A150="","",VLOOKUP($A150,子基金及业绩基准周净值!$A:$AV,22))</f>
        <v/>
      </c>
      <c r="C150" s="8" t="str">
        <f t="shared" si="8"/>
        <v/>
      </c>
      <c r="D150" s="9" t="str">
        <f>IF(A150="","",C150-子基金及业绩基准周净值!AK199)</f>
        <v/>
      </c>
      <c r="E150" s="12" t="str">
        <f>IF(A150="","",(MAX(B$3:B150)-B150)/MAX(B$3:B150))</f>
        <v/>
      </c>
      <c r="F150" s="12" t="str">
        <f>IF(A150="","",MAX(E$4:E150))</f>
        <v/>
      </c>
      <c r="H150" s="14" t="str">
        <f t="shared" si="11"/>
        <v/>
      </c>
      <c r="I150" s="14" t="str">
        <f t="shared" si="9"/>
        <v/>
      </c>
      <c r="J150" s="15" t="str">
        <f t="shared" si="10"/>
        <v/>
      </c>
    </row>
    <row r="151" spans="1:10">
      <c r="A151" s="7" t="str">
        <f>IF(子基金及业绩基准周净值!A200="","",子基金及业绩基准周净值!A200)</f>
        <v/>
      </c>
      <c r="B151" s="1" t="str">
        <f>IF(A151="","",VLOOKUP($A151,子基金及业绩基准周净值!$A:$AV,22))</f>
        <v/>
      </c>
      <c r="C151" s="8" t="str">
        <f t="shared" si="8"/>
        <v/>
      </c>
      <c r="D151" s="9" t="str">
        <f>IF(A151="","",C151-子基金及业绩基准周净值!AK200)</f>
        <v/>
      </c>
      <c r="E151" s="12" t="str">
        <f>IF(A151="","",(MAX(B$3:B151)-B151)/MAX(B$3:B151))</f>
        <v/>
      </c>
      <c r="F151" s="12" t="str">
        <f>IF(A151="","",MAX(E$4:E151))</f>
        <v/>
      </c>
      <c r="H151" s="14" t="str">
        <f t="shared" si="11"/>
        <v/>
      </c>
      <c r="I151" s="14" t="str">
        <f t="shared" si="9"/>
        <v/>
      </c>
      <c r="J151" s="15" t="str">
        <f t="shared" si="10"/>
        <v/>
      </c>
    </row>
    <row r="152" spans="1:10">
      <c r="A152" s="7" t="str">
        <f>IF(子基金及业绩基准周净值!A201="","",子基金及业绩基准周净值!A201)</f>
        <v/>
      </c>
      <c r="B152" s="1" t="str">
        <f>IF(A152="","",VLOOKUP($A152,子基金及业绩基准周净值!$A:$AV,22))</f>
        <v/>
      </c>
      <c r="C152" s="8" t="str">
        <f t="shared" si="8"/>
        <v/>
      </c>
      <c r="D152" s="9" t="str">
        <f>IF(A152="","",C152-子基金及业绩基准周净值!AK201)</f>
        <v/>
      </c>
      <c r="E152" s="12" t="str">
        <f>IF(A152="","",(MAX(B$3:B152)-B152)/MAX(B$3:B152))</f>
        <v/>
      </c>
      <c r="F152" s="12" t="str">
        <f>IF(A152="","",MAX(E$4:E152))</f>
        <v/>
      </c>
      <c r="H152" s="14" t="str">
        <f t="shared" si="11"/>
        <v/>
      </c>
      <c r="I152" s="14" t="str">
        <f t="shared" si="9"/>
        <v/>
      </c>
      <c r="J152" s="15" t="str">
        <f t="shared" si="10"/>
        <v/>
      </c>
    </row>
    <row r="153" spans="1:10">
      <c r="A153" s="7" t="str">
        <f>IF(子基金及业绩基准周净值!A202="","",子基金及业绩基准周净值!A202)</f>
        <v/>
      </c>
      <c r="B153" s="1" t="str">
        <f>IF(A153="","",VLOOKUP($A153,子基金及业绩基准周净值!$A:$AV,22))</f>
        <v/>
      </c>
      <c r="C153" s="8" t="str">
        <f t="shared" si="8"/>
        <v/>
      </c>
      <c r="D153" s="9" t="str">
        <f>IF(A153="","",C153-子基金及业绩基准周净值!AK202)</f>
        <v/>
      </c>
      <c r="E153" s="12" t="str">
        <f>IF(A153="","",(MAX(B$3:B153)-B153)/MAX(B$3:B153))</f>
        <v/>
      </c>
      <c r="F153" s="12" t="str">
        <f>IF(A153="","",MAX(E$4:E153))</f>
        <v/>
      </c>
      <c r="H153" s="14" t="str">
        <f t="shared" si="11"/>
        <v/>
      </c>
      <c r="I153" s="14" t="str">
        <f t="shared" si="9"/>
        <v/>
      </c>
      <c r="J153" s="15" t="str">
        <f t="shared" si="10"/>
        <v/>
      </c>
    </row>
    <row r="154" spans="1:10">
      <c r="A154" s="7" t="str">
        <f>IF(子基金及业绩基准周净值!A203="","",子基金及业绩基准周净值!A203)</f>
        <v/>
      </c>
      <c r="B154" s="1" t="str">
        <f>IF(A154="","",VLOOKUP($A154,子基金及业绩基准周净值!$A:$AV,22))</f>
        <v/>
      </c>
      <c r="C154" s="8" t="str">
        <f t="shared" si="8"/>
        <v/>
      </c>
      <c r="D154" s="9" t="str">
        <f>IF(A154="","",C154-子基金及业绩基准周净值!AK203)</f>
        <v/>
      </c>
      <c r="E154" s="12" t="str">
        <f>IF(A154="","",(MAX(B$3:B154)-B154)/MAX(B$3:B154))</f>
        <v/>
      </c>
      <c r="F154" s="12" t="str">
        <f>IF(A154="","",MAX(E$4:E154))</f>
        <v/>
      </c>
      <c r="H154" s="14" t="str">
        <f t="shared" si="11"/>
        <v/>
      </c>
      <c r="I154" s="14" t="str">
        <f t="shared" si="9"/>
        <v/>
      </c>
      <c r="J154" s="15" t="str">
        <f t="shared" si="10"/>
        <v/>
      </c>
    </row>
    <row r="155" spans="1:10">
      <c r="A155" s="7" t="str">
        <f>IF(子基金及业绩基准周净值!A204="","",子基金及业绩基准周净值!A204)</f>
        <v/>
      </c>
      <c r="B155" s="1" t="str">
        <f>IF(A155="","",VLOOKUP($A155,子基金及业绩基准周净值!$A:$AV,22))</f>
        <v/>
      </c>
      <c r="C155" s="8" t="str">
        <f t="shared" si="8"/>
        <v/>
      </c>
      <c r="D155" s="9" t="str">
        <f>IF(A155="","",C155-子基金及业绩基准周净值!AK204)</f>
        <v/>
      </c>
      <c r="E155" s="12" t="str">
        <f>IF(A155="","",(MAX(B$3:B155)-B155)/MAX(B$3:B155))</f>
        <v/>
      </c>
      <c r="F155" s="12" t="str">
        <f>IF(A155="","",MAX(E$4:E155))</f>
        <v/>
      </c>
      <c r="H155" s="14" t="str">
        <f t="shared" si="11"/>
        <v/>
      </c>
      <c r="I155" s="14" t="str">
        <f t="shared" si="9"/>
        <v/>
      </c>
      <c r="J155" s="15" t="str">
        <f t="shared" si="10"/>
        <v/>
      </c>
    </row>
    <row r="156" spans="1:10">
      <c r="A156" s="7" t="str">
        <f>IF(子基金及业绩基准周净值!A205="","",子基金及业绩基准周净值!A205)</f>
        <v/>
      </c>
      <c r="B156" s="1" t="str">
        <f>IF(A156="","",VLOOKUP($A156,子基金及业绩基准周净值!$A:$AV,22))</f>
        <v/>
      </c>
      <c r="C156" s="8" t="str">
        <f t="shared" si="8"/>
        <v/>
      </c>
      <c r="D156" s="9" t="str">
        <f>IF(A156="","",C156-子基金及业绩基准周净值!AK205)</f>
        <v/>
      </c>
      <c r="E156" s="12" t="str">
        <f>IF(A156="","",(MAX(B$3:B156)-B156)/MAX(B$3:B156))</f>
        <v/>
      </c>
      <c r="F156" s="12" t="str">
        <f>IF(A156="","",MAX(E$4:E156))</f>
        <v/>
      </c>
      <c r="H156" s="14" t="str">
        <f t="shared" si="11"/>
        <v/>
      </c>
      <c r="I156" s="14" t="str">
        <f t="shared" si="9"/>
        <v/>
      </c>
      <c r="J156" s="15" t="str">
        <f t="shared" si="10"/>
        <v/>
      </c>
    </row>
    <row r="157" spans="1:10">
      <c r="A157" s="7" t="str">
        <f>IF(子基金及业绩基准周净值!A206="","",子基金及业绩基准周净值!A206)</f>
        <v/>
      </c>
      <c r="B157" s="1" t="str">
        <f>IF(A157="","",VLOOKUP($A157,子基金及业绩基准周净值!$A:$AV,22))</f>
        <v/>
      </c>
      <c r="C157" s="8" t="str">
        <f t="shared" si="8"/>
        <v/>
      </c>
      <c r="D157" s="9" t="str">
        <f>IF(A157="","",C157-子基金及业绩基准周净值!AK206)</f>
        <v/>
      </c>
      <c r="E157" s="12" t="str">
        <f>IF(A157="","",(MAX(B$3:B157)-B157)/MAX(B$3:B157))</f>
        <v/>
      </c>
      <c r="F157" s="12" t="str">
        <f>IF(A157="","",MAX(E$4:E157))</f>
        <v/>
      </c>
      <c r="H157" s="14" t="str">
        <f t="shared" si="11"/>
        <v/>
      </c>
      <c r="I157" s="14" t="str">
        <f t="shared" si="9"/>
        <v/>
      </c>
      <c r="J157" s="15" t="str">
        <f t="shared" si="10"/>
        <v/>
      </c>
    </row>
    <row r="158" spans="1:10">
      <c r="A158" s="7" t="str">
        <f>IF(子基金及业绩基准周净值!A207="","",子基金及业绩基准周净值!A207)</f>
        <v/>
      </c>
      <c r="B158" s="1" t="str">
        <f>IF(A158="","",VLOOKUP($A158,子基金及业绩基准周净值!$A:$AV,22))</f>
        <v/>
      </c>
      <c r="C158" s="8" t="str">
        <f t="shared" si="8"/>
        <v/>
      </c>
      <c r="D158" s="9" t="str">
        <f>IF(A158="","",C158-子基金及业绩基准周净值!AK207)</f>
        <v/>
      </c>
      <c r="E158" s="12" t="str">
        <f>IF(A158="","",(MAX(B$3:B158)-B158)/MAX(B$3:B158))</f>
        <v/>
      </c>
      <c r="F158" s="12" t="str">
        <f>IF(A158="","",MAX(E$4:E158))</f>
        <v/>
      </c>
      <c r="H158" s="14" t="str">
        <f t="shared" si="11"/>
        <v/>
      </c>
      <c r="I158" s="14" t="str">
        <f t="shared" si="9"/>
        <v/>
      </c>
      <c r="J158" s="15" t="str">
        <f t="shared" si="10"/>
        <v/>
      </c>
    </row>
    <row r="159" spans="1:10">
      <c r="A159" s="7" t="str">
        <f>IF(子基金及业绩基准周净值!A208="","",子基金及业绩基准周净值!A208)</f>
        <v/>
      </c>
      <c r="B159" s="1" t="str">
        <f>IF(A159="","",VLOOKUP($A159,子基金及业绩基准周净值!$A:$AV,22))</f>
        <v/>
      </c>
      <c r="C159" s="8" t="str">
        <f t="shared" si="8"/>
        <v/>
      </c>
      <c r="D159" s="9" t="str">
        <f>IF(A159="","",C159-子基金及业绩基准周净值!AK208)</f>
        <v/>
      </c>
      <c r="E159" s="12" t="str">
        <f>IF(A159="","",(MAX(B$3:B159)-B159)/MAX(B$3:B159))</f>
        <v/>
      </c>
      <c r="F159" s="12" t="str">
        <f>IF(A159="","",MAX(E$4:E159))</f>
        <v/>
      </c>
      <c r="H159" s="14" t="str">
        <f t="shared" si="11"/>
        <v/>
      </c>
      <c r="I159" s="14" t="str">
        <f t="shared" si="9"/>
        <v/>
      </c>
      <c r="J159" s="15" t="str">
        <f t="shared" si="10"/>
        <v/>
      </c>
    </row>
    <row r="160" spans="1:10">
      <c r="A160" s="7" t="str">
        <f>IF(子基金及业绩基准周净值!A209="","",子基金及业绩基准周净值!A209)</f>
        <v/>
      </c>
      <c r="B160" s="1" t="str">
        <f>IF(A160="","",VLOOKUP($A160,子基金及业绩基准周净值!$A:$AV,22))</f>
        <v/>
      </c>
      <c r="C160" s="8" t="str">
        <f t="shared" si="8"/>
        <v/>
      </c>
      <c r="D160" s="9" t="str">
        <f>IF(A160="","",C160-子基金及业绩基准周净值!AK209)</f>
        <v/>
      </c>
      <c r="E160" s="12" t="str">
        <f>IF(A160="","",(MAX(B$3:B160)-B160)/MAX(B$3:B160))</f>
        <v/>
      </c>
      <c r="F160" s="12" t="str">
        <f>IF(A160="","",MAX(E$4:E160))</f>
        <v/>
      </c>
      <c r="H160" s="14" t="str">
        <f t="shared" si="11"/>
        <v/>
      </c>
      <c r="I160" s="14" t="str">
        <f t="shared" si="9"/>
        <v/>
      </c>
      <c r="J160" s="15" t="str">
        <f t="shared" si="10"/>
        <v/>
      </c>
    </row>
    <row r="161" spans="1:10">
      <c r="A161" s="7" t="str">
        <f>IF(子基金及业绩基准周净值!A210="","",子基金及业绩基准周净值!A210)</f>
        <v/>
      </c>
      <c r="B161" s="1" t="str">
        <f>IF(A161="","",VLOOKUP($A161,子基金及业绩基准周净值!$A:$AV,22))</f>
        <v/>
      </c>
      <c r="C161" s="8" t="str">
        <f t="shared" si="8"/>
        <v/>
      </c>
      <c r="D161" s="9" t="str">
        <f>IF(A161="","",C161-子基金及业绩基准周净值!AK210)</f>
        <v/>
      </c>
      <c r="E161" s="12" t="str">
        <f>IF(A161="","",(MAX(B$3:B161)-B161)/MAX(B$3:B161))</f>
        <v/>
      </c>
      <c r="F161" s="12" t="str">
        <f>IF(A161="","",MAX(E$4:E161))</f>
        <v/>
      </c>
      <c r="H161" s="14" t="str">
        <f t="shared" si="11"/>
        <v/>
      </c>
      <c r="I161" s="14" t="str">
        <f t="shared" si="9"/>
        <v/>
      </c>
      <c r="J161" s="15" t="str">
        <f t="shared" si="10"/>
        <v/>
      </c>
    </row>
    <row r="162" spans="1:10">
      <c r="A162" s="7" t="str">
        <f>IF(子基金及业绩基准周净值!A211="","",子基金及业绩基准周净值!A211)</f>
        <v/>
      </c>
      <c r="B162" s="1" t="str">
        <f>IF(A162="","",VLOOKUP($A162,子基金及业绩基准周净值!$A:$AV,22))</f>
        <v/>
      </c>
      <c r="C162" s="8" t="str">
        <f t="shared" si="8"/>
        <v/>
      </c>
      <c r="D162" s="9" t="str">
        <f>IF(A162="","",C162-子基金及业绩基准周净值!AK211)</f>
        <v/>
      </c>
      <c r="E162" s="12" t="str">
        <f>IF(A162="","",(MAX(B$3:B162)-B162)/MAX(B$3:B162))</f>
        <v/>
      </c>
      <c r="F162" s="12" t="str">
        <f>IF(A162="","",MAX(E$4:E162))</f>
        <v/>
      </c>
      <c r="H162" s="14" t="str">
        <f t="shared" si="11"/>
        <v/>
      </c>
      <c r="I162" s="14" t="str">
        <f t="shared" si="9"/>
        <v/>
      </c>
      <c r="J162" s="15" t="str">
        <f t="shared" si="10"/>
        <v/>
      </c>
    </row>
    <row r="163" spans="1:10">
      <c r="A163" s="7" t="str">
        <f>IF(子基金及业绩基准周净值!A212="","",子基金及业绩基准周净值!A212)</f>
        <v/>
      </c>
      <c r="B163" s="1" t="str">
        <f>IF(A163="","",VLOOKUP($A163,子基金及业绩基准周净值!$A:$AV,22))</f>
        <v/>
      </c>
      <c r="C163" s="8" t="str">
        <f t="shared" si="8"/>
        <v/>
      </c>
      <c r="D163" s="9" t="str">
        <f>IF(A163="","",C163-子基金及业绩基准周净值!AK212)</f>
        <v/>
      </c>
      <c r="E163" s="12" t="str">
        <f>IF(A163="","",(MAX(B$3:B163)-B163)/MAX(B$3:B163))</f>
        <v/>
      </c>
      <c r="F163" s="12" t="str">
        <f>IF(A163="","",MAX(E$4:E163))</f>
        <v/>
      </c>
      <c r="H163" s="14" t="str">
        <f t="shared" si="11"/>
        <v/>
      </c>
      <c r="I163" s="14" t="str">
        <f t="shared" si="9"/>
        <v/>
      </c>
      <c r="J163" s="15" t="str">
        <f t="shared" si="10"/>
        <v/>
      </c>
    </row>
    <row r="164" spans="1:10">
      <c r="A164" s="7" t="str">
        <f>IF(子基金及业绩基准周净值!A213="","",子基金及业绩基准周净值!A213)</f>
        <v/>
      </c>
      <c r="B164" s="1" t="str">
        <f>IF(A164="","",VLOOKUP($A164,子基金及业绩基准周净值!$A:$AV,22))</f>
        <v/>
      </c>
      <c r="C164" s="8" t="str">
        <f t="shared" si="8"/>
        <v/>
      </c>
      <c r="D164" s="9" t="str">
        <f>IF(A164="","",C164-子基金及业绩基准周净值!AK213)</f>
        <v/>
      </c>
      <c r="E164" s="12" t="str">
        <f>IF(A164="","",(MAX(B$3:B164)-B164)/MAX(B$3:B164))</f>
        <v/>
      </c>
      <c r="F164" s="12" t="str">
        <f>IF(A164="","",MAX(E$4:E164))</f>
        <v/>
      </c>
      <c r="H164" s="14" t="str">
        <f t="shared" si="11"/>
        <v/>
      </c>
      <c r="I164" s="14" t="str">
        <f t="shared" si="9"/>
        <v/>
      </c>
      <c r="J164" s="15" t="str">
        <f t="shared" si="10"/>
        <v/>
      </c>
    </row>
    <row r="165" spans="1:10">
      <c r="A165" s="7" t="str">
        <f>IF(子基金及业绩基准周净值!A214="","",子基金及业绩基准周净值!A214)</f>
        <v/>
      </c>
      <c r="B165" s="1" t="str">
        <f>IF(A165="","",VLOOKUP($A165,子基金及业绩基准周净值!$A:$AV,22))</f>
        <v/>
      </c>
      <c r="C165" s="8" t="str">
        <f t="shared" si="8"/>
        <v/>
      </c>
      <c r="D165" s="9" t="str">
        <f>IF(A165="","",C165-子基金及业绩基准周净值!AK214)</f>
        <v/>
      </c>
      <c r="E165" s="12" t="str">
        <f>IF(A165="","",(MAX(B$3:B165)-B165)/MAX(B$3:B165))</f>
        <v/>
      </c>
      <c r="F165" s="12" t="str">
        <f>IF(A165="","",MAX(E$4:E165))</f>
        <v/>
      </c>
      <c r="H165" s="14" t="str">
        <f t="shared" si="11"/>
        <v/>
      </c>
      <c r="I165" s="14" t="str">
        <f t="shared" si="9"/>
        <v/>
      </c>
      <c r="J165" s="15" t="str">
        <f t="shared" si="10"/>
        <v/>
      </c>
    </row>
    <row r="166" spans="1:10">
      <c r="A166" s="7" t="str">
        <f>IF(子基金及业绩基准周净值!A215="","",子基金及业绩基准周净值!A215)</f>
        <v/>
      </c>
      <c r="B166" s="1" t="str">
        <f>IF(A166="","",VLOOKUP($A166,子基金及业绩基准周净值!$A:$AV,22))</f>
        <v/>
      </c>
      <c r="C166" s="8" t="str">
        <f t="shared" si="8"/>
        <v/>
      </c>
      <c r="D166" s="9" t="str">
        <f>IF(A166="","",C166-子基金及业绩基准周净值!AK215)</f>
        <v/>
      </c>
      <c r="E166" s="12" t="str">
        <f>IF(A166="","",(MAX(B$3:B166)-B166)/MAX(B$3:B166))</f>
        <v/>
      </c>
      <c r="F166" s="12" t="str">
        <f>IF(A166="","",MAX(E$4:E166))</f>
        <v/>
      </c>
      <c r="H166" s="14" t="str">
        <f t="shared" si="11"/>
        <v/>
      </c>
      <c r="I166" s="14" t="str">
        <f t="shared" si="9"/>
        <v/>
      </c>
      <c r="J166" s="15" t="str">
        <f t="shared" si="10"/>
        <v/>
      </c>
    </row>
    <row r="167" spans="1:10">
      <c r="A167" s="7" t="str">
        <f>IF(子基金及业绩基准周净值!A216="","",子基金及业绩基准周净值!A216)</f>
        <v/>
      </c>
      <c r="B167" s="1" t="str">
        <f>IF(A167="","",VLOOKUP($A167,子基金及业绩基准周净值!$A:$AV,22))</f>
        <v/>
      </c>
      <c r="C167" s="8" t="str">
        <f t="shared" si="8"/>
        <v/>
      </c>
      <c r="D167" s="9" t="str">
        <f>IF(A167="","",C167-子基金及业绩基准周净值!AK216)</f>
        <v/>
      </c>
      <c r="E167" s="12" t="str">
        <f>IF(A167="","",(MAX(B$3:B167)-B167)/MAX(B$3:B167))</f>
        <v/>
      </c>
      <c r="F167" s="12" t="str">
        <f>IF(A167="","",MAX(E$4:E167))</f>
        <v/>
      </c>
      <c r="H167" s="14" t="str">
        <f t="shared" si="11"/>
        <v/>
      </c>
      <c r="I167" s="14" t="str">
        <f t="shared" si="9"/>
        <v/>
      </c>
      <c r="J167" s="15" t="str">
        <f t="shared" si="10"/>
        <v/>
      </c>
    </row>
    <row r="168" spans="1:10">
      <c r="A168" s="7" t="str">
        <f>IF(子基金及业绩基准周净值!A217="","",子基金及业绩基准周净值!A217)</f>
        <v/>
      </c>
      <c r="B168" s="1" t="str">
        <f>IF(A168="","",VLOOKUP($A168,子基金及业绩基准周净值!$A:$AV,22))</f>
        <v/>
      </c>
      <c r="C168" s="8" t="str">
        <f t="shared" si="8"/>
        <v/>
      </c>
      <c r="D168" s="9" t="str">
        <f>IF(A168="","",C168-子基金及业绩基准周净值!AK217)</f>
        <v/>
      </c>
      <c r="E168" s="12" t="str">
        <f>IF(A168="","",(MAX(B$3:B168)-B168)/MAX(B$3:B168))</f>
        <v/>
      </c>
      <c r="F168" s="12" t="str">
        <f>IF(A168="","",MAX(E$4:E168))</f>
        <v/>
      </c>
      <c r="H168" s="14" t="str">
        <f t="shared" si="11"/>
        <v/>
      </c>
      <c r="I168" s="14" t="str">
        <f t="shared" si="9"/>
        <v/>
      </c>
      <c r="J168" s="15" t="str">
        <f t="shared" si="10"/>
        <v/>
      </c>
    </row>
    <row r="169" spans="1:10">
      <c r="A169" s="7" t="str">
        <f>IF(子基金及业绩基准周净值!A218="","",子基金及业绩基准周净值!A218)</f>
        <v/>
      </c>
      <c r="B169" s="1" t="str">
        <f>IF(A169="","",VLOOKUP($A169,子基金及业绩基准周净值!$A:$AV,22))</f>
        <v/>
      </c>
      <c r="C169" s="8" t="str">
        <f t="shared" si="8"/>
        <v/>
      </c>
      <c r="D169" s="9" t="str">
        <f>IF(A169="","",C169-子基金及业绩基准周净值!AK218)</f>
        <v/>
      </c>
      <c r="E169" s="12" t="str">
        <f>IF(A169="","",(MAX(B$3:B169)-B169)/MAX(B$3:B169))</f>
        <v/>
      </c>
      <c r="F169" s="12" t="str">
        <f>IF(A169="","",MAX(E$4:E169))</f>
        <v/>
      </c>
      <c r="H169" s="14" t="str">
        <f t="shared" si="11"/>
        <v/>
      </c>
      <c r="I169" s="14" t="str">
        <f t="shared" si="9"/>
        <v/>
      </c>
      <c r="J169" s="15" t="str">
        <f t="shared" si="10"/>
        <v/>
      </c>
    </row>
    <row r="170" spans="1:10">
      <c r="A170" s="7" t="str">
        <f>IF(子基金及业绩基准周净值!A219="","",子基金及业绩基准周净值!A219)</f>
        <v/>
      </c>
      <c r="B170" s="1" t="str">
        <f>IF(A170="","",VLOOKUP($A170,子基金及业绩基准周净值!$A:$AV,22))</f>
        <v/>
      </c>
      <c r="C170" s="8" t="str">
        <f t="shared" si="8"/>
        <v/>
      </c>
      <c r="D170" s="9" t="str">
        <f>IF(A170="","",C170-子基金及业绩基准周净值!AK219)</f>
        <v/>
      </c>
      <c r="E170" s="12" t="str">
        <f>IF(A170="","",(MAX(B$3:B170)-B170)/MAX(B$3:B170))</f>
        <v/>
      </c>
      <c r="F170" s="12" t="str">
        <f>IF(A170="","",MAX(E$4:E170))</f>
        <v/>
      </c>
      <c r="H170" s="14" t="str">
        <f t="shared" si="11"/>
        <v/>
      </c>
      <c r="I170" s="14" t="str">
        <f t="shared" si="9"/>
        <v/>
      </c>
      <c r="J170" s="15" t="str">
        <f t="shared" si="10"/>
        <v/>
      </c>
    </row>
    <row r="171" spans="1:10">
      <c r="A171" s="7" t="str">
        <f>IF(子基金及业绩基准周净值!A220="","",子基金及业绩基准周净值!A220)</f>
        <v/>
      </c>
      <c r="B171" s="1" t="str">
        <f>IF(A171="","",VLOOKUP($A171,子基金及业绩基准周净值!$A:$AV,22))</f>
        <v/>
      </c>
      <c r="C171" s="8" t="str">
        <f t="shared" si="8"/>
        <v/>
      </c>
      <c r="D171" s="9" t="str">
        <f>IF(A171="","",C171-子基金及业绩基准周净值!AK220)</f>
        <v/>
      </c>
      <c r="E171" s="12" t="str">
        <f>IF(A171="","",(MAX(B$3:B171)-B171)/MAX(B$3:B171))</f>
        <v/>
      </c>
      <c r="F171" s="12" t="str">
        <f>IF(A171="","",MAX(E$4:E171))</f>
        <v/>
      </c>
      <c r="H171" s="14" t="str">
        <f t="shared" si="11"/>
        <v/>
      </c>
      <c r="I171" s="14" t="str">
        <f t="shared" si="9"/>
        <v/>
      </c>
      <c r="J171" s="15" t="str">
        <f t="shared" si="10"/>
        <v/>
      </c>
    </row>
    <row r="172" spans="1:10">
      <c r="A172" s="7" t="str">
        <f>IF(子基金及业绩基准周净值!A221="","",子基金及业绩基准周净值!A221)</f>
        <v/>
      </c>
      <c r="B172" s="1" t="str">
        <f>IF(A172="","",VLOOKUP($A172,子基金及业绩基准周净值!$A:$AV,22))</f>
        <v/>
      </c>
      <c r="C172" s="8" t="str">
        <f t="shared" si="8"/>
        <v/>
      </c>
      <c r="D172" s="9" t="str">
        <f>IF(A172="","",C172-子基金及业绩基准周净值!AK221)</f>
        <v/>
      </c>
      <c r="E172" s="12" t="str">
        <f>IF(A172="","",(MAX(B$3:B172)-B172)/MAX(B$3:B172))</f>
        <v/>
      </c>
      <c r="F172" s="12" t="str">
        <f>IF(A172="","",MAX(E$4:E172))</f>
        <v/>
      </c>
      <c r="H172" s="14" t="str">
        <f t="shared" si="11"/>
        <v/>
      </c>
      <c r="I172" s="14" t="str">
        <f t="shared" si="9"/>
        <v/>
      </c>
      <c r="J172" s="15" t="str">
        <f t="shared" si="10"/>
        <v/>
      </c>
    </row>
    <row r="173" spans="1:10">
      <c r="A173" s="7" t="str">
        <f>IF(子基金及业绩基准周净值!A222="","",子基金及业绩基准周净值!A222)</f>
        <v/>
      </c>
      <c r="B173" s="1" t="str">
        <f>IF(A173="","",VLOOKUP($A173,子基金及业绩基准周净值!$A:$AV,22))</f>
        <v/>
      </c>
      <c r="C173" s="8" t="str">
        <f t="shared" si="8"/>
        <v/>
      </c>
      <c r="D173" s="9" t="str">
        <f>IF(A173="","",C173-子基金及业绩基准周净值!AK222)</f>
        <v/>
      </c>
      <c r="E173" s="12" t="str">
        <f>IF(A173="","",(MAX(B$3:B173)-B173)/MAX(B$3:B173))</f>
        <v/>
      </c>
      <c r="F173" s="12" t="str">
        <f>IF(A173="","",MAX(E$4:E173))</f>
        <v/>
      </c>
      <c r="H173" s="14" t="str">
        <f t="shared" si="11"/>
        <v/>
      </c>
      <c r="I173" s="14" t="str">
        <f t="shared" si="9"/>
        <v/>
      </c>
      <c r="J173" s="15" t="str">
        <f t="shared" si="10"/>
        <v/>
      </c>
    </row>
    <row r="174" spans="1:10">
      <c r="A174" s="7" t="str">
        <f>IF(子基金及业绩基准周净值!A223="","",子基金及业绩基准周净值!A223)</f>
        <v/>
      </c>
      <c r="B174" s="1" t="str">
        <f>IF(A174="","",VLOOKUP($A174,子基金及业绩基准周净值!$A:$AV,22))</f>
        <v/>
      </c>
      <c r="C174" s="8" t="str">
        <f t="shared" si="8"/>
        <v/>
      </c>
      <c r="D174" s="9" t="str">
        <f>IF(A174="","",C174-子基金及业绩基准周净值!AK223)</f>
        <v/>
      </c>
      <c r="E174" s="12" t="str">
        <f>IF(A174="","",(MAX(B$3:B174)-B174)/MAX(B$3:B174))</f>
        <v/>
      </c>
      <c r="F174" s="12" t="str">
        <f>IF(A174="","",MAX(E$4:E174))</f>
        <v/>
      </c>
      <c r="H174" s="14" t="str">
        <f t="shared" si="11"/>
        <v/>
      </c>
      <c r="I174" s="14" t="str">
        <f t="shared" si="9"/>
        <v/>
      </c>
      <c r="J174" s="15" t="str">
        <f t="shared" si="10"/>
        <v/>
      </c>
    </row>
    <row r="175" spans="1:10">
      <c r="A175" s="7" t="str">
        <f>IF(子基金及业绩基准周净值!A224="","",子基金及业绩基准周净值!A224)</f>
        <v/>
      </c>
      <c r="B175" s="1" t="str">
        <f>IF(A175="","",VLOOKUP($A175,子基金及业绩基准周净值!$A:$AV,22))</f>
        <v/>
      </c>
      <c r="C175" s="8" t="str">
        <f t="shared" si="8"/>
        <v/>
      </c>
      <c r="D175" s="9" t="str">
        <f>IF(A175="","",C175-子基金及业绩基准周净值!AK224)</f>
        <v/>
      </c>
      <c r="E175" s="12" t="str">
        <f>IF(A175="","",(MAX(B$3:B175)-B175)/MAX(B$3:B175))</f>
        <v/>
      </c>
      <c r="F175" s="12" t="str">
        <f>IF(A175="","",MAX(E$4:E175))</f>
        <v/>
      </c>
      <c r="H175" s="14" t="str">
        <f t="shared" si="11"/>
        <v/>
      </c>
      <c r="I175" s="14" t="str">
        <f t="shared" si="9"/>
        <v/>
      </c>
      <c r="J175" s="15" t="str">
        <f t="shared" si="10"/>
        <v/>
      </c>
    </row>
    <row r="176" spans="1:10">
      <c r="A176" s="7" t="str">
        <f>IF(子基金及业绩基准周净值!A225="","",子基金及业绩基准周净值!A225)</f>
        <v/>
      </c>
      <c r="B176" s="1" t="str">
        <f>IF(A176="","",VLOOKUP($A176,子基金及业绩基准周净值!$A:$AV,22))</f>
        <v/>
      </c>
      <c r="C176" s="8" t="str">
        <f t="shared" si="8"/>
        <v/>
      </c>
      <c r="D176" s="9" t="str">
        <f>IF(A176="","",C176-子基金及业绩基准周净值!AK225)</f>
        <v/>
      </c>
      <c r="E176" s="12" t="str">
        <f>IF(A176="","",(MAX(B$3:B176)-B176)/MAX(B$3:B176))</f>
        <v/>
      </c>
      <c r="F176" s="12" t="str">
        <f>IF(A176="","",MAX(E$4:E176))</f>
        <v/>
      </c>
      <c r="H176" s="14" t="str">
        <f t="shared" si="11"/>
        <v/>
      </c>
      <c r="I176" s="14" t="str">
        <f t="shared" si="9"/>
        <v/>
      </c>
      <c r="J176" s="15" t="str">
        <f t="shared" si="10"/>
        <v/>
      </c>
    </row>
    <row r="177" spans="1:10">
      <c r="A177" s="7" t="str">
        <f>IF(子基金及业绩基准周净值!A226="","",子基金及业绩基准周净值!A226)</f>
        <v/>
      </c>
      <c r="B177" s="1" t="str">
        <f>IF(A177="","",VLOOKUP($A177,子基金及业绩基准周净值!$A:$AV,22))</f>
        <v/>
      </c>
      <c r="C177" s="8" t="str">
        <f t="shared" si="8"/>
        <v/>
      </c>
      <c r="D177" s="9" t="str">
        <f>IF(A177="","",C177-子基金及业绩基准周净值!AK226)</f>
        <v/>
      </c>
      <c r="E177" s="12" t="str">
        <f>IF(A177="","",(MAX(B$3:B177)-B177)/MAX(B$3:B177))</f>
        <v/>
      </c>
      <c r="F177" s="12" t="str">
        <f>IF(A177="","",MAX(E$4:E177))</f>
        <v/>
      </c>
      <c r="H177" s="14" t="str">
        <f t="shared" si="11"/>
        <v/>
      </c>
      <c r="I177" s="14" t="str">
        <f t="shared" si="9"/>
        <v/>
      </c>
      <c r="J177" s="15" t="str">
        <f t="shared" si="10"/>
        <v/>
      </c>
    </row>
    <row r="178" spans="1:10">
      <c r="A178" s="7" t="str">
        <f>IF(子基金及业绩基准周净值!A227="","",子基金及业绩基准周净值!A227)</f>
        <v/>
      </c>
      <c r="B178" s="1" t="str">
        <f>IF(A178="","",VLOOKUP($A178,子基金及业绩基准周净值!$A:$AV,22))</f>
        <v/>
      </c>
      <c r="C178" s="8" t="str">
        <f t="shared" si="8"/>
        <v/>
      </c>
      <c r="D178" s="9" t="str">
        <f>IF(A178="","",C178-子基金及业绩基准周净值!AK227)</f>
        <v/>
      </c>
      <c r="E178" s="12" t="str">
        <f>IF(A178="","",(MAX(B$3:B178)-B178)/MAX(B$3:B178))</f>
        <v/>
      </c>
      <c r="F178" s="12" t="str">
        <f>IF(A178="","",MAX(E$4:E178))</f>
        <v/>
      </c>
      <c r="H178" s="14" t="str">
        <f t="shared" si="11"/>
        <v/>
      </c>
      <c r="I178" s="14" t="str">
        <f t="shared" si="9"/>
        <v/>
      </c>
      <c r="J178" s="15" t="str">
        <f t="shared" si="10"/>
        <v/>
      </c>
    </row>
    <row r="179" spans="1:10">
      <c r="A179" s="7" t="str">
        <f>IF(子基金及业绩基准周净值!A228="","",子基金及业绩基准周净值!A228)</f>
        <v/>
      </c>
      <c r="B179" s="1" t="str">
        <f>IF(A179="","",VLOOKUP($A179,子基金及业绩基准周净值!$A:$AV,22))</f>
        <v/>
      </c>
      <c r="C179" s="8" t="str">
        <f t="shared" si="8"/>
        <v/>
      </c>
      <c r="D179" s="9" t="str">
        <f>IF(A179="","",C179-子基金及业绩基准周净值!AK228)</f>
        <v/>
      </c>
      <c r="E179" s="12" t="str">
        <f>IF(A179="","",(MAX(B$3:B179)-B179)/MAX(B$3:B179))</f>
        <v/>
      </c>
      <c r="F179" s="12" t="str">
        <f>IF(A179="","",MAX(E$4:E179))</f>
        <v/>
      </c>
      <c r="H179" s="14" t="str">
        <f t="shared" si="11"/>
        <v/>
      </c>
      <c r="I179" s="14" t="str">
        <f t="shared" si="9"/>
        <v/>
      </c>
      <c r="J179" s="15" t="str">
        <f t="shared" si="10"/>
        <v/>
      </c>
    </row>
    <row r="180" spans="1:10">
      <c r="A180" s="7" t="str">
        <f>IF(子基金及业绩基准周净值!A229="","",子基金及业绩基准周净值!A229)</f>
        <v/>
      </c>
      <c r="B180" s="1" t="str">
        <f>IF(A180="","",VLOOKUP($A180,子基金及业绩基准周净值!$A:$AV,22))</f>
        <v/>
      </c>
      <c r="C180" s="8" t="str">
        <f t="shared" si="8"/>
        <v/>
      </c>
      <c r="D180" s="9" t="str">
        <f>IF(A180="","",C180-子基金及业绩基准周净值!AK229)</f>
        <v/>
      </c>
      <c r="E180" s="12" t="str">
        <f>IF(A180="","",(MAX(B$3:B180)-B180)/MAX(B$3:B180))</f>
        <v/>
      </c>
      <c r="F180" s="12" t="str">
        <f>IF(A180="","",MAX(E$4:E180))</f>
        <v/>
      </c>
      <c r="H180" s="14" t="str">
        <f t="shared" si="11"/>
        <v/>
      </c>
      <c r="I180" s="14" t="str">
        <f t="shared" si="9"/>
        <v/>
      </c>
      <c r="J180" s="15" t="str">
        <f t="shared" si="10"/>
        <v/>
      </c>
    </row>
    <row r="181" spans="1:10">
      <c r="A181" s="7" t="str">
        <f>IF(子基金及业绩基准周净值!A230="","",子基金及业绩基准周净值!A230)</f>
        <v/>
      </c>
      <c r="B181" s="1" t="str">
        <f>IF(A181="","",VLOOKUP($A181,子基金及业绩基准周净值!$A:$AV,22))</f>
        <v/>
      </c>
      <c r="C181" s="8" t="str">
        <f t="shared" si="8"/>
        <v/>
      </c>
      <c r="D181" s="9" t="str">
        <f>IF(A181="","",C181-子基金及业绩基准周净值!AK230)</f>
        <v/>
      </c>
      <c r="E181" s="12" t="str">
        <f>IF(A181="","",(MAX(B$3:B181)-B181)/MAX(B$3:B181))</f>
        <v/>
      </c>
      <c r="F181" s="12" t="str">
        <f>IF(A181="","",MAX(E$4:E181))</f>
        <v/>
      </c>
      <c r="H181" s="14" t="str">
        <f t="shared" si="11"/>
        <v/>
      </c>
      <c r="I181" s="14" t="str">
        <f t="shared" si="9"/>
        <v/>
      </c>
      <c r="J181" s="15" t="str">
        <f t="shared" si="10"/>
        <v/>
      </c>
    </row>
    <row r="182" spans="1:10">
      <c r="A182" s="7" t="str">
        <f>IF(子基金及业绩基准周净值!A231="","",子基金及业绩基准周净值!A231)</f>
        <v/>
      </c>
      <c r="B182" s="1" t="str">
        <f>IF(A182="","",VLOOKUP($A182,子基金及业绩基准周净值!$A:$AV,22))</f>
        <v/>
      </c>
      <c r="C182" s="8" t="str">
        <f t="shared" si="8"/>
        <v/>
      </c>
      <c r="D182" s="9" t="str">
        <f>IF(A182="","",C182-子基金及业绩基准周净值!AK231)</f>
        <v/>
      </c>
      <c r="E182" s="12" t="str">
        <f>IF(A182="","",(MAX(B$3:B182)-B182)/MAX(B$3:B182))</f>
        <v/>
      </c>
      <c r="F182" s="12" t="str">
        <f>IF(A182="","",MAX(E$4:E182))</f>
        <v/>
      </c>
      <c r="H182" s="14" t="str">
        <f t="shared" si="11"/>
        <v/>
      </c>
      <c r="I182" s="14" t="str">
        <f t="shared" si="9"/>
        <v/>
      </c>
      <c r="J182" s="15" t="str">
        <f t="shared" si="10"/>
        <v/>
      </c>
    </row>
    <row r="183" spans="1:10">
      <c r="A183" s="7" t="str">
        <f>IF(子基金及业绩基准周净值!A232="","",子基金及业绩基准周净值!A232)</f>
        <v/>
      </c>
      <c r="B183" s="1" t="str">
        <f>IF(A183="","",VLOOKUP($A183,子基金及业绩基准周净值!$A:$AV,22))</f>
        <v/>
      </c>
      <c r="C183" s="8" t="str">
        <f t="shared" si="8"/>
        <v/>
      </c>
      <c r="D183" s="9" t="str">
        <f>IF(A183="","",C183-子基金及业绩基准周净值!AK232)</f>
        <v/>
      </c>
      <c r="E183" s="12" t="str">
        <f>IF(A183="","",(MAX(B$3:B183)-B183)/MAX(B$3:B183))</f>
        <v/>
      </c>
      <c r="F183" s="12" t="str">
        <f>IF(A183="","",MAX(E$4:E183))</f>
        <v/>
      </c>
      <c r="H183" s="14" t="str">
        <f t="shared" si="11"/>
        <v/>
      </c>
      <c r="I183" s="14" t="str">
        <f t="shared" si="9"/>
        <v/>
      </c>
      <c r="J183" s="15" t="str">
        <f t="shared" si="10"/>
        <v/>
      </c>
    </row>
    <row r="184" spans="1:10">
      <c r="A184" s="7" t="str">
        <f>IF(子基金及业绩基准周净值!A233="","",子基金及业绩基准周净值!A233)</f>
        <v/>
      </c>
      <c r="B184" s="1" t="str">
        <f>IF(A184="","",VLOOKUP($A184,子基金及业绩基准周净值!$A:$AV,22))</f>
        <v/>
      </c>
      <c r="C184" s="8" t="str">
        <f t="shared" si="8"/>
        <v/>
      </c>
      <c r="D184" s="9" t="str">
        <f>IF(A184="","",C184-子基金及业绩基准周净值!AK233)</f>
        <v/>
      </c>
      <c r="E184" s="12" t="str">
        <f>IF(A184="","",(MAX(B$3:B184)-B184)/MAX(B$3:B184))</f>
        <v/>
      </c>
      <c r="F184" s="12" t="str">
        <f>IF(A184="","",MAX(E$4:E184))</f>
        <v/>
      </c>
      <c r="H184" s="14" t="str">
        <f t="shared" si="11"/>
        <v/>
      </c>
      <c r="I184" s="14" t="str">
        <f t="shared" si="9"/>
        <v/>
      </c>
      <c r="J184" s="15" t="str">
        <f t="shared" si="10"/>
        <v/>
      </c>
    </row>
    <row r="185" spans="1:10">
      <c r="A185" s="7" t="str">
        <f>IF(子基金及业绩基准周净值!A234="","",子基金及业绩基准周净值!A234)</f>
        <v/>
      </c>
      <c r="B185" s="1" t="str">
        <f>IF(A185="","",VLOOKUP($A185,子基金及业绩基准周净值!$A:$AV,22))</f>
        <v/>
      </c>
      <c r="C185" s="8" t="str">
        <f t="shared" si="8"/>
        <v/>
      </c>
      <c r="D185" s="9" t="str">
        <f>IF(A185="","",C185-子基金及业绩基准周净值!AK234)</f>
        <v/>
      </c>
      <c r="E185" s="12" t="str">
        <f>IF(A185="","",(MAX(B$3:B185)-B185)/MAX(B$3:B185))</f>
        <v/>
      </c>
      <c r="F185" s="12" t="str">
        <f>IF(A185="","",MAX(E$4:E185))</f>
        <v/>
      </c>
      <c r="H185" s="14" t="str">
        <f t="shared" si="11"/>
        <v/>
      </c>
      <c r="I185" s="14" t="str">
        <f t="shared" si="9"/>
        <v/>
      </c>
      <c r="J185" s="15" t="str">
        <f t="shared" si="10"/>
        <v/>
      </c>
    </row>
    <row r="186" spans="1:10">
      <c r="A186" s="7" t="str">
        <f>IF(子基金及业绩基准周净值!A235="","",子基金及业绩基准周净值!A235)</f>
        <v/>
      </c>
      <c r="B186" s="1" t="str">
        <f>IF(A186="","",VLOOKUP($A186,子基金及业绩基准周净值!$A:$AV,22))</f>
        <v/>
      </c>
      <c r="C186" s="8" t="str">
        <f t="shared" si="8"/>
        <v/>
      </c>
      <c r="D186" s="9" t="str">
        <f>IF(A186="","",C186-子基金及业绩基准周净值!AK235)</f>
        <v/>
      </c>
      <c r="E186" s="12" t="str">
        <f>IF(A186="","",(MAX(B$3:B186)-B186)/MAX(B$3:B186))</f>
        <v/>
      </c>
      <c r="F186" s="12" t="str">
        <f>IF(A186="","",MAX(E$4:E186))</f>
        <v/>
      </c>
      <c r="H186" s="14" t="str">
        <f t="shared" si="11"/>
        <v/>
      </c>
      <c r="I186" s="14" t="str">
        <f t="shared" si="9"/>
        <v/>
      </c>
      <c r="J186" s="15" t="str">
        <f t="shared" si="10"/>
        <v/>
      </c>
    </row>
    <row r="187" spans="1:10">
      <c r="A187" s="7" t="str">
        <f>IF(子基金及业绩基准周净值!A236="","",子基金及业绩基准周净值!A236)</f>
        <v/>
      </c>
      <c r="B187" s="1" t="str">
        <f>IF(A187="","",VLOOKUP($A187,子基金及业绩基准周净值!$A:$AV,22))</f>
        <v/>
      </c>
      <c r="C187" s="8" t="str">
        <f t="shared" si="8"/>
        <v/>
      </c>
      <c r="D187" s="9" t="str">
        <f>IF(A187="","",C187-子基金及业绩基准周净值!AK236)</f>
        <v/>
      </c>
      <c r="E187" s="12" t="str">
        <f>IF(A187="","",(MAX(B$3:B187)-B187)/MAX(B$3:B187))</f>
        <v/>
      </c>
      <c r="F187" s="12" t="str">
        <f>IF(A187="","",MAX(E$4:E187))</f>
        <v/>
      </c>
      <c r="H187" s="14" t="str">
        <f t="shared" si="11"/>
        <v/>
      </c>
      <c r="I187" s="14" t="str">
        <f t="shared" si="9"/>
        <v/>
      </c>
      <c r="J187" s="15" t="str">
        <f t="shared" si="10"/>
        <v/>
      </c>
    </row>
    <row r="188" spans="1:10">
      <c r="A188" s="7" t="str">
        <f>IF(子基金及业绩基准周净值!A237="","",子基金及业绩基准周净值!A237)</f>
        <v/>
      </c>
      <c r="B188" s="1" t="str">
        <f>IF(A188="","",VLOOKUP($A188,子基金及业绩基准周净值!$A:$AV,22))</f>
        <v/>
      </c>
      <c r="C188" s="8" t="str">
        <f t="shared" si="8"/>
        <v/>
      </c>
      <c r="D188" s="9" t="str">
        <f>IF(A188="","",C188-子基金及业绩基准周净值!AK237)</f>
        <v/>
      </c>
      <c r="E188" s="12" t="str">
        <f>IF(A188="","",(MAX(B$3:B188)-B188)/MAX(B$3:B188))</f>
        <v/>
      </c>
      <c r="F188" s="12" t="str">
        <f>IF(A188="","",MAX(E$4:E188))</f>
        <v/>
      </c>
      <c r="H188" s="14" t="str">
        <f t="shared" si="11"/>
        <v/>
      </c>
      <c r="I188" s="14" t="str">
        <f t="shared" si="9"/>
        <v/>
      </c>
      <c r="J188" s="15" t="str">
        <f t="shared" si="10"/>
        <v/>
      </c>
    </row>
    <row r="189" spans="1:10">
      <c r="A189" s="7" t="str">
        <f>IF(子基金及业绩基准周净值!A238="","",子基金及业绩基准周净值!A238)</f>
        <v/>
      </c>
      <c r="B189" s="1" t="str">
        <f>IF(A189="","",VLOOKUP($A189,子基金及业绩基准周净值!$A:$AV,22))</f>
        <v/>
      </c>
      <c r="C189" s="8" t="str">
        <f t="shared" si="8"/>
        <v/>
      </c>
      <c r="D189" s="9" t="str">
        <f>IF(A189="","",C189-子基金及业绩基准周净值!AK238)</f>
        <v/>
      </c>
      <c r="E189" s="12" t="str">
        <f>IF(A189="","",(MAX(B$3:B189)-B189)/MAX(B$3:B189))</f>
        <v/>
      </c>
      <c r="F189" s="12" t="str">
        <f>IF(A189="","",MAX(E$4:E189))</f>
        <v/>
      </c>
      <c r="H189" s="14" t="str">
        <f t="shared" si="11"/>
        <v/>
      </c>
      <c r="I189" s="14" t="str">
        <f t="shared" si="9"/>
        <v/>
      </c>
      <c r="J189" s="15" t="str">
        <f t="shared" si="10"/>
        <v/>
      </c>
    </row>
    <row r="190" spans="1:10">
      <c r="A190" s="7" t="str">
        <f>IF(子基金及业绩基准周净值!A239="","",子基金及业绩基准周净值!A239)</f>
        <v/>
      </c>
      <c r="B190" s="1" t="str">
        <f>IF(A190="","",VLOOKUP($A190,子基金及业绩基准周净值!$A:$AV,22))</f>
        <v/>
      </c>
      <c r="C190" s="8" t="str">
        <f t="shared" si="8"/>
        <v/>
      </c>
      <c r="D190" s="9" t="str">
        <f>IF(A190="","",C190-子基金及业绩基准周净值!AK239)</f>
        <v/>
      </c>
      <c r="E190" s="12" t="str">
        <f>IF(A190="","",(MAX(B$3:B190)-B190)/MAX(B$3:B190))</f>
        <v/>
      </c>
      <c r="F190" s="12" t="str">
        <f>IF(A190="","",MAX(E$4:E190))</f>
        <v/>
      </c>
      <c r="H190" s="14" t="str">
        <f t="shared" si="11"/>
        <v/>
      </c>
      <c r="I190" s="14" t="str">
        <f t="shared" si="9"/>
        <v/>
      </c>
      <c r="J190" s="15" t="str">
        <f t="shared" si="10"/>
        <v/>
      </c>
    </row>
    <row r="191" spans="1:10">
      <c r="A191" s="7" t="str">
        <f>IF(子基金及业绩基准周净值!A240="","",子基金及业绩基准周净值!A240)</f>
        <v/>
      </c>
      <c r="B191" s="1" t="str">
        <f>IF(A191="","",VLOOKUP($A191,子基金及业绩基准周净值!$A:$AV,22))</f>
        <v/>
      </c>
      <c r="C191" s="8" t="str">
        <f t="shared" si="8"/>
        <v/>
      </c>
      <c r="D191" s="9" t="str">
        <f>IF(A191="","",C191-子基金及业绩基准周净值!AK240)</f>
        <v/>
      </c>
      <c r="E191" s="12" t="str">
        <f>IF(A191="","",(MAX(B$3:B191)-B191)/MAX(B$3:B191))</f>
        <v/>
      </c>
      <c r="F191" s="12" t="str">
        <f>IF(A191="","",MAX(E$4:E191))</f>
        <v/>
      </c>
      <c r="H191" s="14" t="str">
        <f t="shared" si="11"/>
        <v/>
      </c>
      <c r="I191" s="14" t="str">
        <f t="shared" si="9"/>
        <v/>
      </c>
      <c r="J191" s="15" t="str">
        <f t="shared" si="10"/>
        <v/>
      </c>
    </row>
    <row r="192" spans="1:10">
      <c r="A192" s="7" t="str">
        <f>IF(子基金及业绩基准周净值!A241="","",子基金及业绩基准周净值!A241)</f>
        <v/>
      </c>
      <c r="B192" s="1" t="str">
        <f>IF(A192="","",VLOOKUP($A192,子基金及业绩基准周净值!$A:$AV,22))</f>
        <v/>
      </c>
      <c r="C192" s="8" t="str">
        <f t="shared" si="8"/>
        <v/>
      </c>
      <c r="D192" s="9" t="str">
        <f>IF(A192="","",C192-子基金及业绩基准周净值!AK241)</f>
        <v/>
      </c>
      <c r="E192" s="12" t="str">
        <f>IF(A192="","",(MAX(B$3:B192)-B192)/MAX(B$3:B192))</f>
        <v/>
      </c>
      <c r="F192" s="12" t="str">
        <f>IF(A192="","",MAX(E$4:E192))</f>
        <v/>
      </c>
      <c r="H192" s="14" t="str">
        <f t="shared" si="11"/>
        <v/>
      </c>
      <c r="I192" s="14" t="str">
        <f t="shared" si="9"/>
        <v/>
      </c>
      <c r="J192" s="15" t="str">
        <f t="shared" si="10"/>
        <v/>
      </c>
    </row>
    <row r="193" spans="1:10">
      <c r="A193" s="7" t="str">
        <f>IF(子基金及业绩基准周净值!A242="","",子基金及业绩基准周净值!A242)</f>
        <v/>
      </c>
      <c r="B193" s="1" t="str">
        <f>IF(A193="","",VLOOKUP($A193,子基金及业绩基准周净值!$A:$AV,22))</f>
        <v/>
      </c>
      <c r="C193" s="8" t="str">
        <f t="shared" si="8"/>
        <v/>
      </c>
      <c r="D193" s="9" t="str">
        <f>IF(A193="","",C193-子基金及业绩基准周净值!AK242)</f>
        <v/>
      </c>
      <c r="E193" s="12" t="str">
        <f>IF(A193="","",(MAX(B$3:B193)-B193)/MAX(B$3:B193))</f>
        <v/>
      </c>
      <c r="F193" s="12" t="str">
        <f>IF(A193="","",MAX(E$4:E193))</f>
        <v/>
      </c>
      <c r="H193" s="14" t="str">
        <f t="shared" si="11"/>
        <v/>
      </c>
      <c r="I193" s="14" t="str">
        <f t="shared" si="9"/>
        <v/>
      </c>
      <c r="J193" s="15" t="str">
        <f t="shared" si="10"/>
        <v/>
      </c>
    </row>
    <row r="194" spans="1:10">
      <c r="A194" s="7" t="str">
        <f>IF(子基金及业绩基准周净值!A243="","",子基金及业绩基准周净值!A243)</f>
        <v/>
      </c>
      <c r="B194" s="1" t="str">
        <f>IF(A194="","",VLOOKUP($A194,子基金及业绩基准周净值!$A:$AV,22))</f>
        <v/>
      </c>
      <c r="C194" s="8" t="str">
        <f t="shared" si="8"/>
        <v/>
      </c>
      <c r="D194" s="9" t="str">
        <f>IF(A194="","",C194-子基金及业绩基准周净值!AK243)</f>
        <v/>
      </c>
      <c r="E194" s="12" t="str">
        <f>IF(A194="","",(MAX(B$3:B194)-B194)/MAX(B$3:B194))</f>
        <v/>
      </c>
      <c r="F194" s="12" t="str">
        <f>IF(A194="","",MAX(E$4:E194))</f>
        <v/>
      </c>
      <c r="H194" s="14" t="str">
        <f t="shared" si="11"/>
        <v/>
      </c>
      <c r="I194" s="14" t="str">
        <f t="shared" si="9"/>
        <v/>
      </c>
      <c r="J194" s="15" t="str">
        <f t="shared" si="10"/>
        <v/>
      </c>
    </row>
    <row r="195" spans="1:10">
      <c r="A195" s="7" t="str">
        <f>IF(子基金及业绩基准周净值!A244="","",子基金及业绩基准周净值!A244)</f>
        <v/>
      </c>
      <c r="B195" s="1" t="str">
        <f>IF(A195="","",VLOOKUP($A195,子基金及业绩基准周净值!$A:$AV,22))</f>
        <v/>
      </c>
      <c r="C195" s="8" t="str">
        <f t="shared" si="8"/>
        <v/>
      </c>
      <c r="D195" s="9" t="str">
        <f>IF(A195="","",C195-子基金及业绩基准周净值!AK244)</f>
        <v/>
      </c>
      <c r="E195" s="12" t="str">
        <f>IF(A195="","",(MAX(B$3:B195)-B195)/MAX(B$3:B195))</f>
        <v/>
      </c>
      <c r="F195" s="12" t="str">
        <f>IF(A195="","",MAX(E$4:E195))</f>
        <v/>
      </c>
      <c r="H195" s="14" t="str">
        <f t="shared" si="11"/>
        <v/>
      </c>
      <c r="I195" s="14" t="str">
        <f t="shared" si="9"/>
        <v/>
      </c>
      <c r="J195" s="15" t="str">
        <f t="shared" si="10"/>
        <v/>
      </c>
    </row>
    <row r="196" spans="1:10">
      <c r="A196" s="7" t="str">
        <f>IF(子基金及业绩基准周净值!A245="","",子基金及业绩基准周净值!A245)</f>
        <v/>
      </c>
      <c r="B196" s="1" t="str">
        <f>IF(A196="","",VLOOKUP($A196,子基金及业绩基准周净值!$A:$AV,22))</f>
        <v/>
      </c>
      <c r="C196" s="8" t="str">
        <f t="shared" ref="C196:C259" si="12">IF(A196="","",(B196-B195)/B195)</f>
        <v/>
      </c>
      <c r="D196" s="9" t="str">
        <f>IF(A196="","",C196-子基金及业绩基准周净值!AK245)</f>
        <v/>
      </c>
      <c r="E196" s="12" t="str">
        <f>IF(A196="","",(MAX(B$3:B196)-B196)/MAX(B$3:B196))</f>
        <v/>
      </c>
      <c r="F196" s="12" t="str">
        <f>IF(A196="","",MAX(E$4:E196))</f>
        <v/>
      </c>
      <c r="H196" s="14" t="str">
        <f t="shared" si="11"/>
        <v/>
      </c>
      <c r="I196" s="14" t="str">
        <f t="shared" ref="I196:I259" si="13">IF(A196="","",IF(F196&gt;5%,"是","否"))</f>
        <v/>
      </c>
      <c r="J196" s="15" t="str">
        <f t="shared" ref="J196:J259" si="14">IF(A196="","",IF(G196&gt;=4,"是","否"))</f>
        <v/>
      </c>
    </row>
    <row r="197" spans="1:10">
      <c r="A197" s="7" t="str">
        <f>IF(子基金及业绩基准周净值!A246="","",子基金及业绩基准周净值!A246)</f>
        <v/>
      </c>
      <c r="B197" s="1" t="str">
        <f>IF(A197="","",VLOOKUP($A197,子基金及业绩基准周净值!$A:$AV,22))</f>
        <v/>
      </c>
      <c r="C197" s="8" t="str">
        <f t="shared" si="12"/>
        <v/>
      </c>
      <c r="D197" s="9" t="str">
        <f>IF(A197="","",C197-子基金及业绩基准周净值!AK246)</f>
        <v/>
      </c>
      <c r="E197" s="12" t="str">
        <f>IF(A197="","",(MAX(B$3:B197)-B197)/MAX(B$3:B197))</f>
        <v/>
      </c>
      <c r="F197" s="12" t="str">
        <f>IF(A197="","",MAX(E$4:E197))</f>
        <v/>
      </c>
      <c r="H197" s="14" t="str">
        <f t="shared" ref="H197:H260" si="15">IF(B197="","",IF(C197&lt;-3%,"是","否"))</f>
        <v/>
      </c>
      <c r="I197" s="14" t="str">
        <f t="shared" si="13"/>
        <v/>
      </c>
      <c r="J197" s="15" t="str">
        <f t="shared" si="14"/>
        <v/>
      </c>
    </row>
    <row r="198" spans="1:10">
      <c r="A198" s="7" t="str">
        <f>IF(子基金及业绩基准周净值!A247="","",子基金及业绩基准周净值!A247)</f>
        <v/>
      </c>
      <c r="B198" s="1" t="str">
        <f>IF(A198="","",VLOOKUP($A198,子基金及业绩基准周净值!$A:$AV,22))</f>
        <v/>
      </c>
      <c r="C198" s="8" t="str">
        <f t="shared" si="12"/>
        <v/>
      </c>
      <c r="D198" s="9" t="str">
        <f>IF(A198="","",C198-子基金及业绩基准周净值!AK247)</f>
        <v/>
      </c>
      <c r="E198" s="12" t="str">
        <f>IF(A198="","",(MAX(B$3:B198)-B198)/MAX(B$3:B198))</f>
        <v/>
      </c>
      <c r="F198" s="12" t="str">
        <f>IF(A198="","",MAX(E$4:E198))</f>
        <v/>
      </c>
      <c r="H198" s="14" t="str">
        <f t="shared" si="15"/>
        <v/>
      </c>
      <c r="I198" s="14" t="str">
        <f t="shared" si="13"/>
        <v/>
      </c>
      <c r="J198" s="15" t="str">
        <f t="shared" si="14"/>
        <v/>
      </c>
    </row>
    <row r="199" spans="1:10">
      <c r="A199" s="7" t="str">
        <f>IF(子基金及业绩基准周净值!A248="","",子基金及业绩基准周净值!A248)</f>
        <v/>
      </c>
      <c r="B199" s="1" t="str">
        <f>IF(A199="","",VLOOKUP($A199,子基金及业绩基准周净值!$A:$AV,22))</f>
        <v/>
      </c>
      <c r="C199" s="8" t="str">
        <f t="shared" si="12"/>
        <v/>
      </c>
      <c r="D199" s="9" t="str">
        <f>IF(A199="","",C199-子基金及业绩基准周净值!AK248)</f>
        <v/>
      </c>
      <c r="E199" s="12" t="str">
        <f>IF(A199="","",(MAX(B$3:B199)-B199)/MAX(B$3:B199))</f>
        <v/>
      </c>
      <c r="F199" s="12" t="str">
        <f>IF(A199="","",MAX(E$4:E199))</f>
        <v/>
      </c>
      <c r="H199" s="14" t="str">
        <f t="shared" si="15"/>
        <v/>
      </c>
      <c r="I199" s="14" t="str">
        <f t="shared" si="13"/>
        <v/>
      </c>
      <c r="J199" s="15" t="str">
        <f t="shared" si="14"/>
        <v/>
      </c>
    </row>
    <row r="200" spans="1:10">
      <c r="A200" s="7" t="str">
        <f>IF(子基金及业绩基准周净值!A249="","",子基金及业绩基准周净值!A249)</f>
        <v/>
      </c>
      <c r="B200" s="1" t="str">
        <f>IF(A200="","",VLOOKUP($A200,子基金及业绩基准周净值!$A:$AV,22))</f>
        <v/>
      </c>
      <c r="C200" s="8" t="str">
        <f t="shared" si="12"/>
        <v/>
      </c>
      <c r="D200" s="9" t="str">
        <f>IF(A200="","",C200-子基金及业绩基准周净值!AK249)</f>
        <v/>
      </c>
      <c r="E200" s="12" t="str">
        <f>IF(A200="","",(MAX(B$3:B200)-B200)/MAX(B$3:B200))</f>
        <v/>
      </c>
      <c r="F200" s="12" t="str">
        <f>IF(A200="","",MAX(E$4:E200))</f>
        <v/>
      </c>
      <c r="H200" s="14" t="str">
        <f t="shared" si="15"/>
        <v/>
      </c>
      <c r="I200" s="14" t="str">
        <f t="shared" si="13"/>
        <v/>
      </c>
      <c r="J200" s="15" t="str">
        <f t="shared" si="14"/>
        <v/>
      </c>
    </row>
    <row r="201" spans="1:10">
      <c r="A201" s="7" t="str">
        <f>IF(子基金及业绩基准周净值!A250="","",子基金及业绩基准周净值!A250)</f>
        <v/>
      </c>
      <c r="B201" s="1" t="str">
        <f>IF(A201="","",VLOOKUP($A201,子基金及业绩基准周净值!$A:$AV,22))</f>
        <v/>
      </c>
      <c r="C201" s="8" t="str">
        <f t="shared" si="12"/>
        <v/>
      </c>
      <c r="D201" s="9" t="str">
        <f>IF(A201="","",C201-子基金及业绩基准周净值!AK250)</f>
        <v/>
      </c>
      <c r="E201" s="12" t="str">
        <f>IF(A201="","",(MAX(B$3:B201)-B201)/MAX(B$3:B201))</f>
        <v/>
      </c>
      <c r="F201" s="12" t="str">
        <f>IF(A201="","",MAX(E$4:E201))</f>
        <v/>
      </c>
      <c r="H201" s="14" t="str">
        <f t="shared" si="15"/>
        <v/>
      </c>
      <c r="I201" s="14" t="str">
        <f t="shared" si="13"/>
        <v/>
      </c>
      <c r="J201" s="15" t="str">
        <f t="shared" si="14"/>
        <v/>
      </c>
    </row>
    <row r="202" spans="1:10">
      <c r="A202" s="7" t="str">
        <f>IF(子基金及业绩基准周净值!A251="","",子基金及业绩基准周净值!A251)</f>
        <v/>
      </c>
      <c r="B202" s="1" t="str">
        <f>IF(A202="","",VLOOKUP($A202,子基金及业绩基准周净值!$A:$AV,22))</f>
        <v/>
      </c>
      <c r="C202" s="8" t="str">
        <f t="shared" si="12"/>
        <v/>
      </c>
      <c r="D202" s="9" t="str">
        <f>IF(A202="","",C202-子基金及业绩基准周净值!AK251)</f>
        <v/>
      </c>
      <c r="E202" s="12" t="str">
        <f>IF(A202="","",(MAX(B$3:B202)-B202)/MAX(B$3:B202))</f>
        <v/>
      </c>
      <c r="F202" s="12" t="str">
        <f>IF(A202="","",MAX(E$4:E202))</f>
        <v/>
      </c>
      <c r="H202" s="14" t="str">
        <f t="shared" si="15"/>
        <v/>
      </c>
      <c r="I202" s="14" t="str">
        <f t="shared" si="13"/>
        <v/>
      </c>
      <c r="J202" s="15" t="str">
        <f t="shared" si="14"/>
        <v/>
      </c>
    </row>
    <row r="203" spans="1:10">
      <c r="A203" s="7" t="str">
        <f>IF(子基金及业绩基准周净值!A252="","",子基金及业绩基准周净值!A252)</f>
        <v/>
      </c>
      <c r="B203" s="1" t="str">
        <f>IF(A203="","",VLOOKUP($A203,子基金及业绩基准周净值!$A:$AV,22))</f>
        <v/>
      </c>
      <c r="C203" s="8" t="str">
        <f t="shared" si="12"/>
        <v/>
      </c>
      <c r="D203" s="9" t="str">
        <f>IF(A203="","",C203-子基金及业绩基准周净值!AK252)</f>
        <v/>
      </c>
      <c r="E203" s="12" t="str">
        <f>IF(A203="","",(MAX(B$3:B203)-B203)/MAX(B$3:B203))</f>
        <v/>
      </c>
      <c r="F203" s="12" t="str">
        <f>IF(A203="","",MAX(E$4:E203))</f>
        <v/>
      </c>
      <c r="H203" s="14" t="str">
        <f t="shared" si="15"/>
        <v/>
      </c>
      <c r="I203" s="14" t="str">
        <f t="shared" si="13"/>
        <v/>
      </c>
      <c r="J203" s="15" t="str">
        <f t="shared" si="14"/>
        <v/>
      </c>
    </row>
    <row r="204" spans="1:10">
      <c r="A204" s="7" t="str">
        <f>IF(子基金及业绩基准周净值!A253="","",子基金及业绩基准周净值!A253)</f>
        <v/>
      </c>
      <c r="B204" s="1" t="str">
        <f>IF(A204="","",VLOOKUP($A204,子基金及业绩基准周净值!$A:$AV,22))</f>
        <v/>
      </c>
      <c r="C204" s="8" t="str">
        <f t="shared" si="12"/>
        <v/>
      </c>
      <c r="D204" s="9" t="str">
        <f>IF(A204="","",C204-子基金及业绩基准周净值!AK253)</f>
        <v/>
      </c>
      <c r="E204" s="12" t="str">
        <f>IF(A204="","",(MAX(B$3:B204)-B204)/MAX(B$3:B204))</f>
        <v/>
      </c>
      <c r="F204" s="12" t="str">
        <f>IF(A204="","",MAX(E$4:E204))</f>
        <v/>
      </c>
      <c r="H204" s="14" t="str">
        <f t="shared" si="15"/>
        <v/>
      </c>
      <c r="I204" s="14" t="str">
        <f t="shared" si="13"/>
        <v/>
      </c>
      <c r="J204" s="15" t="str">
        <f t="shared" si="14"/>
        <v/>
      </c>
    </row>
    <row r="205" spans="1:10">
      <c r="A205" s="7" t="str">
        <f>IF(子基金及业绩基准周净值!A254="","",子基金及业绩基准周净值!A254)</f>
        <v/>
      </c>
      <c r="B205" s="1" t="str">
        <f>IF(A205="","",VLOOKUP($A205,子基金及业绩基准周净值!$A:$AV,22))</f>
        <v/>
      </c>
      <c r="C205" s="8" t="str">
        <f t="shared" si="12"/>
        <v/>
      </c>
      <c r="D205" s="9" t="str">
        <f>IF(A205="","",C205-子基金及业绩基准周净值!AK254)</f>
        <v/>
      </c>
      <c r="E205" s="12" t="str">
        <f>IF(A205="","",(MAX(B$3:B205)-B205)/MAX(B$3:B205))</f>
        <v/>
      </c>
      <c r="F205" s="12" t="str">
        <f>IF(A205="","",MAX(E$4:E205))</f>
        <v/>
      </c>
      <c r="H205" s="14" t="str">
        <f t="shared" si="15"/>
        <v/>
      </c>
      <c r="I205" s="14" t="str">
        <f t="shared" si="13"/>
        <v/>
      </c>
      <c r="J205" s="15" t="str">
        <f t="shared" si="14"/>
        <v/>
      </c>
    </row>
    <row r="206" spans="1:10">
      <c r="A206" s="7" t="str">
        <f>IF(子基金及业绩基准周净值!A255="","",子基金及业绩基准周净值!A255)</f>
        <v/>
      </c>
      <c r="B206" s="1" t="str">
        <f>IF(A206="","",VLOOKUP($A206,子基金及业绩基准周净值!$A:$AV,22))</f>
        <v/>
      </c>
      <c r="C206" s="8" t="str">
        <f t="shared" si="12"/>
        <v/>
      </c>
      <c r="D206" s="9" t="str">
        <f>IF(A206="","",C206-子基金及业绩基准周净值!AK255)</f>
        <v/>
      </c>
      <c r="E206" s="12" t="str">
        <f>IF(A206="","",(MAX(B$3:B206)-B206)/MAX(B$3:B206))</f>
        <v/>
      </c>
      <c r="F206" s="12" t="str">
        <f>IF(A206="","",MAX(E$4:E206))</f>
        <v/>
      </c>
      <c r="H206" s="14" t="str">
        <f t="shared" si="15"/>
        <v/>
      </c>
      <c r="I206" s="14" t="str">
        <f t="shared" si="13"/>
        <v/>
      </c>
      <c r="J206" s="15" t="str">
        <f t="shared" si="14"/>
        <v/>
      </c>
    </row>
    <row r="207" spans="1:10">
      <c r="A207" s="7" t="str">
        <f>IF(子基金及业绩基准周净值!A256="","",子基金及业绩基准周净值!A256)</f>
        <v/>
      </c>
      <c r="B207" s="1" t="str">
        <f>IF(A207="","",VLOOKUP($A207,子基金及业绩基准周净值!$A:$AV,22))</f>
        <v/>
      </c>
      <c r="C207" s="8" t="str">
        <f t="shared" si="12"/>
        <v/>
      </c>
      <c r="D207" s="9" t="str">
        <f>IF(A207="","",C207-子基金及业绩基准周净值!AK256)</f>
        <v/>
      </c>
      <c r="E207" s="12" t="str">
        <f>IF(A207="","",(MAX(B$3:B207)-B207)/MAX(B$3:B207))</f>
        <v/>
      </c>
      <c r="F207" s="12" t="str">
        <f>IF(A207="","",MAX(E$4:E207))</f>
        <v/>
      </c>
      <c r="H207" s="14" t="str">
        <f t="shared" si="15"/>
        <v/>
      </c>
      <c r="I207" s="14" t="str">
        <f t="shared" si="13"/>
        <v/>
      </c>
      <c r="J207" s="15" t="str">
        <f t="shared" si="14"/>
        <v/>
      </c>
    </row>
    <row r="208" spans="1:10">
      <c r="A208" s="7" t="str">
        <f>IF(子基金及业绩基准周净值!A257="","",子基金及业绩基准周净值!A257)</f>
        <v/>
      </c>
      <c r="B208" s="1" t="str">
        <f>IF(A208="","",VLOOKUP($A208,子基金及业绩基准周净值!$A:$AV,22))</f>
        <v/>
      </c>
      <c r="C208" s="8" t="str">
        <f t="shared" si="12"/>
        <v/>
      </c>
      <c r="D208" s="9" t="str">
        <f>IF(A208="","",C208-子基金及业绩基准周净值!AK257)</f>
        <v/>
      </c>
      <c r="E208" s="12" t="str">
        <f>IF(A208="","",(MAX(B$3:B208)-B208)/MAX(B$3:B208))</f>
        <v/>
      </c>
      <c r="F208" s="12" t="str">
        <f>IF(A208="","",MAX(E$4:E208))</f>
        <v/>
      </c>
      <c r="H208" s="14" t="str">
        <f t="shared" si="15"/>
        <v/>
      </c>
      <c r="I208" s="14" t="str">
        <f t="shared" si="13"/>
        <v/>
      </c>
      <c r="J208" s="15" t="str">
        <f t="shared" si="14"/>
        <v/>
      </c>
    </row>
    <row r="209" spans="1:10">
      <c r="A209" s="7" t="str">
        <f>IF(子基金及业绩基准周净值!A258="","",子基金及业绩基准周净值!A258)</f>
        <v/>
      </c>
      <c r="B209" s="1" t="str">
        <f>IF(A209="","",VLOOKUP($A209,子基金及业绩基准周净值!$A:$AV,22))</f>
        <v/>
      </c>
      <c r="C209" s="8" t="str">
        <f t="shared" si="12"/>
        <v/>
      </c>
      <c r="D209" s="9" t="str">
        <f>IF(A209="","",C209-子基金及业绩基准周净值!AK258)</f>
        <v/>
      </c>
      <c r="E209" s="12" t="str">
        <f>IF(A209="","",(MAX(B$3:B209)-B209)/MAX(B$3:B209))</f>
        <v/>
      </c>
      <c r="F209" s="12" t="str">
        <f>IF(A209="","",MAX(E$4:E209))</f>
        <v/>
      </c>
      <c r="H209" s="14" t="str">
        <f t="shared" si="15"/>
        <v/>
      </c>
      <c r="I209" s="14" t="str">
        <f t="shared" si="13"/>
        <v/>
      </c>
      <c r="J209" s="15" t="str">
        <f t="shared" si="14"/>
        <v/>
      </c>
    </row>
    <row r="210" spans="1:10">
      <c r="A210" s="7" t="str">
        <f>IF(子基金及业绩基准周净值!A259="","",子基金及业绩基准周净值!A259)</f>
        <v/>
      </c>
      <c r="B210" s="1" t="str">
        <f>IF(A210="","",VLOOKUP($A210,子基金及业绩基准周净值!$A:$AV,22))</f>
        <v/>
      </c>
      <c r="C210" s="8" t="str">
        <f t="shared" si="12"/>
        <v/>
      </c>
      <c r="D210" s="9" t="str">
        <f>IF(A210="","",C210-子基金及业绩基准周净值!AK259)</f>
        <v/>
      </c>
      <c r="E210" s="12" t="str">
        <f>IF(A210="","",(MAX(B$3:B210)-B210)/MAX(B$3:B210))</f>
        <v/>
      </c>
      <c r="F210" s="12" t="str">
        <f>IF(A210="","",MAX(E$4:E210))</f>
        <v/>
      </c>
      <c r="H210" s="14" t="str">
        <f t="shared" si="15"/>
        <v/>
      </c>
      <c r="I210" s="14" t="str">
        <f t="shared" si="13"/>
        <v/>
      </c>
      <c r="J210" s="15" t="str">
        <f t="shared" si="14"/>
        <v/>
      </c>
    </row>
    <row r="211" spans="1:10">
      <c r="A211" s="7" t="str">
        <f>IF(子基金及业绩基准周净值!A260="","",子基金及业绩基准周净值!A260)</f>
        <v/>
      </c>
      <c r="B211" s="1" t="str">
        <f>IF(A211="","",VLOOKUP($A211,子基金及业绩基准周净值!$A:$AV,22))</f>
        <v/>
      </c>
      <c r="C211" s="8" t="str">
        <f t="shared" si="12"/>
        <v/>
      </c>
      <c r="D211" s="9" t="str">
        <f>IF(A211="","",C211-子基金及业绩基准周净值!AK260)</f>
        <v/>
      </c>
      <c r="E211" s="12" t="str">
        <f>IF(A211="","",(MAX(B$3:B211)-B211)/MAX(B$3:B211))</f>
        <v/>
      </c>
      <c r="F211" s="12" t="str">
        <f>IF(A211="","",MAX(E$4:E211))</f>
        <v/>
      </c>
      <c r="H211" s="14" t="str">
        <f t="shared" si="15"/>
        <v/>
      </c>
      <c r="I211" s="14" t="str">
        <f t="shared" si="13"/>
        <v/>
      </c>
      <c r="J211" s="15" t="str">
        <f t="shared" si="14"/>
        <v/>
      </c>
    </row>
    <row r="212" spans="1:10">
      <c r="A212" s="7" t="str">
        <f>IF(子基金及业绩基准周净值!A261="","",子基金及业绩基准周净值!A261)</f>
        <v/>
      </c>
      <c r="B212" s="1" t="str">
        <f>IF(A212="","",VLOOKUP($A212,子基金及业绩基准周净值!$A:$AV,22))</f>
        <v/>
      </c>
      <c r="C212" s="8" t="str">
        <f t="shared" si="12"/>
        <v/>
      </c>
      <c r="D212" s="9" t="str">
        <f>IF(A212="","",C212-子基金及业绩基准周净值!AK261)</f>
        <v/>
      </c>
      <c r="E212" s="12" t="str">
        <f>IF(A212="","",(MAX(B$3:B212)-B212)/MAX(B$3:B212))</f>
        <v/>
      </c>
      <c r="F212" s="12" t="str">
        <f>IF(A212="","",MAX(E$4:E212))</f>
        <v/>
      </c>
      <c r="H212" s="14" t="str">
        <f t="shared" si="15"/>
        <v/>
      </c>
      <c r="I212" s="14" t="str">
        <f t="shared" si="13"/>
        <v/>
      </c>
      <c r="J212" s="15" t="str">
        <f t="shared" si="14"/>
        <v/>
      </c>
    </row>
    <row r="213" spans="1:10">
      <c r="A213" s="7" t="str">
        <f>IF(子基金及业绩基准周净值!A262="","",子基金及业绩基准周净值!A262)</f>
        <v/>
      </c>
      <c r="B213" s="1" t="str">
        <f>IF(A213="","",VLOOKUP($A213,子基金及业绩基准周净值!$A:$AV,22))</f>
        <v/>
      </c>
      <c r="C213" s="8" t="str">
        <f t="shared" si="12"/>
        <v/>
      </c>
      <c r="D213" s="9" t="str">
        <f>IF(A213="","",C213-子基金及业绩基准周净值!AK262)</f>
        <v/>
      </c>
      <c r="E213" s="12" t="str">
        <f>IF(A213="","",(MAX(B$3:B213)-B213)/MAX(B$3:B213))</f>
        <v/>
      </c>
      <c r="F213" s="12" t="str">
        <f>IF(A213="","",MAX(E$4:E213))</f>
        <v/>
      </c>
      <c r="H213" s="14" t="str">
        <f t="shared" si="15"/>
        <v/>
      </c>
      <c r="I213" s="14" t="str">
        <f t="shared" si="13"/>
        <v/>
      </c>
      <c r="J213" s="15" t="str">
        <f t="shared" si="14"/>
        <v/>
      </c>
    </row>
    <row r="214" spans="1:10">
      <c r="A214" s="7" t="str">
        <f>IF(子基金及业绩基准周净值!A263="","",子基金及业绩基准周净值!A263)</f>
        <v/>
      </c>
      <c r="B214" s="1" t="str">
        <f>IF(A214="","",VLOOKUP($A214,子基金及业绩基准周净值!$A:$AV,22))</f>
        <v/>
      </c>
      <c r="C214" s="8" t="str">
        <f t="shared" si="12"/>
        <v/>
      </c>
      <c r="D214" s="9" t="str">
        <f>IF(A214="","",C214-子基金及业绩基准周净值!AK263)</f>
        <v/>
      </c>
      <c r="E214" s="12" t="str">
        <f>IF(A214="","",(MAX(B$3:B214)-B214)/MAX(B$3:B214))</f>
        <v/>
      </c>
      <c r="F214" s="12" t="str">
        <f>IF(A214="","",MAX(E$4:E214))</f>
        <v/>
      </c>
      <c r="H214" s="14" t="str">
        <f t="shared" si="15"/>
        <v/>
      </c>
      <c r="I214" s="14" t="str">
        <f t="shared" si="13"/>
        <v/>
      </c>
      <c r="J214" s="15" t="str">
        <f t="shared" si="14"/>
        <v/>
      </c>
    </row>
    <row r="215" spans="1:10">
      <c r="A215" s="7" t="str">
        <f>IF(子基金及业绩基准周净值!A264="","",子基金及业绩基准周净值!A264)</f>
        <v/>
      </c>
      <c r="B215" s="1" t="str">
        <f>IF(A215="","",VLOOKUP($A215,子基金及业绩基准周净值!$A:$AV,22))</f>
        <v/>
      </c>
      <c r="C215" s="8" t="str">
        <f t="shared" si="12"/>
        <v/>
      </c>
      <c r="D215" s="9" t="str">
        <f>IF(A215="","",C215-子基金及业绩基准周净值!AK264)</f>
        <v/>
      </c>
      <c r="E215" s="12" t="str">
        <f>IF(A215="","",(MAX(B$3:B215)-B215)/MAX(B$3:B215))</f>
        <v/>
      </c>
      <c r="F215" s="12" t="str">
        <f>IF(A215="","",MAX(E$4:E215))</f>
        <v/>
      </c>
      <c r="H215" s="14" t="str">
        <f t="shared" si="15"/>
        <v/>
      </c>
      <c r="I215" s="14" t="str">
        <f t="shared" si="13"/>
        <v/>
      </c>
      <c r="J215" s="15" t="str">
        <f t="shared" si="14"/>
        <v/>
      </c>
    </row>
    <row r="216" spans="1:10">
      <c r="A216" s="7" t="str">
        <f>IF(子基金及业绩基准周净值!A265="","",子基金及业绩基准周净值!A265)</f>
        <v/>
      </c>
      <c r="B216" s="1" t="str">
        <f>IF(A216="","",VLOOKUP($A216,子基金及业绩基准周净值!$A:$AV,22))</f>
        <v/>
      </c>
      <c r="C216" s="8" t="str">
        <f t="shared" si="12"/>
        <v/>
      </c>
      <c r="D216" s="9" t="str">
        <f>IF(A216="","",C216-子基金及业绩基准周净值!AK265)</f>
        <v/>
      </c>
      <c r="E216" s="12" t="str">
        <f>IF(A216="","",(MAX(B$3:B216)-B216)/MAX(B$3:B216))</f>
        <v/>
      </c>
      <c r="F216" s="12" t="str">
        <f>IF(A216="","",MAX(E$4:E216))</f>
        <v/>
      </c>
      <c r="H216" s="14" t="str">
        <f t="shared" si="15"/>
        <v/>
      </c>
      <c r="I216" s="14" t="str">
        <f t="shared" si="13"/>
        <v/>
      </c>
      <c r="J216" s="15" t="str">
        <f t="shared" si="14"/>
        <v/>
      </c>
    </row>
    <row r="217" spans="1:10">
      <c r="A217" s="7" t="str">
        <f>IF(子基金及业绩基准周净值!A266="","",子基金及业绩基准周净值!A266)</f>
        <v/>
      </c>
      <c r="B217" s="1" t="str">
        <f>IF(A217="","",VLOOKUP($A217,子基金及业绩基准周净值!$A:$AV,22))</f>
        <v/>
      </c>
      <c r="C217" s="8" t="str">
        <f t="shared" si="12"/>
        <v/>
      </c>
      <c r="D217" s="9" t="str">
        <f>IF(A217="","",C217-子基金及业绩基准周净值!AK266)</f>
        <v/>
      </c>
      <c r="E217" s="12" t="str">
        <f>IF(A217="","",(MAX(B$3:B217)-B217)/MAX(B$3:B217))</f>
        <v/>
      </c>
      <c r="F217" s="12" t="str">
        <f>IF(A217="","",MAX(E$4:E217))</f>
        <v/>
      </c>
      <c r="H217" s="14" t="str">
        <f t="shared" si="15"/>
        <v/>
      </c>
      <c r="I217" s="14" t="str">
        <f t="shared" si="13"/>
        <v/>
      </c>
      <c r="J217" s="15" t="str">
        <f t="shared" si="14"/>
        <v/>
      </c>
    </row>
    <row r="218" spans="1:10">
      <c r="A218" s="7" t="str">
        <f>IF(子基金及业绩基准周净值!A267="","",子基金及业绩基准周净值!A267)</f>
        <v/>
      </c>
      <c r="B218" s="1" t="str">
        <f>IF(A218="","",VLOOKUP($A218,子基金及业绩基准周净值!$A:$AV,22))</f>
        <v/>
      </c>
      <c r="C218" s="8" t="str">
        <f t="shared" si="12"/>
        <v/>
      </c>
      <c r="D218" s="9" t="str">
        <f>IF(A218="","",C218-子基金及业绩基准周净值!AK267)</f>
        <v/>
      </c>
      <c r="E218" s="12" t="str">
        <f>IF(A218="","",(MAX(B$3:B218)-B218)/MAX(B$3:B218))</f>
        <v/>
      </c>
      <c r="F218" s="12" t="str">
        <f>IF(A218="","",MAX(E$4:E218))</f>
        <v/>
      </c>
      <c r="H218" s="14" t="str">
        <f t="shared" si="15"/>
        <v/>
      </c>
      <c r="I218" s="14" t="str">
        <f t="shared" si="13"/>
        <v/>
      </c>
      <c r="J218" s="15" t="str">
        <f t="shared" si="14"/>
        <v/>
      </c>
    </row>
    <row r="219" spans="1:10">
      <c r="A219" s="7" t="str">
        <f>IF(子基金及业绩基准周净值!A268="","",子基金及业绩基准周净值!A268)</f>
        <v/>
      </c>
      <c r="B219" s="1" t="str">
        <f>IF(A219="","",VLOOKUP($A219,子基金及业绩基准周净值!$A:$AV,22))</f>
        <v/>
      </c>
      <c r="C219" s="8" t="str">
        <f t="shared" si="12"/>
        <v/>
      </c>
      <c r="D219" s="9" t="str">
        <f>IF(A219="","",C219-子基金及业绩基准周净值!AK268)</f>
        <v/>
      </c>
      <c r="E219" s="12" t="str">
        <f>IF(A219="","",(MAX(B$3:B219)-B219)/MAX(B$3:B219))</f>
        <v/>
      </c>
      <c r="F219" s="12" t="str">
        <f>IF(A219="","",MAX(E$4:E219))</f>
        <v/>
      </c>
      <c r="H219" s="14" t="str">
        <f t="shared" si="15"/>
        <v/>
      </c>
      <c r="I219" s="14" t="str">
        <f t="shared" si="13"/>
        <v/>
      </c>
      <c r="J219" s="15" t="str">
        <f t="shared" si="14"/>
        <v/>
      </c>
    </row>
    <row r="220" spans="1:10">
      <c r="A220" s="7" t="str">
        <f>IF(子基金及业绩基准周净值!A269="","",子基金及业绩基准周净值!A269)</f>
        <v/>
      </c>
      <c r="B220" s="1" t="str">
        <f>IF(A220="","",VLOOKUP($A220,子基金及业绩基准周净值!$A:$AV,22))</f>
        <v/>
      </c>
      <c r="C220" s="8" t="str">
        <f t="shared" si="12"/>
        <v/>
      </c>
      <c r="D220" s="9" t="str">
        <f>IF(A220="","",C220-子基金及业绩基准周净值!AK269)</f>
        <v/>
      </c>
      <c r="E220" s="12" t="str">
        <f>IF(A220="","",(MAX(B$3:B220)-B220)/MAX(B$3:B220))</f>
        <v/>
      </c>
      <c r="F220" s="12" t="str">
        <f>IF(A220="","",MAX(E$4:E220))</f>
        <v/>
      </c>
      <c r="H220" s="14" t="str">
        <f t="shared" si="15"/>
        <v/>
      </c>
      <c r="I220" s="14" t="str">
        <f t="shared" si="13"/>
        <v/>
      </c>
      <c r="J220" s="15" t="str">
        <f t="shared" si="14"/>
        <v/>
      </c>
    </row>
    <row r="221" spans="1:10">
      <c r="A221" s="7" t="str">
        <f>IF(子基金及业绩基准周净值!A270="","",子基金及业绩基准周净值!A270)</f>
        <v/>
      </c>
      <c r="B221" s="1" t="str">
        <f>IF(A221="","",VLOOKUP($A221,子基金及业绩基准周净值!$A:$AV,22))</f>
        <v/>
      </c>
      <c r="C221" s="8" t="str">
        <f t="shared" si="12"/>
        <v/>
      </c>
      <c r="D221" s="9" t="str">
        <f>IF(A221="","",C221-子基金及业绩基准周净值!AK270)</f>
        <v/>
      </c>
      <c r="E221" s="12" t="str">
        <f>IF(A221="","",(MAX(B$3:B221)-B221)/MAX(B$3:B221))</f>
        <v/>
      </c>
      <c r="F221" s="12" t="str">
        <f>IF(A221="","",MAX(E$4:E221))</f>
        <v/>
      </c>
      <c r="H221" s="14" t="str">
        <f t="shared" si="15"/>
        <v/>
      </c>
      <c r="I221" s="14" t="str">
        <f t="shared" si="13"/>
        <v/>
      </c>
      <c r="J221" s="15" t="str">
        <f t="shared" si="14"/>
        <v/>
      </c>
    </row>
    <row r="222" spans="1:10">
      <c r="A222" s="7" t="str">
        <f>IF(子基金及业绩基准周净值!A271="","",子基金及业绩基准周净值!A271)</f>
        <v/>
      </c>
      <c r="B222" s="1" t="str">
        <f>IF(A222="","",VLOOKUP($A222,子基金及业绩基准周净值!$A:$AV,22))</f>
        <v/>
      </c>
      <c r="C222" s="8" t="str">
        <f t="shared" si="12"/>
        <v/>
      </c>
      <c r="D222" s="9" t="str">
        <f>IF(A222="","",C222-子基金及业绩基准周净值!AK271)</f>
        <v/>
      </c>
      <c r="E222" s="12" t="str">
        <f>IF(A222="","",(MAX(B$3:B222)-B222)/MAX(B$3:B222))</f>
        <v/>
      </c>
      <c r="F222" s="12" t="str">
        <f>IF(A222="","",MAX(E$4:E222))</f>
        <v/>
      </c>
      <c r="H222" s="14" t="str">
        <f t="shared" si="15"/>
        <v/>
      </c>
      <c r="I222" s="14" t="str">
        <f t="shared" si="13"/>
        <v/>
      </c>
      <c r="J222" s="15" t="str">
        <f t="shared" si="14"/>
        <v/>
      </c>
    </row>
    <row r="223" spans="1:10">
      <c r="A223" s="7" t="str">
        <f>IF(子基金及业绩基准周净值!A272="","",子基金及业绩基准周净值!A272)</f>
        <v/>
      </c>
      <c r="B223" s="1" t="str">
        <f>IF(A223="","",VLOOKUP($A223,子基金及业绩基准周净值!$A:$AV,22))</f>
        <v/>
      </c>
      <c r="C223" s="8" t="str">
        <f t="shared" si="12"/>
        <v/>
      </c>
      <c r="D223" s="9" t="str">
        <f>IF(A223="","",C223-子基金及业绩基准周净值!AK272)</f>
        <v/>
      </c>
      <c r="E223" s="12" t="str">
        <f>IF(A223="","",(MAX(B$3:B223)-B223)/MAX(B$3:B223))</f>
        <v/>
      </c>
      <c r="F223" s="12" t="str">
        <f>IF(A223="","",MAX(E$4:E223))</f>
        <v/>
      </c>
      <c r="H223" s="14" t="str">
        <f t="shared" si="15"/>
        <v/>
      </c>
      <c r="I223" s="14" t="str">
        <f t="shared" si="13"/>
        <v/>
      </c>
      <c r="J223" s="15" t="str">
        <f t="shared" si="14"/>
        <v/>
      </c>
    </row>
    <row r="224" spans="1:10">
      <c r="A224" s="7" t="str">
        <f>IF(子基金及业绩基准周净值!A273="","",子基金及业绩基准周净值!A273)</f>
        <v/>
      </c>
      <c r="B224" s="1" t="str">
        <f>IF(A224="","",VLOOKUP($A224,子基金及业绩基准周净值!$A:$AV,22))</f>
        <v/>
      </c>
      <c r="C224" s="8" t="str">
        <f t="shared" si="12"/>
        <v/>
      </c>
      <c r="D224" s="9" t="str">
        <f>IF(A224="","",C224-子基金及业绩基准周净值!AK273)</f>
        <v/>
      </c>
      <c r="E224" s="12" t="str">
        <f>IF(A224="","",(MAX(B$3:B224)-B224)/MAX(B$3:B224))</f>
        <v/>
      </c>
      <c r="F224" s="12" t="str">
        <f>IF(A224="","",MAX(E$4:E224))</f>
        <v/>
      </c>
      <c r="H224" s="14" t="str">
        <f t="shared" si="15"/>
        <v/>
      </c>
      <c r="I224" s="14" t="str">
        <f t="shared" si="13"/>
        <v/>
      </c>
      <c r="J224" s="15" t="str">
        <f t="shared" si="14"/>
        <v/>
      </c>
    </row>
    <row r="225" spans="1:10">
      <c r="A225" s="7" t="str">
        <f>IF(子基金及业绩基准周净值!A274="","",子基金及业绩基准周净值!A274)</f>
        <v/>
      </c>
      <c r="B225" s="1" t="str">
        <f>IF(A225="","",VLOOKUP($A225,子基金及业绩基准周净值!$A:$AV,22))</f>
        <v/>
      </c>
      <c r="C225" s="8" t="str">
        <f t="shared" si="12"/>
        <v/>
      </c>
      <c r="D225" s="9" t="str">
        <f>IF(A225="","",C225-子基金及业绩基准周净值!AK274)</f>
        <v/>
      </c>
      <c r="E225" s="12" t="str">
        <f>IF(A225="","",(MAX(B$3:B225)-B225)/MAX(B$3:B225))</f>
        <v/>
      </c>
      <c r="F225" s="12" t="str">
        <f>IF(A225="","",MAX(E$4:E225))</f>
        <v/>
      </c>
      <c r="H225" s="14" t="str">
        <f t="shared" si="15"/>
        <v/>
      </c>
      <c r="I225" s="14" t="str">
        <f t="shared" si="13"/>
        <v/>
      </c>
      <c r="J225" s="15" t="str">
        <f t="shared" si="14"/>
        <v/>
      </c>
    </row>
    <row r="226" spans="1:10">
      <c r="A226" s="7" t="str">
        <f>IF(子基金及业绩基准周净值!A275="","",子基金及业绩基准周净值!A275)</f>
        <v/>
      </c>
      <c r="B226" s="1" t="str">
        <f>IF(A226="","",VLOOKUP($A226,子基金及业绩基准周净值!$A:$AV,22))</f>
        <v/>
      </c>
      <c r="C226" s="8" t="str">
        <f t="shared" si="12"/>
        <v/>
      </c>
      <c r="D226" s="9" t="str">
        <f>IF(A226="","",C226-子基金及业绩基准周净值!AK275)</f>
        <v/>
      </c>
      <c r="E226" s="12" t="str">
        <f>IF(A226="","",(MAX(B$3:B226)-B226)/MAX(B$3:B226))</f>
        <v/>
      </c>
      <c r="F226" s="12" t="str">
        <f>IF(A226="","",MAX(E$4:E226))</f>
        <v/>
      </c>
      <c r="H226" s="14" t="str">
        <f t="shared" si="15"/>
        <v/>
      </c>
      <c r="I226" s="14" t="str">
        <f t="shared" si="13"/>
        <v/>
      </c>
      <c r="J226" s="15" t="str">
        <f t="shared" si="14"/>
        <v/>
      </c>
    </row>
    <row r="227" spans="1:10">
      <c r="A227" s="7" t="str">
        <f>IF(子基金及业绩基准周净值!A276="","",子基金及业绩基准周净值!A276)</f>
        <v/>
      </c>
      <c r="B227" s="1" t="str">
        <f>IF(A227="","",VLOOKUP($A227,子基金及业绩基准周净值!$A:$AV,22))</f>
        <v/>
      </c>
      <c r="C227" s="8" t="str">
        <f t="shared" si="12"/>
        <v/>
      </c>
      <c r="D227" s="9" t="str">
        <f>IF(A227="","",C227-子基金及业绩基准周净值!AK276)</f>
        <v/>
      </c>
      <c r="E227" s="12" t="str">
        <f>IF(A227="","",(MAX(B$3:B227)-B227)/MAX(B$3:B227))</f>
        <v/>
      </c>
      <c r="F227" s="12" t="str">
        <f>IF(A227="","",MAX(E$4:E227))</f>
        <v/>
      </c>
      <c r="H227" s="14" t="str">
        <f t="shared" si="15"/>
        <v/>
      </c>
      <c r="I227" s="14" t="str">
        <f t="shared" si="13"/>
        <v/>
      </c>
      <c r="J227" s="15" t="str">
        <f t="shared" si="14"/>
        <v/>
      </c>
    </row>
    <row r="228" spans="1:10">
      <c r="A228" s="7" t="str">
        <f>IF(子基金及业绩基准周净值!A277="","",子基金及业绩基准周净值!A277)</f>
        <v/>
      </c>
      <c r="B228" s="1" t="str">
        <f>IF(A228="","",VLOOKUP($A228,子基金及业绩基准周净值!$A:$AV,22))</f>
        <v/>
      </c>
      <c r="C228" s="8" t="str">
        <f t="shared" si="12"/>
        <v/>
      </c>
      <c r="D228" s="9" t="str">
        <f>IF(A228="","",C228-子基金及业绩基准周净值!AK277)</f>
        <v/>
      </c>
      <c r="E228" s="12" t="str">
        <f>IF(A228="","",(MAX(B$3:B228)-B228)/MAX(B$3:B228))</f>
        <v/>
      </c>
      <c r="F228" s="12" t="str">
        <f>IF(A228="","",MAX(E$4:E228))</f>
        <v/>
      </c>
      <c r="H228" s="14" t="str">
        <f t="shared" si="15"/>
        <v/>
      </c>
      <c r="I228" s="14" t="str">
        <f t="shared" si="13"/>
        <v/>
      </c>
      <c r="J228" s="15" t="str">
        <f t="shared" si="14"/>
        <v/>
      </c>
    </row>
    <row r="229" spans="1:10">
      <c r="A229" s="7" t="str">
        <f>IF(子基金及业绩基准周净值!A278="","",子基金及业绩基准周净值!A278)</f>
        <v/>
      </c>
      <c r="B229" s="1" t="str">
        <f>IF(A229="","",VLOOKUP($A229,子基金及业绩基准周净值!$A:$AV,22))</f>
        <v/>
      </c>
      <c r="C229" s="8" t="str">
        <f t="shared" si="12"/>
        <v/>
      </c>
      <c r="D229" s="9" t="str">
        <f>IF(A229="","",C229-子基金及业绩基准周净值!AK278)</f>
        <v/>
      </c>
      <c r="E229" s="12" t="str">
        <f>IF(A229="","",(MAX(B$3:B229)-B229)/MAX(B$3:B229))</f>
        <v/>
      </c>
      <c r="F229" s="12" t="str">
        <f>IF(A229="","",MAX(E$4:E229))</f>
        <v/>
      </c>
      <c r="H229" s="14" t="str">
        <f t="shared" si="15"/>
        <v/>
      </c>
      <c r="I229" s="14" t="str">
        <f t="shared" si="13"/>
        <v/>
      </c>
      <c r="J229" s="15" t="str">
        <f t="shared" si="14"/>
        <v/>
      </c>
    </row>
    <row r="230" spans="1:10">
      <c r="A230" s="7" t="str">
        <f>IF(子基金及业绩基准周净值!A279="","",子基金及业绩基准周净值!A279)</f>
        <v/>
      </c>
      <c r="B230" s="1" t="str">
        <f>IF(A230="","",VLOOKUP($A230,子基金及业绩基准周净值!$A:$AV,22))</f>
        <v/>
      </c>
      <c r="C230" s="8" t="str">
        <f t="shared" si="12"/>
        <v/>
      </c>
      <c r="D230" s="9" t="str">
        <f>IF(A230="","",C230-子基金及业绩基准周净值!AK279)</f>
        <v/>
      </c>
      <c r="E230" s="12" t="str">
        <f>IF(A230="","",(MAX(B$3:B230)-B230)/MAX(B$3:B230))</f>
        <v/>
      </c>
      <c r="F230" s="12" t="str">
        <f>IF(A230="","",MAX(E$4:E230))</f>
        <v/>
      </c>
      <c r="H230" s="14" t="str">
        <f t="shared" si="15"/>
        <v/>
      </c>
      <c r="I230" s="14" t="str">
        <f t="shared" si="13"/>
        <v/>
      </c>
      <c r="J230" s="15" t="str">
        <f t="shared" si="14"/>
        <v/>
      </c>
    </row>
    <row r="231" spans="1:10">
      <c r="A231" s="7" t="str">
        <f>IF(子基金及业绩基准周净值!A280="","",子基金及业绩基准周净值!A280)</f>
        <v/>
      </c>
      <c r="B231" s="1" t="str">
        <f>IF(A231="","",VLOOKUP($A231,子基金及业绩基准周净值!$A:$AV,22))</f>
        <v/>
      </c>
      <c r="C231" s="8" t="str">
        <f t="shared" si="12"/>
        <v/>
      </c>
      <c r="D231" s="9" t="str">
        <f>IF(A231="","",C231-子基金及业绩基准周净值!AK280)</f>
        <v/>
      </c>
      <c r="E231" s="12" t="str">
        <f>IF(A231="","",(MAX(B$3:B231)-B231)/MAX(B$3:B231))</f>
        <v/>
      </c>
      <c r="F231" s="12" t="str">
        <f>IF(A231="","",MAX(E$4:E231))</f>
        <v/>
      </c>
      <c r="H231" s="14" t="str">
        <f t="shared" si="15"/>
        <v/>
      </c>
      <c r="I231" s="14" t="str">
        <f t="shared" si="13"/>
        <v/>
      </c>
      <c r="J231" s="15" t="str">
        <f t="shared" si="14"/>
        <v/>
      </c>
    </row>
    <row r="232" spans="1:10">
      <c r="A232" s="7" t="str">
        <f>IF(子基金及业绩基准周净值!A281="","",子基金及业绩基准周净值!A281)</f>
        <v/>
      </c>
      <c r="B232" s="1" t="str">
        <f>IF(A232="","",VLOOKUP($A232,子基金及业绩基准周净值!$A:$AV,22))</f>
        <v/>
      </c>
      <c r="C232" s="8" t="str">
        <f t="shared" si="12"/>
        <v/>
      </c>
      <c r="D232" s="9" t="str">
        <f>IF(A232="","",C232-子基金及业绩基准周净值!AK281)</f>
        <v/>
      </c>
      <c r="E232" s="12" t="str">
        <f>IF(A232="","",(MAX(B$3:B232)-B232)/MAX(B$3:B232))</f>
        <v/>
      </c>
      <c r="F232" s="12" t="str">
        <f>IF(A232="","",MAX(E$4:E232))</f>
        <v/>
      </c>
      <c r="H232" s="14" t="str">
        <f t="shared" si="15"/>
        <v/>
      </c>
      <c r="I232" s="14" t="str">
        <f t="shared" si="13"/>
        <v/>
      </c>
      <c r="J232" s="15" t="str">
        <f t="shared" si="14"/>
        <v/>
      </c>
    </row>
    <row r="233" spans="1:10">
      <c r="A233" s="7" t="str">
        <f>IF(子基金及业绩基准周净值!A282="","",子基金及业绩基准周净值!A282)</f>
        <v/>
      </c>
      <c r="B233" s="1" t="str">
        <f>IF(A233="","",VLOOKUP($A233,子基金及业绩基准周净值!$A:$AV,22))</f>
        <v/>
      </c>
      <c r="C233" s="8" t="str">
        <f t="shared" si="12"/>
        <v/>
      </c>
      <c r="D233" s="9" t="str">
        <f>IF(A233="","",C233-子基金及业绩基准周净值!AK282)</f>
        <v/>
      </c>
      <c r="E233" s="12" t="str">
        <f>IF(A233="","",(MAX(B$3:B233)-B233)/MAX(B$3:B233))</f>
        <v/>
      </c>
      <c r="F233" s="12" t="str">
        <f>IF(A233="","",MAX(E$4:E233))</f>
        <v/>
      </c>
      <c r="H233" s="14" t="str">
        <f t="shared" si="15"/>
        <v/>
      </c>
      <c r="I233" s="14" t="str">
        <f t="shared" si="13"/>
        <v/>
      </c>
      <c r="J233" s="15" t="str">
        <f t="shared" si="14"/>
        <v/>
      </c>
    </row>
    <row r="234" spans="1:10">
      <c r="A234" s="7" t="str">
        <f>IF(子基金及业绩基准周净值!A283="","",子基金及业绩基准周净值!A283)</f>
        <v/>
      </c>
      <c r="B234" s="1" t="str">
        <f>IF(A234="","",VLOOKUP($A234,子基金及业绩基准周净值!$A:$AV,22))</f>
        <v/>
      </c>
      <c r="C234" s="8" t="str">
        <f t="shared" si="12"/>
        <v/>
      </c>
      <c r="D234" s="9" t="str">
        <f>IF(A234="","",C234-子基金及业绩基准周净值!AK283)</f>
        <v/>
      </c>
      <c r="E234" s="12" t="str">
        <f>IF(A234="","",(MAX(B$3:B234)-B234)/MAX(B$3:B234))</f>
        <v/>
      </c>
      <c r="F234" s="12" t="str">
        <f>IF(A234="","",MAX(E$4:E234))</f>
        <v/>
      </c>
      <c r="H234" s="14" t="str">
        <f t="shared" si="15"/>
        <v/>
      </c>
      <c r="I234" s="14" t="str">
        <f t="shared" si="13"/>
        <v/>
      </c>
      <c r="J234" s="15" t="str">
        <f t="shared" si="14"/>
        <v/>
      </c>
    </row>
    <row r="235" spans="1:10">
      <c r="A235" s="7" t="str">
        <f>IF(子基金及业绩基准周净值!A284="","",子基金及业绩基准周净值!A284)</f>
        <v/>
      </c>
      <c r="B235" s="1" t="str">
        <f>IF(A235="","",VLOOKUP($A235,子基金及业绩基准周净值!$A:$AV,22))</f>
        <v/>
      </c>
      <c r="C235" s="8" t="str">
        <f t="shared" si="12"/>
        <v/>
      </c>
      <c r="D235" s="9" t="str">
        <f>IF(A235="","",C235-子基金及业绩基准周净值!AK284)</f>
        <v/>
      </c>
      <c r="E235" s="12" t="str">
        <f>IF(A235="","",(MAX(B$3:B235)-B235)/MAX(B$3:B235))</f>
        <v/>
      </c>
      <c r="F235" s="12" t="str">
        <f>IF(A235="","",MAX(E$4:E235))</f>
        <v/>
      </c>
      <c r="H235" s="14" t="str">
        <f t="shared" si="15"/>
        <v/>
      </c>
      <c r="I235" s="14" t="str">
        <f t="shared" si="13"/>
        <v/>
      </c>
      <c r="J235" s="15" t="str">
        <f t="shared" si="14"/>
        <v/>
      </c>
    </row>
    <row r="236" spans="1:10">
      <c r="A236" s="7" t="str">
        <f>IF(子基金及业绩基准周净值!A285="","",子基金及业绩基准周净值!A285)</f>
        <v/>
      </c>
      <c r="B236" s="1" t="str">
        <f>IF(A236="","",VLOOKUP($A236,子基金及业绩基准周净值!$A:$AV,22))</f>
        <v/>
      </c>
      <c r="C236" s="8" t="str">
        <f t="shared" si="12"/>
        <v/>
      </c>
      <c r="D236" s="9" t="str">
        <f>IF(A236="","",C236-子基金及业绩基准周净值!AK285)</f>
        <v/>
      </c>
      <c r="E236" s="12" t="str">
        <f>IF(A236="","",(MAX(B$3:B236)-B236)/MAX(B$3:B236))</f>
        <v/>
      </c>
      <c r="F236" s="12" t="str">
        <f>IF(A236="","",MAX(E$4:E236))</f>
        <v/>
      </c>
      <c r="H236" s="14" t="str">
        <f t="shared" si="15"/>
        <v/>
      </c>
      <c r="I236" s="14" t="str">
        <f t="shared" si="13"/>
        <v/>
      </c>
      <c r="J236" s="15" t="str">
        <f t="shared" si="14"/>
        <v/>
      </c>
    </row>
    <row r="237" spans="1:10">
      <c r="A237" s="7" t="str">
        <f>IF(子基金及业绩基准周净值!A286="","",子基金及业绩基准周净值!A286)</f>
        <v/>
      </c>
      <c r="B237" s="1" t="str">
        <f>IF(A237="","",VLOOKUP($A237,子基金及业绩基准周净值!$A:$AV,22))</f>
        <v/>
      </c>
      <c r="C237" s="8" t="str">
        <f t="shared" si="12"/>
        <v/>
      </c>
      <c r="D237" s="9" t="str">
        <f>IF(A237="","",C237-子基金及业绩基准周净值!AK286)</f>
        <v/>
      </c>
      <c r="E237" s="12" t="str">
        <f>IF(A237="","",(MAX(B$3:B237)-B237)/MAX(B$3:B237))</f>
        <v/>
      </c>
      <c r="F237" s="12" t="str">
        <f>IF(A237="","",MAX(E$4:E237))</f>
        <v/>
      </c>
      <c r="H237" s="14" t="str">
        <f t="shared" si="15"/>
        <v/>
      </c>
      <c r="I237" s="14" t="str">
        <f t="shared" si="13"/>
        <v/>
      </c>
      <c r="J237" s="15" t="str">
        <f t="shared" si="14"/>
        <v/>
      </c>
    </row>
    <row r="238" spans="1:10">
      <c r="A238" s="7" t="str">
        <f>IF(子基金及业绩基准周净值!A287="","",子基金及业绩基准周净值!A287)</f>
        <v/>
      </c>
      <c r="B238" s="1" t="str">
        <f>IF(A238="","",VLOOKUP($A238,子基金及业绩基准周净值!$A:$AV,22))</f>
        <v/>
      </c>
      <c r="C238" s="8" t="str">
        <f t="shared" si="12"/>
        <v/>
      </c>
      <c r="D238" s="9" t="str">
        <f>IF(A238="","",C238-子基金及业绩基准周净值!AK287)</f>
        <v/>
      </c>
      <c r="E238" s="12" t="str">
        <f>IF(A238="","",(MAX(B$3:B238)-B238)/MAX(B$3:B238))</f>
        <v/>
      </c>
      <c r="F238" s="12" t="str">
        <f>IF(A238="","",MAX(E$4:E238))</f>
        <v/>
      </c>
      <c r="H238" s="14" t="str">
        <f t="shared" si="15"/>
        <v/>
      </c>
      <c r="I238" s="14" t="str">
        <f t="shared" si="13"/>
        <v/>
      </c>
      <c r="J238" s="15" t="str">
        <f t="shared" si="14"/>
        <v/>
      </c>
    </row>
    <row r="239" spans="1:10">
      <c r="A239" s="7" t="str">
        <f>IF(子基金及业绩基准周净值!A288="","",子基金及业绩基准周净值!A288)</f>
        <v/>
      </c>
      <c r="B239" s="1" t="str">
        <f>IF(A239="","",VLOOKUP($A239,子基金及业绩基准周净值!$A:$AV,22))</f>
        <v/>
      </c>
      <c r="C239" s="8" t="str">
        <f t="shared" si="12"/>
        <v/>
      </c>
      <c r="D239" s="9" t="str">
        <f>IF(A239="","",C239-子基金及业绩基准周净值!AK288)</f>
        <v/>
      </c>
      <c r="E239" s="12" t="str">
        <f>IF(A239="","",(MAX(B$3:B239)-B239)/MAX(B$3:B239))</f>
        <v/>
      </c>
      <c r="F239" s="12" t="str">
        <f>IF(A239="","",MAX(E$4:E239))</f>
        <v/>
      </c>
      <c r="H239" s="14" t="str">
        <f t="shared" si="15"/>
        <v/>
      </c>
      <c r="I239" s="14" t="str">
        <f t="shared" si="13"/>
        <v/>
      </c>
      <c r="J239" s="15" t="str">
        <f t="shared" si="14"/>
        <v/>
      </c>
    </row>
    <row r="240" spans="1:10">
      <c r="A240" s="7" t="str">
        <f>IF(子基金及业绩基准周净值!A289="","",子基金及业绩基准周净值!A289)</f>
        <v/>
      </c>
      <c r="B240" s="1" t="str">
        <f>IF(A240="","",VLOOKUP($A240,子基金及业绩基准周净值!$A:$AV,22))</f>
        <v/>
      </c>
      <c r="C240" s="8" t="str">
        <f t="shared" si="12"/>
        <v/>
      </c>
      <c r="D240" s="9" t="str">
        <f>IF(A240="","",C240-子基金及业绩基准周净值!AK289)</f>
        <v/>
      </c>
      <c r="E240" s="12" t="str">
        <f>IF(A240="","",(MAX(B$3:B240)-B240)/MAX(B$3:B240))</f>
        <v/>
      </c>
      <c r="F240" s="12" t="str">
        <f>IF(A240="","",MAX(E$4:E240))</f>
        <v/>
      </c>
      <c r="H240" s="14" t="str">
        <f t="shared" si="15"/>
        <v/>
      </c>
      <c r="I240" s="14" t="str">
        <f t="shared" si="13"/>
        <v/>
      </c>
      <c r="J240" s="15" t="str">
        <f t="shared" si="14"/>
        <v/>
      </c>
    </row>
    <row r="241" spans="1:10">
      <c r="A241" s="7" t="str">
        <f>IF(子基金及业绩基准周净值!A290="","",子基金及业绩基准周净值!A290)</f>
        <v/>
      </c>
      <c r="B241" s="1" t="str">
        <f>IF(A241="","",VLOOKUP($A241,子基金及业绩基准周净值!$A:$AV,22))</f>
        <v/>
      </c>
      <c r="C241" s="8" t="str">
        <f t="shared" si="12"/>
        <v/>
      </c>
      <c r="D241" s="9" t="str">
        <f>IF(A241="","",C241-子基金及业绩基准周净值!AK290)</f>
        <v/>
      </c>
      <c r="E241" s="12" t="str">
        <f>IF(A241="","",(MAX(B$3:B241)-B241)/MAX(B$3:B241))</f>
        <v/>
      </c>
      <c r="F241" s="12" t="str">
        <f>IF(A241="","",MAX(E$4:E241))</f>
        <v/>
      </c>
      <c r="H241" s="14" t="str">
        <f t="shared" si="15"/>
        <v/>
      </c>
      <c r="I241" s="14" t="str">
        <f t="shared" si="13"/>
        <v/>
      </c>
      <c r="J241" s="15" t="str">
        <f t="shared" si="14"/>
        <v/>
      </c>
    </row>
    <row r="242" spans="1:10">
      <c r="A242" s="7" t="str">
        <f>IF(子基金及业绩基准周净值!A291="","",子基金及业绩基准周净值!A291)</f>
        <v/>
      </c>
      <c r="B242" s="1" t="str">
        <f>IF(A242="","",VLOOKUP($A242,子基金及业绩基准周净值!$A:$AV,22))</f>
        <v/>
      </c>
      <c r="C242" s="8" t="str">
        <f t="shared" si="12"/>
        <v/>
      </c>
      <c r="D242" s="9" t="str">
        <f>IF(A242="","",C242-子基金及业绩基准周净值!AK291)</f>
        <v/>
      </c>
      <c r="E242" s="12" t="str">
        <f>IF(A242="","",(MAX(B$3:B242)-B242)/MAX(B$3:B242))</f>
        <v/>
      </c>
      <c r="F242" s="12" t="str">
        <f>IF(A242="","",MAX(E$4:E242))</f>
        <v/>
      </c>
      <c r="H242" s="14" t="str">
        <f t="shared" si="15"/>
        <v/>
      </c>
      <c r="I242" s="14" t="str">
        <f t="shared" si="13"/>
        <v/>
      </c>
      <c r="J242" s="15" t="str">
        <f t="shared" si="14"/>
        <v/>
      </c>
    </row>
    <row r="243" spans="1:10">
      <c r="A243" s="7" t="str">
        <f>IF(子基金及业绩基准周净值!A292="","",子基金及业绩基准周净值!A292)</f>
        <v/>
      </c>
      <c r="B243" s="1" t="str">
        <f>IF(A243="","",VLOOKUP($A243,子基金及业绩基准周净值!$A:$AV,22))</f>
        <v/>
      </c>
      <c r="C243" s="8" t="str">
        <f t="shared" si="12"/>
        <v/>
      </c>
      <c r="D243" s="9" t="str">
        <f>IF(A243="","",C243-子基金及业绩基准周净值!AK292)</f>
        <v/>
      </c>
      <c r="E243" s="12" t="str">
        <f>IF(A243="","",(MAX(B$3:B243)-B243)/MAX(B$3:B243))</f>
        <v/>
      </c>
      <c r="F243" s="12" t="str">
        <f>IF(A243="","",MAX(E$4:E243))</f>
        <v/>
      </c>
      <c r="H243" s="14" t="str">
        <f t="shared" si="15"/>
        <v/>
      </c>
      <c r="I243" s="14" t="str">
        <f t="shared" si="13"/>
        <v/>
      </c>
      <c r="J243" s="15" t="str">
        <f t="shared" si="14"/>
        <v/>
      </c>
    </row>
    <row r="244" spans="1:10">
      <c r="A244" s="7" t="str">
        <f>IF(子基金及业绩基准周净值!A293="","",子基金及业绩基准周净值!A293)</f>
        <v/>
      </c>
      <c r="B244" s="1" t="str">
        <f>IF(A244="","",VLOOKUP($A244,子基金及业绩基准周净值!$A:$AV,22))</f>
        <v/>
      </c>
      <c r="C244" s="8" t="str">
        <f t="shared" si="12"/>
        <v/>
      </c>
      <c r="D244" s="9" t="str">
        <f>IF(A244="","",C244-子基金及业绩基准周净值!AK293)</f>
        <v/>
      </c>
      <c r="E244" s="12" t="str">
        <f>IF(A244="","",(MAX(B$3:B244)-B244)/MAX(B$3:B244))</f>
        <v/>
      </c>
      <c r="F244" s="12" t="str">
        <f>IF(A244="","",MAX(E$4:E244))</f>
        <v/>
      </c>
      <c r="H244" s="14" t="str">
        <f t="shared" si="15"/>
        <v/>
      </c>
      <c r="I244" s="14" t="str">
        <f t="shared" si="13"/>
        <v/>
      </c>
      <c r="J244" s="15" t="str">
        <f t="shared" si="14"/>
        <v/>
      </c>
    </row>
    <row r="245" spans="1:10">
      <c r="A245" s="7" t="str">
        <f>IF(子基金及业绩基准周净值!A294="","",子基金及业绩基准周净值!A294)</f>
        <v/>
      </c>
      <c r="B245" s="1" t="str">
        <f>IF(A245="","",VLOOKUP($A245,子基金及业绩基准周净值!$A:$AV,22))</f>
        <v/>
      </c>
      <c r="C245" s="8" t="str">
        <f t="shared" si="12"/>
        <v/>
      </c>
      <c r="D245" s="9" t="str">
        <f>IF(A245="","",C245-子基金及业绩基准周净值!AK294)</f>
        <v/>
      </c>
      <c r="E245" s="12" t="str">
        <f>IF(A245="","",(MAX(B$3:B245)-B245)/MAX(B$3:B245))</f>
        <v/>
      </c>
      <c r="F245" s="12" t="str">
        <f>IF(A245="","",MAX(E$4:E245))</f>
        <v/>
      </c>
      <c r="H245" s="14" t="str">
        <f t="shared" si="15"/>
        <v/>
      </c>
      <c r="I245" s="14" t="str">
        <f t="shared" si="13"/>
        <v/>
      </c>
      <c r="J245" s="15" t="str">
        <f t="shared" si="14"/>
        <v/>
      </c>
    </row>
    <row r="246" spans="1:10">
      <c r="A246" s="7" t="str">
        <f>IF(子基金及业绩基准周净值!A295="","",子基金及业绩基准周净值!A295)</f>
        <v/>
      </c>
      <c r="B246" s="1" t="str">
        <f>IF(A246="","",VLOOKUP($A246,子基金及业绩基准周净值!$A:$AV,22))</f>
        <v/>
      </c>
      <c r="C246" s="8" t="str">
        <f t="shared" si="12"/>
        <v/>
      </c>
      <c r="D246" s="9" t="str">
        <f>IF(A246="","",C246-子基金及业绩基准周净值!AK295)</f>
        <v/>
      </c>
      <c r="E246" s="12" t="str">
        <f>IF(A246="","",(MAX(B$3:B246)-B246)/MAX(B$3:B246))</f>
        <v/>
      </c>
      <c r="F246" s="12" t="str">
        <f>IF(A246="","",MAX(E$4:E246))</f>
        <v/>
      </c>
      <c r="H246" s="14" t="str">
        <f t="shared" si="15"/>
        <v/>
      </c>
      <c r="I246" s="14" t="str">
        <f t="shared" si="13"/>
        <v/>
      </c>
      <c r="J246" s="15" t="str">
        <f t="shared" si="14"/>
        <v/>
      </c>
    </row>
    <row r="247" spans="1:10">
      <c r="A247" s="7" t="str">
        <f>IF(子基金及业绩基准周净值!A296="","",子基金及业绩基准周净值!A296)</f>
        <v/>
      </c>
      <c r="B247" s="1" t="str">
        <f>IF(A247="","",VLOOKUP($A247,子基金及业绩基准周净值!$A:$AV,22))</f>
        <v/>
      </c>
      <c r="C247" s="8" t="str">
        <f t="shared" si="12"/>
        <v/>
      </c>
      <c r="D247" s="9" t="str">
        <f>IF(A247="","",C247-子基金及业绩基准周净值!AK296)</f>
        <v/>
      </c>
      <c r="E247" s="12" t="str">
        <f>IF(A247="","",(MAX(B$3:B247)-B247)/MAX(B$3:B247))</f>
        <v/>
      </c>
      <c r="F247" s="12" t="str">
        <f>IF(A247="","",MAX(E$4:E247))</f>
        <v/>
      </c>
      <c r="H247" s="14" t="str">
        <f t="shared" si="15"/>
        <v/>
      </c>
      <c r="I247" s="14" t="str">
        <f t="shared" si="13"/>
        <v/>
      </c>
      <c r="J247" s="15" t="str">
        <f t="shared" si="14"/>
        <v/>
      </c>
    </row>
    <row r="248" spans="1:10">
      <c r="A248" s="7" t="str">
        <f>IF(子基金及业绩基准周净值!A297="","",子基金及业绩基准周净值!A297)</f>
        <v/>
      </c>
      <c r="B248" s="1" t="str">
        <f>IF(A248="","",VLOOKUP($A248,子基金及业绩基准周净值!$A:$AV,22))</f>
        <v/>
      </c>
      <c r="C248" s="8" t="str">
        <f t="shared" si="12"/>
        <v/>
      </c>
      <c r="D248" s="9" t="str">
        <f>IF(A248="","",C248-子基金及业绩基准周净值!AK297)</f>
        <v/>
      </c>
      <c r="E248" s="12" t="str">
        <f>IF(A248="","",(MAX(B$3:B248)-B248)/MAX(B$3:B248))</f>
        <v/>
      </c>
      <c r="F248" s="12" t="str">
        <f>IF(A248="","",MAX(E$4:E248))</f>
        <v/>
      </c>
      <c r="H248" s="14" t="str">
        <f t="shared" si="15"/>
        <v/>
      </c>
      <c r="I248" s="14" t="str">
        <f t="shared" si="13"/>
        <v/>
      </c>
      <c r="J248" s="15" t="str">
        <f t="shared" si="14"/>
        <v/>
      </c>
    </row>
    <row r="249" spans="1:10">
      <c r="A249" s="7" t="str">
        <f>IF(子基金及业绩基准周净值!A298="","",子基金及业绩基准周净值!A298)</f>
        <v/>
      </c>
      <c r="B249" s="1" t="str">
        <f>IF(A249="","",VLOOKUP($A249,子基金及业绩基准周净值!$A:$AV,22))</f>
        <v/>
      </c>
      <c r="C249" s="8" t="str">
        <f t="shared" si="12"/>
        <v/>
      </c>
      <c r="D249" s="9" t="str">
        <f>IF(A249="","",C249-子基金及业绩基准周净值!AK298)</f>
        <v/>
      </c>
      <c r="E249" s="12" t="str">
        <f>IF(A249="","",(MAX(B$3:B249)-B249)/MAX(B$3:B249))</f>
        <v/>
      </c>
      <c r="F249" s="12" t="str">
        <f>IF(A249="","",MAX(E$4:E249))</f>
        <v/>
      </c>
      <c r="H249" s="14" t="str">
        <f t="shared" si="15"/>
        <v/>
      </c>
      <c r="I249" s="14" t="str">
        <f t="shared" si="13"/>
        <v/>
      </c>
      <c r="J249" s="15" t="str">
        <f t="shared" si="14"/>
        <v/>
      </c>
    </row>
    <row r="250" spans="1:10">
      <c r="A250" s="7" t="str">
        <f>IF(子基金及业绩基准周净值!A299="","",子基金及业绩基准周净值!A299)</f>
        <v/>
      </c>
      <c r="B250" s="1" t="str">
        <f>IF(A250="","",VLOOKUP($A250,子基金及业绩基准周净值!$A:$AV,22))</f>
        <v/>
      </c>
      <c r="C250" s="8" t="str">
        <f t="shared" si="12"/>
        <v/>
      </c>
      <c r="D250" s="9" t="str">
        <f>IF(A250="","",C250-子基金及业绩基准周净值!AK299)</f>
        <v/>
      </c>
      <c r="E250" s="12" t="str">
        <f>IF(A250="","",(MAX(B$3:B250)-B250)/MAX(B$3:B250))</f>
        <v/>
      </c>
      <c r="F250" s="12" t="str">
        <f>IF(A250="","",MAX(E$4:E250))</f>
        <v/>
      </c>
      <c r="H250" s="14" t="str">
        <f t="shared" si="15"/>
        <v/>
      </c>
      <c r="I250" s="14" t="str">
        <f t="shared" si="13"/>
        <v/>
      </c>
      <c r="J250" s="15" t="str">
        <f t="shared" si="14"/>
        <v/>
      </c>
    </row>
    <row r="251" spans="1:10">
      <c r="A251" s="7" t="str">
        <f>IF(子基金及业绩基准周净值!A300="","",子基金及业绩基准周净值!A300)</f>
        <v/>
      </c>
      <c r="B251" s="1" t="str">
        <f>IF(A251="","",VLOOKUP($A251,子基金及业绩基准周净值!$A:$AV,22))</f>
        <v/>
      </c>
      <c r="C251" s="8" t="str">
        <f t="shared" si="12"/>
        <v/>
      </c>
      <c r="D251" s="9" t="str">
        <f>IF(A251="","",C251-子基金及业绩基准周净值!AK300)</f>
        <v/>
      </c>
      <c r="E251" s="12" t="str">
        <f>IF(A251="","",(MAX(B$3:B251)-B251)/MAX(B$3:B251))</f>
        <v/>
      </c>
      <c r="F251" s="12" t="str">
        <f>IF(A251="","",MAX(E$4:E251))</f>
        <v/>
      </c>
      <c r="H251" s="14" t="str">
        <f t="shared" si="15"/>
        <v/>
      </c>
      <c r="I251" s="14" t="str">
        <f t="shared" si="13"/>
        <v/>
      </c>
      <c r="J251" s="15" t="str">
        <f t="shared" si="14"/>
        <v/>
      </c>
    </row>
    <row r="252" spans="1:10">
      <c r="A252" s="7" t="str">
        <f>IF(子基金及业绩基准周净值!A301="","",子基金及业绩基准周净值!A301)</f>
        <v/>
      </c>
      <c r="B252" s="1" t="str">
        <f>IF(A252="","",VLOOKUP($A252,子基金及业绩基准周净值!$A:$AV,22))</f>
        <v/>
      </c>
      <c r="C252" s="8" t="str">
        <f t="shared" si="12"/>
        <v/>
      </c>
      <c r="D252" s="9" t="str">
        <f>IF(A252="","",C252-子基金及业绩基准周净值!AK301)</f>
        <v/>
      </c>
      <c r="E252" s="12" t="str">
        <f>IF(A252="","",(MAX(B$3:B252)-B252)/MAX(B$3:B252))</f>
        <v/>
      </c>
      <c r="F252" s="12" t="str">
        <f>IF(A252="","",MAX(E$4:E252))</f>
        <v/>
      </c>
      <c r="H252" s="14" t="str">
        <f t="shared" si="15"/>
        <v/>
      </c>
      <c r="I252" s="14" t="str">
        <f t="shared" si="13"/>
        <v/>
      </c>
      <c r="J252" s="15" t="str">
        <f t="shared" si="14"/>
        <v/>
      </c>
    </row>
    <row r="253" spans="1:10">
      <c r="A253" s="7" t="str">
        <f>IF(子基金及业绩基准周净值!A302="","",子基金及业绩基准周净值!A302)</f>
        <v/>
      </c>
      <c r="B253" s="1" t="str">
        <f>IF(A253="","",VLOOKUP($A253,子基金及业绩基准周净值!$A:$AV,22))</f>
        <v/>
      </c>
      <c r="C253" s="8" t="str">
        <f t="shared" si="12"/>
        <v/>
      </c>
      <c r="D253" s="9" t="str">
        <f>IF(A253="","",C253-子基金及业绩基准周净值!AK302)</f>
        <v/>
      </c>
      <c r="E253" s="12" t="str">
        <f>IF(A253="","",(MAX(B$3:B253)-B253)/MAX(B$3:B253))</f>
        <v/>
      </c>
      <c r="F253" s="12" t="str">
        <f>IF(A253="","",MAX(E$4:E253))</f>
        <v/>
      </c>
      <c r="H253" s="14" t="str">
        <f t="shared" si="15"/>
        <v/>
      </c>
      <c r="I253" s="14" t="str">
        <f t="shared" si="13"/>
        <v/>
      </c>
      <c r="J253" s="15" t="str">
        <f t="shared" si="14"/>
        <v/>
      </c>
    </row>
    <row r="254" spans="1:10">
      <c r="A254" s="7" t="str">
        <f>IF(子基金及业绩基准周净值!A303="","",子基金及业绩基准周净值!A303)</f>
        <v/>
      </c>
      <c r="B254" s="1" t="str">
        <f>IF(A254="","",VLOOKUP($A254,子基金及业绩基准周净值!$A:$AV,22))</f>
        <v/>
      </c>
      <c r="C254" s="8" t="str">
        <f t="shared" si="12"/>
        <v/>
      </c>
      <c r="D254" s="9" t="str">
        <f>IF(A254="","",C254-子基金及业绩基准周净值!AK303)</f>
        <v/>
      </c>
      <c r="E254" s="12" t="str">
        <f>IF(A254="","",(MAX(B$3:B254)-B254)/MAX(B$3:B254))</f>
        <v/>
      </c>
      <c r="F254" s="12" t="str">
        <f>IF(A254="","",MAX(E$4:E254))</f>
        <v/>
      </c>
      <c r="H254" s="14" t="str">
        <f t="shared" si="15"/>
        <v/>
      </c>
      <c r="I254" s="14" t="str">
        <f t="shared" si="13"/>
        <v/>
      </c>
      <c r="J254" s="15" t="str">
        <f t="shared" si="14"/>
        <v/>
      </c>
    </row>
    <row r="255" spans="1:10">
      <c r="A255" s="7" t="str">
        <f>IF(子基金及业绩基准周净值!A304="","",子基金及业绩基准周净值!A304)</f>
        <v/>
      </c>
      <c r="B255" s="1" t="str">
        <f>IF(A255="","",VLOOKUP($A255,子基金及业绩基准周净值!$A:$AV,22))</f>
        <v/>
      </c>
      <c r="C255" s="8" t="str">
        <f t="shared" si="12"/>
        <v/>
      </c>
      <c r="D255" s="9" t="str">
        <f>IF(A255="","",C255-子基金及业绩基准周净值!AK304)</f>
        <v/>
      </c>
      <c r="E255" s="12" t="str">
        <f>IF(A255="","",(MAX(B$3:B255)-B255)/MAX(B$3:B255))</f>
        <v/>
      </c>
      <c r="F255" s="12" t="str">
        <f>IF(A255="","",MAX(E$4:E255))</f>
        <v/>
      </c>
      <c r="H255" s="14" t="str">
        <f t="shared" si="15"/>
        <v/>
      </c>
      <c r="I255" s="14" t="str">
        <f t="shared" si="13"/>
        <v/>
      </c>
      <c r="J255" s="15" t="str">
        <f t="shared" si="14"/>
        <v/>
      </c>
    </row>
    <row r="256" spans="1:10">
      <c r="A256" s="7" t="str">
        <f>IF(子基金及业绩基准周净值!A305="","",子基金及业绩基准周净值!A305)</f>
        <v/>
      </c>
      <c r="B256" s="1" t="str">
        <f>IF(A256="","",VLOOKUP($A256,子基金及业绩基准周净值!$A:$AV,22))</f>
        <v/>
      </c>
      <c r="C256" s="8" t="str">
        <f t="shared" si="12"/>
        <v/>
      </c>
      <c r="D256" s="9" t="str">
        <f>IF(A256="","",C256-子基金及业绩基准周净值!AK305)</f>
        <v/>
      </c>
      <c r="E256" s="12" t="str">
        <f>IF(A256="","",(MAX(B$3:B256)-B256)/MAX(B$3:B256))</f>
        <v/>
      </c>
      <c r="F256" s="12" t="str">
        <f>IF(A256="","",MAX(E$4:E256))</f>
        <v/>
      </c>
      <c r="H256" s="14" t="str">
        <f t="shared" si="15"/>
        <v/>
      </c>
      <c r="I256" s="14" t="str">
        <f t="shared" si="13"/>
        <v/>
      </c>
      <c r="J256" s="15" t="str">
        <f t="shared" si="14"/>
        <v/>
      </c>
    </row>
    <row r="257" spans="1:10">
      <c r="A257" s="7" t="str">
        <f>IF(子基金及业绩基准周净值!A306="","",子基金及业绩基准周净值!A306)</f>
        <v/>
      </c>
      <c r="B257" s="1" t="str">
        <f>IF(A257="","",VLOOKUP($A257,子基金及业绩基准周净值!$A:$AV,22))</f>
        <v/>
      </c>
      <c r="C257" s="8" t="str">
        <f t="shared" si="12"/>
        <v/>
      </c>
      <c r="D257" s="9" t="str">
        <f>IF(A257="","",C257-子基金及业绩基准周净值!AK306)</f>
        <v/>
      </c>
      <c r="E257" s="12" t="str">
        <f>IF(A257="","",(MAX(B$3:B257)-B257)/MAX(B$3:B257))</f>
        <v/>
      </c>
      <c r="F257" s="12" t="str">
        <f>IF(A257="","",MAX(E$4:E257))</f>
        <v/>
      </c>
      <c r="H257" s="14" t="str">
        <f t="shared" si="15"/>
        <v/>
      </c>
      <c r="I257" s="14" t="str">
        <f t="shared" si="13"/>
        <v/>
      </c>
      <c r="J257" s="15" t="str">
        <f t="shared" si="14"/>
        <v/>
      </c>
    </row>
    <row r="258" spans="1:10">
      <c r="A258" s="7" t="str">
        <f>IF(子基金及业绩基准周净值!A307="","",子基金及业绩基准周净值!A307)</f>
        <v/>
      </c>
      <c r="B258" s="1" t="str">
        <f>IF(A258="","",VLOOKUP($A258,子基金及业绩基准周净值!$A:$AV,22))</f>
        <v/>
      </c>
      <c r="C258" s="8" t="str">
        <f t="shared" si="12"/>
        <v/>
      </c>
      <c r="D258" s="9" t="str">
        <f>IF(A258="","",C258-子基金及业绩基准周净值!AK307)</f>
        <v/>
      </c>
      <c r="E258" s="12" t="str">
        <f>IF(A258="","",(MAX(B$3:B258)-B258)/MAX(B$3:B258))</f>
        <v/>
      </c>
      <c r="F258" s="12" t="str">
        <f>IF(A258="","",MAX(E$4:E258))</f>
        <v/>
      </c>
      <c r="H258" s="14" t="str">
        <f t="shared" si="15"/>
        <v/>
      </c>
      <c r="I258" s="14" t="str">
        <f t="shared" si="13"/>
        <v/>
      </c>
      <c r="J258" s="15" t="str">
        <f t="shared" si="14"/>
        <v/>
      </c>
    </row>
    <row r="259" spans="1:10">
      <c r="A259" s="7" t="str">
        <f>IF(子基金及业绩基准周净值!A308="","",子基金及业绩基准周净值!A308)</f>
        <v/>
      </c>
      <c r="B259" s="1" t="str">
        <f>IF(A259="","",VLOOKUP($A259,子基金及业绩基准周净值!$A:$AV,22))</f>
        <v/>
      </c>
      <c r="C259" s="8" t="str">
        <f t="shared" si="12"/>
        <v/>
      </c>
      <c r="D259" s="9" t="str">
        <f>IF(A259="","",C259-子基金及业绩基准周净值!AK308)</f>
        <v/>
      </c>
      <c r="E259" s="12" t="str">
        <f>IF(A259="","",(MAX(B$3:B259)-B259)/MAX(B$3:B259))</f>
        <v/>
      </c>
      <c r="F259" s="12" t="str">
        <f>IF(A259="","",MAX(E$4:E259))</f>
        <v/>
      </c>
      <c r="H259" s="14" t="str">
        <f t="shared" si="15"/>
        <v/>
      </c>
      <c r="I259" s="14" t="str">
        <f t="shared" si="13"/>
        <v/>
      </c>
      <c r="J259" s="15" t="str">
        <f t="shared" si="14"/>
        <v/>
      </c>
    </row>
    <row r="260" spans="1:10">
      <c r="A260" s="7" t="str">
        <f>IF(子基金及业绩基准周净值!A309="","",子基金及业绩基准周净值!A309)</f>
        <v/>
      </c>
      <c r="B260" s="1" t="str">
        <f>IF(A260="","",VLOOKUP($A260,子基金及业绩基准周净值!$A:$AV,22))</f>
        <v/>
      </c>
      <c r="C260" s="8" t="str">
        <f t="shared" ref="C260:C308" si="16">IF(A260="","",(B260-B259)/B259)</f>
        <v/>
      </c>
      <c r="D260" s="9" t="str">
        <f>IF(A260="","",C260-子基金及业绩基准周净值!AK309)</f>
        <v/>
      </c>
      <c r="E260" s="12" t="str">
        <f>IF(A260="","",(MAX(B$3:B260)-B260)/MAX(B$3:B260))</f>
        <v/>
      </c>
      <c r="F260" s="12" t="str">
        <f>IF(A260="","",MAX(E$4:E260))</f>
        <v/>
      </c>
      <c r="H260" s="14" t="str">
        <f t="shared" si="15"/>
        <v/>
      </c>
      <c r="I260" s="14" t="str">
        <f t="shared" ref="I260:I308" si="17">IF(A260="","",IF(F260&gt;5%,"是","否"))</f>
        <v/>
      </c>
      <c r="J260" s="15" t="str">
        <f t="shared" ref="J260:J308" si="18">IF(A260="","",IF(G260&gt;=4,"是","否"))</f>
        <v/>
      </c>
    </row>
    <row r="261" spans="1:10">
      <c r="A261" s="7" t="str">
        <f>IF(子基金及业绩基准周净值!A310="","",子基金及业绩基准周净值!A310)</f>
        <v/>
      </c>
      <c r="B261" s="1" t="str">
        <f>IF(A261="","",VLOOKUP($A261,子基金及业绩基准周净值!$A:$AV,22))</f>
        <v/>
      </c>
      <c r="C261" s="8" t="str">
        <f t="shared" si="16"/>
        <v/>
      </c>
      <c r="D261" s="9" t="str">
        <f>IF(A261="","",C261-子基金及业绩基准周净值!AK310)</f>
        <v/>
      </c>
      <c r="E261" s="12" t="str">
        <f>IF(A261="","",(MAX(B$3:B261)-B261)/MAX(B$3:B261))</f>
        <v/>
      </c>
      <c r="F261" s="12" t="str">
        <f>IF(A261="","",MAX(E$4:E261))</f>
        <v/>
      </c>
      <c r="H261" s="14" t="str">
        <f t="shared" ref="H261:H308" si="19">IF(B261="","",IF(C261&lt;-3%,"是","否"))</f>
        <v/>
      </c>
      <c r="I261" s="14" t="str">
        <f t="shared" si="17"/>
        <v/>
      </c>
      <c r="J261" s="15" t="str">
        <f t="shared" si="18"/>
        <v/>
      </c>
    </row>
    <row r="262" spans="1:10">
      <c r="A262" s="7" t="str">
        <f>IF(子基金及业绩基准周净值!A311="","",子基金及业绩基准周净值!A311)</f>
        <v/>
      </c>
      <c r="B262" s="1" t="str">
        <f>IF(A262="","",VLOOKUP($A262,子基金及业绩基准周净值!$A:$AV,22))</f>
        <v/>
      </c>
      <c r="C262" s="8" t="str">
        <f t="shared" si="16"/>
        <v/>
      </c>
      <c r="D262" s="9" t="str">
        <f>IF(A262="","",C262-子基金及业绩基准周净值!AK311)</f>
        <v/>
      </c>
      <c r="E262" s="12" t="str">
        <f>IF(A262="","",(MAX(B$3:B262)-B262)/MAX(B$3:B262))</f>
        <v/>
      </c>
      <c r="F262" s="12" t="str">
        <f>IF(A262="","",MAX(E$4:E262))</f>
        <v/>
      </c>
      <c r="H262" s="14" t="str">
        <f t="shared" si="19"/>
        <v/>
      </c>
      <c r="I262" s="14" t="str">
        <f t="shared" si="17"/>
        <v/>
      </c>
      <c r="J262" s="15" t="str">
        <f t="shared" si="18"/>
        <v/>
      </c>
    </row>
    <row r="263" spans="1:10">
      <c r="A263" s="7" t="str">
        <f>IF(子基金及业绩基准周净值!A312="","",子基金及业绩基准周净值!A312)</f>
        <v/>
      </c>
      <c r="B263" s="1" t="str">
        <f>IF(A263="","",VLOOKUP($A263,子基金及业绩基准周净值!$A:$AV,22))</f>
        <v/>
      </c>
      <c r="C263" s="8" t="str">
        <f t="shared" si="16"/>
        <v/>
      </c>
      <c r="D263" s="9" t="str">
        <f>IF(A263="","",C263-子基金及业绩基准周净值!AK312)</f>
        <v/>
      </c>
      <c r="E263" s="12" t="str">
        <f>IF(A263="","",(MAX(B$3:B263)-B263)/MAX(B$3:B263))</f>
        <v/>
      </c>
      <c r="F263" s="12" t="str">
        <f>IF(A263="","",MAX(E$4:E263))</f>
        <v/>
      </c>
      <c r="H263" s="14" t="str">
        <f t="shared" si="19"/>
        <v/>
      </c>
      <c r="I263" s="14" t="str">
        <f t="shared" si="17"/>
        <v/>
      </c>
      <c r="J263" s="15" t="str">
        <f t="shared" si="18"/>
        <v/>
      </c>
    </row>
    <row r="264" spans="1:10">
      <c r="A264" s="7" t="str">
        <f>IF(子基金及业绩基准周净值!A313="","",子基金及业绩基准周净值!A313)</f>
        <v/>
      </c>
      <c r="B264" s="1" t="str">
        <f>IF(A264="","",VLOOKUP($A264,子基金及业绩基准周净值!$A:$AV,22))</f>
        <v/>
      </c>
      <c r="C264" s="8" t="str">
        <f t="shared" si="16"/>
        <v/>
      </c>
      <c r="D264" s="9" t="str">
        <f>IF(A264="","",C264-子基金及业绩基准周净值!AK313)</f>
        <v/>
      </c>
      <c r="E264" s="12" t="str">
        <f>IF(A264="","",(MAX(B$3:B264)-B264)/MAX(B$3:B264))</f>
        <v/>
      </c>
      <c r="F264" s="12" t="str">
        <f>IF(A264="","",MAX(E$4:E264))</f>
        <v/>
      </c>
      <c r="H264" s="14" t="str">
        <f t="shared" si="19"/>
        <v/>
      </c>
      <c r="I264" s="14" t="str">
        <f t="shared" si="17"/>
        <v/>
      </c>
      <c r="J264" s="15" t="str">
        <f t="shared" si="18"/>
        <v/>
      </c>
    </row>
    <row r="265" spans="1:10">
      <c r="A265" s="7" t="str">
        <f>IF(子基金及业绩基准周净值!A314="","",子基金及业绩基准周净值!A314)</f>
        <v/>
      </c>
      <c r="B265" s="1" t="str">
        <f>IF(A265="","",VLOOKUP($A265,子基金及业绩基准周净值!$A:$AV,22))</f>
        <v/>
      </c>
      <c r="C265" s="8" t="str">
        <f t="shared" si="16"/>
        <v/>
      </c>
      <c r="D265" s="9" t="str">
        <f>IF(A265="","",C265-子基金及业绩基准周净值!AK314)</f>
        <v/>
      </c>
      <c r="E265" s="12" t="str">
        <f>IF(A265="","",(MAX(B$3:B265)-B265)/MAX(B$3:B265))</f>
        <v/>
      </c>
      <c r="F265" s="12" t="str">
        <f>IF(A265="","",MAX(E$4:E265))</f>
        <v/>
      </c>
      <c r="H265" s="14" t="str">
        <f t="shared" si="19"/>
        <v/>
      </c>
      <c r="I265" s="14" t="str">
        <f t="shared" si="17"/>
        <v/>
      </c>
      <c r="J265" s="15" t="str">
        <f t="shared" si="18"/>
        <v/>
      </c>
    </row>
    <row r="266" spans="1:10">
      <c r="A266" s="7" t="str">
        <f>IF(子基金及业绩基准周净值!A315="","",子基金及业绩基准周净值!A315)</f>
        <v/>
      </c>
      <c r="B266" s="1" t="str">
        <f>IF(A266="","",VLOOKUP($A266,子基金及业绩基准周净值!$A:$AV,22))</f>
        <v/>
      </c>
      <c r="C266" s="8" t="str">
        <f t="shared" si="16"/>
        <v/>
      </c>
      <c r="D266" s="9" t="str">
        <f>IF(A266="","",C266-子基金及业绩基准周净值!AK315)</f>
        <v/>
      </c>
      <c r="E266" s="12" t="str">
        <f>IF(A266="","",(MAX(B$3:B266)-B266)/MAX(B$3:B266))</f>
        <v/>
      </c>
      <c r="F266" s="12" t="str">
        <f>IF(A266="","",MAX(E$4:E266))</f>
        <v/>
      </c>
      <c r="H266" s="14" t="str">
        <f t="shared" si="19"/>
        <v/>
      </c>
      <c r="I266" s="14" t="str">
        <f t="shared" si="17"/>
        <v/>
      </c>
      <c r="J266" s="15" t="str">
        <f t="shared" si="18"/>
        <v/>
      </c>
    </row>
    <row r="267" spans="1:10">
      <c r="A267" s="7" t="str">
        <f>IF(子基金及业绩基准周净值!A316="","",子基金及业绩基准周净值!A316)</f>
        <v/>
      </c>
      <c r="B267" s="1" t="str">
        <f>IF(A267="","",VLOOKUP($A267,子基金及业绩基准周净值!$A:$AV,22))</f>
        <v/>
      </c>
      <c r="C267" s="8" t="str">
        <f t="shared" si="16"/>
        <v/>
      </c>
      <c r="D267" s="9" t="str">
        <f>IF(A267="","",C267-子基金及业绩基准周净值!AK316)</f>
        <v/>
      </c>
      <c r="E267" s="12" t="str">
        <f>IF(A267="","",(MAX(B$3:B267)-B267)/MAX(B$3:B267))</f>
        <v/>
      </c>
      <c r="F267" s="12" t="str">
        <f>IF(A267="","",MAX(E$4:E267))</f>
        <v/>
      </c>
      <c r="H267" s="14" t="str">
        <f t="shared" si="19"/>
        <v/>
      </c>
      <c r="I267" s="14" t="str">
        <f t="shared" si="17"/>
        <v/>
      </c>
      <c r="J267" s="15" t="str">
        <f t="shared" si="18"/>
        <v/>
      </c>
    </row>
    <row r="268" spans="1:10">
      <c r="A268" s="7" t="str">
        <f>IF(子基金及业绩基准周净值!A317="","",子基金及业绩基准周净值!A317)</f>
        <v/>
      </c>
      <c r="B268" s="1" t="str">
        <f>IF(A268="","",VLOOKUP($A268,子基金及业绩基准周净值!$A:$AV,22))</f>
        <v/>
      </c>
      <c r="C268" s="8" t="str">
        <f t="shared" si="16"/>
        <v/>
      </c>
      <c r="D268" s="9" t="str">
        <f>IF(A268="","",C268-子基金及业绩基准周净值!AK317)</f>
        <v/>
      </c>
      <c r="E268" s="12" t="str">
        <f>IF(A268="","",(MAX(B$3:B268)-B268)/MAX(B$3:B268))</f>
        <v/>
      </c>
      <c r="F268" s="12" t="str">
        <f>IF(A268="","",MAX(E$4:E268))</f>
        <v/>
      </c>
      <c r="H268" s="14" t="str">
        <f t="shared" si="19"/>
        <v/>
      </c>
      <c r="I268" s="14" t="str">
        <f t="shared" si="17"/>
        <v/>
      </c>
      <c r="J268" s="15" t="str">
        <f t="shared" si="18"/>
        <v/>
      </c>
    </row>
    <row r="269" spans="1:10">
      <c r="A269" s="7" t="str">
        <f>IF(子基金及业绩基准周净值!A318="","",子基金及业绩基准周净值!A318)</f>
        <v/>
      </c>
      <c r="B269" s="1" t="str">
        <f>IF(A269="","",VLOOKUP($A269,子基金及业绩基准周净值!$A:$AV,22))</f>
        <v/>
      </c>
      <c r="C269" s="8" t="str">
        <f t="shared" si="16"/>
        <v/>
      </c>
      <c r="D269" s="9" t="str">
        <f>IF(A269="","",C269-子基金及业绩基准周净值!AK318)</f>
        <v/>
      </c>
      <c r="E269" s="12" t="str">
        <f>IF(A269="","",(MAX(B$3:B269)-B269)/MAX(B$3:B269))</f>
        <v/>
      </c>
      <c r="F269" s="12" t="str">
        <f>IF(A269="","",MAX(E$4:E269))</f>
        <v/>
      </c>
      <c r="H269" s="14" t="str">
        <f t="shared" si="19"/>
        <v/>
      </c>
      <c r="I269" s="14" t="str">
        <f t="shared" si="17"/>
        <v/>
      </c>
      <c r="J269" s="15" t="str">
        <f t="shared" si="18"/>
        <v/>
      </c>
    </row>
    <row r="270" spans="1:10">
      <c r="A270" s="7" t="str">
        <f>IF(子基金及业绩基准周净值!A319="","",子基金及业绩基准周净值!A319)</f>
        <v/>
      </c>
      <c r="B270" s="1" t="str">
        <f>IF(A270="","",VLOOKUP($A270,子基金及业绩基准周净值!$A:$AV,22))</f>
        <v/>
      </c>
      <c r="C270" s="8" t="str">
        <f t="shared" si="16"/>
        <v/>
      </c>
      <c r="D270" s="9" t="str">
        <f>IF(A270="","",C270-子基金及业绩基准周净值!AK319)</f>
        <v/>
      </c>
      <c r="E270" s="12" t="str">
        <f>IF(A270="","",(MAX(B$3:B270)-B270)/MAX(B$3:B270))</f>
        <v/>
      </c>
      <c r="F270" s="12" t="str">
        <f>IF(A270="","",MAX(E$4:E270))</f>
        <v/>
      </c>
      <c r="H270" s="14" t="str">
        <f t="shared" si="19"/>
        <v/>
      </c>
      <c r="I270" s="14" t="str">
        <f t="shared" si="17"/>
        <v/>
      </c>
      <c r="J270" s="15" t="str">
        <f t="shared" si="18"/>
        <v/>
      </c>
    </row>
    <row r="271" spans="1:10">
      <c r="A271" s="7" t="str">
        <f>IF(子基金及业绩基准周净值!A320="","",子基金及业绩基准周净值!A320)</f>
        <v/>
      </c>
      <c r="B271" s="1" t="str">
        <f>IF(A271="","",VLOOKUP($A271,子基金及业绩基准周净值!$A:$AV,22))</f>
        <v/>
      </c>
      <c r="C271" s="8" t="str">
        <f t="shared" si="16"/>
        <v/>
      </c>
      <c r="D271" s="9" t="str">
        <f>IF(A271="","",C271-子基金及业绩基准周净值!AK320)</f>
        <v/>
      </c>
      <c r="E271" s="12" t="str">
        <f>IF(A271="","",(MAX(B$3:B271)-B271)/MAX(B$3:B271))</f>
        <v/>
      </c>
      <c r="F271" s="12" t="str">
        <f>IF(A271="","",MAX(E$4:E271))</f>
        <v/>
      </c>
      <c r="H271" s="14" t="str">
        <f t="shared" si="19"/>
        <v/>
      </c>
      <c r="I271" s="14" t="str">
        <f t="shared" si="17"/>
        <v/>
      </c>
      <c r="J271" s="15" t="str">
        <f t="shared" si="18"/>
        <v/>
      </c>
    </row>
    <row r="272" spans="1:10">
      <c r="A272" s="7" t="str">
        <f>IF(子基金及业绩基准周净值!A321="","",子基金及业绩基准周净值!A321)</f>
        <v/>
      </c>
      <c r="B272" s="1" t="str">
        <f>IF(A272="","",VLOOKUP($A272,子基金及业绩基准周净值!$A:$AV,22))</f>
        <v/>
      </c>
      <c r="C272" s="8" t="str">
        <f t="shared" si="16"/>
        <v/>
      </c>
      <c r="D272" s="9" t="str">
        <f>IF(A272="","",C272-子基金及业绩基准周净值!AK321)</f>
        <v/>
      </c>
      <c r="E272" s="12" t="str">
        <f>IF(A272="","",(MAX(B$3:B272)-B272)/MAX(B$3:B272))</f>
        <v/>
      </c>
      <c r="F272" s="12" t="str">
        <f>IF(A272="","",MAX(E$4:E272))</f>
        <v/>
      </c>
      <c r="H272" s="14" t="str">
        <f t="shared" si="19"/>
        <v/>
      </c>
      <c r="I272" s="14" t="str">
        <f t="shared" si="17"/>
        <v/>
      </c>
      <c r="J272" s="15" t="str">
        <f t="shared" si="18"/>
        <v/>
      </c>
    </row>
    <row r="273" spans="1:10">
      <c r="A273" s="7" t="str">
        <f>IF(子基金及业绩基准周净值!A322="","",子基金及业绩基准周净值!A322)</f>
        <v/>
      </c>
      <c r="B273" s="1" t="str">
        <f>IF(A273="","",VLOOKUP($A273,子基金及业绩基准周净值!$A:$AV,22))</f>
        <v/>
      </c>
      <c r="C273" s="8" t="str">
        <f t="shared" si="16"/>
        <v/>
      </c>
      <c r="D273" s="9" t="str">
        <f>IF(A273="","",C273-子基金及业绩基准周净值!AK322)</f>
        <v/>
      </c>
      <c r="E273" s="12" t="str">
        <f>IF(A273="","",(MAX(B$3:B273)-B273)/MAX(B$3:B273))</f>
        <v/>
      </c>
      <c r="F273" s="12" t="str">
        <f>IF(A273="","",MAX(E$4:E273))</f>
        <v/>
      </c>
      <c r="H273" s="14" t="str">
        <f t="shared" si="19"/>
        <v/>
      </c>
      <c r="I273" s="14" t="str">
        <f t="shared" si="17"/>
        <v/>
      </c>
      <c r="J273" s="15" t="str">
        <f t="shared" si="18"/>
        <v/>
      </c>
    </row>
    <row r="274" spans="1:10">
      <c r="A274" s="7" t="str">
        <f>IF(子基金及业绩基准周净值!A323="","",子基金及业绩基准周净值!A323)</f>
        <v/>
      </c>
      <c r="B274" s="1" t="str">
        <f>IF(A274="","",VLOOKUP($A274,子基金及业绩基准周净值!$A:$AV,22))</f>
        <v/>
      </c>
      <c r="C274" s="8" t="str">
        <f t="shared" si="16"/>
        <v/>
      </c>
      <c r="D274" s="9" t="str">
        <f>IF(A274="","",C274-子基金及业绩基准周净值!AK323)</f>
        <v/>
      </c>
      <c r="E274" s="12" t="str">
        <f>IF(A274="","",(MAX(B$3:B274)-B274)/MAX(B$3:B274))</f>
        <v/>
      </c>
      <c r="F274" s="12" t="str">
        <f>IF(A274="","",MAX(E$4:E274))</f>
        <v/>
      </c>
      <c r="H274" s="14" t="str">
        <f t="shared" si="19"/>
        <v/>
      </c>
      <c r="I274" s="14" t="str">
        <f t="shared" si="17"/>
        <v/>
      </c>
      <c r="J274" s="15" t="str">
        <f t="shared" si="18"/>
        <v/>
      </c>
    </row>
    <row r="275" spans="1:10">
      <c r="A275" s="7" t="str">
        <f>IF(子基金及业绩基准周净值!A324="","",子基金及业绩基准周净值!A324)</f>
        <v/>
      </c>
      <c r="B275" s="1" t="str">
        <f>IF(A275="","",VLOOKUP($A275,子基金及业绩基准周净值!$A:$AV,22))</f>
        <v/>
      </c>
      <c r="C275" s="8" t="str">
        <f t="shared" si="16"/>
        <v/>
      </c>
      <c r="D275" s="9" t="str">
        <f>IF(A275="","",C275-子基金及业绩基准周净值!AK324)</f>
        <v/>
      </c>
      <c r="E275" s="12" t="str">
        <f>IF(A275="","",(MAX(B$3:B275)-B275)/MAX(B$3:B275))</f>
        <v/>
      </c>
      <c r="F275" s="12" t="str">
        <f>IF(A275="","",MAX(E$4:E275))</f>
        <v/>
      </c>
      <c r="H275" s="14" t="str">
        <f t="shared" si="19"/>
        <v/>
      </c>
      <c r="I275" s="14" t="str">
        <f t="shared" si="17"/>
        <v/>
      </c>
      <c r="J275" s="15" t="str">
        <f t="shared" si="18"/>
        <v/>
      </c>
    </row>
    <row r="276" spans="1:10">
      <c r="A276" s="7" t="str">
        <f>IF(子基金及业绩基准周净值!A325="","",子基金及业绩基准周净值!A325)</f>
        <v/>
      </c>
      <c r="B276" s="1" t="str">
        <f>IF(A276="","",VLOOKUP($A276,子基金及业绩基准周净值!$A:$AV,22))</f>
        <v/>
      </c>
      <c r="C276" s="8" t="str">
        <f t="shared" si="16"/>
        <v/>
      </c>
      <c r="D276" s="9" t="str">
        <f>IF(A276="","",C276-子基金及业绩基准周净值!AK325)</f>
        <v/>
      </c>
      <c r="E276" s="12" t="str">
        <f>IF(A276="","",(MAX(B$3:B276)-B276)/MAX(B$3:B276))</f>
        <v/>
      </c>
      <c r="F276" s="12" t="str">
        <f>IF(A276="","",MAX(E$4:E276))</f>
        <v/>
      </c>
      <c r="H276" s="14" t="str">
        <f t="shared" si="19"/>
        <v/>
      </c>
      <c r="I276" s="14" t="str">
        <f t="shared" si="17"/>
        <v/>
      </c>
      <c r="J276" s="15" t="str">
        <f t="shared" si="18"/>
        <v/>
      </c>
    </row>
    <row r="277" spans="1:10">
      <c r="A277" s="7" t="str">
        <f>IF(子基金及业绩基准周净值!A326="","",子基金及业绩基准周净值!A326)</f>
        <v/>
      </c>
      <c r="B277" s="1" t="str">
        <f>IF(A277="","",VLOOKUP($A277,子基金及业绩基准周净值!$A:$AV,22))</f>
        <v/>
      </c>
      <c r="C277" s="8" t="str">
        <f t="shared" si="16"/>
        <v/>
      </c>
      <c r="D277" s="9" t="str">
        <f>IF(A277="","",C277-子基金及业绩基准周净值!AK326)</f>
        <v/>
      </c>
      <c r="E277" s="12" t="str">
        <f>IF(A277="","",(MAX(B$3:B277)-B277)/MAX(B$3:B277))</f>
        <v/>
      </c>
      <c r="F277" s="12" t="str">
        <f>IF(A277="","",MAX(E$4:E277))</f>
        <v/>
      </c>
      <c r="H277" s="14" t="str">
        <f t="shared" si="19"/>
        <v/>
      </c>
      <c r="I277" s="14" t="str">
        <f t="shared" si="17"/>
        <v/>
      </c>
      <c r="J277" s="15" t="str">
        <f t="shared" si="18"/>
        <v/>
      </c>
    </row>
    <row r="278" spans="1:10">
      <c r="A278" s="7" t="str">
        <f>IF(子基金及业绩基准周净值!A327="","",子基金及业绩基准周净值!A327)</f>
        <v/>
      </c>
      <c r="B278" s="1" t="str">
        <f>IF(A278="","",VLOOKUP($A278,子基金及业绩基准周净值!$A:$AV,22))</f>
        <v/>
      </c>
      <c r="C278" s="8" t="str">
        <f t="shared" si="16"/>
        <v/>
      </c>
      <c r="D278" s="9" t="str">
        <f>IF(A278="","",C278-子基金及业绩基准周净值!AK327)</f>
        <v/>
      </c>
      <c r="E278" s="12" t="str">
        <f>IF(A278="","",(MAX(B$3:B278)-B278)/MAX(B$3:B278))</f>
        <v/>
      </c>
      <c r="F278" s="12" t="str">
        <f>IF(A278="","",MAX(E$4:E278))</f>
        <v/>
      </c>
      <c r="H278" s="14" t="str">
        <f t="shared" si="19"/>
        <v/>
      </c>
      <c r="I278" s="14" t="str">
        <f t="shared" si="17"/>
        <v/>
      </c>
      <c r="J278" s="15" t="str">
        <f t="shared" si="18"/>
        <v/>
      </c>
    </row>
    <row r="279" spans="1:10">
      <c r="A279" s="7" t="str">
        <f>IF(子基金及业绩基准周净值!A328="","",子基金及业绩基准周净值!A328)</f>
        <v/>
      </c>
      <c r="B279" s="1" t="str">
        <f>IF(A279="","",VLOOKUP($A279,子基金及业绩基准周净值!$A:$AV,22))</f>
        <v/>
      </c>
      <c r="C279" s="8" t="str">
        <f t="shared" si="16"/>
        <v/>
      </c>
      <c r="D279" s="9" t="str">
        <f>IF(A279="","",C279-子基金及业绩基准周净值!AK328)</f>
        <v/>
      </c>
      <c r="E279" s="12" t="str">
        <f>IF(A279="","",(MAX(B$3:B279)-B279)/MAX(B$3:B279))</f>
        <v/>
      </c>
      <c r="F279" s="12" t="str">
        <f>IF(A279="","",MAX(E$4:E279))</f>
        <v/>
      </c>
      <c r="H279" s="14" t="str">
        <f t="shared" si="19"/>
        <v/>
      </c>
      <c r="I279" s="14" t="str">
        <f t="shared" si="17"/>
        <v/>
      </c>
      <c r="J279" s="15" t="str">
        <f t="shared" si="18"/>
        <v/>
      </c>
    </row>
    <row r="280" spans="1:10">
      <c r="A280" s="7" t="str">
        <f>IF(子基金及业绩基准周净值!A329="","",子基金及业绩基准周净值!A329)</f>
        <v/>
      </c>
      <c r="B280" s="1" t="str">
        <f>IF(A280="","",VLOOKUP($A280,子基金及业绩基准周净值!$A:$AV,22))</f>
        <v/>
      </c>
      <c r="C280" s="8" t="str">
        <f t="shared" si="16"/>
        <v/>
      </c>
      <c r="D280" s="9" t="str">
        <f>IF(A280="","",C280-子基金及业绩基准周净值!AK329)</f>
        <v/>
      </c>
      <c r="E280" s="12" t="str">
        <f>IF(A280="","",(MAX(B$3:B280)-B280)/MAX(B$3:B280))</f>
        <v/>
      </c>
      <c r="F280" s="12" t="str">
        <f>IF(A280="","",MAX(E$4:E280))</f>
        <v/>
      </c>
      <c r="H280" s="14" t="str">
        <f t="shared" si="19"/>
        <v/>
      </c>
      <c r="I280" s="14" t="str">
        <f t="shared" si="17"/>
        <v/>
      </c>
      <c r="J280" s="15" t="str">
        <f t="shared" si="18"/>
        <v/>
      </c>
    </row>
    <row r="281" spans="1:10">
      <c r="A281" s="7" t="str">
        <f>IF(子基金及业绩基准周净值!A330="","",子基金及业绩基准周净值!A330)</f>
        <v/>
      </c>
      <c r="B281" s="1" t="str">
        <f>IF(A281="","",VLOOKUP($A281,子基金及业绩基准周净值!$A:$AV,22))</f>
        <v/>
      </c>
      <c r="C281" s="8" t="str">
        <f t="shared" si="16"/>
        <v/>
      </c>
      <c r="D281" s="9" t="str">
        <f>IF(A281="","",C281-子基金及业绩基准周净值!AK330)</f>
        <v/>
      </c>
      <c r="E281" s="12" t="str">
        <f>IF(A281="","",(MAX(B$3:B281)-B281)/MAX(B$3:B281))</f>
        <v/>
      </c>
      <c r="F281" s="12" t="str">
        <f>IF(A281="","",MAX(E$4:E281))</f>
        <v/>
      </c>
      <c r="H281" s="14" t="str">
        <f t="shared" si="19"/>
        <v/>
      </c>
      <c r="I281" s="14" t="str">
        <f t="shared" si="17"/>
        <v/>
      </c>
      <c r="J281" s="15" t="str">
        <f t="shared" si="18"/>
        <v/>
      </c>
    </row>
    <row r="282" spans="1:10">
      <c r="A282" s="7" t="str">
        <f>IF(子基金及业绩基准周净值!A331="","",子基金及业绩基准周净值!A331)</f>
        <v/>
      </c>
      <c r="B282" s="1" t="str">
        <f>IF(A282="","",VLOOKUP($A282,子基金及业绩基准周净值!$A:$AV,22))</f>
        <v/>
      </c>
      <c r="C282" s="8" t="str">
        <f t="shared" si="16"/>
        <v/>
      </c>
      <c r="D282" s="9" t="str">
        <f>IF(A282="","",C282-子基金及业绩基准周净值!AK331)</f>
        <v/>
      </c>
      <c r="E282" s="12" t="str">
        <f>IF(A282="","",(MAX(B$3:B282)-B282)/MAX(B$3:B282))</f>
        <v/>
      </c>
      <c r="F282" s="12" t="str">
        <f>IF(A282="","",MAX(E$4:E282))</f>
        <v/>
      </c>
      <c r="H282" s="14" t="str">
        <f t="shared" si="19"/>
        <v/>
      </c>
      <c r="I282" s="14" t="str">
        <f t="shared" si="17"/>
        <v/>
      </c>
      <c r="J282" s="15" t="str">
        <f t="shared" si="18"/>
        <v/>
      </c>
    </row>
    <row r="283" spans="1:10">
      <c r="A283" s="7" t="str">
        <f>IF(子基金及业绩基准周净值!A332="","",子基金及业绩基准周净值!A332)</f>
        <v/>
      </c>
      <c r="B283" s="1" t="str">
        <f>IF(A283="","",VLOOKUP($A283,子基金及业绩基准周净值!$A:$AV,22))</f>
        <v/>
      </c>
      <c r="C283" s="8" t="str">
        <f t="shared" si="16"/>
        <v/>
      </c>
      <c r="D283" s="9" t="str">
        <f>IF(A283="","",C283-子基金及业绩基准周净值!AK332)</f>
        <v/>
      </c>
      <c r="E283" s="12" t="str">
        <f>IF(A283="","",(MAX(B$3:B283)-B283)/MAX(B$3:B283))</f>
        <v/>
      </c>
      <c r="F283" s="12" t="str">
        <f>IF(A283="","",MAX(E$4:E283))</f>
        <v/>
      </c>
      <c r="H283" s="14" t="str">
        <f t="shared" si="19"/>
        <v/>
      </c>
      <c r="I283" s="14" t="str">
        <f t="shared" si="17"/>
        <v/>
      </c>
      <c r="J283" s="15" t="str">
        <f t="shared" si="18"/>
        <v/>
      </c>
    </row>
    <row r="284" spans="1:10">
      <c r="A284" s="7" t="str">
        <f>IF(子基金及业绩基准周净值!A333="","",子基金及业绩基准周净值!A333)</f>
        <v/>
      </c>
      <c r="B284" s="1" t="str">
        <f>IF(A284="","",VLOOKUP($A284,子基金及业绩基准周净值!$A:$AV,22))</f>
        <v/>
      </c>
      <c r="C284" s="8" t="str">
        <f t="shared" si="16"/>
        <v/>
      </c>
      <c r="D284" s="9" t="str">
        <f>IF(A284="","",C284-子基金及业绩基准周净值!AK333)</f>
        <v/>
      </c>
      <c r="E284" s="12" t="str">
        <f>IF(A284="","",(MAX(B$3:B284)-B284)/MAX(B$3:B284))</f>
        <v/>
      </c>
      <c r="F284" s="12" t="str">
        <f>IF(A284="","",MAX(E$4:E284))</f>
        <v/>
      </c>
      <c r="H284" s="14" t="str">
        <f t="shared" si="19"/>
        <v/>
      </c>
      <c r="I284" s="14" t="str">
        <f t="shared" si="17"/>
        <v/>
      </c>
      <c r="J284" s="15" t="str">
        <f t="shared" si="18"/>
        <v/>
      </c>
    </row>
    <row r="285" spans="1:10">
      <c r="A285" s="7" t="str">
        <f>IF(子基金及业绩基准周净值!A334="","",子基金及业绩基准周净值!A334)</f>
        <v/>
      </c>
      <c r="B285" s="1" t="str">
        <f>IF(A285="","",VLOOKUP($A285,子基金及业绩基准周净值!$A:$AV,22))</f>
        <v/>
      </c>
      <c r="C285" s="8" t="str">
        <f t="shared" si="16"/>
        <v/>
      </c>
      <c r="D285" s="9" t="str">
        <f>IF(A285="","",C285-子基金及业绩基准周净值!AK334)</f>
        <v/>
      </c>
      <c r="E285" s="12" t="str">
        <f>IF(A285="","",(MAX(B$3:B285)-B285)/MAX(B$3:B285))</f>
        <v/>
      </c>
      <c r="F285" s="12" t="str">
        <f>IF(A285="","",MAX(E$4:E285))</f>
        <v/>
      </c>
      <c r="H285" s="14" t="str">
        <f t="shared" si="19"/>
        <v/>
      </c>
      <c r="I285" s="14" t="str">
        <f t="shared" si="17"/>
        <v/>
      </c>
      <c r="J285" s="15" t="str">
        <f t="shared" si="18"/>
        <v/>
      </c>
    </row>
    <row r="286" spans="1:10">
      <c r="A286" s="7" t="str">
        <f>IF(子基金及业绩基准周净值!A335="","",子基金及业绩基准周净值!A335)</f>
        <v/>
      </c>
      <c r="B286" s="1" t="str">
        <f>IF(A286="","",VLOOKUP($A286,子基金及业绩基准周净值!$A:$AV,22))</f>
        <v/>
      </c>
      <c r="C286" s="8" t="str">
        <f t="shared" si="16"/>
        <v/>
      </c>
      <c r="D286" s="9" t="str">
        <f>IF(A286="","",C286-子基金及业绩基准周净值!AK335)</f>
        <v/>
      </c>
      <c r="E286" s="12" t="str">
        <f>IF(A286="","",(MAX(B$3:B286)-B286)/MAX(B$3:B286))</f>
        <v/>
      </c>
      <c r="F286" s="12" t="str">
        <f>IF(A286="","",MAX(E$4:E286))</f>
        <v/>
      </c>
      <c r="H286" s="14" t="str">
        <f t="shared" si="19"/>
        <v/>
      </c>
      <c r="I286" s="14" t="str">
        <f t="shared" si="17"/>
        <v/>
      </c>
      <c r="J286" s="15" t="str">
        <f t="shared" si="18"/>
        <v/>
      </c>
    </row>
    <row r="287" spans="1:10">
      <c r="A287" s="7" t="str">
        <f>IF(子基金及业绩基准周净值!A336="","",子基金及业绩基准周净值!A336)</f>
        <v/>
      </c>
      <c r="B287" s="1" t="str">
        <f>IF(A287="","",VLOOKUP($A287,子基金及业绩基准周净值!$A:$AV,22))</f>
        <v/>
      </c>
      <c r="C287" s="8" t="str">
        <f t="shared" si="16"/>
        <v/>
      </c>
      <c r="D287" s="9" t="str">
        <f>IF(A287="","",C287-子基金及业绩基准周净值!AK336)</f>
        <v/>
      </c>
      <c r="E287" s="12" t="str">
        <f>IF(A287="","",(MAX(B$3:B287)-B287)/MAX(B$3:B287))</f>
        <v/>
      </c>
      <c r="F287" s="12" t="str">
        <f>IF(A287="","",MAX(E$4:E287))</f>
        <v/>
      </c>
      <c r="H287" s="14" t="str">
        <f t="shared" si="19"/>
        <v/>
      </c>
      <c r="I287" s="14" t="str">
        <f t="shared" si="17"/>
        <v/>
      </c>
      <c r="J287" s="15" t="str">
        <f t="shared" si="18"/>
        <v/>
      </c>
    </row>
    <row r="288" spans="1:10">
      <c r="A288" s="7" t="str">
        <f>IF(子基金及业绩基准周净值!A337="","",子基金及业绩基准周净值!A337)</f>
        <v/>
      </c>
      <c r="B288" s="1" t="str">
        <f>IF(A288="","",VLOOKUP($A288,子基金及业绩基准周净值!$A:$AV,22))</f>
        <v/>
      </c>
      <c r="C288" s="8" t="str">
        <f t="shared" si="16"/>
        <v/>
      </c>
      <c r="D288" s="9" t="str">
        <f>IF(A288="","",C288-子基金及业绩基准周净值!AK337)</f>
        <v/>
      </c>
      <c r="E288" s="12" t="str">
        <f>IF(A288="","",(MAX(B$3:B288)-B288)/MAX(B$3:B288))</f>
        <v/>
      </c>
      <c r="F288" s="12" t="str">
        <f>IF(A288="","",MAX(E$4:E288))</f>
        <v/>
      </c>
      <c r="H288" s="14" t="str">
        <f t="shared" si="19"/>
        <v/>
      </c>
      <c r="I288" s="14" t="str">
        <f t="shared" si="17"/>
        <v/>
      </c>
      <c r="J288" s="15" t="str">
        <f t="shared" si="18"/>
        <v/>
      </c>
    </row>
    <row r="289" spans="1:10">
      <c r="A289" s="7" t="str">
        <f>IF(子基金及业绩基准周净值!A338="","",子基金及业绩基准周净值!A338)</f>
        <v/>
      </c>
      <c r="B289" s="1" t="str">
        <f>IF(A289="","",VLOOKUP($A289,子基金及业绩基准周净值!$A:$AV,22))</f>
        <v/>
      </c>
      <c r="C289" s="8" t="str">
        <f t="shared" si="16"/>
        <v/>
      </c>
      <c r="D289" s="9" t="str">
        <f>IF(A289="","",C289-子基金及业绩基准周净值!AK338)</f>
        <v/>
      </c>
      <c r="E289" s="12" t="str">
        <f>IF(A289="","",(MAX(B$3:B289)-B289)/MAX(B$3:B289))</f>
        <v/>
      </c>
      <c r="F289" s="12" t="str">
        <f>IF(A289="","",MAX(E$4:E289))</f>
        <v/>
      </c>
      <c r="H289" s="14" t="str">
        <f t="shared" si="19"/>
        <v/>
      </c>
      <c r="I289" s="14" t="str">
        <f t="shared" si="17"/>
        <v/>
      </c>
      <c r="J289" s="15" t="str">
        <f t="shared" si="18"/>
        <v/>
      </c>
    </row>
    <row r="290" spans="1:10">
      <c r="A290" s="7" t="str">
        <f>IF(子基金及业绩基准周净值!A339="","",子基金及业绩基准周净值!A339)</f>
        <v/>
      </c>
      <c r="B290" s="1" t="str">
        <f>IF(A290="","",VLOOKUP($A290,子基金及业绩基准周净值!$A:$AV,22))</f>
        <v/>
      </c>
      <c r="C290" s="8" t="str">
        <f t="shared" si="16"/>
        <v/>
      </c>
      <c r="D290" s="9" t="str">
        <f>IF(A290="","",C290-子基金及业绩基准周净值!AK339)</f>
        <v/>
      </c>
      <c r="E290" s="12" t="str">
        <f>IF(A290="","",(MAX(B$3:B290)-B290)/MAX(B$3:B290))</f>
        <v/>
      </c>
      <c r="F290" s="12" t="str">
        <f>IF(A290="","",MAX(E$4:E290))</f>
        <v/>
      </c>
      <c r="H290" s="14" t="str">
        <f t="shared" si="19"/>
        <v/>
      </c>
      <c r="I290" s="14" t="str">
        <f t="shared" si="17"/>
        <v/>
      </c>
      <c r="J290" s="15" t="str">
        <f t="shared" si="18"/>
        <v/>
      </c>
    </row>
    <row r="291" spans="1:10">
      <c r="A291" s="7" t="str">
        <f>IF(子基金及业绩基准周净值!A340="","",子基金及业绩基准周净值!A340)</f>
        <v/>
      </c>
      <c r="B291" s="1" t="str">
        <f>IF(A291="","",VLOOKUP($A291,子基金及业绩基准周净值!$A:$AV,22))</f>
        <v/>
      </c>
      <c r="C291" s="8" t="str">
        <f t="shared" si="16"/>
        <v/>
      </c>
      <c r="D291" s="9" t="str">
        <f>IF(A291="","",C291-子基金及业绩基准周净值!AK340)</f>
        <v/>
      </c>
      <c r="E291" s="12" t="str">
        <f>IF(A291="","",(MAX(B$3:B291)-B291)/MAX(B$3:B291))</f>
        <v/>
      </c>
      <c r="F291" s="12" t="str">
        <f>IF(A291="","",MAX(E$4:E291))</f>
        <v/>
      </c>
      <c r="H291" s="14" t="str">
        <f t="shared" si="19"/>
        <v/>
      </c>
      <c r="I291" s="14" t="str">
        <f t="shared" si="17"/>
        <v/>
      </c>
      <c r="J291" s="15" t="str">
        <f t="shared" si="18"/>
        <v/>
      </c>
    </row>
    <row r="292" spans="1:10">
      <c r="A292" s="7" t="str">
        <f>IF(子基金及业绩基准周净值!A341="","",子基金及业绩基准周净值!A341)</f>
        <v/>
      </c>
      <c r="B292" s="1" t="str">
        <f>IF(A292="","",VLOOKUP($A292,子基金及业绩基准周净值!$A:$AV,22))</f>
        <v/>
      </c>
      <c r="C292" s="8" t="str">
        <f t="shared" si="16"/>
        <v/>
      </c>
      <c r="D292" s="9" t="str">
        <f>IF(A292="","",C292-子基金及业绩基准周净值!AK341)</f>
        <v/>
      </c>
      <c r="E292" s="12" t="str">
        <f>IF(A292="","",(MAX(B$3:B292)-B292)/MAX(B$3:B292))</f>
        <v/>
      </c>
      <c r="F292" s="12" t="str">
        <f>IF(A292="","",MAX(E$4:E292))</f>
        <v/>
      </c>
      <c r="H292" s="14" t="str">
        <f t="shared" si="19"/>
        <v/>
      </c>
      <c r="I292" s="14" t="str">
        <f t="shared" si="17"/>
        <v/>
      </c>
      <c r="J292" s="15" t="str">
        <f t="shared" si="18"/>
        <v/>
      </c>
    </row>
    <row r="293" spans="1:10">
      <c r="A293" s="7" t="str">
        <f>IF(子基金及业绩基准周净值!A342="","",子基金及业绩基准周净值!A342)</f>
        <v/>
      </c>
      <c r="B293" s="1" t="str">
        <f>IF(A293="","",VLOOKUP($A293,子基金及业绩基准周净值!$A:$AV,22))</f>
        <v/>
      </c>
      <c r="C293" s="8" t="str">
        <f t="shared" si="16"/>
        <v/>
      </c>
      <c r="D293" s="9" t="str">
        <f>IF(A293="","",C293-子基金及业绩基准周净值!AK342)</f>
        <v/>
      </c>
      <c r="E293" s="12" t="str">
        <f>IF(A293="","",(MAX(B$3:B293)-B293)/MAX(B$3:B293))</f>
        <v/>
      </c>
      <c r="F293" s="12" t="str">
        <f>IF(A293="","",MAX(E$4:E293))</f>
        <v/>
      </c>
      <c r="H293" s="14" t="str">
        <f t="shared" si="19"/>
        <v/>
      </c>
      <c r="I293" s="14" t="str">
        <f t="shared" si="17"/>
        <v/>
      </c>
      <c r="J293" s="15" t="str">
        <f t="shared" si="18"/>
        <v/>
      </c>
    </row>
    <row r="294" spans="1:10">
      <c r="A294" s="7" t="str">
        <f>IF(子基金及业绩基准周净值!A343="","",子基金及业绩基准周净值!A343)</f>
        <v/>
      </c>
      <c r="B294" s="1" t="str">
        <f>IF(A294="","",VLOOKUP($A294,子基金及业绩基准周净值!$A:$AV,22))</f>
        <v/>
      </c>
      <c r="C294" s="8" t="str">
        <f t="shared" si="16"/>
        <v/>
      </c>
      <c r="D294" s="9" t="str">
        <f>IF(A294="","",C294-子基金及业绩基准周净值!AK343)</f>
        <v/>
      </c>
      <c r="E294" s="12" t="str">
        <f>IF(A294="","",(MAX(B$3:B294)-B294)/MAX(B$3:B294))</f>
        <v/>
      </c>
      <c r="F294" s="12" t="str">
        <f>IF(A294="","",MAX(E$4:E294))</f>
        <v/>
      </c>
      <c r="H294" s="14" t="str">
        <f t="shared" si="19"/>
        <v/>
      </c>
      <c r="I294" s="14" t="str">
        <f t="shared" si="17"/>
        <v/>
      </c>
      <c r="J294" s="15" t="str">
        <f t="shared" si="18"/>
        <v/>
      </c>
    </row>
    <row r="295" spans="1:10">
      <c r="A295" s="7" t="str">
        <f>IF(子基金及业绩基准周净值!A344="","",子基金及业绩基准周净值!A344)</f>
        <v/>
      </c>
      <c r="B295" s="1" t="str">
        <f>IF(A295="","",VLOOKUP($A295,子基金及业绩基准周净值!$A:$AV,22))</f>
        <v/>
      </c>
      <c r="C295" s="8" t="str">
        <f t="shared" si="16"/>
        <v/>
      </c>
      <c r="D295" s="9" t="str">
        <f>IF(A295="","",C295-子基金及业绩基准周净值!AK344)</f>
        <v/>
      </c>
      <c r="E295" s="12" t="str">
        <f>IF(A295="","",(MAX(B$3:B295)-B295)/MAX(B$3:B295))</f>
        <v/>
      </c>
      <c r="F295" s="12" t="str">
        <f>IF(A295="","",MAX(E$4:E295))</f>
        <v/>
      </c>
      <c r="H295" s="14" t="str">
        <f t="shared" si="19"/>
        <v/>
      </c>
      <c r="I295" s="14" t="str">
        <f t="shared" si="17"/>
        <v/>
      </c>
      <c r="J295" s="15" t="str">
        <f t="shared" si="18"/>
        <v/>
      </c>
    </row>
    <row r="296" spans="1:10">
      <c r="A296" s="7" t="str">
        <f>IF(子基金及业绩基准周净值!A345="","",子基金及业绩基准周净值!A345)</f>
        <v/>
      </c>
      <c r="B296" s="1" t="str">
        <f>IF(A296="","",VLOOKUP($A296,子基金及业绩基准周净值!$A:$AV,22))</f>
        <v/>
      </c>
      <c r="C296" s="8" t="str">
        <f t="shared" si="16"/>
        <v/>
      </c>
      <c r="D296" s="9" t="str">
        <f>IF(A296="","",C296-子基金及业绩基准周净值!AK345)</f>
        <v/>
      </c>
      <c r="E296" s="12" t="str">
        <f>IF(A296="","",(MAX(B$3:B296)-B296)/MAX(B$3:B296))</f>
        <v/>
      </c>
      <c r="F296" s="12" t="str">
        <f>IF(A296="","",MAX(E$4:E296))</f>
        <v/>
      </c>
      <c r="H296" s="14" t="str">
        <f t="shared" si="19"/>
        <v/>
      </c>
      <c r="I296" s="14" t="str">
        <f t="shared" si="17"/>
        <v/>
      </c>
      <c r="J296" s="15" t="str">
        <f t="shared" si="18"/>
        <v/>
      </c>
    </row>
    <row r="297" spans="1:10">
      <c r="A297" s="7" t="str">
        <f>IF(子基金及业绩基准周净值!A346="","",子基金及业绩基准周净值!A346)</f>
        <v/>
      </c>
      <c r="B297" s="1" t="str">
        <f>IF(A297="","",VLOOKUP($A297,子基金及业绩基准周净值!$A:$AV,22))</f>
        <v/>
      </c>
      <c r="C297" s="8" t="str">
        <f t="shared" si="16"/>
        <v/>
      </c>
      <c r="D297" s="9" t="str">
        <f>IF(A297="","",C297-子基金及业绩基准周净值!AK346)</f>
        <v/>
      </c>
      <c r="E297" s="12" t="str">
        <f>IF(A297="","",(MAX(B$3:B297)-B297)/MAX(B$3:B297))</f>
        <v/>
      </c>
      <c r="F297" s="12" t="str">
        <f>IF(A297="","",MAX(E$4:E297))</f>
        <v/>
      </c>
      <c r="H297" s="14" t="str">
        <f t="shared" si="19"/>
        <v/>
      </c>
      <c r="I297" s="14" t="str">
        <f t="shared" si="17"/>
        <v/>
      </c>
      <c r="J297" s="15" t="str">
        <f t="shared" si="18"/>
        <v/>
      </c>
    </row>
    <row r="298" spans="1:10">
      <c r="A298" s="7" t="str">
        <f>IF(子基金及业绩基准周净值!A347="","",子基金及业绩基准周净值!A347)</f>
        <v/>
      </c>
      <c r="B298" s="1" t="str">
        <f>IF(A298="","",VLOOKUP($A298,子基金及业绩基准周净值!$A:$AV,22))</f>
        <v/>
      </c>
      <c r="C298" s="8" t="str">
        <f t="shared" si="16"/>
        <v/>
      </c>
      <c r="D298" s="9" t="str">
        <f>IF(A298="","",C298-子基金及业绩基准周净值!AK347)</f>
        <v/>
      </c>
      <c r="E298" s="12" t="str">
        <f>IF(A298="","",(MAX(B$3:B298)-B298)/MAX(B$3:B298))</f>
        <v/>
      </c>
      <c r="F298" s="12" t="str">
        <f>IF(A298="","",MAX(E$4:E298))</f>
        <v/>
      </c>
      <c r="H298" s="14" t="str">
        <f t="shared" si="19"/>
        <v/>
      </c>
      <c r="I298" s="14" t="str">
        <f t="shared" si="17"/>
        <v/>
      </c>
      <c r="J298" s="15" t="str">
        <f t="shared" si="18"/>
        <v/>
      </c>
    </row>
    <row r="299" spans="1:10">
      <c r="A299" s="7" t="str">
        <f>IF(子基金及业绩基准周净值!A348="","",子基金及业绩基准周净值!A348)</f>
        <v/>
      </c>
      <c r="B299" s="1" t="str">
        <f>IF(A299="","",VLOOKUP($A299,子基金及业绩基准周净值!$A:$AV,22))</f>
        <v/>
      </c>
      <c r="C299" s="8" t="str">
        <f t="shared" si="16"/>
        <v/>
      </c>
      <c r="D299" s="9" t="str">
        <f>IF(A299="","",C299-子基金及业绩基准周净值!AK348)</f>
        <v/>
      </c>
      <c r="E299" s="12" t="str">
        <f>IF(A299="","",(MAX(B$3:B299)-B299)/MAX(B$3:B299))</f>
        <v/>
      </c>
      <c r="F299" s="12" t="str">
        <f>IF(A299="","",MAX(E$4:E299))</f>
        <v/>
      </c>
      <c r="H299" s="14" t="str">
        <f t="shared" si="19"/>
        <v/>
      </c>
      <c r="I299" s="14" t="str">
        <f t="shared" si="17"/>
        <v/>
      </c>
      <c r="J299" s="15" t="str">
        <f t="shared" si="18"/>
        <v/>
      </c>
    </row>
    <row r="300" spans="1:10">
      <c r="A300" s="7" t="str">
        <f>IF(子基金及业绩基准周净值!A349="","",子基金及业绩基准周净值!A349)</f>
        <v/>
      </c>
      <c r="B300" s="1" t="str">
        <f>IF(A300="","",VLOOKUP($A300,子基金及业绩基准周净值!$A:$AV,22))</f>
        <v/>
      </c>
      <c r="C300" s="8" t="str">
        <f t="shared" si="16"/>
        <v/>
      </c>
      <c r="D300" s="9" t="str">
        <f>IF(A300="","",C300-子基金及业绩基准周净值!AK349)</f>
        <v/>
      </c>
      <c r="E300" s="12" t="str">
        <f>IF(A300="","",(MAX(B$3:B300)-B300)/MAX(B$3:B300))</f>
        <v/>
      </c>
      <c r="F300" s="12" t="str">
        <f>IF(A300="","",MAX(E$4:E300))</f>
        <v/>
      </c>
      <c r="H300" s="14" t="str">
        <f t="shared" si="19"/>
        <v/>
      </c>
      <c r="I300" s="14" t="str">
        <f t="shared" si="17"/>
        <v/>
      </c>
      <c r="J300" s="15" t="str">
        <f t="shared" si="18"/>
        <v/>
      </c>
    </row>
    <row r="301" spans="1:10">
      <c r="A301" s="7" t="str">
        <f>IF(子基金及业绩基准周净值!A350="","",子基金及业绩基准周净值!A350)</f>
        <v/>
      </c>
      <c r="B301" s="1" t="str">
        <f>IF(A301="","",VLOOKUP($A301,子基金及业绩基准周净值!$A:$AV,22))</f>
        <v/>
      </c>
      <c r="C301" s="8" t="str">
        <f t="shared" si="16"/>
        <v/>
      </c>
      <c r="D301" s="9" t="str">
        <f>IF(A301="","",C301-子基金及业绩基准周净值!AK350)</f>
        <v/>
      </c>
      <c r="E301" s="12" t="str">
        <f>IF(A301="","",(MAX(B$3:B301)-B301)/MAX(B$3:B301))</f>
        <v/>
      </c>
      <c r="F301" s="12" t="str">
        <f>IF(A301="","",MAX(E$4:E301))</f>
        <v/>
      </c>
      <c r="H301" s="14" t="str">
        <f t="shared" si="19"/>
        <v/>
      </c>
      <c r="I301" s="14" t="str">
        <f t="shared" si="17"/>
        <v/>
      </c>
      <c r="J301" s="15" t="str">
        <f t="shared" si="18"/>
        <v/>
      </c>
    </row>
    <row r="302" spans="1:10">
      <c r="A302" s="7" t="str">
        <f>IF(子基金及业绩基准周净值!A351="","",子基金及业绩基准周净值!A351)</f>
        <v/>
      </c>
      <c r="B302" s="1" t="str">
        <f>IF(A302="","",VLOOKUP($A302,子基金及业绩基准周净值!$A:$AV,22))</f>
        <v/>
      </c>
      <c r="C302" s="8" t="str">
        <f t="shared" si="16"/>
        <v/>
      </c>
      <c r="D302" s="9" t="str">
        <f>IF(A302="","",C302-子基金及业绩基准周净值!AK351)</f>
        <v/>
      </c>
      <c r="E302" s="12" t="str">
        <f>IF(A302="","",(MAX(B$3:B302)-B302)/MAX(B$3:B302))</f>
        <v/>
      </c>
      <c r="F302" s="12" t="str">
        <f>IF(A302="","",MAX(E$4:E302))</f>
        <v/>
      </c>
      <c r="H302" s="14" t="str">
        <f t="shared" si="19"/>
        <v/>
      </c>
      <c r="I302" s="14" t="str">
        <f t="shared" si="17"/>
        <v/>
      </c>
      <c r="J302" s="15" t="str">
        <f t="shared" si="18"/>
        <v/>
      </c>
    </row>
    <row r="303" spans="1:10">
      <c r="A303" s="7" t="str">
        <f>IF(子基金及业绩基准周净值!A352="","",子基金及业绩基准周净值!A352)</f>
        <v/>
      </c>
      <c r="B303" s="1" t="str">
        <f>IF(A303="","",VLOOKUP($A303,子基金及业绩基准周净值!$A:$AV,22))</f>
        <v/>
      </c>
      <c r="C303" s="8" t="str">
        <f t="shared" si="16"/>
        <v/>
      </c>
      <c r="D303" s="9" t="str">
        <f>IF(A303="","",C303-子基金及业绩基准周净值!AK352)</f>
        <v/>
      </c>
      <c r="E303" s="12" t="str">
        <f>IF(A303="","",(MAX(B$3:B303)-B303)/MAX(B$3:B303))</f>
        <v/>
      </c>
      <c r="F303" s="12" t="str">
        <f>IF(A303="","",MAX(E$4:E303))</f>
        <v/>
      </c>
      <c r="H303" s="14" t="str">
        <f t="shared" si="19"/>
        <v/>
      </c>
      <c r="I303" s="14" t="str">
        <f t="shared" si="17"/>
        <v/>
      </c>
      <c r="J303" s="15" t="str">
        <f t="shared" si="18"/>
        <v/>
      </c>
    </row>
    <row r="304" spans="1:10">
      <c r="A304" s="7" t="str">
        <f>IF(子基金及业绩基准周净值!A353="","",子基金及业绩基准周净值!A353)</f>
        <v/>
      </c>
      <c r="B304" s="1" t="str">
        <f>IF(A304="","",VLOOKUP($A304,子基金及业绩基准周净值!$A:$AV,22))</f>
        <v/>
      </c>
      <c r="C304" s="8" t="str">
        <f t="shared" si="16"/>
        <v/>
      </c>
      <c r="D304" s="9" t="str">
        <f>IF(A304="","",C304-子基金及业绩基准周净值!AK353)</f>
        <v/>
      </c>
      <c r="E304" s="12" t="str">
        <f>IF(A304="","",(MAX(B$3:B304)-B304)/MAX(B$3:B304))</f>
        <v/>
      </c>
      <c r="F304" s="12" t="str">
        <f>IF(A304="","",MAX(E$4:E304))</f>
        <v/>
      </c>
      <c r="H304" s="14" t="str">
        <f t="shared" si="19"/>
        <v/>
      </c>
      <c r="I304" s="14" t="str">
        <f t="shared" si="17"/>
        <v/>
      </c>
      <c r="J304" s="15" t="str">
        <f t="shared" si="18"/>
        <v/>
      </c>
    </row>
    <row r="305" spans="1:10">
      <c r="A305" s="7" t="str">
        <f>IF(子基金及业绩基准周净值!A354="","",子基金及业绩基准周净值!A354)</f>
        <v/>
      </c>
      <c r="B305" s="1" t="str">
        <f>IF(A305="","",VLOOKUP($A305,子基金及业绩基准周净值!$A:$AV,22))</f>
        <v/>
      </c>
      <c r="C305" s="8" t="str">
        <f t="shared" si="16"/>
        <v/>
      </c>
      <c r="D305" s="9" t="str">
        <f>IF(A305="","",C305-子基金及业绩基准周净值!AK354)</f>
        <v/>
      </c>
      <c r="E305" s="12" t="str">
        <f>IF(A305="","",(MAX(B$3:B305)-B305)/MAX(B$3:B305))</f>
        <v/>
      </c>
      <c r="F305" s="12" t="str">
        <f>IF(A305="","",MAX(E$4:E305))</f>
        <v/>
      </c>
      <c r="H305" s="14" t="str">
        <f t="shared" si="19"/>
        <v/>
      </c>
      <c r="I305" s="14" t="str">
        <f t="shared" si="17"/>
        <v/>
      </c>
      <c r="J305" s="15" t="str">
        <f t="shared" si="18"/>
        <v/>
      </c>
    </row>
    <row r="306" spans="1:10">
      <c r="A306" s="7" t="str">
        <f>IF(子基金及业绩基准周净值!A355="","",子基金及业绩基准周净值!A355)</f>
        <v/>
      </c>
      <c r="B306" s="1" t="str">
        <f>IF(A306="","",VLOOKUP($A306,子基金及业绩基准周净值!$A:$AV,22))</f>
        <v/>
      </c>
      <c r="C306" s="8" t="str">
        <f t="shared" si="16"/>
        <v/>
      </c>
      <c r="D306" s="9" t="str">
        <f>IF(A306="","",C306-子基金及业绩基准周净值!AK355)</f>
        <v/>
      </c>
      <c r="E306" s="12" t="str">
        <f>IF(A306="","",(MAX(B$3:B306)-B306)/MAX(B$3:B306))</f>
        <v/>
      </c>
      <c r="F306" s="12" t="str">
        <f>IF(A306="","",MAX(E$4:E306))</f>
        <v/>
      </c>
      <c r="H306" s="14" t="str">
        <f t="shared" si="19"/>
        <v/>
      </c>
      <c r="I306" s="14" t="str">
        <f t="shared" si="17"/>
        <v/>
      </c>
      <c r="J306" s="15" t="str">
        <f t="shared" si="18"/>
        <v/>
      </c>
    </row>
    <row r="307" spans="1:10">
      <c r="A307" s="7" t="str">
        <f>IF(子基金及业绩基准周净值!A356="","",子基金及业绩基准周净值!A356)</f>
        <v/>
      </c>
      <c r="B307" s="1" t="str">
        <f>IF(A307="","",VLOOKUP($A307,子基金及业绩基准周净值!$A:$AV,22))</f>
        <v/>
      </c>
      <c r="C307" s="8" t="str">
        <f t="shared" si="16"/>
        <v/>
      </c>
      <c r="D307" s="9" t="str">
        <f>IF(A307="","",C307-子基金及业绩基准周净值!AK356)</f>
        <v/>
      </c>
      <c r="E307" s="12" t="str">
        <f>IF(A307="","",(MAX(B$3:B307)-B307)/MAX(B$3:B307))</f>
        <v/>
      </c>
      <c r="F307" s="12" t="str">
        <f>IF(A307="","",MAX(E$4:E307))</f>
        <v/>
      </c>
      <c r="H307" s="14" t="str">
        <f t="shared" si="19"/>
        <v/>
      </c>
      <c r="I307" s="14" t="str">
        <f t="shared" si="17"/>
        <v/>
      </c>
      <c r="J307" s="15" t="str">
        <f t="shared" si="18"/>
        <v/>
      </c>
    </row>
    <row r="308" spans="1:10">
      <c r="A308" s="7" t="str">
        <f>IF(子基金及业绩基准周净值!A357="","",子基金及业绩基准周净值!A357)</f>
        <v/>
      </c>
      <c r="B308" s="1" t="str">
        <f>IF(A308="","",VLOOKUP($A308,子基金及业绩基准周净值!$A:$AV,22))</f>
        <v/>
      </c>
      <c r="C308" s="8" t="str">
        <f t="shared" si="16"/>
        <v/>
      </c>
      <c r="D308" s="9" t="str">
        <f>IF(A308="","",C308-子基金及业绩基准周净值!AK357)</f>
        <v/>
      </c>
      <c r="E308" s="12" t="str">
        <f>IF(A308="","",(MAX(B$3:B308)-B308)/MAX(B$3:B308))</f>
        <v/>
      </c>
      <c r="F308" s="12" t="str">
        <f>IF(A308="","",MAX(E$4:E308))</f>
        <v/>
      </c>
      <c r="H308" s="14" t="str">
        <f t="shared" si="19"/>
        <v/>
      </c>
      <c r="I308" s="14" t="str">
        <f t="shared" si="17"/>
        <v/>
      </c>
      <c r="J308" s="15" t="str">
        <f t="shared" si="18"/>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K308"/>
  <sheetViews>
    <sheetView workbookViewId="0">
      <selection activeCell="G19" sqref="G19"/>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60</v>
      </c>
      <c r="C2" s="5" t="s">
        <v>310</v>
      </c>
      <c r="D2" s="6" t="s">
        <v>311</v>
      </c>
      <c r="F2" s="5" t="s">
        <v>22</v>
      </c>
      <c r="G2" s="10" t="s">
        <v>312</v>
      </c>
      <c r="H2" s="11" t="s">
        <v>313</v>
      </c>
      <c r="I2" s="11" t="s">
        <v>314</v>
      </c>
      <c r="J2" s="11" t="s">
        <v>315</v>
      </c>
      <c r="K2" s="5" t="s">
        <v>316</v>
      </c>
    </row>
    <row r="3" spans="1:2">
      <c r="A3" s="7">
        <f>IF(子基金及业绩基准周净值!A57="","",子基金及业绩基准周净值!A57)</f>
        <v>45849</v>
      </c>
      <c r="B3" s="1">
        <f>IF(A3="","",VLOOKUP($A3,子基金及业绩基准周净值!$A:$AV,23))</f>
        <v>1.3099</v>
      </c>
    </row>
    <row r="4" spans="1:10">
      <c r="A4" s="7">
        <f>IF(子基金及业绩基准周净值!A58="","",子基金及业绩基准周净值!A58)</f>
        <v>45856</v>
      </c>
      <c r="B4" s="1">
        <f>IF(A4="","",VLOOKUP($A4,子基金及业绩基准周净值!$A:$AV,23))</f>
        <v>1.31704</v>
      </c>
      <c r="C4" s="8">
        <f>IF(B4="","",B4/B3-1)</f>
        <v>0.00545079777082225</v>
      </c>
      <c r="D4" s="9">
        <f>IF(A4="","",C4-(子基金及业绩基准周净值!AG58/子基金及业绩基准周净值!AG57-1))</f>
        <v>0.00184360925312643</v>
      </c>
      <c r="E4" s="12">
        <f>IF(A4="","",(MAX(B$3:B4)-B4)/MAX(B$3:B4))</f>
        <v>0</v>
      </c>
      <c r="F4" s="12">
        <f>IF(A4="","",MAX(E$4:E4))</f>
        <v>0</v>
      </c>
      <c r="G4" s="13">
        <v>0</v>
      </c>
      <c r="H4" s="14" t="str">
        <f>IF(B4="","",IF(C4&lt;-3%,"是","否"))</f>
        <v>否</v>
      </c>
      <c r="I4" s="14" t="str">
        <f>IF(A4="","",IF(F4&gt;5%,"是","否"))</f>
        <v>否</v>
      </c>
      <c r="J4" s="15" t="str">
        <f>IF(A4="","",IF(G4&gt;=4,"是","否"))</f>
        <v>否</v>
      </c>
    </row>
    <row r="5" spans="1:10">
      <c r="A5" s="7">
        <f>IF(子基金及业绩基准周净值!A59="","",子基金及业绩基准周净值!A59)</f>
        <v>45863</v>
      </c>
      <c r="B5" s="1">
        <f>IF(A5="","",VLOOKUP($A5,子基金及业绩基准周净值!$A:$AV,23))</f>
        <v>1.3248</v>
      </c>
      <c r="C5" s="8">
        <f t="shared" ref="C5:C42" si="0">IF(B5="","",B5/B4-1)</f>
        <v>0.00589200024296899</v>
      </c>
      <c r="D5" s="9">
        <f>IF(A5="","",C5-(子基金及业绩基准周净值!AG59/子基金及业绩基准周净值!AG58-1))</f>
        <v>0.00436744360150532</v>
      </c>
      <c r="E5" s="12">
        <f>IF(A5="","",(MAX(B$3:B5)-B5)/MAX(B$3:B5))</f>
        <v>0</v>
      </c>
      <c r="F5" s="12">
        <f>IF(A5="","",MAX(E$4:E5))</f>
        <v>0</v>
      </c>
      <c r="G5" s="13">
        <v>0</v>
      </c>
      <c r="H5" s="14" t="str">
        <f t="shared" ref="H5:H36" si="1">IF(B5="","",IF(C5&lt;-3%,"是","否"))</f>
        <v>否</v>
      </c>
      <c r="I5" s="14" t="str">
        <f t="shared" ref="I5:I36" si="2">IF(A5="","",IF(F5&gt;5%,"是","否"))</f>
        <v>否</v>
      </c>
      <c r="J5" s="15" t="str">
        <f t="shared" ref="J5:J36" si="3">IF(A5="","",IF(G5&gt;=4,"是","否"))</f>
        <v>否</v>
      </c>
    </row>
    <row r="6" spans="1:10">
      <c r="A6" s="7">
        <f>IF(子基金及业绩基准周净值!A60="","",子基金及业绩基准周净值!A60)</f>
        <v>45870</v>
      </c>
      <c r="B6" s="1">
        <f>IF(A6="","",VLOOKUP($A6,子基金及业绩基准周净值!$A:$AV,23))</f>
        <v>1.3296</v>
      </c>
      <c r="C6" s="8">
        <f t="shared" si="0"/>
        <v>0.00362318840579712</v>
      </c>
      <c r="D6" s="9">
        <f>IF(A6="","",C6-(子基金及业绩基准周净值!AG60/子基金及业绩基准周净值!AG59-1))</f>
        <v>0.000667209814070091</v>
      </c>
      <c r="E6" s="12">
        <f>IF(A6="","",(MAX(B$3:B6)-B6)/MAX(B$3:B6))</f>
        <v>0</v>
      </c>
      <c r="F6" s="12">
        <f>IF(A6="","",MAX(E$4:E6))</f>
        <v>0</v>
      </c>
      <c r="G6" s="13">
        <v>0</v>
      </c>
      <c r="H6" s="14" t="str">
        <f t="shared" si="1"/>
        <v>否</v>
      </c>
      <c r="I6" s="14" t="str">
        <f t="shared" si="2"/>
        <v>否</v>
      </c>
      <c r="J6" s="15" t="str">
        <f t="shared" si="3"/>
        <v>否</v>
      </c>
    </row>
    <row r="7" spans="1:10">
      <c r="A7" s="7">
        <f>IF(子基金及业绩基准周净值!A61="","",子基金及业绩基准周净值!A61)</f>
        <v>45877</v>
      </c>
      <c r="B7" s="1">
        <f>IF(A7="","",VLOOKUP($A7,子基金及业绩基准周净值!$A:$AV,23))</f>
        <v>1.33</v>
      </c>
      <c r="C7" s="8">
        <f t="shared" si="0"/>
        <v>0.00030084235860417</v>
      </c>
      <c r="D7" s="9">
        <f>IF(A7="","",C7-(子基金及业绩基准周净值!AG61/子基金及业绩基准周净值!AG60-1))</f>
        <v>-0.00496260315584895</v>
      </c>
      <c r="E7" s="12">
        <f>IF(A7="","",(MAX(B$3:B7)-B7)/MAX(B$3:B7))</f>
        <v>0</v>
      </c>
      <c r="F7" s="12">
        <f>IF(A7="","",MAX(E$4:E7))</f>
        <v>0</v>
      </c>
      <c r="G7" s="13">
        <v>1</v>
      </c>
      <c r="H7" s="14" t="str">
        <f t="shared" si="1"/>
        <v>否</v>
      </c>
      <c r="I7" s="14" t="str">
        <f t="shared" si="2"/>
        <v>否</v>
      </c>
      <c r="J7" s="15" t="str">
        <f t="shared" si="3"/>
        <v>否</v>
      </c>
    </row>
    <row r="8" spans="1:10">
      <c r="A8" s="7">
        <f>IF(子基金及业绩基准周净值!A62="","",子基金及业绩基准周净值!A62)</f>
        <v>45884</v>
      </c>
      <c r="B8" s="1">
        <f>IF(A8="","",VLOOKUP($A8,子基金及业绩基准周净值!$A:$AV,23))</f>
        <v>1.31528</v>
      </c>
      <c r="C8" s="8">
        <f t="shared" si="0"/>
        <v>-0.0110676691729323</v>
      </c>
      <c r="D8" s="9">
        <f>IF(A8="","",C8-(子基金及业绩基准周净值!AG62/子基金及业绩基准周净值!AG61-1))</f>
        <v>-0.00551179628551735</v>
      </c>
      <c r="E8" s="12">
        <f>IF(A8="","",(MAX(B$3:B8)-B8)/MAX(B$3:B8))</f>
        <v>0.0110676691729324</v>
      </c>
      <c r="F8" s="12">
        <f>IF(A8="","",MAX(E$4:E8))</f>
        <v>0.0110676691729324</v>
      </c>
      <c r="G8" s="13">
        <v>2</v>
      </c>
      <c r="H8" s="14" t="str">
        <f t="shared" si="1"/>
        <v>否</v>
      </c>
      <c r="I8" s="14" t="str">
        <f t="shared" si="2"/>
        <v>否</v>
      </c>
      <c r="J8" s="15" t="str">
        <f t="shared" si="3"/>
        <v>否</v>
      </c>
    </row>
    <row r="9" spans="1:10">
      <c r="A9" s="7">
        <f>IF(子基金及业绩基准周净值!A63="","",子基金及业绩基准周净值!A63)</f>
        <v>45891</v>
      </c>
      <c r="B9" s="1">
        <f>IF(A9="","",VLOOKUP($A9,子基金及业绩基准周净值!$A:$AV,23))</f>
        <v>1.32376</v>
      </c>
      <c r="C9" s="8">
        <f t="shared" si="0"/>
        <v>0.00644729639316344</v>
      </c>
      <c r="D9" s="9">
        <f>IF(A9="","",C9-(子基金及业绩基准周净值!AG63/子基金及业绩基准周净值!AG62-1))</f>
        <v>0.00328972492059276</v>
      </c>
      <c r="E9" s="12">
        <f>IF(A9="","",(MAX(B$3:B9)-B9)/MAX(B$3:B9))</f>
        <v>0.00469172932330829</v>
      </c>
      <c r="F9" s="12">
        <f>IF(A9="","",MAX(E$4:E9))</f>
        <v>0.0110676691729324</v>
      </c>
      <c r="G9" s="13">
        <v>0</v>
      </c>
      <c r="H9" s="14" t="str">
        <f t="shared" si="1"/>
        <v>否</v>
      </c>
      <c r="I9" s="14" t="str">
        <f t="shared" si="2"/>
        <v>否</v>
      </c>
      <c r="J9" s="15" t="str">
        <f t="shared" si="3"/>
        <v>否</v>
      </c>
    </row>
    <row r="10" spans="1:10">
      <c r="A10" s="7">
        <f>IF(子基金及业绩基准周净值!A64="","",子基金及业绩基准周净值!A64)</f>
        <v>45898</v>
      </c>
      <c r="B10" s="1">
        <f>IF(A10="","",VLOOKUP($A10,子基金及业绩基准周净值!$A:$AV,23))</f>
        <v>1.31688</v>
      </c>
      <c r="C10" s="8">
        <f t="shared" si="0"/>
        <v>-0.00519731673415125</v>
      </c>
      <c r="D10" s="9">
        <f>IF(A10="","",C10-(子基金及业绩基准周净值!AG64/子基金及业绩基准周净值!AG63-1))</f>
        <v>-0.00315404230437966</v>
      </c>
      <c r="E10" s="12">
        <f>IF(A10="","",(MAX(B$3:B10)-B10)/MAX(B$3:B10))</f>
        <v>0.00986466165413535</v>
      </c>
      <c r="F10" s="12">
        <f>IF(A10="","",MAX(E$4:E10))</f>
        <v>0.0110676691729324</v>
      </c>
      <c r="G10" s="13">
        <v>1</v>
      </c>
      <c r="H10" s="14" t="str">
        <f t="shared" si="1"/>
        <v>否</v>
      </c>
      <c r="I10" s="14" t="str">
        <f t="shared" si="2"/>
        <v>否</v>
      </c>
      <c r="J10" s="15" t="str">
        <f t="shared" si="3"/>
        <v>否</v>
      </c>
    </row>
    <row r="11" spans="1:10">
      <c r="A11" s="7">
        <f>IF(子基金及业绩基准周净值!A65="","",子基金及业绩基准周净值!A65)</f>
        <v>45905</v>
      </c>
      <c r="B11" s="1">
        <f>IF(A11="","",VLOOKUP($A11,子基金及业绩基准周净值!$A:$AV,23))</f>
        <v>1.3236</v>
      </c>
      <c r="C11" s="8">
        <f t="shared" si="0"/>
        <v>0.00510297065791887</v>
      </c>
      <c r="D11" s="9">
        <f>IF(A11="","",C11-(子基金及业绩基准周净值!AG65/子基金及业绩基准周净值!AG64-1))</f>
        <v>0.00477140937516096</v>
      </c>
      <c r="E11" s="12">
        <f>IF(A11="","",(MAX(B$3:B11)-B11)/MAX(B$3:B11))</f>
        <v>0.00481203007518794</v>
      </c>
      <c r="F11" s="12">
        <f>IF(A11="","",MAX(E$4:E11))</f>
        <v>0.0110676691729324</v>
      </c>
      <c r="G11" s="13">
        <v>0</v>
      </c>
      <c r="H11" s="14" t="str">
        <f t="shared" si="1"/>
        <v>否</v>
      </c>
      <c r="I11" s="14" t="str">
        <f t="shared" si="2"/>
        <v>否</v>
      </c>
      <c r="J11" s="15" t="str">
        <f t="shared" si="3"/>
        <v>否</v>
      </c>
    </row>
    <row r="12" spans="1:10">
      <c r="A12" s="7">
        <f>IF(子基金及业绩基准周净值!A66="","",子基金及业绩基准周净值!A66)</f>
        <v>45912</v>
      </c>
      <c r="B12" s="1">
        <f>IF(A12="","",VLOOKUP($A12,子基金及业绩基准周净值!$A:$AV,23))</f>
        <v>1.32744</v>
      </c>
      <c r="C12" s="8">
        <f t="shared" si="0"/>
        <v>0.00290117860380779</v>
      </c>
      <c r="D12" s="9">
        <f>IF(A12="","",C12-(子基金及业绩基准周净值!AG66/子基金及业绩基准周净值!AG65-1))</f>
        <v>0.000863779987952507</v>
      </c>
      <c r="E12" s="12">
        <f>IF(A12="","",(MAX(B$3:B12)-B12)/MAX(B$3:B12))</f>
        <v>0.00192481203007528</v>
      </c>
      <c r="F12" s="12">
        <f>IF(A12="","",MAX(E$4:E12))</f>
        <v>0.0110676691729324</v>
      </c>
      <c r="G12" s="13">
        <v>0</v>
      </c>
      <c r="H12" s="14" t="str">
        <f t="shared" si="1"/>
        <v>否</v>
      </c>
      <c r="I12" s="14" t="str">
        <f t="shared" si="2"/>
        <v>否</v>
      </c>
      <c r="J12" s="15" t="str">
        <f t="shared" si="3"/>
        <v>否</v>
      </c>
    </row>
    <row r="13" spans="1:10">
      <c r="A13" s="7">
        <f>IF(子基金及业绩基准周净值!A67="","",子基金及业绩基准周净值!A67)</f>
        <v>45919</v>
      </c>
      <c r="B13" s="1">
        <f>IF(A13="","",VLOOKUP($A13,子基金及业绩基准周净值!$A:$AV,23))</f>
        <v>1.32888</v>
      </c>
      <c r="C13" s="8">
        <f t="shared" si="0"/>
        <v>0.00108479479298507</v>
      </c>
      <c r="D13" s="9">
        <f>IF(A13="","",C13-(子基金及业绩基准周净值!AG67/子基金及业绩基准周净值!AG66-1))</f>
        <v>0.000803500213812258</v>
      </c>
      <c r="E13" s="12">
        <f>IF(A13="","",(MAX(B$3:B13)-B13)/MAX(B$3:B13))</f>
        <v>0.000842105263157902</v>
      </c>
      <c r="F13" s="12">
        <f>IF(A13="","",MAX(E$4:E13))</f>
        <v>0.0110676691729324</v>
      </c>
      <c r="G13" s="13">
        <v>0</v>
      </c>
      <c r="H13" s="14" t="str">
        <f t="shared" si="1"/>
        <v>否</v>
      </c>
      <c r="I13" s="14" t="str">
        <f t="shared" si="2"/>
        <v>否</v>
      </c>
      <c r="J13" s="15" t="str">
        <f t="shared" si="3"/>
        <v>否</v>
      </c>
    </row>
    <row r="14" spans="1:10">
      <c r="A14" s="7">
        <f>IF(子基金及业绩基准周净值!A68="","",子基金及业绩基准周净值!A68)</f>
        <v>45926</v>
      </c>
      <c r="B14" s="1">
        <f>IF(A14="","",VLOOKUP($A14,子基金及业绩基准周净值!$A:$AV,23))</f>
        <v>1.3268</v>
      </c>
      <c r="C14" s="8">
        <f t="shared" si="0"/>
        <v>-0.00156522786105595</v>
      </c>
      <c r="D14" s="9">
        <f>IF(A14="","",C14-(子基金及业绩基准周净值!AG68/子基金及业绩基准周净值!AG67-1))</f>
        <v>0.00124059842443536</v>
      </c>
      <c r="E14" s="12">
        <f>IF(A14="","",(MAX(B$3:B14)-B14)/MAX(B$3:B14))</f>
        <v>0.00240601503759405</v>
      </c>
      <c r="F14" s="12">
        <f>IF(A14="","",MAX(E$4:E14))</f>
        <v>0.0110676691729324</v>
      </c>
      <c r="G14" s="13">
        <v>0</v>
      </c>
      <c r="H14" s="14" t="str">
        <f t="shared" si="1"/>
        <v>否</v>
      </c>
      <c r="I14" s="14" t="str">
        <f t="shared" si="2"/>
        <v>否</v>
      </c>
      <c r="J14" s="15" t="str">
        <f t="shared" si="3"/>
        <v>否</v>
      </c>
    </row>
    <row r="15" spans="1:10">
      <c r="A15" s="7">
        <f>IF(子基金及业绩基准周净值!A69="","",子基金及业绩基准周净值!A69)</f>
        <v>45940</v>
      </c>
      <c r="B15" s="1">
        <f>IF(A15="","",VLOOKUP($A15,子基金及业绩基准周净值!$A:$AV,23))</f>
        <v>1.33176</v>
      </c>
      <c r="C15" s="8">
        <f t="shared" si="0"/>
        <v>0.00373831775700939</v>
      </c>
      <c r="D15" s="9">
        <f>IF(A15="","",C15-(子基金及业绩基准周净值!AG69/子基金及业绩基准周净值!AG68-1))</f>
        <v>0.00172547791431077</v>
      </c>
      <c r="E15" s="12">
        <f>IF(A15="","",(MAX(B$3:B15)-B15)/MAX(B$3:B15))</f>
        <v>0</v>
      </c>
      <c r="F15" s="12">
        <f>IF(A15="","",MAX(E$4:E15))</f>
        <v>0.0110676691729324</v>
      </c>
      <c r="G15" s="13">
        <v>0</v>
      </c>
      <c r="H15" s="14" t="str">
        <f t="shared" si="1"/>
        <v>否</v>
      </c>
      <c r="I15" s="14" t="str">
        <f t="shared" si="2"/>
        <v>否</v>
      </c>
      <c r="J15" s="15" t="str">
        <f t="shared" si="3"/>
        <v>否</v>
      </c>
    </row>
    <row r="16" spans="1:10">
      <c r="A16" s="7">
        <f>IF(子基金及业绩基准周净值!A70="","",子基金及业绩基准周净值!A70)</f>
        <v>45947</v>
      </c>
      <c r="B16" s="1">
        <f>IF(A16="","",VLOOKUP($A16,子基金及业绩基准周净值!$A:$AV,23))</f>
        <v>1.3316</v>
      </c>
      <c r="C16" s="8">
        <f t="shared" si="0"/>
        <v>-0.000120141767285475</v>
      </c>
      <c r="D16" s="9">
        <f>IF(A16="","",C16-(子基金及业绩基准周净值!AG70/子基金及业绩基准周净值!AG69-1))</f>
        <v>-0.000443508131563575</v>
      </c>
      <c r="E16" s="12">
        <f>IF(A16="","",(MAX(B$3:B16)-B16)/MAX(B$3:B16))</f>
        <v>0.000120141767285517</v>
      </c>
      <c r="F16" s="12">
        <f>IF(A16="","",MAX(E$4:E16))</f>
        <v>0.0110676691729324</v>
      </c>
      <c r="G16" s="13">
        <v>1</v>
      </c>
      <c r="H16" s="14" t="str">
        <f t="shared" si="1"/>
        <v>否</v>
      </c>
      <c r="I16" s="14" t="str">
        <f t="shared" si="2"/>
        <v>否</v>
      </c>
      <c r="J16" s="15" t="str">
        <f t="shared" si="3"/>
        <v>否</v>
      </c>
    </row>
    <row r="17" spans="1:10">
      <c r="A17" s="7">
        <f>IF(子基金及业绩基准周净值!A71="","",子基金及业绩基准周净值!A71)</f>
        <v>45954</v>
      </c>
      <c r="B17" s="1">
        <f>IF(A17="","",VLOOKUP($A17,子基金及业绩基准周净值!$A:$AV,23))</f>
        <v>1.3416</v>
      </c>
      <c r="C17" s="8">
        <f t="shared" si="0"/>
        <v>0.00750976269149906</v>
      </c>
      <c r="D17" s="9">
        <f>IF(A17="","",C17-(子基金及业绩基准周净值!AG71/子基金及业绩基准周净值!AG70-1))</f>
        <v>0.000550046912219493</v>
      </c>
      <c r="E17" s="12">
        <f>IF(A17="","",(MAX(B$3:B17)-B17)/MAX(B$3:B17))</f>
        <v>0</v>
      </c>
      <c r="F17" s="12">
        <f>IF(A17="","",MAX(E$4:E17))</f>
        <v>0.0110676691729324</v>
      </c>
      <c r="G17" s="13">
        <v>0</v>
      </c>
      <c r="H17" s="14" t="str">
        <f t="shared" si="1"/>
        <v>否</v>
      </c>
      <c r="I17" s="14" t="str">
        <f t="shared" si="2"/>
        <v>否</v>
      </c>
      <c r="J17" s="15" t="str">
        <f t="shared" si="3"/>
        <v>否</v>
      </c>
    </row>
    <row r="18" spans="1:10">
      <c r="A18" s="7">
        <f>IF(子基金及业绩基准周净值!A72="","",子基金及业绩基准周净值!A72)</f>
        <v>45961</v>
      </c>
      <c r="B18" s="1">
        <f>IF(A18="","",VLOOKUP($A18,子基金及业绩基准周净值!$A:$AV,23))</f>
        <v>1.33424</v>
      </c>
      <c r="C18" s="8">
        <f t="shared" si="0"/>
        <v>-0.00548598688133561</v>
      </c>
      <c r="D18" s="9">
        <f>IF(A18="","",C18-(子基金及业绩基准周净值!AG72/子基金及业绩基准周净值!AG71-1))</f>
        <v>-0.00276987222711333</v>
      </c>
      <c r="E18" s="12">
        <f>IF(A18="","",(MAX(B$3:B18)-B18)/MAX(B$3:B18))</f>
        <v>0.00548598688133558</v>
      </c>
      <c r="F18" s="12">
        <f>IF(A18="","",MAX(E$4:E18))</f>
        <v>0.0110676691729324</v>
      </c>
      <c r="G18" s="13">
        <v>1</v>
      </c>
      <c r="H18" s="14" t="str">
        <f t="shared" si="1"/>
        <v>否</v>
      </c>
      <c r="I18" s="14" t="str">
        <f t="shared" si="2"/>
        <v>否</v>
      </c>
      <c r="J18" s="15" t="str">
        <f t="shared" si="3"/>
        <v>否</v>
      </c>
    </row>
    <row r="19" spans="1:10">
      <c r="A19" s="7" t="str">
        <f>IF(子基金及业绩基准周净值!A73="","",子基金及业绩基准周净值!A73)</f>
        <v/>
      </c>
      <c r="B19" s="1" t="str">
        <f>IF(A19="","",VLOOKUP($A19,子基金及业绩基准周净值!$A:$AV,23))</f>
        <v/>
      </c>
      <c r="C19" s="8" t="str">
        <f t="shared" si="0"/>
        <v/>
      </c>
      <c r="D19" s="9" t="str">
        <f>IF(A19="","",C19-(子基金及业绩基准周净值!AG73/子基金及业绩基准周净值!AG72-1))</f>
        <v/>
      </c>
      <c r="E19" s="12" t="str">
        <f>IF(A19="","",(MAX(B$3:B19)-B19)/MAX(B$3:B19))</f>
        <v/>
      </c>
      <c r="F19" s="12" t="str">
        <f>IF(A19="","",MAX(E$4:E19))</f>
        <v/>
      </c>
      <c r="G19" s="13"/>
      <c r="H19" s="14" t="str">
        <f t="shared" si="1"/>
        <v/>
      </c>
      <c r="I19" s="14" t="str">
        <f t="shared" si="2"/>
        <v/>
      </c>
      <c r="J19" s="15" t="str">
        <f t="shared" si="3"/>
        <v/>
      </c>
    </row>
    <row r="20" spans="1:10">
      <c r="A20" s="7" t="str">
        <f>IF(子基金及业绩基准周净值!A74="","",子基金及业绩基准周净值!A74)</f>
        <v/>
      </c>
      <c r="B20" s="1" t="str">
        <f>IF(A20="","",VLOOKUP($A20,子基金及业绩基准周净值!$A:$AV,23))</f>
        <v/>
      </c>
      <c r="C20" s="8" t="str">
        <f t="shared" si="0"/>
        <v/>
      </c>
      <c r="D20" s="9" t="str">
        <f>IF(A20="","",C20-(子基金及业绩基准周净值!AG74/子基金及业绩基准周净值!AG73-1))</f>
        <v/>
      </c>
      <c r="E20" s="12" t="str">
        <f>IF(A20="","",(MAX(B$3:B20)-B20)/MAX(B$3:B20))</f>
        <v/>
      </c>
      <c r="F20" s="12" t="str">
        <f>IF(A20="","",MAX(E$4:E20))</f>
        <v/>
      </c>
      <c r="G20" s="13"/>
      <c r="H20" s="14" t="str">
        <f t="shared" si="1"/>
        <v/>
      </c>
      <c r="I20" s="14" t="str">
        <f t="shared" si="2"/>
        <v/>
      </c>
      <c r="J20" s="15" t="str">
        <f t="shared" si="3"/>
        <v/>
      </c>
    </row>
    <row r="21" spans="1:10">
      <c r="A21" s="7" t="str">
        <f>IF(子基金及业绩基准周净值!A75="","",子基金及业绩基准周净值!A75)</f>
        <v/>
      </c>
      <c r="B21" s="1" t="str">
        <f>IF(A21="","",VLOOKUP($A21,子基金及业绩基准周净值!$A:$AV,23))</f>
        <v/>
      </c>
      <c r="C21" s="8" t="str">
        <f t="shared" si="0"/>
        <v/>
      </c>
      <c r="D21" s="9" t="str">
        <f>IF(A21="","",C21-(子基金及业绩基准周净值!AG75/子基金及业绩基准周净值!AG74-1))</f>
        <v/>
      </c>
      <c r="E21" s="12" t="str">
        <f>IF(A21="","",(MAX(B$3:B21)-B21)/MAX(B$3:B21))</f>
        <v/>
      </c>
      <c r="F21" s="12" t="str">
        <f>IF(A21="","",MAX(E$4:E21))</f>
        <v/>
      </c>
      <c r="G21" s="20"/>
      <c r="H21" s="14" t="str">
        <f t="shared" si="1"/>
        <v/>
      </c>
      <c r="I21" s="14" t="str">
        <f t="shared" si="2"/>
        <v/>
      </c>
      <c r="J21" s="15" t="str">
        <f t="shared" si="3"/>
        <v/>
      </c>
    </row>
    <row r="22" spans="1:10">
      <c r="A22" s="7" t="str">
        <f>IF(子基金及业绩基准周净值!A76="","",子基金及业绩基准周净值!A76)</f>
        <v/>
      </c>
      <c r="B22" s="1" t="str">
        <f>IF(A22="","",VLOOKUP($A22,子基金及业绩基准周净值!$A:$AV,23))</f>
        <v/>
      </c>
      <c r="C22" s="8" t="str">
        <f t="shared" si="0"/>
        <v/>
      </c>
      <c r="D22" s="9" t="str">
        <f>IF(A22="","",C22-(子基金及业绩基准周净值!AG76/子基金及业绩基准周净值!AG75-1))</f>
        <v/>
      </c>
      <c r="E22" s="12" t="str">
        <f>IF(A22="","",(MAX(B$3:B22)-B22)/MAX(B$3:B22))</f>
        <v/>
      </c>
      <c r="F22" s="12" t="str">
        <f>IF(A22="","",MAX(E$4:E22))</f>
        <v/>
      </c>
      <c r="G22" s="13"/>
      <c r="H22" s="14" t="str">
        <f t="shared" si="1"/>
        <v/>
      </c>
      <c r="I22" s="14" t="str">
        <f t="shared" si="2"/>
        <v/>
      </c>
      <c r="J22" s="15" t="str">
        <f t="shared" si="3"/>
        <v/>
      </c>
    </row>
    <row r="23" spans="1:10">
      <c r="A23" s="7" t="str">
        <f>IF(子基金及业绩基准周净值!A77="","",子基金及业绩基准周净值!A77)</f>
        <v/>
      </c>
      <c r="B23" s="1" t="str">
        <f>IF(A23="","",VLOOKUP($A23,子基金及业绩基准周净值!$A:$AV,23))</f>
        <v/>
      </c>
      <c r="C23" s="8" t="str">
        <f t="shared" si="0"/>
        <v/>
      </c>
      <c r="D23" s="9" t="str">
        <f>IF(A23="","",C23-(子基金及业绩基准周净值!AG77/子基金及业绩基准周净值!AG76-1))</f>
        <v/>
      </c>
      <c r="E23" s="12" t="str">
        <f>IF(A23="","",(MAX(B$3:B23)-B23)/MAX(B$3:B23))</f>
        <v/>
      </c>
      <c r="F23" s="12" t="str">
        <f>IF(A23="","",MAX(E$4:E23))</f>
        <v/>
      </c>
      <c r="G23" s="13"/>
      <c r="H23" s="14" t="str">
        <f t="shared" si="1"/>
        <v/>
      </c>
      <c r="I23" s="14" t="str">
        <f t="shared" si="2"/>
        <v/>
      </c>
      <c r="J23" s="15" t="str">
        <f t="shared" si="3"/>
        <v/>
      </c>
    </row>
    <row r="24" spans="1:10">
      <c r="A24" s="7" t="str">
        <f>IF(子基金及业绩基准周净值!A78="","",子基金及业绩基准周净值!A78)</f>
        <v/>
      </c>
      <c r="B24" s="1" t="str">
        <f>IF(A24="","",VLOOKUP($A24,子基金及业绩基准周净值!$A:$AV,23))</f>
        <v/>
      </c>
      <c r="C24" s="8" t="str">
        <f t="shared" si="0"/>
        <v/>
      </c>
      <c r="D24" s="9" t="str">
        <f>IF(A24="","",C24-(子基金及业绩基准周净值!AG78/子基金及业绩基准周净值!AG77-1))</f>
        <v/>
      </c>
      <c r="E24" s="12" t="str">
        <f>IF(A24="","",(MAX(B$3:B24)-B24)/MAX(B$3:B24))</f>
        <v/>
      </c>
      <c r="F24" s="12" t="str">
        <f>IF(A24="","",MAX(E$4:E24))</f>
        <v/>
      </c>
      <c r="G24" s="13"/>
      <c r="H24" s="14" t="str">
        <f t="shared" si="1"/>
        <v/>
      </c>
      <c r="I24" s="14" t="str">
        <f t="shared" si="2"/>
        <v/>
      </c>
      <c r="J24" s="15" t="str">
        <f t="shared" si="3"/>
        <v/>
      </c>
    </row>
    <row r="25" spans="1:10">
      <c r="A25" s="7" t="str">
        <f>IF(子基金及业绩基准周净值!A79="","",子基金及业绩基准周净值!A79)</f>
        <v/>
      </c>
      <c r="B25" s="1" t="str">
        <f>IF(A25="","",VLOOKUP($A25,子基金及业绩基准周净值!$A:$AV,23))</f>
        <v/>
      </c>
      <c r="C25" s="8" t="str">
        <f t="shared" si="0"/>
        <v/>
      </c>
      <c r="D25" s="9" t="str">
        <f>IF(A25="","",C25-(子基金及业绩基准周净值!AG79/子基金及业绩基准周净值!AG78-1))</f>
        <v/>
      </c>
      <c r="E25" s="12" t="str">
        <f>IF(A25="","",(MAX(B$3:B25)-B25)/MAX(B$3:B25))</f>
        <v/>
      </c>
      <c r="F25" s="12" t="str">
        <f>IF(A25="","",MAX(E$4:E25))</f>
        <v/>
      </c>
      <c r="G25" s="13"/>
      <c r="H25" s="14" t="str">
        <f t="shared" si="1"/>
        <v/>
      </c>
      <c r="I25" s="14" t="str">
        <f t="shared" si="2"/>
        <v/>
      </c>
      <c r="J25" s="15" t="str">
        <f t="shared" si="3"/>
        <v/>
      </c>
    </row>
    <row r="26" spans="1:10">
      <c r="A26" s="7" t="str">
        <f>IF(子基金及业绩基准周净值!A80="","",子基金及业绩基准周净值!A80)</f>
        <v/>
      </c>
      <c r="B26" s="1" t="str">
        <f>IF(A26="","",VLOOKUP($A26,子基金及业绩基准周净值!$A:$AV,23))</f>
        <v/>
      </c>
      <c r="C26" s="8" t="str">
        <f t="shared" si="0"/>
        <v/>
      </c>
      <c r="D26" s="9" t="str">
        <f>IF(A26="","",C26-(子基金及业绩基准周净值!AG80/子基金及业绩基准周净值!AG79-1))</f>
        <v/>
      </c>
      <c r="E26" s="12" t="str">
        <f>IF(A26="","",(MAX(B$3:B26)-B26)/MAX(B$3:B26))</f>
        <v/>
      </c>
      <c r="F26" s="12" t="str">
        <f>IF(A26="","",MAX(E$4:E26))</f>
        <v/>
      </c>
      <c r="G26" s="13"/>
      <c r="H26" s="14" t="str">
        <f t="shared" si="1"/>
        <v/>
      </c>
      <c r="I26" s="14" t="str">
        <f t="shared" si="2"/>
        <v/>
      </c>
      <c r="J26" s="15" t="str">
        <f t="shared" si="3"/>
        <v/>
      </c>
    </row>
    <row r="27" spans="1:10">
      <c r="A27" s="7" t="str">
        <f>IF(子基金及业绩基准周净值!A81="","",子基金及业绩基准周净值!A81)</f>
        <v/>
      </c>
      <c r="B27" s="1" t="str">
        <f>IF(A27="","",VLOOKUP($A27,子基金及业绩基准周净值!$A:$AV,23))</f>
        <v/>
      </c>
      <c r="C27" s="8" t="str">
        <f t="shared" si="0"/>
        <v/>
      </c>
      <c r="D27" s="9" t="str">
        <f>IF(A27="","",C27-(子基金及业绩基准周净值!AG81/子基金及业绩基准周净值!AG80-1))</f>
        <v/>
      </c>
      <c r="E27" s="12" t="str">
        <f>IF(A27="","",(MAX(B$3:B27)-B27)/MAX(B$3:B27))</f>
        <v/>
      </c>
      <c r="F27" s="12" t="str">
        <f>IF(A27="","",MAX(E$4:E27))</f>
        <v/>
      </c>
      <c r="G27" s="13"/>
      <c r="H27" s="14" t="str">
        <f t="shared" si="1"/>
        <v/>
      </c>
      <c r="I27" s="14" t="str">
        <f t="shared" si="2"/>
        <v/>
      </c>
      <c r="J27" s="15" t="str">
        <f t="shared" si="3"/>
        <v/>
      </c>
    </row>
    <row r="28" spans="1:10">
      <c r="A28" s="7" t="str">
        <f>IF(子基金及业绩基准周净值!A82="","",子基金及业绩基准周净值!A82)</f>
        <v/>
      </c>
      <c r="B28" s="1" t="str">
        <f>IF(A28="","",VLOOKUP($A28,子基金及业绩基准周净值!$A:$AV,23))</f>
        <v/>
      </c>
      <c r="C28" s="8" t="str">
        <f t="shared" si="0"/>
        <v/>
      </c>
      <c r="D28" s="9" t="str">
        <f>IF(A28="","",C28-(子基金及业绩基准周净值!AG82/子基金及业绩基准周净值!AG81-1))</f>
        <v/>
      </c>
      <c r="E28" s="12" t="str">
        <f>IF(A28="","",(MAX(B$3:B28)-B28)/MAX(B$3:B28))</f>
        <v/>
      </c>
      <c r="F28" s="12" t="str">
        <f>IF(A28="","",MAX(E$4:E28))</f>
        <v/>
      </c>
      <c r="G28" s="13"/>
      <c r="H28" s="14" t="str">
        <f t="shared" si="1"/>
        <v/>
      </c>
      <c r="I28" s="14" t="str">
        <f t="shared" si="2"/>
        <v/>
      </c>
      <c r="J28" s="15" t="str">
        <f t="shared" si="3"/>
        <v/>
      </c>
    </row>
    <row r="29" spans="1:10">
      <c r="A29" s="7" t="str">
        <f>IF(子基金及业绩基准周净值!A83="","",子基金及业绩基准周净值!A83)</f>
        <v/>
      </c>
      <c r="B29" s="1" t="str">
        <f>IF(A29="","",VLOOKUP($A29,子基金及业绩基准周净值!$A:$AV,23))</f>
        <v/>
      </c>
      <c r="C29" s="8" t="str">
        <f t="shared" si="0"/>
        <v/>
      </c>
      <c r="D29" s="9" t="str">
        <f>IF(A29="","",C29-(子基金及业绩基准周净值!AG83/子基金及业绩基准周净值!AG82-1))</f>
        <v/>
      </c>
      <c r="E29" s="12" t="str">
        <f>IF(A29="","",(MAX(B$3:B29)-B29)/MAX(B$3:B29))</f>
        <v/>
      </c>
      <c r="F29" s="12" t="str">
        <f>IF(A29="","",MAX(E$4:E29))</f>
        <v/>
      </c>
      <c r="G29" s="13"/>
      <c r="H29" s="14" t="str">
        <f t="shared" si="1"/>
        <v/>
      </c>
      <c r="I29" s="14" t="str">
        <f t="shared" si="2"/>
        <v/>
      </c>
      <c r="J29" s="15" t="str">
        <f t="shared" si="3"/>
        <v/>
      </c>
    </row>
    <row r="30" spans="1:10">
      <c r="A30" s="7" t="str">
        <f>IF(子基金及业绩基准周净值!A84="","",子基金及业绩基准周净值!A84)</f>
        <v/>
      </c>
      <c r="B30" s="1" t="str">
        <f>IF(A30="","",VLOOKUP($A30,子基金及业绩基准周净值!$A:$AV,23))</f>
        <v/>
      </c>
      <c r="C30" s="8" t="str">
        <f t="shared" si="0"/>
        <v/>
      </c>
      <c r="D30" s="9" t="str">
        <f>IF(A30="","",C30-(子基金及业绩基准周净值!AG84/子基金及业绩基准周净值!AG83-1))</f>
        <v/>
      </c>
      <c r="E30" s="12" t="str">
        <f>IF(A30="","",(MAX(B$3:B30)-B30)/MAX(B$3:B30))</f>
        <v/>
      </c>
      <c r="F30" s="12" t="str">
        <f>IF(A30="","",MAX(E$4:E30))</f>
        <v/>
      </c>
      <c r="G30" s="13"/>
      <c r="H30" s="14" t="str">
        <f t="shared" si="1"/>
        <v/>
      </c>
      <c r="I30" s="14" t="str">
        <f t="shared" si="2"/>
        <v/>
      </c>
      <c r="J30" s="15" t="str">
        <f t="shared" si="3"/>
        <v/>
      </c>
    </row>
    <row r="31" spans="1:10">
      <c r="A31" s="7" t="str">
        <f>IF(子基金及业绩基准周净值!A85="","",子基金及业绩基准周净值!A85)</f>
        <v/>
      </c>
      <c r="B31" s="1" t="str">
        <f>IF(A31="","",VLOOKUP($A31,子基金及业绩基准周净值!$A:$AV,23))</f>
        <v/>
      </c>
      <c r="C31" s="8" t="str">
        <f t="shared" si="0"/>
        <v/>
      </c>
      <c r="D31" s="9" t="str">
        <f>IF(A31="","",C31-(子基金及业绩基准周净值!AG85/子基金及业绩基准周净值!AG84-1))</f>
        <v/>
      </c>
      <c r="E31" s="12" t="str">
        <f>IF(A31="","",(MAX(B$3:B31)-B31)/MAX(B$3:B31))</f>
        <v/>
      </c>
      <c r="F31" s="12" t="str">
        <f>IF(A31="","",MAX(E$4:E31))</f>
        <v/>
      </c>
      <c r="G31" s="13"/>
      <c r="H31" s="14" t="str">
        <f t="shared" si="1"/>
        <v/>
      </c>
      <c r="I31" s="14" t="str">
        <f t="shared" si="2"/>
        <v/>
      </c>
      <c r="J31" s="15" t="str">
        <f t="shared" si="3"/>
        <v/>
      </c>
    </row>
    <row r="32" spans="1:10">
      <c r="A32" s="7" t="str">
        <f>IF(子基金及业绩基准周净值!A86="","",子基金及业绩基准周净值!A86)</f>
        <v/>
      </c>
      <c r="B32" s="1" t="str">
        <f>IF(A32="","",VLOOKUP($A32,子基金及业绩基准周净值!$A:$AV,23))</f>
        <v/>
      </c>
      <c r="C32" s="8" t="str">
        <f t="shared" si="0"/>
        <v/>
      </c>
      <c r="D32" s="9" t="str">
        <f>IF(A32="","",C32-(子基金及业绩基准周净值!AG86/子基金及业绩基准周净值!AG85-1))</f>
        <v/>
      </c>
      <c r="E32" s="12" t="str">
        <f>IF(A32="","",(MAX(B$3:B32)-B32)/MAX(B$3:B32))</f>
        <v/>
      </c>
      <c r="F32" s="12" t="str">
        <f>IF(A32="","",MAX(E$4:E32))</f>
        <v/>
      </c>
      <c r="G32" s="13"/>
      <c r="H32" s="14" t="str">
        <f t="shared" si="1"/>
        <v/>
      </c>
      <c r="I32" s="14" t="str">
        <f t="shared" si="2"/>
        <v/>
      </c>
      <c r="J32" s="15" t="str">
        <f t="shared" si="3"/>
        <v/>
      </c>
    </row>
    <row r="33" spans="1:10">
      <c r="A33" s="7" t="str">
        <f>IF(子基金及业绩基准周净值!A87="","",子基金及业绩基准周净值!A87)</f>
        <v/>
      </c>
      <c r="B33" s="1" t="str">
        <f>IF(A33="","",VLOOKUP($A33,子基金及业绩基准周净值!$A:$AV,23))</f>
        <v/>
      </c>
      <c r="C33" s="8" t="str">
        <f t="shared" si="0"/>
        <v/>
      </c>
      <c r="D33" s="9" t="str">
        <f>IF(A33="","",C33-(子基金及业绩基准周净值!AG87/子基金及业绩基准周净值!AG86-1))</f>
        <v/>
      </c>
      <c r="E33" s="12" t="str">
        <f>IF(A33="","",(MAX(B$3:B33)-B33)/MAX(B$3:B33))</f>
        <v/>
      </c>
      <c r="F33" s="12" t="str">
        <f>IF(A33="","",MAX(E$4:E33))</f>
        <v/>
      </c>
      <c r="G33" s="13"/>
      <c r="H33" s="14" t="str">
        <f t="shared" si="1"/>
        <v/>
      </c>
      <c r="I33" s="14" t="str">
        <f t="shared" si="2"/>
        <v/>
      </c>
      <c r="J33" s="15" t="str">
        <f t="shared" si="3"/>
        <v/>
      </c>
    </row>
    <row r="34" spans="1:10">
      <c r="A34" s="7" t="str">
        <f>IF(子基金及业绩基准周净值!A88="","",子基金及业绩基准周净值!A88)</f>
        <v/>
      </c>
      <c r="B34" s="1" t="str">
        <f>IF(A34="","",VLOOKUP($A34,子基金及业绩基准周净值!$A:$AV,23))</f>
        <v/>
      </c>
      <c r="C34" s="8" t="str">
        <f t="shared" si="0"/>
        <v/>
      </c>
      <c r="D34" s="9" t="str">
        <f>IF(A34="","",C34-(子基金及业绩基准周净值!AG88/子基金及业绩基准周净值!AG87-1))</f>
        <v/>
      </c>
      <c r="E34" s="12" t="str">
        <f>IF(A34="","",(MAX(B$3:B34)-B34)/MAX(B$3:B34))</f>
        <v/>
      </c>
      <c r="F34" s="12" t="str">
        <f>IF(A34="","",MAX(E$4:E34))</f>
        <v/>
      </c>
      <c r="G34" s="13"/>
      <c r="H34" s="14" t="str">
        <f t="shared" si="1"/>
        <v/>
      </c>
      <c r="I34" s="14" t="str">
        <f t="shared" si="2"/>
        <v/>
      </c>
      <c r="J34" s="15" t="str">
        <f t="shared" si="3"/>
        <v/>
      </c>
    </row>
    <row r="35" spans="1:10">
      <c r="A35" s="7" t="str">
        <f>IF(子基金及业绩基准周净值!A89="","",子基金及业绩基准周净值!A89)</f>
        <v/>
      </c>
      <c r="B35" s="1" t="str">
        <f>IF(A35="","",VLOOKUP($A35,子基金及业绩基准周净值!$A:$AV,23))</f>
        <v/>
      </c>
      <c r="C35" s="8" t="str">
        <f t="shared" si="0"/>
        <v/>
      </c>
      <c r="D35" s="9" t="str">
        <f>IF(A35="","",C35-(子基金及业绩基准周净值!AG89/子基金及业绩基准周净值!AG88-1))</f>
        <v/>
      </c>
      <c r="E35" s="12" t="str">
        <f>IF(A35="","",(MAX(B$3:B35)-B35)/MAX(B$3:B35))</f>
        <v/>
      </c>
      <c r="F35" s="12" t="str">
        <f>IF(A35="","",MAX(E$4:E35))</f>
        <v/>
      </c>
      <c r="G35" s="13"/>
      <c r="H35" s="14" t="str">
        <f t="shared" si="1"/>
        <v/>
      </c>
      <c r="I35" s="14" t="str">
        <f t="shared" si="2"/>
        <v/>
      </c>
      <c r="J35" s="15" t="str">
        <f t="shared" si="3"/>
        <v/>
      </c>
    </row>
    <row r="36" spans="1:10">
      <c r="A36" s="7" t="str">
        <f>IF(子基金及业绩基准周净值!A90="","",子基金及业绩基准周净值!A90)</f>
        <v/>
      </c>
      <c r="B36" s="1" t="str">
        <f>IF(A36="","",VLOOKUP($A36,子基金及业绩基准周净值!$A:$AV,23))</f>
        <v/>
      </c>
      <c r="C36" s="8" t="str">
        <f t="shared" si="0"/>
        <v/>
      </c>
      <c r="D36" s="9" t="str">
        <f>IF(A36="","",C36-(子基金及业绩基准周净值!AG90/子基金及业绩基准周净值!AG89-1))</f>
        <v/>
      </c>
      <c r="E36" s="12" t="str">
        <f>IF(A36="","",(MAX(B$3:B36)-B36)/MAX(B$3:B36))</f>
        <v/>
      </c>
      <c r="F36" s="12" t="str">
        <f>IF(A36="","",MAX(E$4:E36))</f>
        <v/>
      </c>
      <c r="G36" s="13"/>
      <c r="H36" s="14" t="str">
        <f t="shared" si="1"/>
        <v/>
      </c>
      <c r="I36" s="14" t="str">
        <f t="shared" si="2"/>
        <v/>
      </c>
      <c r="J36" s="15" t="str">
        <f t="shared" si="3"/>
        <v/>
      </c>
    </row>
    <row r="37" spans="1:10">
      <c r="A37" s="7" t="str">
        <f>IF(子基金及业绩基准周净值!A91="","",子基金及业绩基准周净值!A91)</f>
        <v/>
      </c>
      <c r="B37" s="1" t="str">
        <f>IF(A37="","",VLOOKUP($A37,子基金及业绩基准周净值!$A:$AV,23))</f>
        <v/>
      </c>
      <c r="C37" s="8" t="str">
        <f t="shared" si="0"/>
        <v/>
      </c>
      <c r="D37" s="9" t="str">
        <f>IF(A37="","",C37-(子基金及业绩基准周净值!AG91/子基金及业绩基准周净值!AG90-1))</f>
        <v/>
      </c>
      <c r="E37" s="12" t="str">
        <f>IF(A37="","",(MAX(B$3:B37)-B37)/MAX(B$3:B37))</f>
        <v/>
      </c>
      <c r="F37" s="12" t="str">
        <f>IF(A37="","",MAX(E$4:E37))</f>
        <v/>
      </c>
      <c r="G37" s="13"/>
      <c r="H37" s="14" t="str">
        <f t="shared" ref="H37:H53" si="4">IF(B37="","",IF(C37&lt;-3%,"是","否"))</f>
        <v/>
      </c>
      <c r="I37" s="14" t="str">
        <f t="shared" ref="I37:I53" si="5">IF(A37="","",IF(F37&gt;5%,"是","否"))</f>
        <v/>
      </c>
      <c r="J37" s="15" t="str">
        <f t="shared" ref="J37:J53" si="6">IF(A37="","",IF(G37&gt;=4,"是","否"))</f>
        <v/>
      </c>
    </row>
    <row r="38" spans="1:10">
      <c r="A38" s="7" t="str">
        <f>IF(子基金及业绩基准周净值!A92="","",子基金及业绩基准周净值!A92)</f>
        <v/>
      </c>
      <c r="B38" s="1" t="str">
        <f>IF(A38="","",VLOOKUP($A38,子基金及业绩基准周净值!$A:$AV,23))</f>
        <v/>
      </c>
      <c r="C38" s="8" t="str">
        <f t="shared" si="0"/>
        <v/>
      </c>
      <c r="D38" s="9" t="str">
        <f>IF(A38="","",C38-(子基金及业绩基准周净值!AG92/子基金及业绩基准周净值!AG91-1))</f>
        <v/>
      </c>
      <c r="E38" s="12" t="str">
        <f>IF(A38="","",(MAX(B$3:B38)-B38)/MAX(B$3:B38))</f>
        <v/>
      </c>
      <c r="F38" s="12" t="str">
        <f>IF(A38="","",MAX(E$4:E38))</f>
        <v/>
      </c>
      <c r="G38" s="13"/>
      <c r="H38" s="14" t="str">
        <f t="shared" si="4"/>
        <v/>
      </c>
      <c r="I38" s="14" t="str">
        <f t="shared" si="5"/>
        <v/>
      </c>
      <c r="J38" s="15" t="str">
        <f t="shared" si="6"/>
        <v/>
      </c>
    </row>
    <row r="39" spans="1:10">
      <c r="A39" s="7" t="str">
        <f>IF(子基金及业绩基准周净值!A93="","",子基金及业绩基准周净值!A93)</f>
        <v/>
      </c>
      <c r="B39" s="1" t="str">
        <f>IF(A39="","",VLOOKUP($A39,子基金及业绩基准周净值!$A:$AV,23))</f>
        <v/>
      </c>
      <c r="C39" s="8" t="str">
        <f t="shared" si="0"/>
        <v/>
      </c>
      <c r="D39" s="9" t="str">
        <f>IF(A39="","",C39-(子基金及业绩基准周净值!AG93/子基金及业绩基准周净值!AG92-1))</f>
        <v/>
      </c>
      <c r="E39" s="12" t="str">
        <f>IF(A39="","",(MAX(B$3:B39)-B39)/MAX(B$3:B39))</f>
        <v/>
      </c>
      <c r="F39" s="12" t="str">
        <f>IF(A39="","",MAX(E$4:E39))</f>
        <v/>
      </c>
      <c r="G39" s="13"/>
      <c r="H39" s="14" t="str">
        <f t="shared" si="4"/>
        <v/>
      </c>
      <c r="I39" s="14" t="str">
        <f t="shared" si="5"/>
        <v/>
      </c>
      <c r="J39" s="15" t="str">
        <f t="shared" si="6"/>
        <v/>
      </c>
    </row>
    <row r="40" spans="1:10">
      <c r="A40" s="7" t="str">
        <f>IF(子基金及业绩基准周净值!A94="","",子基金及业绩基准周净值!A94)</f>
        <v/>
      </c>
      <c r="B40" s="1" t="str">
        <f>IF(A40="","",VLOOKUP($A40,子基金及业绩基准周净值!$A:$AV,23))</f>
        <v/>
      </c>
      <c r="C40" s="8" t="str">
        <f t="shared" si="0"/>
        <v/>
      </c>
      <c r="D40" s="9" t="str">
        <f>IF(A40="","",C40-(子基金及业绩基准周净值!AG94/子基金及业绩基准周净值!AG93-1))</f>
        <v/>
      </c>
      <c r="E40" s="12" t="str">
        <f>IF(A40="","",(MAX(B$3:B40)-B40)/MAX(B$3:B40))</f>
        <v/>
      </c>
      <c r="F40" s="12" t="str">
        <f>IF(A40="","",MAX(E$4:E40))</f>
        <v/>
      </c>
      <c r="G40" s="13"/>
      <c r="H40" s="14" t="str">
        <f t="shared" si="4"/>
        <v/>
      </c>
      <c r="I40" s="14" t="str">
        <f t="shared" si="5"/>
        <v/>
      </c>
      <c r="J40" s="15" t="str">
        <f t="shared" si="6"/>
        <v/>
      </c>
    </row>
    <row r="41" spans="1:10">
      <c r="A41" s="7" t="str">
        <f>IF(子基金及业绩基准周净值!A95="","",子基金及业绩基准周净值!A95)</f>
        <v/>
      </c>
      <c r="B41" s="1" t="str">
        <f>IF(A41="","",VLOOKUP($A41,子基金及业绩基准周净值!$A:$AV,23))</f>
        <v/>
      </c>
      <c r="C41" s="8" t="str">
        <f t="shared" si="0"/>
        <v/>
      </c>
      <c r="D41" s="9" t="str">
        <f>IF(A41="","",C41-(子基金及业绩基准周净值!AG95/子基金及业绩基准周净值!AG94-1))</f>
        <v/>
      </c>
      <c r="E41" s="12" t="str">
        <f>IF(A41="","",(MAX(B$3:B41)-B41)/MAX(B$3:B41))</f>
        <v/>
      </c>
      <c r="F41" s="12" t="str">
        <f>IF(A41="","",MAX(E$4:E41))</f>
        <v/>
      </c>
      <c r="G41" s="13"/>
      <c r="H41" s="14" t="str">
        <f t="shared" si="4"/>
        <v/>
      </c>
      <c r="I41" s="14" t="str">
        <f t="shared" si="5"/>
        <v/>
      </c>
      <c r="J41" s="15" t="str">
        <f t="shared" si="6"/>
        <v/>
      </c>
    </row>
    <row r="42" spans="1:10">
      <c r="A42" s="7"/>
      <c r="B42" s="1" t="str">
        <f>IF(A42="","",VLOOKUP($A42,子基金及业绩基准周净值!$A:$AV,23))</f>
        <v/>
      </c>
      <c r="C42" s="8" t="str">
        <f t="shared" si="0"/>
        <v/>
      </c>
      <c r="D42" s="9" t="str">
        <f>IF(A42="","",C42-(子基金及业绩基准周净值!AG96/子基金及业绩基准周净值!AG95-1))</f>
        <v/>
      </c>
      <c r="E42" s="12" t="str">
        <f>IF(A42="","",(MAX(B$3:B42)-B42)/MAX(B$3:B42))</f>
        <v/>
      </c>
      <c r="F42" s="12" t="str">
        <f>IF(A42="","",MAX(E$4:E42))</f>
        <v/>
      </c>
      <c r="G42" s="13"/>
      <c r="H42" s="14" t="str">
        <f t="shared" si="4"/>
        <v/>
      </c>
      <c r="I42" s="14" t="str">
        <f t="shared" si="5"/>
        <v/>
      </c>
      <c r="J42" s="15" t="str">
        <f t="shared" si="6"/>
        <v/>
      </c>
    </row>
    <row r="43" spans="1:10">
      <c r="A43" s="7"/>
      <c r="B43" s="1"/>
      <c r="C43" s="8"/>
      <c r="D43" s="9"/>
      <c r="E43" s="12" t="str">
        <f>IF(A43="","",(MAX(B$3:B43)-B43)/MAX(B$3:B43))</f>
        <v/>
      </c>
      <c r="F43" s="12" t="str">
        <f>IF(A43="","",MAX(E$4:E43))</f>
        <v/>
      </c>
      <c r="G43" s="13"/>
      <c r="H43" s="14" t="str">
        <f t="shared" si="4"/>
        <v/>
      </c>
      <c r="I43" s="14" t="str">
        <f t="shared" si="5"/>
        <v/>
      </c>
      <c r="J43" s="15" t="str">
        <f t="shared" si="6"/>
        <v/>
      </c>
    </row>
    <row r="44" spans="1:10">
      <c r="A44" s="7"/>
      <c r="B44" s="1"/>
      <c r="C44" s="8"/>
      <c r="D44" s="9"/>
      <c r="E44" s="12" t="str">
        <f>IF(A44="","",(MAX(B$3:B44)-B44)/MAX(B$3:B44))</f>
        <v/>
      </c>
      <c r="F44" s="12" t="str">
        <f>IF(A44="","",MAX(E$4:E44))</f>
        <v/>
      </c>
      <c r="G44" s="13"/>
      <c r="H44" s="14" t="str">
        <f t="shared" si="4"/>
        <v/>
      </c>
      <c r="I44" s="14" t="str">
        <f t="shared" si="5"/>
        <v/>
      </c>
      <c r="J44" s="15" t="str">
        <f t="shared" si="6"/>
        <v/>
      </c>
    </row>
    <row r="45" spans="1:10">
      <c r="A45" s="7"/>
      <c r="B45" s="1"/>
      <c r="C45" s="8"/>
      <c r="D45" s="9"/>
      <c r="E45" s="12" t="str">
        <f>IF(A45="","",(MAX(B$3:B45)-B45)/MAX(B$3:B45))</f>
        <v/>
      </c>
      <c r="F45" s="12" t="str">
        <f>IF(A45="","",MAX(E$4:E45))</f>
        <v/>
      </c>
      <c r="G45" s="13"/>
      <c r="H45" s="14" t="str">
        <f t="shared" si="4"/>
        <v/>
      </c>
      <c r="I45" s="14" t="str">
        <f t="shared" si="5"/>
        <v/>
      </c>
      <c r="J45" s="15" t="str">
        <f t="shared" si="6"/>
        <v/>
      </c>
    </row>
    <row r="46" spans="1:10">
      <c r="A46" s="7"/>
      <c r="B46" s="1"/>
      <c r="C46" s="8"/>
      <c r="D46" s="9"/>
      <c r="E46" s="12" t="str">
        <f>IF(A46="","",(MAX(B$3:B46)-B46)/MAX(B$3:B46))</f>
        <v/>
      </c>
      <c r="F46" s="12" t="str">
        <f>IF(A46="","",MAX(E$4:E46))</f>
        <v/>
      </c>
      <c r="G46" s="13"/>
      <c r="H46" s="14" t="str">
        <f t="shared" si="4"/>
        <v/>
      </c>
      <c r="I46" s="14" t="str">
        <f t="shared" si="5"/>
        <v/>
      </c>
      <c r="J46" s="15" t="str">
        <f t="shared" si="6"/>
        <v/>
      </c>
    </row>
    <row r="47" spans="1:10">
      <c r="A47" s="7"/>
      <c r="B47" s="1"/>
      <c r="C47" s="8"/>
      <c r="D47" s="9"/>
      <c r="E47" s="12" t="str">
        <f>IF(A47="","",(MAX(B$3:B47)-B47)/MAX(B$3:B47))</f>
        <v/>
      </c>
      <c r="F47" s="12" t="str">
        <f>IF(A47="","",MAX(E$4:E47))</f>
        <v/>
      </c>
      <c r="G47" s="13"/>
      <c r="H47" s="14" t="str">
        <f t="shared" si="4"/>
        <v/>
      </c>
      <c r="I47" s="14" t="str">
        <f t="shared" si="5"/>
        <v/>
      </c>
      <c r="J47" s="15" t="str">
        <f t="shared" si="6"/>
        <v/>
      </c>
    </row>
    <row r="48" spans="1:10">
      <c r="A48" s="7"/>
      <c r="B48" s="1"/>
      <c r="C48" s="8"/>
      <c r="D48" s="9"/>
      <c r="E48" s="12" t="str">
        <f>IF(A48="","",(MAX(B$3:B48)-B48)/MAX(B$3:B48))</f>
        <v/>
      </c>
      <c r="F48" s="12" t="str">
        <f>IF(A48="","",MAX(E$4:E48))</f>
        <v/>
      </c>
      <c r="G48" s="13"/>
      <c r="H48" s="14" t="str">
        <f t="shared" si="4"/>
        <v/>
      </c>
      <c r="I48" s="14" t="str">
        <f t="shared" si="5"/>
        <v/>
      </c>
      <c r="J48" s="15" t="str">
        <f t="shared" si="6"/>
        <v/>
      </c>
    </row>
    <row r="49" spans="1:10">
      <c r="A49" s="7"/>
      <c r="B49" s="1"/>
      <c r="C49" s="8"/>
      <c r="D49" s="9"/>
      <c r="E49" s="12" t="str">
        <f>IF(A49="","",(MAX(B$3:B49)-B49)/MAX(B$3:B49))</f>
        <v/>
      </c>
      <c r="F49" s="12" t="str">
        <f>IF(A49="","",MAX(E$4:E49))</f>
        <v/>
      </c>
      <c r="G49" s="13"/>
      <c r="H49" s="14" t="str">
        <f t="shared" si="4"/>
        <v/>
      </c>
      <c r="I49" s="14" t="str">
        <f t="shared" si="5"/>
        <v/>
      </c>
      <c r="J49" s="15" t="str">
        <f t="shared" si="6"/>
        <v/>
      </c>
    </row>
    <row r="50" spans="1:10">
      <c r="A50" s="7"/>
      <c r="B50" s="1"/>
      <c r="C50" s="8"/>
      <c r="D50" s="9"/>
      <c r="E50" s="12" t="str">
        <f>IF(A50="","",(MAX(B$3:B50)-B50)/MAX(B$3:B50))</f>
        <v/>
      </c>
      <c r="F50" s="12" t="str">
        <f>IF(A50="","",MAX(E$4:E50))</f>
        <v/>
      </c>
      <c r="G50" s="13"/>
      <c r="H50" s="14" t="str">
        <f t="shared" si="4"/>
        <v/>
      </c>
      <c r="I50" s="14" t="str">
        <f t="shared" si="5"/>
        <v/>
      </c>
      <c r="J50" s="15" t="str">
        <f t="shared" si="6"/>
        <v/>
      </c>
    </row>
    <row r="51" spans="1:10">
      <c r="A51" s="7"/>
      <c r="B51" s="1"/>
      <c r="C51" s="8"/>
      <c r="D51" s="9"/>
      <c r="E51" s="12" t="str">
        <f>IF(A51="","",(MAX(B$3:B51)-B51)/MAX(B$3:B51))</f>
        <v/>
      </c>
      <c r="F51" s="12" t="str">
        <f>IF(A51="","",MAX(E$4:E51))</f>
        <v/>
      </c>
      <c r="G51" s="13"/>
      <c r="H51" s="14" t="str">
        <f t="shared" si="4"/>
        <v/>
      </c>
      <c r="I51" s="14" t="str">
        <f t="shared" si="5"/>
        <v/>
      </c>
      <c r="J51" s="15" t="str">
        <f t="shared" si="6"/>
        <v/>
      </c>
    </row>
    <row r="52" spans="1:10">
      <c r="A52" s="7"/>
      <c r="B52" s="1"/>
      <c r="C52" s="8"/>
      <c r="D52" s="9"/>
      <c r="E52" s="12" t="str">
        <f>IF(A52="","",(MAX(B$3:B52)-B52)/MAX(B$3:B52))</f>
        <v/>
      </c>
      <c r="F52" s="12" t="str">
        <f>IF(A52="","",MAX(E$4:E52))</f>
        <v/>
      </c>
      <c r="G52" s="13"/>
      <c r="H52" s="14" t="str">
        <f t="shared" si="4"/>
        <v/>
      </c>
      <c r="I52" s="14" t="str">
        <f t="shared" si="5"/>
        <v/>
      </c>
      <c r="J52" s="15" t="str">
        <f t="shared" si="6"/>
        <v/>
      </c>
    </row>
    <row r="53" spans="1:10">
      <c r="A53" s="7"/>
      <c r="B53" s="1"/>
      <c r="C53" s="8"/>
      <c r="D53" s="9"/>
      <c r="E53" s="12" t="str">
        <f>IF(A53="","",(MAX(B$3:B53)-B53)/MAX(B$3:B53))</f>
        <v/>
      </c>
      <c r="F53" s="12" t="str">
        <f>IF(A53="","",MAX(E$4:E53))</f>
        <v/>
      </c>
      <c r="G53" s="13"/>
      <c r="H53" s="14" t="str">
        <f t="shared" si="4"/>
        <v/>
      </c>
      <c r="I53" s="14" t="str">
        <f t="shared" si="5"/>
        <v/>
      </c>
      <c r="J53" s="15" t="str">
        <f t="shared" si="6"/>
        <v/>
      </c>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G137" s="13"/>
      <c r="H137" s="14"/>
      <c r="I137" s="14"/>
      <c r="J137" s="15"/>
    </row>
    <row r="138" spans="1:10">
      <c r="A138" s="7"/>
      <c r="B138" s="1"/>
      <c r="C138" s="8"/>
      <c r="D138" s="9"/>
      <c r="E138" s="12"/>
      <c r="F138" s="12"/>
      <c r="G138" s="13"/>
      <c r="H138" s="14"/>
      <c r="I138" s="14"/>
      <c r="J138" s="15"/>
    </row>
    <row r="139" spans="1:10">
      <c r="A139" s="7"/>
      <c r="B139" s="1"/>
      <c r="C139" s="8"/>
      <c r="D139" s="9"/>
      <c r="E139" s="12"/>
      <c r="F139" s="12"/>
      <c r="G139" s="13"/>
      <c r="H139" s="14"/>
      <c r="I139" s="14"/>
      <c r="J139" s="15"/>
    </row>
    <row r="140" spans="1:10">
      <c r="A140" s="7"/>
      <c r="B140" s="1"/>
      <c r="C140" s="8"/>
      <c r="D140" s="9"/>
      <c r="E140" s="12"/>
      <c r="F140" s="12"/>
      <c r="G140" s="13"/>
      <c r="H140" s="14"/>
      <c r="I140" s="14"/>
      <c r="J140" s="15"/>
    </row>
    <row r="141" spans="1:10">
      <c r="A141" s="7"/>
      <c r="B141" s="1"/>
      <c r="C141" s="8"/>
      <c r="D141" s="9"/>
      <c r="E141" s="12"/>
      <c r="F141" s="12"/>
      <c r="G141" s="13"/>
      <c r="H141" s="14"/>
      <c r="I141" s="14"/>
      <c r="J141" s="15"/>
    </row>
    <row r="142" spans="1:10">
      <c r="A142" s="7"/>
      <c r="B142" s="1"/>
      <c r="C142" s="8"/>
      <c r="D142" s="9"/>
      <c r="E142" s="12"/>
      <c r="F142" s="12"/>
      <c r="G142" s="13"/>
      <c r="H142" s="14"/>
      <c r="I142" s="14"/>
      <c r="J142" s="15"/>
    </row>
    <row r="143" spans="1:10">
      <c r="A143" s="7"/>
      <c r="B143" s="1"/>
      <c r="C143" s="8"/>
      <c r="D143" s="9"/>
      <c r="E143" s="12"/>
      <c r="F143" s="12"/>
      <c r="G143" s="13"/>
      <c r="H143" s="14"/>
      <c r="I143" s="14"/>
      <c r="J143" s="15"/>
    </row>
    <row r="144" spans="1:10">
      <c r="A144" s="7"/>
      <c r="B144" s="1"/>
      <c r="C144" s="8"/>
      <c r="D144" s="9"/>
      <c r="E144" s="12"/>
      <c r="F144" s="12"/>
      <c r="G144" s="13"/>
      <c r="H144" s="14"/>
      <c r="I144" s="14"/>
      <c r="J144" s="15"/>
    </row>
    <row r="145" spans="1:10">
      <c r="A145" s="7"/>
      <c r="B145" s="1"/>
      <c r="C145" s="8"/>
      <c r="D145" s="9"/>
      <c r="E145" s="12"/>
      <c r="F145" s="12"/>
      <c r="G145" s="13"/>
      <c r="H145" s="14"/>
      <c r="I145" s="14"/>
      <c r="J145" s="15"/>
    </row>
    <row r="146" spans="1:10">
      <c r="A146" s="7"/>
      <c r="B146" s="1"/>
      <c r="C146" s="8"/>
      <c r="D146" s="9"/>
      <c r="E146" s="12"/>
      <c r="F146" s="12"/>
      <c r="G146" s="13"/>
      <c r="H146" s="14"/>
      <c r="I146" s="14"/>
      <c r="J146" s="15"/>
    </row>
    <row r="147" spans="1:10">
      <c r="A147" s="7"/>
      <c r="B147" s="1"/>
      <c r="C147" s="8"/>
      <c r="D147" s="9"/>
      <c r="E147" s="12"/>
      <c r="F147" s="12"/>
      <c r="G147" s="13"/>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row r="298" spans="1:10">
      <c r="A298" s="7"/>
      <c r="B298" s="1"/>
      <c r="C298" s="8"/>
      <c r="D298" s="9"/>
      <c r="E298" s="12"/>
      <c r="F298" s="12"/>
      <c r="H298" s="14"/>
      <c r="I298" s="14"/>
      <c r="J298" s="15"/>
    </row>
    <row r="299" spans="1:10">
      <c r="A299" s="7"/>
      <c r="B299" s="1"/>
      <c r="C299" s="8"/>
      <c r="D299" s="9"/>
      <c r="E299" s="12"/>
      <c r="F299" s="12"/>
      <c r="H299" s="14"/>
      <c r="I299" s="14"/>
      <c r="J299" s="15"/>
    </row>
    <row r="300" spans="1:10">
      <c r="A300" s="7"/>
      <c r="B300" s="1"/>
      <c r="C300" s="8"/>
      <c r="D300" s="9"/>
      <c r="E300" s="12"/>
      <c r="F300" s="12"/>
      <c r="H300" s="14"/>
      <c r="I300" s="14"/>
      <c r="J300" s="15"/>
    </row>
    <row r="301" spans="1:10">
      <c r="A301" s="7"/>
      <c r="B301" s="1"/>
      <c r="C301" s="8"/>
      <c r="D301" s="9"/>
      <c r="E301" s="12"/>
      <c r="F301" s="12"/>
      <c r="H301" s="14"/>
      <c r="I301" s="14"/>
      <c r="J301" s="15"/>
    </row>
    <row r="302" spans="1:10">
      <c r="A302" s="7"/>
      <c r="B302" s="1"/>
      <c r="C302" s="8"/>
      <c r="D302" s="9"/>
      <c r="E302" s="12"/>
      <c r="F302" s="12"/>
      <c r="H302" s="14"/>
      <c r="I302" s="14"/>
      <c r="J302" s="15"/>
    </row>
    <row r="303" spans="1:10">
      <c r="A303" s="7"/>
      <c r="B303" s="1"/>
      <c r="C303" s="8"/>
      <c r="D303" s="9"/>
      <c r="E303" s="12"/>
      <c r="F303" s="12"/>
      <c r="H303" s="14"/>
      <c r="I303" s="14"/>
      <c r="J303" s="15"/>
    </row>
    <row r="304" spans="1:10">
      <c r="A304" s="7"/>
      <c r="B304" s="1"/>
      <c r="C304" s="8"/>
      <c r="D304" s="9"/>
      <c r="E304" s="12"/>
      <c r="F304" s="12"/>
      <c r="H304" s="14"/>
      <c r="I304" s="14"/>
      <c r="J304" s="15"/>
    </row>
    <row r="305" spans="1:10">
      <c r="A305" s="7"/>
      <c r="B305" s="1"/>
      <c r="C305" s="8"/>
      <c r="D305" s="9"/>
      <c r="E305" s="12"/>
      <c r="F305" s="12"/>
      <c r="H305" s="14"/>
      <c r="I305" s="14"/>
      <c r="J305" s="15"/>
    </row>
    <row r="306" spans="1:10">
      <c r="A306" s="7"/>
      <c r="B306" s="1"/>
      <c r="C306" s="8"/>
      <c r="D306" s="9"/>
      <c r="E306" s="12"/>
      <c r="F306" s="12"/>
      <c r="H306" s="14"/>
      <c r="I306" s="14"/>
      <c r="J306" s="15"/>
    </row>
    <row r="307" spans="1:10">
      <c r="A307" s="7"/>
      <c r="B307" s="1"/>
      <c r="C307" s="8"/>
      <c r="D307" s="9"/>
      <c r="E307" s="12"/>
      <c r="F307" s="12"/>
      <c r="H307" s="14"/>
      <c r="I307" s="14"/>
      <c r="J307" s="15"/>
    </row>
    <row r="308" spans="1:10">
      <c r="A308" s="7"/>
      <c r="B308" s="1"/>
      <c r="C308" s="8"/>
      <c r="D308" s="9"/>
      <c r="E308" s="12"/>
      <c r="F308" s="12"/>
      <c r="H308" s="14"/>
      <c r="I308" s="14"/>
      <c r="J308" s="15"/>
    </row>
  </sheetData>
  <conditionalFormatting sqref="H4:H53">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K308"/>
  <sheetViews>
    <sheetView workbookViewId="0">
      <selection activeCell="G18" sqref="G18"/>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61</v>
      </c>
      <c r="C2" s="5" t="s">
        <v>310</v>
      </c>
      <c r="D2" s="6" t="s">
        <v>311</v>
      </c>
      <c r="F2" s="5" t="s">
        <v>22</v>
      </c>
      <c r="G2" s="10" t="s">
        <v>312</v>
      </c>
      <c r="H2" s="11" t="s">
        <v>313</v>
      </c>
      <c r="I2" s="11" t="s">
        <v>314</v>
      </c>
      <c r="J2" s="11" t="s">
        <v>315</v>
      </c>
      <c r="K2" s="5" t="s">
        <v>316</v>
      </c>
    </row>
    <row r="3" spans="1:2">
      <c r="A3" s="7">
        <f>IF(子基金及业绩基准周净值!A58="","",子基金及业绩基准周净值!A58)</f>
        <v>45856</v>
      </c>
      <c r="B3" s="1">
        <f>IF(A3="","",VLOOKUP($A3,子基金及业绩基准周净值!$A:$AV,24))</f>
        <v>1.0044</v>
      </c>
    </row>
    <row r="4" spans="1:10">
      <c r="A4" s="7">
        <f>IF(子基金及业绩基准周净值!A59="","",子基金及业绩基准周净值!A59)</f>
        <v>45863</v>
      </c>
      <c r="B4" s="1">
        <f>IF(A4="","",VLOOKUP($A4,子基金及业绩基准周净值!$A:$AV,24))</f>
        <v>1.0026</v>
      </c>
      <c r="C4" s="8">
        <f>IF(B4="","",B4/B3-1)</f>
        <v>-0.00179211469534057</v>
      </c>
      <c r="D4" s="9">
        <f>IF(A4="","",C4-(子基金及业绩基准周净值!AG59/子基金及业绩基准周净值!AG58-1))</f>
        <v>-0.00331667133680424</v>
      </c>
      <c r="E4" s="12">
        <f>IF(A4="","",(MAX(B$3:B4)-B4)/MAX(B$3:B4))</f>
        <v>0.00179211469534053</v>
      </c>
      <c r="F4" s="12">
        <f>IF(A4="","",MAX(E$4:E4))</f>
        <v>0.00179211469534053</v>
      </c>
      <c r="G4" s="13">
        <v>1</v>
      </c>
      <c r="H4" s="14" t="str">
        <f>IF(B4="","",IF(C4&lt;-3%,"是","否"))</f>
        <v>否</v>
      </c>
      <c r="I4" s="14" t="str">
        <f t="shared" ref="I4:I53" si="0">IF(A4="","",IF(F4&gt;5%,"是","否"))</f>
        <v>否</v>
      </c>
      <c r="J4" s="15" t="str">
        <f t="shared" ref="J4:J53" si="1">IF(A4="","",IF(G4&gt;=4,"是","否"))</f>
        <v>否</v>
      </c>
    </row>
    <row r="5" spans="1:10">
      <c r="A5" s="7">
        <f>IF(子基金及业绩基准周净值!A60="","",子基金及业绩基准周净值!A60)</f>
        <v>45870</v>
      </c>
      <c r="B5" s="1">
        <f>IF(A5="","",VLOOKUP($A5,子基金及业绩基准周净值!$A:$AV,24))</f>
        <v>1.0067</v>
      </c>
      <c r="C5" s="8">
        <f>IF(B5="","",B5/B4-1)</f>
        <v>0.00408936764412537</v>
      </c>
      <c r="D5" s="9">
        <f>IF(A5="","",C5-(子基金及业绩基准周净值!AG60/子基金及业绩基准周净值!AG59-1))</f>
        <v>0.00113338905239835</v>
      </c>
      <c r="E5" s="12">
        <f>IF(A5="","",(MAX(B$3:B5)-B5)/MAX(B$3:B5))</f>
        <v>0</v>
      </c>
      <c r="F5" s="12">
        <f>IF(A5="","",MAX(E$4:E5))</f>
        <v>0.00179211469534053</v>
      </c>
      <c r="G5" s="13">
        <v>0</v>
      </c>
      <c r="H5" s="14" t="str">
        <f t="shared" ref="H5:H36" si="2">IF(B5="","",IF(C5&lt;-3%,"是","否"))</f>
        <v>否</v>
      </c>
      <c r="I5" s="14" t="str">
        <f t="shared" si="0"/>
        <v>否</v>
      </c>
      <c r="J5" s="15" t="str">
        <f t="shared" si="1"/>
        <v>否</v>
      </c>
    </row>
    <row r="6" spans="1:10">
      <c r="A6" s="7">
        <f>IF(子基金及业绩基准周净值!A61="","",子基金及业绩基准周净值!A61)</f>
        <v>45877</v>
      </c>
      <c r="B6" s="1">
        <f>IF(A6="","",VLOOKUP($A6,子基金及业绩基准周净值!$A:$AV,24))</f>
        <v>1.0084</v>
      </c>
      <c r="C6" s="8">
        <f t="shared" ref="C6:C42" si="3">IF(B6="","",B6/B5-1)</f>
        <v>0.00168868580510573</v>
      </c>
      <c r="D6" s="9">
        <f>IF(A6="","",C6-(子基金及业绩基准周净值!AG61/子基金及业绩基准周净值!AG60-1))</f>
        <v>-0.0035747597093474</v>
      </c>
      <c r="E6" s="12">
        <f>IF(A6="","",(MAX(B$3:B6)-B6)/MAX(B$3:B6))</f>
        <v>0</v>
      </c>
      <c r="F6" s="12">
        <f>IF(A6="","",MAX(E$4:E6))</f>
        <v>0.00179211469534053</v>
      </c>
      <c r="G6" s="13">
        <v>1</v>
      </c>
      <c r="H6" s="14" t="str">
        <f t="shared" si="2"/>
        <v>否</v>
      </c>
      <c r="I6" s="14" t="str">
        <f t="shared" si="0"/>
        <v>否</v>
      </c>
      <c r="J6" s="15" t="str">
        <f t="shared" si="1"/>
        <v>否</v>
      </c>
    </row>
    <row r="7" spans="1:10">
      <c r="A7" s="7">
        <f>IF(子基金及业绩基准周净值!A62="","",子基金及业绩基准周净值!A62)</f>
        <v>45884</v>
      </c>
      <c r="B7" s="1">
        <f>IF(A7="","",VLOOKUP($A7,子基金及业绩基准周净值!$A:$AV,24))</f>
        <v>1.0029</v>
      </c>
      <c r="C7" s="8">
        <f t="shared" si="3"/>
        <v>-0.00545418484728288</v>
      </c>
      <c r="D7" s="9">
        <f>IF(A7="","",C7-(子基金及业绩基准周净值!AG62/子基金及业绩基准周净值!AG61-1))</f>
        <v>0.000101688040132109</v>
      </c>
      <c r="E7" s="12">
        <f>IF(A7="","",(MAX(B$3:B7)-B7)/MAX(B$3:B7))</f>
        <v>0.00545418484728288</v>
      </c>
      <c r="F7" s="12">
        <f>IF(A7="","",MAX(E$4:E7))</f>
        <v>0.00545418484728288</v>
      </c>
      <c r="G7" s="13">
        <v>0</v>
      </c>
      <c r="H7" s="14" t="str">
        <f t="shared" si="2"/>
        <v>否</v>
      </c>
      <c r="I7" s="14" t="str">
        <f t="shared" si="0"/>
        <v>否</v>
      </c>
      <c r="J7" s="15" t="str">
        <f t="shared" si="1"/>
        <v>否</v>
      </c>
    </row>
    <row r="8" spans="1:10">
      <c r="A8" s="7">
        <f>IF(子基金及业绩基准周净值!A63="","",子基金及业绩基准周净值!A63)</f>
        <v>45891</v>
      </c>
      <c r="B8" s="1">
        <f>IF(A8="","",VLOOKUP($A8,子基金及业绩基准周净值!$A:$AV,24))</f>
        <v>1.0079</v>
      </c>
      <c r="C8" s="8">
        <f t="shared" si="3"/>
        <v>0.00498554192840772</v>
      </c>
      <c r="D8" s="9">
        <f>IF(A8="","",C8-(子基金及业绩基准周净值!AG63/子基金及业绩基准周净值!AG62-1))</f>
        <v>0.00182797045583705</v>
      </c>
      <c r="E8" s="12">
        <f>IF(A8="","",(MAX(B$3:B8)-B8)/MAX(B$3:B8))</f>
        <v>0.000495834986116566</v>
      </c>
      <c r="F8" s="12">
        <f>IF(A8="","",MAX(E$4:E8))</f>
        <v>0.00545418484728288</v>
      </c>
      <c r="G8" s="13">
        <v>0</v>
      </c>
      <c r="H8" s="14" t="str">
        <f t="shared" si="2"/>
        <v>否</v>
      </c>
      <c r="I8" s="14" t="str">
        <f t="shared" si="0"/>
        <v>否</v>
      </c>
      <c r="J8" s="15" t="str">
        <f t="shared" si="1"/>
        <v>否</v>
      </c>
    </row>
    <row r="9" spans="1:10">
      <c r="A9" s="7">
        <f>IF(子基金及业绩基准周净值!A64="","",子基金及业绩基准周净值!A64)</f>
        <v>45898</v>
      </c>
      <c r="B9" s="1">
        <f>IF(A9="","",VLOOKUP($A9,子基金及业绩基准周净值!$A:$AV,24))</f>
        <v>1.0084</v>
      </c>
      <c r="C9" s="8">
        <f t="shared" si="3"/>
        <v>0.000496080960412648</v>
      </c>
      <c r="D9" s="9">
        <f>IF(A9="","",C9-(子基金及业绩基准周净值!AG64/子基金及业绩基准周净值!AG63-1))</f>
        <v>0.00253935539018424</v>
      </c>
      <c r="E9" s="12">
        <f>IF(A9="","",(MAX(B$3:B9)-B9)/MAX(B$3:B9))</f>
        <v>0</v>
      </c>
      <c r="F9" s="12">
        <f>IF(A9="","",MAX(E$4:E9))</f>
        <v>0.00545418484728288</v>
      </c>
      <c r="G9" s="13">
        <v>0</v>
      </c>
      <c r="H9" s="14" t="str">
        <f t="shared" si="2"/>
        <v>否</v>
      </c>
      <c r="I9" s="14" t="str">
        <f t="shared" si="0"/>
        <v>否</v>
      </c>
      <c r="J9" s="15" t="str">
        <f t="shared" si="1"/>
        <v>否</v>
      </c>
    </row>
    <row r="10" spans="1:10">
      <c r="A10" s="7">
        <f>IF(子基金及业绩基准周净值!A65="","",子基金及业绩基准周净值!A65)</f>
        <v>45905</v>
      </c>
      <c r="B10" s="1">
        <f>IF(A10="","",VLOOKUP($A10,子基金及业绩基准周净值!$A:$AV,24))</f>
        <v>1.0041</v>
      </c>
      <c r="C10" s="8">
        <f t="shared" si="3"/>
        <v>-0.00426418088060287</v>
      </c>
      <c r="D10" s="9">
        <f>IF(A10="","",C10-(子基金及业绩基准周净值!AG65/子基金及业绩基准周净值!AG64-1))</f>
        <v>-0.00459574216336078</v>
      </c>
      <c r="E10" s="12">
        <f>IF(A10="","",(MAX(B$3:B10)-B10)/MAX(B$3:B10))</f>
        <v>0.00426418088060291</v>
      </c>
      <c r="F10" s="12">
        <f>IF(A10="","",MAX(E$4:E10))</f>
        <v>0.00545418484728288</v>
      </c>
      <c r="G10" s="13">
        <v>1</v>
      </c>
      <c r="H10" s="14" t="str">
        <f t="shared" si="2"/>
        <v>否</v>
      </c>
      <c r="I10" s="14" t="str">
        <f t="shared" si="0"/>
        <v>否</v>
      </c>
      <c r="J10" s="15" t="str">
        <f t="shared" si="1"/>
        <v>否</v>
      </c>
    </row>
    <row r="11" spans="1:10">
      <c r="A11" s="7">
        <f>IF(子基金及业绩基准周净值!A66="","",子基金及业绩基准周净值!A66)</f>
        <v>45912</v>
      </c>
      <c r="B11" s="1">
        <f>IF(A11="","",VLOOKUP($A11,子基金及业绩基准周净值!$A:$AV,24))</f>
        <v>1.0019</v>
      </c>
      <c r="C11" s="8">
        <f t="shared" si="3"/>
        <v>-0.00219101683099288</v>
      </c>
      <c r="D11" s="9">
        <f>IF(A11="","",C11-(子基金及业绩基准周净值!AG66/子基金及业绩基准周净值!AG65-1))</f>
        <v>-0.00422841544684815</v>
      </c>
      <c r="E11" s="12">
        <f>IF(A11="","",(MAX(B$3:B11)-B11)/MAX(B$3:B11))</f>
        <v>0.00644585481951602</v>
      </c>
      <c r="F11" s="12">
        <f>IF(A11="","",MAX(E$4:E11))</f>
        <v>0.00644585481951602</v>
      </c>
      <c r="G11" s="13">
        <v>2</v>
      </c>
      <c r="H11" s="14" t="str">
        <f t="shared" si="2"/>
        <v>否</v>
      </c>
      <c r="I11" s="14" t="str">
        <f t="shared" si="0"/>
        <v>否</v>
      </c>
      <c r="J11" s="15" t="str">
        <f t="shared" si="1"/>
        <v>否</v>
      </c>
    </row>
    <row r="12" spans="1:10">
      <c r="A12" s="7">
        <f>IF(子基金及业绩基准周净值!A67="","",子基金及业绩基准周净值!A67)</f>
        <v>45919</v>
      </c>
      <c r="B12" s="1">
        <f>IF(A12="","",VLOOKUP($A12,子基金及业绩基准周净值!$A:$AV,24))</f>
        <v>1.0011</v>
      </c>
      <c r="C12" s="8">
        <f t="shared" si="3"/>
        <v>-0.000798482882523155</v>
      </c>
      <c r="D12" s="9">
        <f>IF(A12="","",C12-(子基金及业绩基准周净值!AG67/子基金及业绩基准周净值!AG66-1))</f>
        <v>-0.00107977746169596</v>
      </c>
      <c r="E12" s="12">
        <f>IF(A12="","",(MAX(B$3:B12)-B12)/MAX(B$3:B12))</f>
        <v>0.00723919079730252</v>
      </c>
      <c r="F12" s="12">
        <f>IF(A12="","",MAX(E$4:E12))</f>
        <v>0.00723919079730252</v>
      </c>
      <c r="G12" s="13">
        <v>3</v>
      </c>
      <c r="H12" s="14" t="str">
        <f t="shared" si="2"/>
        <v>否</v>
      </c>
      <c r="I12" s="14" t="str">
        <f t="shared" si="0"/>
        <v>否</v>
      </c>
      <c r="J12" s="15" t="str">
        <f t="shared" si="1"/>
        <v>否</v>
      </c>
    </row>
    <row r="13" spans="1:10">
      <c r="A13" s="7">
        <f>IF(子基金及业绩基准周净值!A68="","",子基金及业绩基准周净值!A68)</f>
        <v>45926</v>
      </c>
      <c r="B13" s="1">
        <f>IF(A13="","",VLOOKUP($A13,子基金及业绩基准周净值!$A:$AV,24))</f>
        <v>1.0022</v>
      </c>
      <c r="C13" s="8">
        <f t="shared" si="3"/>
        <v>0.0010987913295375</v>
      </c>
      <c r="D13" s="9">
        <f>IF(A13="","",C13-(子基金及业绩基准周净值!AG68/子基金及业绩基准周净值!AG67-1))</f>
        <v>0.0039046176150288</v>
      </c>
      <c r="E13" s="12">
        <f>IF(A13="","",(MAX(B$3:B13)-B13)/MAX(B$3:B13))</f>
        <v>0.00614835382784608</v>
      </c>
      <c r="F13" s="12">
        <f>IF(A13="","",MAX(E$4:E13))</f>
        <v>0.00723919079730252</v>
      </c>
      <c r="G13" s="13">
        <v>0</v>
      </c>
      <c r="H13" s="14" t="str">
        <f t="shared" si="2"/>
        <v>否</v>
      </c>
      <c r="I13" s="14" t="str">
        <f t="shared" si="0"/>
        <v>否</v>
      </c>
      <c r="J13" s="15" t="str">
        <f t="shared" si="1"/>
        <v>否</v>
      </c>
    </row>
    <row r="14" spans="1:10">
      <c r="A14" s="7">
        <f>IF(子基金及业绩基准周净值!A69="","",子基金及业绩基准周净值!A69)</f>
        <v>45940</v>
      </c>
      <c r="B14" s="1">
        <f>IF(A14="","",VLOOKUP($A14,子基金及业绩基准周净值!$A:$AV,24))</f>
        <v>0.9998</v>
      </c>
      <c r="C14" s="8">
        <f t="shared" si="3"/>
        <v>-0.00239473159050085</v>
      </c>
      <c r="D14" s="9">
        <f>IF(A14="","",C14-(子基金及业绩基准周净值!AG69/子基金及业绩基准周净值!AG68-1))</f>
        <v>-0.00440757143319948</v>
      </c>
      <c r="E14" s="12">
        <f>IF(A14="","",(MAX(B$3:B14)-B14)/MAX(B$3:B14))</f>
        <v>0.00852836176120581</v>
      </c>
      <c r="F14" s="12">
        <f>IF(A14="","",MAX(E$4:E14))</f>
        <v>0.00852836176120581</v>
      </c>
      <c r="G14" s="13">
        <v>1</v>
      </c>
      <c r="H14" s="14" t="str">
        <f t="shared" si="2"/>
        <v>否</v>
      </c>
      <c r="I14" s="14" t="str">
        <f t="shared" si="0"/>
        <v>否</v>
      </c>
      <c r="J14" s="15" t="str">
        <f t="shared" si="1"/>
        <v>否</v>
      </c>
    </row>
    <row r="15" spans="1:10">
      <c r="A15" s="7">
        <f>IF(子基金及业绩基准周净值!A70="","",子基金及业绩基准周净值!A70)</f>
        <v>45947</v>
      </c>
      <c r="B15" s="1">
        <f>IF(A15="","",VLOOKUP($A15,子基金及业绩基准周净值!$A:$AV,24))</f>
        <v>1.0018</v>
      </c>
      <c r="C15" s="8">
        <f t="shared" si="3"/>
        <v>0.00200040008001601</v>
      </c>
      <c r="D15" s="9">
        <f>IF(A15="","",C15-(子基金及业绩基准周净值!AG70/子基金及业绩基准周净值!AG69-1))</f>
        <v>0.00167703371573791</v>
      </c>
      <c r="E15" s="12">
        <f>IF(A15="","",(MAX(B$3:B15)-B15)/MAX(B$3:B15))</f>
        <v>0.00654502181673933</v>
      </c>
      <c r="F15" s="12">
        <f>IF(A15="","",MAX(E$4:E15))</f>
        <v>0.00852836176120581</v>
      </c>
      <c r="G15" s="13">
        <v>0</v>
      </c>
      <c r="H15" s="14" t="str">
        <f t="shared" si="2"/>
        <v>否</v>
      </c>
      <c r="I15" s="14" t="str">
        <f t="shared" si="0"/>
        <v>否</v>
      </c>
      <c r="J15" s="15" t="str">
        <f t="shared" si="1"/>
        <v>否</v>
      </c>
    </row>
    <row r="16" spans="1:10">
      <c r="A16" s="7">
        <f>IF(子基金及业绩基准周净值!A71="","",子基金及业绩基准周净值!A71)</f>
        <v>45954</v>
      </c>
      <c r="B16" s="1">
        <f>IF(A16="","",VLOOKUP($A16,子基金及业绩基准周净值!$A:$AV,24))</f>
        <v>1.0083</v>
      </c>
      <c r="C16" s="8">
        <f t="shared" si="3"/>
        <v>0.00648832102216002</v>
      </c>
      <c r="D16" s="9">
        <f>IF(A16="","",C16-(子基金及业绩基准周净值!AG71/子基金及业绩基准周净值!AG70-1))</f>
        <v>-0.000471394757119548</v>
      </c>
      <c r="E16" s="12">
        <f>IF(A16="","",(MAX(B$3:B16)-B16)/MAX(B$3:B16))</f>
        <v>9.91669972233132e-5</v>
      </c>
      <c r="F16" s="12">
        <f>IF(A16="","",MAX(E$4:E16))</f>
        <v>0.00852836176120581</v>
      </c>
      <c r="G16" s="13">
        <v>1</v>
      </c>
      <c r="H16" s="14" t="str">
        <f t="shared" si="2"/>
        <v>否</v>
      </c>
      <c r="I16" s="14" t="str">
        <f t="shared" si="0"/>
        <v>否</v>
      </c>
      <c r="J16" s="15" t="str">
        <f t="shared" si="1"/>
        <v>否</v>
      </c>
    </row>
    <row r="17" spans="1:10">
      <c r="A17" s="7">
        <f>IF(子基金及业绩基准周净值!A72="","",子基金及业绩基准周净值!A72)</f>
        <v>45961</v>
      </c>
      <c r="B17" s="1">
        <f>IF(A17="","",VLOOKUP($A17,子基金及业绩基准周净值!$A:$AV,24))</f>
        <v>1.0014</v>
      </c>
      <c r="C17" s="8">
        <f t="shared" si="3"/>
        <v>-0.00684320142814632</v>
      </c>
      <c r="D17" s="9">
        <f>IF(A17="","",C17-(子基金及业绩基准周净值!AG72/子基金及业绩基准周净值!AG71-1))</f>
        <v>-0.00412708677392404</v>
      </c>
      <c r="E17" s="12">
        <f>IF(A17="","",(MAX(B$3:B17)-B17)/MAX(B$3:B17))</f>
        <v>0.00694168980563258</v>
      </c>
      <c r="F17" s="12">
        <f>IF(A17="","",MAX(E$4:E17))</f>
        <v>0.00852836176120581</v>
      </c>
      <c r="G17" s="13">
        <v>2</v>
      </c>
      <c r="H17" s="14" t="str">
        <f t="shared" si="2"/>
        <v>否</v>
      </c>
      <c r="I17" s="14" t="str">
        <f t="shared" si="0"/>
        <v>否</v>
      </c>
      <c r="J17" s="15" t="str">
        <f t="shared" si="1"/>
        <v>否</v>
      </c>
    </row>
    <row r="18" spans="1:10">
      <c r="A18" s="7" t="str">
        <f>IF(子基金及业绩基准周净值!A73="","",子基金及业绩基准周净值!A73)</f>
        <v/>
      </c>
      <c r="B18" s="1" t="str">
        <f>IF(A18="","",VLOOKUP($A18,子基金及业绩基准周净值!$A:$AV,24))</f>
        <v/>
      </c>
      <c r="C18" s="8" t="str">
        <f t="shared" si="3"/>
        <v/>
      </c>
      <c r="D18" s="9" t="str">
        <f>IF(A18="","",C18-(子基金及业绩基准周净值!AG73/子基金及业绩基准周净值!AG72-1))</f>
        <v/>
      </c>
      <c r="E18" s="12" t="str">
        <f>IF(A18="","",(MAX(B$3:B18)-B18)/MAX(B$3:B18))</f>
        <v/>
      </c>
      <c r="F18" s="12" t="str">
        <f>IF(A18="","",MAX(E$4:E18))</f>
        <v/>
      </c>
      <c r="G18" s="13"/>
      <c r="H18" s="14" t="str">
        <f t="shared" si="2"/>
        <v/>
      </c>
      <c r="I18" s="14" t="str">
        <f t="shared" si="0"/>
        <v/>
      </c>
      <c r="J18" s="15" t="str">
        <f t="shared" si="1"/>
        <v/>
      </c>
    </row>
    <row r="19" spans="1:10">
      <c r="A19" s="7" t="str">
        <f>IF(子基金及业绩基准周净值!A74="","",子基金及业绩基准周净值!A74)</f>
        <v/>
      </c>
      <c r="B19" s="1" t="str">
        <f>IF(A19="","",VLOOKUP($A19,子基金及业绩基准周净值!$A:$AV,24))</f>
        <v/>
      </c>
      <c r="C19" s="8" t="str">
        <f t="shared" si="3"/>
        <v/>
      </c>
      <c r="D19" s="9" t="str">
        <f>IF(A19="","",C19-(子基金及业绩基准周净值!AG74/子基金及业绩基准周净值!AG73-1))</f>
        <v/>
      </c>
      <c r="E19" s="12" t="str">
        <f>IF(A19="","",(MAX(B$3:B19)-B19)/MAX(B$3:B19))</f>
        <v/>
      </c>
      <c r="F19" s="12" t="str">
        <f>IF(A19="","",MAX(E$4:E19))</f>
        <v/>
      </c>
      <c r="G19" s="13"/>
      <c r="H19" s="14" t="str">
        <f t="shared" si="2"/>
        <v/>
      </c>
      <c r="I19" s="14" t="str">
        <f t="shared" si="0"/>
        <v/>
      </c>
      <c r="J19" s="15" t="str">
        <f t="shared" si="1"/>
        <v/>
      </c>
    </row>
    <row r="20" spans="1:10">
      <c r="A20" s="7" t="str">
        <f>IF(子基金及业绩基准周净值!A75="","",子基金及业绩基准周净值!A75)</f>
        <v/>
      </c>
      <c r="B20" s="1" t="str">
        <f>IF(A20="","",VLOOKUP($A20,子基金及业绩基准周净值!$A:$AV,24))</f>
        <v/>
      </c>
      <c r="C20" s="8" t="str">
        <f t="shared" si="3"/>
        <v/>
      </c>
      <c r="D20" s="9" t="str">
        <f>IF(A20="","",C20-(子基金及业绩基准周净值!AG75/子基金及业绩基准周净值!AG74-1))</f>
        <v/>
      </c>
      <c r="E20" s="12" t="str">
        <f>IF(A20="","",(MAX(B$3:B20)-B20)/MAX(B$3:B20))</f>
        <v/>
      </c>
      <c r="F20" s="12" t="str">
        <f>IF(A20="","",MAX(E$4:E20))</f>
        <v/>
      </c>
      <c r="G20" s="13"/>
      <c r="H20" s="14" t="str">
        <f t="shared" si="2"/>
        <v/>
      </c>
      <c r="I20" s="14" t="str">
        <f t="shared" si="0"/>
        <v/>
      </c>
      <c r="J20" s="15" t="str">
        <f t="shared" si="1"/>
        <v/>
      </c>
    </row>
    <row r="21" spans="1:10">
      <c r="A21" s="7" t="str">
        <f>IF(子基金及业绩基准周净值!A76="","",子基金及业绩基准周净值!A76)</f>
        <v/>
      </c>
      <c r="B21" s="1" t="str">
        <f>IF(A21="","",VLOOKUP($A21,子基金及业绩基准周净值!$A:$AV,24))</f>
        <v/>
      </c>
      <c r="C21" s="8" t="str">
        <f t="shared" si="3"/>
        <v/>
      </c>
      <c r="D21" s="9" t="str">
        <f>IF(A21="","",C21-(子基金及业绩基准周净值!AG76/子基金及业绩基准周净值!AG75-1))</f>
        <v/>
      </c>
      <c r="E21" s="12" t="str">
        <f>IF(A21="","",(MAX(B$3:B21)-B21)/MAX(B$3:B21))</f>
        <v/>
      </c>
      <c r="F21" s="12" t="str">
        <f>IF(A21="","",MAX(E$4:E21))</f>
        <v/>
      </c>
      <c r="G21" s="20"/>
      <c r="H21" s="14" t="str">
        <f t="shared" si="2"/>
        <v/>
      </c>
      <c r="I21" s="14" t="str">
        <f t="shared" si="0"/>
        <v/>
      </c>
      <c r="J21" s="15" t="str">
        <f t="shared" si="1"/>
        <v/>
      </c>
    </row>
    <row r="22" spans="1:10">
      <c r="A22" s="7" t="str">
        <f>IF(子基金及业绩基准周净值!A77="","",子基金及业绩基准周净值!A77)</f>
        <v/>
      </c>
      <c r="B22" s="1" t="str">
        <f>IF(A22="","",VLOOKUP($A22,子基金及业绩基准周净值!$A:$AV,24))</f>
        <v/>
      </c>
      <c r="C22" s="8" t="str">
        <f t="shared" si="3"/>
        <v/>
      </c>
      <c r="D22" s="9" t="str">
        <f>IF(A22="","",C22-(子基金及业绩基准周净值!AG77/子基金及业绩基准周净值!AG76-1))</f>
        <v/>
      </c>
      <c r="E22" s="12" t="str">
        <f>IF(A22="","",(MAX(B$3:B22)-B22)/MAX(B$3:B22))</f>
        <v/>
      </c>
      <c r="F22" s="12" t="str">
        <f>IF(A22="","",MAX(E$4:E22))</f>
        <v/>
      </c>
      <c r="G22" s="13"/>
      <c r="H22" s="14" t="str">
        <f t="shared" si="2"/>
        <v/>
      </c>
      <c r="I22" s="14" t="str">
        <f t="shared" si="0"/>
        <v/>
      </c>
      <c r="J22" s="15" t="str">
        <f t="shared" si="1"/>
        <v/>
      </c>
    </row>
    <row r="23" spans="1:10">
      <c r="A23" s="7" t="str">
        <f>IF(子基金及业绩基准周净值!A78="","",子基金及业绩基准周净值!A78)</f>
        <v/>
      </c>
      <c r="B23" s="1" t="str">
        <f>IF(A23="","",VLOOKUP($A23,子基金及业绩基准周净值!$A:$AV,24))</f>
        <v/>
      </c>
      <c r="C23" s="8" t="str">
        <f t="shared" si="3"/>
        <v/>
      </c>
      <c r="D23" s="9" t="str">
        <f>IF(A23="","",C23-(子基金及业绩基准周净值!AG78/子基金及业绩基准周净值!AG77-1))</f>
        <v/>
      </c>
      <c r="E23" s="12" t="str">
        <f>IF(A23="","",(MAX(B$3:B23)-B23)/MAX(B$3:B23))</f>
        <v/>
      </c>
      <c r="F23" s="12" t="str">
        <f>IF(A23="","",MAX(E$4:E23))</f>
        <v/>
      </c>
      <c r="G23" s="13"/>
      <c r="H23" s="14" t="str">
        <f t="shared" si="2"/>
        <v/>
      </c>
      <c r="I23" s="14" t="str">
        <f t="shared" si="0"/>
        <v/>
      </c>
      <c r="J23" s="15" t="str">
        <f t="shared" si="1"/>
        <v/>
      </c>
    </row>
    <row r="24" spans="1:10">
      <c r="A24" s="7" t="str">
        <f>IF(子基金及业绩基准周净值!A79="","",子基金及业绩基准周净值!A79)</f>
        <v/>
      </c>
      <c r="B24" s="1" t="str">
        <f>IF(A24="","",VLOOKUP($A24,子基金及业绩基准周净值!$A:$AV,24))</f>
        <v/>
      </c>
      <c r="C24" s="8" t="str">
        <f t="shared" si="3"/>
        <v/>
      </c>
      <c r="D24" s="9" t="str">
        <f>IF(A24="","",C24-(子基金及业绩基准周净值!AG79/子基金及业绩基准周净值!AG78-1))</f>
        <v/>
      </c>
      <c r="E24" s="12" t="str">
        <f>IF(A24="","",(MAX(B$3:B24)-B24)/MAX(B$3:B24))</f>
        <v/>
      </c>
      <c r="F24" s="12" t="str">
        <f>IF(A24="","",MAX(E$4:E24))</f>
        <v/>
      </c>
      <c r="G24" s="13"/>
      <c r="H24" s="14" t="str">
        <f t="shared" si="2"/>
        <v/>
      </c>
      <c r="I24" s="14" t="str">
        <f t="shared" si="0"/>
        <v/>
      </c>
      <c r="J24" s="15" t="str">
        <f t="shared" si="1"/>
        <v/>
      </c>
    </row>
    <row r="25" spans="1:10">
      <c r="A25" s="7" t="str">
        <f>IF(子基金及业绩基准周净值!A80="","",子基金及业绩基准周净值!A80)</f>
        <v/>
      </c>
      <c r="B25" s="1" t="str">
        <f>IF(A25="","",VLOOKUP($A25,子基金及业绩基准周净值!$A:$AV,24))</f>
        <v/>
      </c>
      <c r="C25" s="8" t="str">
        <f t="shared" si="3"/>
        <v/>
      </c>
      <c r="D25" s="9" t="str">
        <f>IF(A25="","",C25-(子基金及业绩基准周净值!AG80/子基金及业绩基准周净值!AG79-1))</f>
        <v/>
      </c>
      <c r="E25" s="12" t="str">
        <f>IF(A25="","",(MAX(B$3:B25)-B25)/MAX(B$3:B25))</f>
        <v/>
      </c>
      <c r="F25" s="12" t="str">
        <f>IF(A25="","",MAX(E$4:E25))</f>
        <v/>
      </c>
      <c r="G25" s="13"/>
      <c r="H25" s="14" t="str">
        <f t="shared" si="2"/>
        <v/>
      </c>
      <c r="I25" s="14" t="str">
        <f t="shared" si="0"/>
        <v/>
      </c>
      <c r="J25" s="15" t="str">
        <f t="shared" si="1"/>
        <v/>
      </c>
    </row>
    <row r="26" spans="1:10">
      <c r="A26" s="7" t="str">
        <f>IF(子基金及业绩基准周净值!A81="","",子基金及业绩基准周净值!A81)</f>
        <v/>
      </c>
      <c r="B26" s="1" t="str">
        <f>IF(A26="","",VLOOKUP($A26,子基金及业绩基准周净值!$A:$AV,24))</f>
        <v/>
      </c>
      <c r="C26" s="8" t="str">
        <f t="shared" si="3"/>
        <v/>
      </c>
      <c r="D26" s="9" t="str">
        <f>IF(A26="","",C26-(子基金及业绩基准周净值!AG81/子基金及业绩基准周净值!AG80-1))</f>
        <v/>
      </c>
      <c r="E26" s="12" t="str">
        <f>IF(A26="","",(MAX(B$3:B26)-B26)/MAX(B$3:B26))</f>
        <v/>
      </c>
      <c r="F26" s="12" t="str">
        <f>IF(A26="","",MAX(E$4:E26))</f>
        <v/>
      </c>
      <c r="G26" s="13"/>
      <c r="H26" s="14" t="str">
        <f t="shared" si="2"/>
        <v/>
      </c>
      <c r="I26" s="14" t="str">
        <f t="shared" si="0"/>
        <v/>
      </c>
      <c r="J26" s="15" t="str">
        <f t="shared" si="1"/>
        <v/>
      </c>
    </row>
    <row r="27" spans="1:10">
      <c r="A27" s="7" t="str">
        <f>IF(子基金及业绩基准周净值!A82="","",子基金及业绩基准周净值!A82)</f>
        <v/>
      </c>
      <c r="B27" s="1" t="str">
        <f>IF(A27="","",VLOOKUP($A27,子基金及业绩基准周净值!$A:$AV,24))</f>
        <v/>
      </c>
      <c r="C27" s="8" t="str">
        <f t="shared" si="3"/>
        <v/>
      </c>
      <c r="D27" s="9" t="str">
        <f>IF(A27="","",C27-(子基金及业绩基准周净值!AG82/子基金及业绩基准周净值!AG81-1))</f>
        <v/>
      </c>
      <c r="E27" s="12" t="str">
        <f>IF(A27="","",(MAX(B$3:B27)-B27)/MAX(B$3:B27))</f>
        <v/>
      </c>
      <c r="F27" s="12" t="str">
        <f>IF(A27="","",MAX(E$4:E27))</f>
        <v/>
      </c>
      <c r="G27" s="13"/>
      <c r="H27" s="14" t="str">
        <f t="shared" si="2"/>
        <v/>
      </c>
      <c r="I27" s="14" t="str">
        <f t="shared" si="0"/>
        <v/>
      </c>
      <c r="J27" s="15" t="str">
        <f t="shared" si="1"/>
        <v/>
      </c>
    </row>
    <row r="28" spans="1:10">
      <c r="A28" s="7" t="str">
        <f>IF(子基金及业绩基准周净值!A83="","",子基金及业绩基准周净值!A83)</f>
        <v/>
      </c>
      <c r="B28" s="1" t="str">
        <f>IF(A28="","",VLOOKUP($A28,子基金及业绩基准周净值!$A:$AV,24))</f>
        <v/>
      </c>
      <c r="C28" s="8" t="str">
        <f t="shared" si="3"/>
        <v/>
      </c>
      <c r="D28" s="9" t="str">
        <f>IF(A28="","",C28-(子基金及业绩基准周净值!AG83/子基金及业绩基准周净值!AG82-1))</f>
        <v/>
      </c>
      <c r="E28" s="12" t="str">
        <f>IF(A28="","",(MAX(B$3:B28)-B28)/MAX(B$3:B28))</f>
        <v/>
      </c>
      <c r="F28" s="12" t="str">
        <f>IF(A28="","",MAX(E$4:E28))</f>
        <v/>
      </c>
      <c r="G28" s="13"/>
      <c r="H28" s="14" t="str">
        <f t="shared" si="2"/>
        <v/>
      </c>
      <c r="I28" s="14" t="str">
        <f t="shared" si="0"/>
        <v/>
      </c>
      <c r="J28" s="15" t="str">
        <f t="shared" si="1"/>
        <v/>
      </c>
    </row>
    <row r="29" spans="1:10">
      <c r="A29" s="7" t="str">
        <f>IF(子基金及业绩基准周净值!A84="","",子基金及业绩基准周净值!A84)</f>
        <v/>
      </c>
      <c r="B29" s="1" t="str">
        <f>IF(A29="","",VLOOKUP($A29,子基金及业绩基准周净值!$A:$AV,24))</f>
        <v/>
      </c>
      <c r="C29" s="8" t="str">
        <f t="shared" si="3"/>
        <v/>
      </c>
      <c r="D29" s="9" t="str">
        <f>IF(A29="","",C29-(子基金及业绩基准周净值!AG84/子基金及业绩基准周净值!AG83-1))</f>
        <v/>
      </c>
      <c r="E29" s="12" t="str">
        <f>IF(A29="","",(MAX(B$3:B29)-B29)/MAX(B$3:B29))</f>
        <v/>
      </c>
      <c r="F29" s="12" t="str">
        <f>IF(A29="","",MAX(E$4:E29))</f>
        <v/>
      </c>
      <c r="G29" s="13"/>
      <c r="H29" s="14" t="str">
        <f t="shared" si="2"/>
        <v/>
      </c>
      <c r="I29" s="14" t="str">
        <f t="shared" si="0"/>
        <v/>
      </c>
      <c r="J29" s="15" t="str">
        <f t="shared" si="1"/>
        <v/>
      </c>
    </row>
    <row r="30" spans="1:10">
      <c r="A30" s="7" t="str">
        <f>IF(子基金及业绩基准周净值!A85="","",子基金及业绩基准周净值!A85)</f>
        <v/>
      </c>
      <c r="B30" s="1" t="str">
        <f>IF(A30="","",VLOOKUP($A30,子基金及业绩基准周净值!$A:$AV,24))</f>
        <v/>
      </c>
      <c r="C30" s="8" t="str">
        <f t="shared" si="3"/>
        <v/>
      </c>
      <c r="D30" s="9" t="str">
        <f>IF(A30="","",C30-(子基金及业绩基准周净值!AG85/子基金及业绩基准周净值!AG84-1))</f>
        <v/>
      </c>
      <c r="E30" s="12" t="str">
        <f>IF(A30="","",(MAX(B$3:B30)-B30)/MAX(B$3:B30))</f>
        <v/>
      </c>
      <c r="F30" s="12" t="str">
        <f>IF(A30="","",MAX(E$4:E30))</f>
        <v/>
      </c>
      <c r="G30" s="13"/>
      <c r="H30" s="14" t="str">
        <f t="shared" si="2"/>
        <v/>
      </c>
      <c r="I30" s="14" t="str">
        <f t="shared" si="0"/>
        <v/>
      </c>
      <c r="J30" s="15" t="str">
        <f t="shared" si="1"/>
        <v/>
      </c>
    </row>
    <row r="31" spans="1:10">
      <c r="A31" s="7" t="str">
        <f>IF(子基金及业绩基准周净值!A86="","",子基金及业绩基准周净值!A86)</f>
        <v/>
      </c>
      <c r="B31" s="1" t="str">
        <f>IF(A31="","",VLOOKUP($A31,子基金及业绩基准周净值!$A:$AV,24))</f>
        <v/>
      </c>
      <c r="C31" s="8" t="str">
        <f t="shared" si="3"/>
        <v/>
      </c>
      <c r="D31" s="9" t="str">
        <f>IF(A31="","",C31-(子基金及业绩基准周净值!AG86/子基金及业绩基准周净值!AG85-1))</f>
        <v/>
      </c>
      <c r="E31" s="12" t="str">
        <f>IF(A31="","",(MAX(B$3:B31)-B31)/MAX(B$3:B31))</f>
        <v/>
      </c>
      <c r="F31" s="12" t="str">
        <f>IF(A31="","",MAX(E$4:E31))</f>
        <v/>
      </c>
      <c r="G31" s="13"/>
      <c r="H31" s="14" t="str">
        <f t="shared" si="2"/>
        <v/>
      </c>
      <c r="I31" s="14" t="str">
        <f t="shared" si="0"/>
        <v/>
      </c>
      <c r="J31" s="15" t="str">
        <f t="shared" si="1"/>
        <v/>
      </c>
    </row>
    <row r="32" spans="1:10">
      <c r="A32" s="7" t="str">
        <f>IF(子基金及业绩基准周净值!A87="","",子基金及业绩基准周净值!A87)</f>
        <v/>
      </c>
      <c r="B32" s="1" t="str">
        <f>IF(A32="","",VLOOKUP($A32,子基金及业绩基准周净值!$A:$AV,24))</f>
        <v/>
      </c>
      <c r="C32" s="8" t="str">
        <f t="shared" si="3"/>
        <v/>
      </c>
      <c r="D32" s="9" t="str">
        <f>IF(A32="","",C32-(子基金及业绩基准周净值!AG87/子基金及业绩基准周净值!AG86-1))</f>
        <v/>
      </c>
      <c r="E32" s="12" t="str">
        <f>IF(A32="","",(MAX(B$3:B32)-B32)/MAX(B$3:B32))</f>
        <v/>
      </c>
      <c r="F32" s="12" t="str">
        <f>IF(A32="","",MAX(E$4:E32))</f>
        <v/>
      </c>
      <c r="G32" s="13"/>
      <c r="H32" s="14" t="str">
        <f t="shared" si="2"/>
        <v/>
      </c>
      <c r="I32" s="14" t="str">
        <f t="shared" si="0"/>
        <v/>
      </c>
      <c r="J32" s="15" t="str">
        <f t="shared" si="1"/>
        <v/>
      </c>
    </row>
    <row r="33" spans="1:10">
      <c r="A33" s="7" t="str">
        <f>IF(子基金及业绩基准周净值!A88="","",子基金及业绩基准周净值!A88)</f>
        <v/>
      </c>
      <c r="B33" s="1" t="str">
        <f>IF(A33="","",VLOOKUP($A33,子基金及业绩基准周净值!$A:$AV,24))</f>
        <v/>
      </c>
      <c r="C33" s="8" t="str">
        <f t="shared" si="3"/>
        <v/>
      </c>
      <c r="D33" s="9" t="str">
        <f>IF(A33="","",C33-(子基金及业绩基准周净值!AG88/子基金及业绩基准周净值!AG87-1))</f>
        <v/>
      </c>
      <c r="E33" s="12" t="str">
        <f>IF(A33="","",(MAX(B$3:B33)-B33)/MAX(B$3:B33))</f>
        <v/>
      </c>
      <c r="F33" s="12" t="str">
        <f>IF(A33="","",MAX(E$4:E33))</f>
        <v/>
      </c>
      <c r="G33" s="13"/>
      <c r="H33" s="14" t="str">
        <f t="shared" si="2"/>
        <v/>
      </c>
      <c r="I33" s="14" t="str">
        <f t="shared" si="0"/>
        <v/>
      </c>
      <c r="J33" s="15" t="str">
        <f t="shared" si="1"/>
        <v/>
      </c>
    </row>
    <row r="34" spans="1:10">
      <c r="A34" s="7" t="str">
        <f>IF(子基金及业绩基准周净值!A89="","",子基金及业绩基准周净值!A89)</f>
        <v/>
      </c>
      <c r="B34" s="1" t="str">
        <f>IF(A34="","",VLOOKUP($A34,子基金及业绩基准周净值!$A:$AV,24))</f>
        <v/>
      </c>
      <c r="C34" s="8" t="str">
        <f t="shared" si="3"/>
        <v/>
      </c>
      <c r="D34" s="9" t="str">
        <f>IF(A34="","",C34-(子基金及业绩基准周净值!AG89/子基金及业绩基准周净值!AG88-1))</f>
        <v/>
      </c>
      <c r="E34" s="12" t="str">
        <f>IF(A34="","",(MAX(B$3:B34)-B34)/MAX(B$3:B34))</f>
        <v/>
      </c>
      <c r="F34" s="12" t="str">
        <f>IF(A34="","",MAX(E$4:E34))</f>
        <v/>
      </c>
      <c r="G34" s="13"/>
      <c r="H34" s="14" t="str">
        <f t="shared" si="2"/>
        <v/>
      </c>
      <c r="I34" s="14" t="str">
        <f t="shared" si="0"/>
        <v/>
      </c>
      <c r="J34" s="15" t="str">
        <f t="shared" si="1"/>
        <v/>
      </c>
    </row>
    <row r="35" spans="1:10">
      <c r="A35" s="7" t="str">
        <f>IF(子基金及业绩基准周净值!A90="","",子基金及业绩基准周净值!A90)</f>
        <v/>
      </c>
      <c r="B35" s="1" t="str">
        <f>IF(A35="","",VLOOKUP($A35,子基金及业绩基准周净值!$A:$AV,24))</f>
        <v/>
      </c>
      <c r="C35" s="8" t="str">
        <f t="shared" si="3"/>
        <v/>
      </c>
      <c r="D35" s="9" t="str">
        <f>IF(A35="","",C35-(子基金及业绩基准周净值!AG90/子基金及业绩基准周净值!AG89-1))</f>
        <v/>
      </c>
      <c r="E35" s="12" t="str">
        <f>IF(A35="","",(MAX(B$3:B35)-B35)/MAX(B$3:B35))</f>
        <v/>
      </c>
      <c r="F35" s="12" t="str">
        <f>IF(A35="","",MAX(E$4:E35))</f>
        <v/>
      </c>
      <c r="G35" s="13"/>
      <c r="H35" s="14" t="str">
        <f t="shared" si="2"/>
        <v/>
      </c>
      <c r="I35" s="14" t="str">
        <f t="shared" si="0"/>
        <v/>
      </c>
      <c r="J35" s="15" t="str">
        <f t="shared" si="1"/>
        <v/>
      </c>
    </row>
    <row r="36" spans="1:10">
      <c r="A36" s="7" t="str">
        <f>IF(子基金及业绩基准周净值!A91="","",子基金及业绩基准周净值!A91)</f>
        <v/>
      </c>
      <c r="B36" s="1" t="str">
        <f>IF(A36="","",VLOOKUP($A36,子基金及业绩基准周净值!$A:$AV,24))</f>
        <v/>
      </c>
      <c r="C36" s="8" t="str">
        <f t="shared" si="3"/>
        <v/>
      </c>
      <c r="D36" s="9" t="str">
        <f>IF(A36="","",C36-(子基金及业绩基准周净值!AG91/子基金及业绩基准周净值!AG90-1))</f>
        <v/>
      </c>
      <c r="E36" s="12" t="str">
        <f>IF(A36="","",(MAX(B$3:B36)-B36)/MAX(B$3:B36))</f>
        <v/>
      </c>
      <c r="F36" s="12" t="str">
        <f>IF(A36="","",MAX(E$4:E36))</f>
        <v/>
      </c>
      <c r="G36" s="13"/>
      <c r="H36" s="14" t="str">
        <f t="shared" si="2"/>
        <v/>
      </c>
      <c r="I36" s="14" t="str">
        <f t="shared" si="0"/>
        <v/>
      </c>
      <c r="J36" s="15" t="str">
        <f t="shared" si="1"/>
        <v/>
      </c>
    </row>
    <row r="37" spans="1:10">
      <c r="A37" s="7" t="str">
        <f>IF(子基金及业绩基准周净值!A92="","",子基金及业绩基准周净值!A92)</f>
        <v/>
      </c>
      <c r="B37" s="1" t="str">
        <f>IF(A37="","",VLOOKUP($A37,子基金及业绩基准周净值!$A:$AV,24))</f>
        <v/>
      </c>
      <c r="C37" s="8" t="str">
        <f t="shared" si="3"/>
        <v/>
      </c>
      <c r="D37" s="9" t="str">
        <f>IF(A37="","",C37-(子基金及业绩基准周净值!AG92/子基金及业绩基准周净值!AG91-1))</f>
        <v/>
      </c>
      <c r="E37" s="12" t="str">
        <f>IF(A37="","",(MAX(B$3:B37)-B37)/MAX(B$3:B37))</f>
        <v/>
      </c>
      <c r="F37" s="12" t="str">
        <f>IF(A37="","",MAX(E$4:E37))</f>
        <v/>
      </c>
      <c r="G37" s="13"/>
      <c r="H37" s="14" t="str">
        <f t="shared" ref="H37:H53" si="4">IF(B37="","",IF(C37&lt;-3%,"是","否"))</f>
        <v/>
      </c>
      <c r="I37" s="14" t="str">
        <f t="shared" si="0"/>
        <v/>
      </c>
      <c r="J37" s="15" t="str">
        <f t="shared" si="1"/>
        <v/>
      </c>
    </row>
    <row r="38" spans="1:10">
      <c r="A38" s="7" t="str">
        <f>IF(子基金及业绩基准周净值!A93="","",子基金及业绩基准周净值!A93)</f>
        <v/>
      </c>
      <c r="B38" s="1" t="str">
        <f>IF(A38="","",VLOOKUP($A38,子基金及业绩基准周净值!$A:$AV,24))</f>
        <v/>
      </c>
      <c r="C38" s="8" t="str">
        <f t="shared" si="3"/>
        <v/>
      </c>
      <c r="D38" s="9" t="str">
        <f>IF(A38="","",C38-(子基金及业绩基准周净值!AG93/子基金及业绩基准周净值!AG92-1))</f>
        <v/>
      </c>
      <c r="E38" s="12" t="str">
        <f>IF(A38="","",(MAX(B$3:B38)-B38)/MAX(B$3:B38))</f>
        <v/>
      </c>
      <c r="F38" s="12" t="str">
        <f>IF(A38="","",MAX(E$4:E38))</f>
        <v/>
      </c>
      <c r="G38" s="13"/>
      <c r="H38" s="14" t="str">
        <f t="shared" si="4"/>
        <v/>
      </c>
      <c r="I38" s="14" t="str">
        <f t="shared" si="0"/>
        <v/>
      </c>
      <c r="J38" s="15" t="str">
        <f t="shared" si="1"/>
        <v/>
      </c>
    </row>
    <row r="39" spans="1:10">
      <c r="A39" s="7" t="str">
        <f>IF(子基金及业绩基准周净值!A94="","",子基金及业绩基准周净值!A94)</f>
        <v/>
      </c>
      <c r="B39" s="1" t="str">
        <f>IF(A39="","",VLOOKUP($A39,子基金及业绩基准周净值!$A:$AV,24))</f>
        <v/>
      </c>
      <c r="C39" s="8" t="str">
        <f t="shared" si="3"/>
        <v/>
      </c>
      <c r="D39" s="9" t="str">
        <f>IF(A39="","",C39-(子基金及业绩基准周净值!AG94/子基金及业绩基准周净值!AG93-1))</f>
        <v/>
      </c>
      <c r="E39" s="12" t="str">
        <f>IF(A39="","",(MAX(B$3:B39)-B39)/MAX(B$3:B39))</f>
        <v/>
      </c>
      <c r="F39" s="12" t="str">
        <f>IF(A39="","",MAX(E$4:E39))</f>
        <v/>
      </c>
      <c r="G39" s="13"/>
      <c r="H39" s="14" t="str">
        <f t="shared" si="4"/>
        <v/>
      </c>
      <c r="I39" s="14" t="str">
        <f t="shared" si="0"/>
        <v/>
      </c>
      <c r="J39" s="15" t="str">
        <f t="shared" si="1"/>
        <v/>
      </c>
    </row>
    <row r="40" spans="1:10">
      <c r="A40" s="7" t="str">
        <f>IF(子基金及业绩基准周净值!A95="","",子基金及业绩基准周净值!A95)</f>
        <v/>
      </c>
      <c r="B40" s="1" t="str">
        <f>IF(A40="","",VLOOKUP($A40,子基金及业绩基准周净值!$A:$AV,24))</f>
        <v/>
      </c>
      <c r="C40" s="8" t="str">
        <f t="shared" si="3"/>
        <v/>
      </c>
      <c r="D40" s="9" t="str">
        <f>IF(A40="","",C40-(子基金及业绩基准周净值!AG95/子基金及业绩基准周净值!AG94-1))</f>
        <v/>
      </c>
      <c r="E40" s="12" t="str">
        <f>IF(A40="","",(MAX(B$3:B40)-B40)/MAX(B$3:B40))</f>
        <v/>
      </c>
      <c r="F40" s="12" t="str">
        <f>IF(A40="","",MAX(E$4:E40))</f>
        <v/>
      </c>
      <c r="G40" s="13"/>
      <c r="H40" s="14" t="str">
        <f t="shared" si="4"/>
        <v/>
      </c>
      <c r="I40" s="14" t="str">
        <f t="shared" si="0"/>
        <v/>
      </c>
      <c r="J40" s="15" t="str">
        <f t="shared" si="1"/>
        <v/>
      </c>
    </row>
    <row r="41" spans="1:10">
      <c r="A41" s="7" t="str">
        <f>IF(子基金及业绩基准周净值!A96="","",子基金及业绩基准周净值!A96)</f>
        <v/>
      </c>
      <c r="B41" s="1" t="str">
        <f>IF(A41="","",VLOOKUP($A41,子基金及业绩基准周净值!$A:$AV,24))</f>
        <v/>
      </c>
      <c r="C41" s="8" t="str">
        <f t="shared" si="3"/>
        <v/>
      </c>
      <c r="D41" s="9" t="str">
        <f>IF(A41="","",C41-(子基金及业绩基准周净值!AG96/子基金及业绩基准周净值!AG95-1))</f>
        <v/>
      </c>
      <c r="E41" s="12" t="str">
        <f>IF(A41="","",(MAX(B$3:B41)-B41)/MAX(B$3:B41))</f>
        <v/>
      </c>
      <c r="F41" s="12" t="str">
        <f>IF(A41="","",MAX(E$4:E41))</f>
        <v/>
      </c>
      <c r="G41" s="13"/>
      <c r="H41" s="14" t="str">
        <f t="shared" si="4"/>
        <v/>
      </c>
      <c r="I41" s="14" t="str">
        <f t="shared" si="0"/>
        <v/>
      </c>
      <c r="J41" s="15" t="str">
        <f t="shared" si="1"/>
        <v/>
      </c>
    </row>
    <row r="42" spans="1:10">
      <c r="A42" s="7"/>
      <c r="B42" s="1" t="str">
        <f>IF(A42="","",VLOOKUP($A42,子基金及业绩基准周净值!$A:$AV,24))</f>
        <v/>
      </c>
      <c r="C42" s="8" t="str">
        <f t="shared" si="3"/>
        <v/>
      </c>
      <c r="D42" s="9" t="str">
        <f>IF(A42="","",C42-(子基金及业绩基准周净值!AG97/子基金及业绩基准周净值!AG96-1))</f>
        <v/>
      </c>
      <c r="E42" s="12" t="str">
        <f>IF(A42="","",(MAX(B$3:B42)-B42)/MAX(B$3:B42))</f>
        <v/>
      </c>
      <c r="F42" s="12" t="str">
        <f>IF(A42="","",MAX(E$4:E42))</f>
        <v/>
      </c>
      <c r="G42" s="13"/>
      <c r="H42" s="14" t="str">
        <f t="shared" si="4"/>
        <v/>
      </c>
      <c r="I42" s="14" t="str">
        <f t="shared" si="0"/>
        <v/>
      </c>
      <c r="J42" s="15" t="str">
        <f t="shared" si="1"/>
        <v/>
      </c>
    </row>
    <row r="43" spans="1:10">
      <c r="A43" s="7"/>
      <c r="B43" s="1"/>
      <c r="C43" s="8"/>
      <c r="D43" s="9"/>
      <c r="E43" s="12" t="str">
        <f>IF(A43="","",(MAX(B$3:B43)-B43)/MAX(B$3:B43))</f>
        <v/>
      </c>
      <c r="F43" s="12" t="str">
        <f>IF(A43="","",MAX(E$4:E43))</f>
        <v/>
      </c>
      <c r="G43" s="13"/>
      <c r="H43" s="14" t="str">
        <f t="shared" si="4"/>
        <v/>
      </c>
      <c r="I43" s="14" t="str">
        <f t="shared" si="0"/>
        <v/>
      </c>
      <c r="J43" s="15" t="str">
        <f t="shared" si="1"/>
        <v/>
      </c>
    </row>
    <row r="44" spans="1:10">
      <c r="A44" s="7"/>
      <c r="B44" s="1"/>
      <c r="C44" s="8"/>
      <c r="D44" s="9"/>
      <c r="E44" s="12" t="str">
        <f>IF(A44="","",(MAX(B$3:B44)-B44)/MAX(B$3:B44))</f>
        <v/>
      </c>
      <c r="F44" s="12" t="str">
        <f>IF(A44="","",MAX(E$4:E44))</f>
        <v/>
      </c>
      <c r="G44" s="13"/>
      <c r="H44" s="14" t="str">
        <f t="shared" si="4"/>
        <v/>
      </c>
      <c r="I44" s="14" t="str">
        <f t="shared" si="0"/>
        <v/>
      </c>
      <c r="J44" s="15" t="str">
        <f t="shared" si="1"/>
        <v/>
      </c>
    </row>
    <row r="45" spans="1:10">
      <c r="A45" s="7"/>
      <c r="B45" s="1"/>
      <c r="C45" s="8"/>
      <c r="D45" s="9"/>
      <c r="E45" s="12" t="str">
        <f>IF(A45="","",(MAX(B$3:B45)-B45)/MAX(B$3:B45))</f>
        <v/>
      </c>
      <c r="F45" s="12" t="str">
        <f>IF(A45="","",MAX(E$4:E45))</f>
        <v/>
      </c>
      <c r="G45" s="13"/>
      <c r="H45" s="14" t="str">
        <f t="shared" si="4"/>
        <v/>
      </c>
      <c r="I45" s="14" t="str">
        <f t="shared" si="0"/>
        <v/>
      </c>
      <c r="J45" s="15" t="str">
        <f t="shared" si="1"/>
        <v/>
      </c>
    </row>
    <row r="46" spans="1:10">
      <c r="A46" s="7"/>
      <c r="B46" s="1"/>
      <c r="C46" s="8"/>
      <c r="D46" s="9"/>
      <c r="E46" s="12" t="str">
        <f>IF(A46="","",(MAX(B$3:B46)-B46)/MAX(B$3:B46))</f>
        <v/>
      </c>
      <c r="F46" s="12" t="str">
        <f>IF(A46="","",MAX(E$4:E46))</f>
        <v/>
      </c>
      <c r="G46" s="13"/>
      <c r="H46" s="14" t="str">
        <f t="shared" si="4"/>
        <v/>
      </c>
      <c r="I46" s="14" t="str">
        <f t="shared" si="0"/>
        <v/>
      </c>
      <c r="J46" s="15" t="str">
        <f t="shared" si="1"/>
        <v/>
      </c>
    </row>
    <row r="47" spans="1:10">
      <c r="A47" s="7"/>
      <c r="B47" s="1"/>
      <c r="C47" s="8"/>
      <c r="D47" s="9"/>
      <c r="E47" s="12" t="str">
        <f>IF(A47="","",(MAX(B$3:B47)-B47)/MAX(B$3:B47))</f>
        <v/>
      </c>
      <c r="F47" s="12" t="str">
        <f>IF(A47="","",MAX(E$4:E47))</f>
        <v/>
      </c>
      <c r="G47" s="13"/>
      <c r="H47" s="14" t="str">
        <f t="shared" si="4"/>
        <v/>
      </c>
      <c r="I47" s="14" t="str">
        <f t="shared" si="0"/>
        <v/>
      </c>
      <c r="J47" s="15" t="str">
        <f t="shared" si="1"/>
        <v/>
      </c>
    </row>
    <row r="48" spans="1:10">
      <c r="A48" s="7"/>
      <c r="B48" s="1"/>
      <c r="C48" s="8"/>
      <c r="D48" s="9"/>
      <c r="E48" s="12" t="str">
        <f>IF(A48="","",(MAX(B$3:B48)-B48)/MAX(B$3:B48))</f>
        <v/>
      </c>
      <c r="F48" s="12" t="str">
        <f>IF(A48="","",MAX(E$4:E48))</f>
        <v/>
      </c>
      <c r="G48" s="13"/>
      <c r="H48" s="14" t="str">
        <f t="shared" si="4"/>
        <v/>
      </c>
      <c r="I48" s="14" t="str">
        <f t="shared" si="0"/>
        <v/>
      </c>
      <c r="J48" s="15" t="str">
        <f t="shared" si="1"/>
        <v/>
      </c>
    </row>
    <row r="49" spans="1:10">
      <c r="A49" s="7"/>
      <c r="B49" s="1"/>
      <c r="C49" s="8"/>
      <c r="D49" s="9"/>
      <c r="E49" s="12" t="str">
        <f>IF(A49="","",(MAX(B$3:B49)-B49)/MAX(B$3:B49))</f>
        <v/>
      </c>
      <c r="F49" s="12" t="str">
        <f>IF(A49="","",MAX(E$4:E49))</f>
        <v/>
      </c>
      <c r="G49" s="13"/>
      <c r="H49" s="14" t="str">
        <f t="shared" si="4"/>
        <v/>
      </c>
      <c r="I49" s="14" t="str">
        <f t="shared" si="0"/>
        <v/>
      </c>
      <c r="J49" s="15" t="str">
        <f t="shared" si="1"/>
        <v/>
      </c>
    </row>
    <row r="50" spans="1:10">
      <c r="A50" s="7"/>
      <c r="B50" s="1"/>
      <c r="C50" s="8"/>
      <c r="D50" s="9"/>
      <c r="E50" s="12" t="str">
        <f>IF(A50="","",(MAX(B$3:B50)-B50)/MAX(B$3:B50))</f>
        <v/>
      </c>
      <c r="F50" s="12" t="str">
        <f>IF(A50="","",MAX(E$4:E50))</f>
        <v/>
      </c>
      <c r="G50" s="13"/>
      <c r="H50" s="14" t="str">
        <f t="shared" si="4"/>
        <v/>
      </c>
      <c r="I50" s="14" t="str">
        <f t="shared" si="0"/>
        <v/>
      </c>
      <c r="J50" s="15" t="str">
        <f t="shared" si="1"/>
        <v/>
      </c>
    </row>
    <row r="51" spans="1:10">
      <c r="A51" s="7"/>
      <c r="B51" s="1"/>
      <c r="C51" s="8"/>
      <c r="D51" s="9"/>
      <c r="E51" s="12" t="str">
        <f>IF(A51="","",(MAX(B$3:B51)-B51)/MAX(B$3:B51))</f>
        <v/>
      </c>
      <c r="F51" s="12" t="str">
        <f>IF(A51="","",MAX(E$4:E51))</f>
        <v/>
      </c>
      <c r="G51" s="13"/>
      <c r="H51" s="14" t="str">
        <f t="shared" si="4"/>
        <v/>
      </c>
      <c r="I51" s="14" t="str">
        <f t="shared" si="0"/>
        <v/>
      </c>
      <c r="J51" s="15" t="str">
        <f t="shared" si="1"/>
        <v/>
      </c>
    </row>
    <row r="52" spans="1:10">
      <c r="A52" s="7"/>
      <c r="B52" s="1"/>
      <c r="C52" s="8"/>
      <c r="D52" s="9"/>
      <c r="E52" s="12" t="str">
        <f>IF(A52="","",(MAX(B$3:B52)-B52)/MAX(B$3:B52))</f>
        <v/>
      </c>
      <c r="F52" s="12" t="str">
        <f>IF(A52="","",MAX(E$4:E52))</f>
        <v/>
      </c>
      <c r="G52" s="13"/>
      <c r="H52" s="14" t="str">
        <f t="shared" si="4"/>
        <v/>
      </c>
      <c r="I52" s="14" t="str">
        <f t="shared" si="0"/>
        <v/>
      </c>
      <c r="J52" s="15" t="str">
        <f t="shared" si="1"/>
        <v/>
      </c>
    </row>
    <row r="53" spans="1:10">
      <c r="A53" s="7"/>
      <c r="B53" s="1"/>
      <c r="C53" s="8"/>
      <c r="D53" s="9"/>
      <c r="E53" s="12" t="str">
        <f>IF(A53="","",(MAX(B$3:B53)-B53)/MAX(B$3:B53))</f>
        <v/>
      </c>
      <c r="F53" s="12" t="str">
        <f>IF(A53="","",MAX(E$4:E53))</f>
        <v/>
      </c>
      <c r="G53" s="13"/>
      <c r="H53" s="14" t="str">
        <f t="shared" si="4"/>
        <v/>
      </c>
      <c r="I53" s="14" t="str">
        <f t="shared" si="0"/>
        <v/>
      </c>
      <c r="J53" s="15" t="str">
        <f t="shared" si="1"/>
        <v/>
      </c>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G137" s="13"/>
      <c r="H137" s="14"/>
      <c r="I137" s="14"/>
      <c r="J137" s="15"/>
    </row>
    <row r="138" spans="1:10">
      <c r="A138" s="7"/>
      <c r="B138" s="1"/>
      <c r="C138" s="8"/>
      <c r="D138" s="9"/>
      <c r="E138" s="12"/>
      <c r="F138" s="12"/>
      <c r="G138" s="13"/>
      <c r="H138" s="14"/>
      <c r="I138" s="14"/>
      <c r="J138" s="15"/>
    </row>
    <row r="139" spans="1:10">
      <c r="A139" s="7"/>
      <c r="B139" s="1"/>
      <c r="C139" s="8"/>
      <c r="D139" s="9"/>
      <c r="E139" s="12"/>
      <c r="F139" s="12"/>
      <c r="G139" s="13"/>
      <c r="H139" s="14"/>
      <c r="I139" s="14"/>
      <c r="J139" s="15"/>
    </row>
    <row r="140" spans="1:10">
      <c r="A140" s="7"/>
      <c r="B140" s="1"/>
      <c r="C140" s="8"/>
      <c r="D140" s="9"/>
      <c r="E140" s="12"/>
      <c r="F140" s="12"/>
      <c r="G140" s="13"/>
      <c r="H140" s="14"/>
      <c r="I140" s="14"/>
      <c r="J140" s="15"/>
    </row>
    <row r="141" spans="1:10">
      <c r="A141" s="7"/>
      <c r="B141" s="1"/>
      <c r="C141" s="8"/>
      <c r="D141" s="9"/>
      <c r="E141" s="12"/>
      <c r="F141" s="12"/>
      <c r="G141" s="13"/>
      <c r="H141" s="14"/>
      <c r="I141" s="14"/>
      <c r="J141" s="15"/>
    </row>
    <row r="142" spans="1:10">
      <c r="A142" s="7"/>
      <c r="B142" s="1"/>
      <c r="C142" s="8"/>
      <c r="D142" s="9"/>
      <c r="E142" s="12"/>
      <c r="F142" s="12"/>
      <c r="G142" s="13"/>
      <c r="H142" s="14"/>
      <c r="I142" s="14"/>
      <c r="J142" s="15"/>
    </row>
    <row r="143" spans="1:10">
      <c r="A143" s="7"/>
      <c r="B143" s="1"/>
      <c r="C143" s="8"/>
      <c r="D143" s="9"/>
      <c r="E143" s="12"/>
      <c r="F143" s="12"/>
      <c r="G143" s="13"/>
      <c r="H143" s="14"/>
      <c r="I143" s="14"/>
      <c r="J143" s="15"/>
    </row>
    <row r="144" spans="1:10">
      <c r="A144" s="7"/>
      <c r="B144" s="1"/>
      <c r="C144" s="8"/>
      <c r="D144" s="9"/>
      <c r="E144" s="12"/>
      <c r="F144" s="12"/>
      <c r="G144" s="13"/>
      <c r="H144" s="14"/>
      <c r="I144" s="14"/>
      <c r="J144" s="15"/>
    </row>
    <row r="145" spans="1:10">
      <c r="A145" s="7"/>
      <c r="B145" s="1"/>
      <c r="C145" s="8"/>
      <c r="D145" s="9"/>
      <c r="E145" s="12"/>
      <c r="F145" s="12"/>
      <c r="G145" s="13"/>
      <c r="H145" s="14"/>
      <c r="I145" s="14"/>
      <c r="J145" s="15"/>
    </row>
    <row r="146" spans="1:10">
      <c r="A146" s="7"/>
      <c r="B146" s="1"/>
      <c r="C146" s="8"/>
      <c r="D146" s="9"/>
      <c r="E146" s="12"/>
      <c r="F146" s="12"/>
      <c r="G146" s="13"/>
      <c r="H146" s="14"/>
      <c r="I146" s="14"/>
      <c r="J146" s="15"/>
    </row>
    <row r="147" spans="1:10">
      <c r="A147" s="7"/>
      <c r="B147" s="1"/>
      <c r="C147" s="8"/>
      <c r="D147" s="9"/>
      <c r="E147" s="12"/>
      <c r="F147" s="12"/>
      <c r="G147" s="13"/>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row r="298" spans="1:10">
      <c r="A298" s="7"/>
      <c r="B298" s="1"/>
      <c r="C298" s="8"/>
      <c r="D298" s="9"/>
      <c r="E298" s="12"/>
      <c r="F298" s="12"/>
      <c r="H298" s="14"/>
      <c r="I298" s="14"/>
      <c r="J298" s="15"/>
    </row>
    <row r="299" spans="1:10">
      <c r="A299" s="7"/>
      <c r="B299" s="1"/>
      <c r="C299" s="8"/>
      <c r="D299" s="9"/>
      <c r="E299" s="12"/>
      <c r="F299" s="12"/>
      <c r="H299" s="14"/>
      <c r="I299" s="14"/>
      <c r="J299" s="15"/>
    </row>
    <row r="300" spans="1:10">
      <c r="A300" s="7"/>
      <c r="B300" s="1"/>
      <c r="C300" s="8"/>
      <c r="D300" s="9"/>
      <c r="E300" s="12"/>
      <c r="F300" s="12"/>
      <c r="H300" s="14"/>
      <c r="I300" s="14"/>
      <c r="J300" s="15"/>
    </row>
    <row r="301" spans="1:10">
      <c r="A301" s="7"/>
      <c r="B301" s="1"/>
      <c r="C301" s="8"/>
      <c r="D301" s="9"/>
      <c r="E301" s="12"/>
      <c r="F301" s="12"/>
      <c r="H301" s="14"/>
      <c r="I301" s="14"/>
      <c r="J301" s="15"/>
    </row>
    <row r="302" spans="1:10">
      <c r="A302" s="7"/>
      <c r="B302" s="1"/>
      <c r="C302" s="8"/>
      <c r="D302" s="9"/>
      <c r="E302" s="12"/>
      <c r="F302" s="12"/>
      <c r="H302" s="14"/>
      <c r="I302" s="14"/>
      <c r="J302" s="15"/>
    </row>
    <row r="303" spans="1:10">
      <c r="A303" s="7"/>
      <c r="B303" s="1"/>
      <c r="C303" s="8"/>
      <c r="D303" s="9"/>
      <c r="E303" s="12"/>
      <c r="F303" s="12"/>
      <c r="H303" s="14"/>
      <c r="I303" s="14"/>
      <c r="J303" s="15"/>
    </row>
    <row r="304" spans="1:10">
      <c r="A304" s="7"/>
      <c r="B304" s="1"/>
      <c r="C304" s="8"/>
      <c r="D304" s="9"/>
      <c r="E304" s="12"/>
      <c r="F304" s="12"/>
      <c r="H304" s="14"/>
      <c r="I304" s="14"/>
      <c r="J304" s="15"/>
    </row>
    <row r="305" spans="1:10">
      <c r="A305" s="7"/>
      <c r="B305" s="1"/>
      <c r="C305" s="8"/>
      <c r="D305" s="9"/>
      <c r="E305" s="12"/>
      <c r="F305" s="12"/>
      <c r="H305" s="14"/>
      <c r="I305" s="14"/>
      <c r="J305" s="15"/>
    </row>
    <row r="306" spans="1:10">
      <c r="A306" s="7"/>
      <c r="B306" s="1"/>
      <c r="C306" s="8"/>
      <c r="D306" s="9"/>
      <c r="E306" s="12"/>
      <c r="F306" s="12"/>
      <c r="H306" s="14"/>
      <c r="I306" s="14"/>
      <c r="J306" s="15"/>
    </row>
    <row r="307" spans="1:10">
      <c r="A307" s="7"/>
      <c r="B307" s="1"/>
      <c r="C307" s="8"/>
      <c r="D307" s="9"/>
      <c r="E307" s="12"/>
      <c r="F307" s="12"/>
      <c r="H307" s="14"/>
      <c r="I307" s="14"/>
      <c r="J307" s="15"/>
    </row>
    <row r="308" spans="1:10">
      <c r="A308" s="7"/>
      <c r="B308" s="1"/>
      <c r="C308" s="8"/>
      <c r="D308" s="9"/>
      <c r="E308" s="12"/>
      <c r="F308" s="12"/>
      <c r="H308" s="14"/>
      <c r="I308" s="14"/>
      <c r="J308" s="15"/>
    </row>
  </sheetData>
  <conditionalFormatting sqref="H4:H53">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K308"/>
  <sheetViews>
    <sheetView workbookViewId="0">
      <selection activeCell="G18" sqref="G18"/>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62</v>
      </c>
      <c r="C2" s="5" t="s">
        <v>310</v>
      </c>
      <c r="D2" s="6" t="s">
        <v>311</v>
      </c>
      <c r="F2" s="5" t="s">
        <v>22</v>
      </c>
      <c r="G2" s="10" t="s">
        <v>312</v>
      </c>
      <c r="H2" s="11" t="s">
        <v>313</v>
      </c>
      <c r="I2" s="11" t="s">
        <v>314</v>
      </c>
      <c r="J2" s="11" t="s">
        <v>315</v>
      </c>
      <c r="K2" s="5" t="s">
        <v>316</v>
      </c>
    </row>
    <row r="3" spans="1:2">
      <c r="A3" s="7">
        <f>IF(子基金及业绩基准周净值!A58="","",子基金及业绩基准周净值!A58)</f>
        <v>45856</v>
      </c>
      <c r="B3" s="1">
        <f>IF(A3="","",VLOOKUP($A3,子基金及业绩基准周净值!$A:$AV,25))</f>
        <v>0.9983</v>
      </c>
    </row>
    <row r="4" spans="1:10">
      <c r="A4" s="7">
        <f>IF(子基金及业绩基准周净值!A59="","",子基金及业绩基准周净值!A59)</f>
        <v>45863</v>
      </c>
      <c r="B4" s="1">
        <f>IF(A4="","",VLOOKUP($A4,子基金及业绩基准周净值!$A:$AV,25))</f>
        <v>0.9958</v>
      </c>
      <c r="C4" s="8">
        <f>IF(B4="","",B4/B3-1)</f>
        <v>-0.00250425723730341</v>
      </c>
      <c r="D4" s="9">
        <f>IF(A4="","",C4-(子基金及业绩基准周净值!AG59/子基金及业绩基准周净值!AG58-1))</f>
        <v>-0.00402881387876708</v>
      </c>
      <c r="E4" s="12">
        <f>IF(A4="","",(MAX(B$3:B4)-B4)/MAX(B$3:B4))</f>
        <v>0.00250425723730336</v>
      </c>
      <c r="F4" s="12">
        <f>IF(A4="","",MAX(E$4:E4))</f>
        <v>0.00250425723730336</v>
      </c>
      <c r="G4" s="13">
        <v>1</v>
      </c>
      <c r="H4" s="14" t="str">
        <f>IF(B4="","",IF(C4&lt;-3%,"是","否"))</f>
        <v>否</v>
      </c>
      <c r="I4" s="14" t="str">
        <f t="shared" ref="I4:I53" si="0">IF(A4="","",IF(F4&gt;5%,"是","否"))</f>
        <v>否</v>
      </c>
      <c r="J4" s="15" t="str">
        <f t="shared" ref="J4:J53" si="1">IF(A4="","",IF(G4&gt;=4,"是","否"))</f>
        <v>否</v>
      </c>
    </row>
    <row r="5" spans="1:10">
      <c r="A5" s="7">
        <f>IF(子基金及业绩基准周净值!A60="","",子基金及业绩基准周净值!A60)</f>
        <v>45870</v>
      </c>
      <c r="B5" s="1">
        <f>IF(A5="","",VLOOKUP($A5,子基金及业绩基准周净值!$A:$AV,25))</f>
        <v>1.0006</v>
      </c>
      <c r="C5" s="8">
        <f t="shared" ref="C5:C42" si="2">IF(B5="","",B5/B4-1)</f>
        <v>0.00482024502912215</v>
      </c>
      <c r="D5" s="9">
        <f>IF(A5="","",C5-(子基金及业绩基准周净值!AG60/子基金及业绩基准周净值!AG59-1))</f>
        <v>0.00186426643739512</v>
      </c>
      <c r="E5" s="12">
        <f>IF(A5="","",(MAX(B$3:B5)-B5)/MAX(B$3:B5))</f>
        <v>0</v>
      </c>
      <c r="F5" s="12">
        <f>IF(A5="","",MAX(E$4:E5))</f>
        <v>0.00250425723730336</v>
      </c>
      <c r="G5" s="13">
        <v>0</v>
      </c>
      <c r="H5" s="14" t="str">
        <f t="shared" ref="H5:H36" si="3">IF(B5="","",IF(C5&lt;-3%,"是","否"))</f>
        <v>否</v>
      </c>
      <c r="I5" s="14" t="str">
        <f t="shared" si="0"/>
        <v>否</v>
      </c>
      <c r="J5" s="15" t="str">
        <f t="shared" si="1"/>
        <v>否</v>
      </c>
    </row>
    <row r="6" spans="1:10">
      <c r="A6" s="7">
        <f>IF(子基金及业绩基准周净值!A61="","",子基金及业绩基准周净值!A61)</f>
        <v>45877</v>
      </c>
      <c r="B6" s="1">
        <f>IF(A6="","",VLOOKUP($A6,子基金及业绩基准周净值!$A:$AV,25))</f>
        <v>1.0024</v>
      </c>
      <c r="C6" s="8">
        <f t="shared" si="2"/>
        <v>0.00179892064761145</v>
      </c>
      <c r="D6" s="9">
        <f>IF(A6="","",C6-(子基金及业绩基准周净值!AG61/子基金及业绩基准周净值!AG60-1))</f>
        <v>-0.00346452486684168</v>
      </c>
      <c r="E6" s="12">
        <f>IF(A6="","",(MAX(B$3:B6)-B6)/MAX(B$3:B6))</f>
        <v>0</v>
      </c>
      <c r="F6" s="12">
        <f>IF(A6="","",MAX(E$4:E6))</f>
        <v>0.00250425723730336</v>
      </c>
      <c r="G6" s="13">
        <v>1</v>
      </c>
      <c r="H6" s="14" t="str">
        <f t="shared" si="3"/>
        <v>否</v>
      </c>
      <c r="I6" s="14" t="str">
        <f t="shared" si="0"/>
        <v>否</v>
      </c>
      <c r="J6" s="15" t="str">
        <f t="shared" si="1"/>
        <v>否</v>
      </c>
    </row>
    <row r="7" spans="1:10">
      <c r="A7" s="7">
        <f>IF(子基金及业绩基准周净值!A62="","",子基金及业绩基准周净值!A62)</f>
        <v>45884</v>
      </c>
      <c r="B7" s="1">
        <f>IF(A7="","",VLOOKUP($A7,子基金及业绩基准周净值!$A:$AV,25))</f>
        <v>0.9947</v>
      </c>
      <c r="C7" s="8">
        <f t="shared" si="2"/>
        <v>-0.00768156424581001</v>
      </c>
      <c r="D7" s="9">
        <f>IF(A7="","",C7-(子基金及业绩基准周净值!AG62/子基金及业绩基准周净值!AG61-1))</f>
        <v>-0.00212569135839502</v>
      </c>
      <c r="E7" s="12">
        <f>IF(A7="","",(MAX(B$3:B7)-B7)/MAX(B$3:B7))</f>
        <v>0.00768156424580999</v>
      </c>
      <c r="F7" s="12">
        <f>IF(A7="","",MAX(E$4:E7))</f>
        <v>0.00768156424580999</v>
      </c>
      <c r="G7" s="13">
        <v>2</v>
      </c>
      <c r="H7" s="14" t="str">
        <f t="shared" si="3"/>
        <v>否</v>
      </c>
      <c r="I7" s="14" t="str">
        <f t="shared" si="0"/>
        <v>否</v>
      </c>
      <c r="J7" s="15" t="str">
        <f t="shared" si="1"/>
        <v>否</v>
      </c>
    </row>
    <row r="8" spans="1:10">
      <c r="A8" s="7">
        <f>IF(子基金及业绩基准周净值!A63="","",子基金及业绩基准周净值!A63)</f>
        <v>45891</v>
      </c>
      <c r="B8" s="1">
        <f>IF(A8="","",VLOOKUP($A8,子基金及业绩基准周净值!$A:$AV,25))</f>
        <v>1.001</v>
      </c>
      <c r="C8" s="8">
        <f t="shared" si="2"/>
        <v>0.00633356790992234</v>
      </c>
      <c r="D8" s="9">
        <f>IF(A8="","",C8-(子基金及业绩基准周净值!AG63/子基金及业绩基准周净值!AG62-1))</f>
        <v>0.00317599643735167</v>
      </c>
      <c r="E8" s="12">
        <f>IF(A8="","",(MAX(B$3:B8)-B8)/MAX(B$3:B8))</f>
        <v>0.00139664804469281</v>
      </c>
      <c r="F8" s="12">
        <f>IF(A8="","",MAX(E$4:E8))</f>
        <v>0.00768156424580999</v>
      </c>
      <c r="G8" s="13">
        <v>0</v>
      </c>
      <c r="H8" s="14" t="str">
        <f t="shared" si="3"/>
        <v>否</v>
      </c>
      <c r="I8" s="14" t="str">
        <f t="shared" si="0"/>
        <v>否</v>
      </c>
      <c r="J8" s="15" t="str">
        <f t="shared" si="1"/>
        <v>否</v>
      </c>
    </row>
    <row r="9" spans="1:10">
      <c r="A9" s="7">
        <f>IF(子基金及业绩基准周净值!A64="","",子基金及业绩基准周净值!A64)</f>
        <v>45898</v>
      </c>
      <c r="B9" s="1">
        <f>IF(A9="","",VLOOKUP($A9,子基金及业绩基准周净值!$A:$AV,25))</f>
        <v>1.0012</v>
      </c>
      <c r="C9" s="8">
        <f t="shared" si="2"/>
        <v>0.000199800199800482</v>
      </c>
      <c r="D9" s="9">
        <f>IF(A9="","",C9-(子基金及业绩基准周净值!AG64/子基金及业绩基准周净值!AG63-1))</f>
        <v>0.00224307462957207</v>
      </c>
      <c r="E9" s="12">
        <f>IF(A9="","",(MAX(B$3:B9)-B9)/MAX(B$3:B9))</f>
        <v>0.00119712689545079</v>
      </c>
      <c r="F9" s="12">
        <f>IF(A9="","",MAX(E$4:E9))</f>
        <v>0.00768156424580999</v>
      </c>
      <c r="G9" s="13">
        <v>0</v>
      </c>
      <c r="H9" s="14" t="str">
        <f t="shared" si="3"/>
        <v>否</v>
      </c>
      <c r="I9" s="14" t="str">
        <f t="shared" si="0"/>
        <v>否</v>
      </c>
      <c r="J9" s="15" t="str">
        <f t="shared" si="1"/>
        <v>否</v>
      </c>
    </row>
    <row r="10" spans="1:10">
      <c r="A10" s="7">
        <f>IF(子基金及业绩基准周净值!A65="","",子基金及业绩基准周净值!A65)</f>
        <v>45905</v>
      </c>
      <c r="B10" s="1">
        <f>IF(A10="","",VLOOKUP($A10,子基金及业绩基准周净值!$A:$AV,25))</f>
        <v>0.9989</v>
      </c>
      <c r="C10" s="8">
        <f t="shared" si="2"/>
        <v>-0.00229724330803049</v>
      </c>
      <c r="D10" s="9">
        <f>IF(A10="","",C10-(子基金及业绩基准周净值!AG65/子基金及业绩基准周净值!AG64-1))</f>
        <v>-0.0026288045907884</v>
      </c>
      <c r="E10" s="12">
        <f>IF(A10="","",(MAX(B$3:B10)-B10)/MAX(B$3:B10))</f>
        <v>0.00349162011173179</v>
      </c>
      <c r="F10" s="12">
        <f>IF(A10="","",MAX(E$4:E10))</f>
        <v>0.00768156424580999</v>
      </c>
      <c r="G10" s="13">
        <v>1</v>
      </c>
      <c r="H10" s="14" t="str">
        <f t="shared" si="3"/>
        <v>否</v>
      </c>
      <c r="I10" s="14" t="str">
        <f t="shared" si="0"/>
        <v>否</v>
      </c>
      <c r="J10" s="15" t="str">
        <f t="shared" si="1"/>
        <v>否</v>
      </c>
    </row>
    <row r="11" spans="1:10">
      <c r="A11" s="7">
        <f>IF(子基金及业绩基准周净值!A66="","",子基金及业绩基准周净值!A66)</f>
        <v>45912</v>
      </c>
      <c r="B11" s="1">
        <f>IF(A11="","",VLOOKUP($A11,子基金及业绩基准周净值!$A:$AV,25))</f>
        <v>0.9983</v>
      </c>
      <c r="C11" s="8">
        <f t="shared" si="2"/>
        <v>-0.00060066072679954</v>
      </c>
      <c r="D11" s="9">
        <f>IF(A11="","",C11-(子基金及业绩基准周净值!AG66/子基金及业绩基准周净值!AG65-1))</f>
        <v>-0.00263805934265482</v>
      </c>
      <c r="E11" s="12">
        <f>IF(A11="","",(MAX(B$3:B11)-B11)/MAX(B$3:B11))</f>
        <v>0.0040901835594573</v>
      </c>
      <c r="F11" s="12">
        <f>IF(A11="","",MAX(E$4:E11))</f>
        <v>0.00768156424580999</v>
      </c>
      <c r="G11" s="13">
        <v>2</v>
      </c>
      <c r="H11" s="14" t="str">
        <f t="shared" si="3"/>
        <v>否</v>
      </c>
      <c r="I11" s="14" t="str">
        <f t="shared" si="0"/>
        <v>否</v>
      </c>
      <c r="J11" s="15" t="str">
        <f t="shared" si="1"/>
        <v>否</v>
      </c>
    </row>
    <row r="12" spans="1:10">
      <c r="A12" s="7">
        <f>IF(子基金及业绩基准周净值!A67="","",子基金及业绩基准周净值!A67)</f>
        <v>45919</v>
      </c>
      <c r="B12" s="1">
        <f>IF(A12="","",VLOOKUP($A12,子基金及业绩基准周净值!$A:$AV,25))</f>
        <v>0.9959</v>
      </c>
      <c r="C12" s="8">
        <f t="shared" si="2"/>
        <v>-0.00240408694781125</v>
      </c>
      <c r="D12" s="9">
        <f>IF(A12="","",C12-(子基金及业绩基准周净值!AG67/子基金及业绩基准周净值!AG66-1))</f>
        <v>-0.00268538152698405</v>
      </c>
      <c r="E12" s="12">
        <f>IF(A12="","",(MAX(B$3:B12)-B12)/MAX(B$3:B12))</f>
        <v>0.00648443735035909</v>
      </c>
      <c r="F12" s="12">
        <f>IF(A12="","",MAX(E$4:E12))</f>
        <v>0.00768156424580999</v>
      </c>
      <c r="G12" s="13">
        <v>3</v>
      </c>
      <c r="H12" s="14" t="str">
        <f t="shared" si="3"/>
        <v>否</v>
      </c>
      <c r="I12" s="14" t="str">
        <f t="shared" si="0"/>
        <v>否</v>
      </c>
      <c r="J12" s="15" t="str">
        <f t="shared" si="1"/>
        <v>否</v>
      </c>
    </row>
    <row r="13" spans="1:10">
      <c r="A13" s="7">
        <f>IF(子基金及业绩基准周净值!A68="","",子基金及业绩基准周净值!A68)</f>
        <v>45926</v>
      </c>
      <c r="B13" s="1">
        <f>IF(A13="","",VLOOKUP($A13,子基金及业绩基准周净值!$A:$AV,25))</f>
        <v>0.9965</v>
      </c>
      <c r="C13" s="8">
        <f t="shared" si="2"/>
        <v>0.000602470127522903</v>
      </c>
      <c r="D13" s="9">
        <f>IF(A13="","",C13-(子基金及业绩基准周净值!AG68/子基金及业绩基准周净值!AG67-1))</f>
        <v>0.00340829641301421</v>
      </c>
      <c r="E13" s="12">
        <f>IF(A13="","",(MAX(B$3:B13)-B13)/MAX(B$3:B13))</f>
        <v>0.00588587390263358</v>
      </c>
      <c r="F13" s="12">
        <f>IF(A13="","",MAX(E$4:E13))</f>
        <v>0.00768156424580999</v>
      </c>
      <c r="G13" s="13">
        <v>0</v>
      </c>
      <c r="H13" s="14" t="str">
        <f t="shared" si="3"/>
        <v>否</v>
      </c>
      <c r="I13" s="14" t="str">
        <f t="shared" si="0"/>
        <v>否</v>
      </c>
      <c r="J13" s="15" t="str">
        <f t="shared" si="1"/>
        <v>否</v>
      </c>
    </row>
    <row r="14" spans="1:10">
      <c r="A14" s="7">
        <f>IF(子基金及业绩基准周净值!A69="","",子基金及业绩基准周净值!A69)</f>
        <v>45940</v>
      </c>
      <c r="B14" s="1">
        <f>IF(A14="","",VLOOKUP($A14,子基金及业绩基准周净值!$A:$AV,25))</f>
        <v>0.9977</v>
      </c>
      <c r="C14" s="8">
        <f t="shared" si="2"/>
        <v>0.00120421475163068</v>
      </c>
      <c r="D14" s="9">
        <f>IF(A14="","",C14-(子基金及业绩基准周净值!AG69/子基金及业绩基准周净值!AG68-1))</f>
        <v>-0.000808625091067938</v>
      </c>
      <c r="E14" s="12">
        <f>IF(A14="","",(MAX(B$3:B14)-B14)/MAX(B$3:B14))</f>
        <v>0.00468874700718269</v>
      </c>
      <c r="F14" s="12">
        <f>IF(A14="","",MAX(E$4:E14))</f>
        <v>0.00768156424580999</v>
      </c>
      <c r="G14" s="13">
        <v>1</v>
      </c>
      <c r="H14" s="14" t="str">
        <f t="shared" si="3"/>
        <v>否</v>
      </c>
      <c r="I14" s="14" t="str">
        <f t="shared" si="0"/>
        <v>否</v>
      </c>
      <c r="J14" s="15" t="str">
        <f t="shared" si="1"/>
        <v>否</v>
      </c>
    </row>
    <row r="15" spans="1:10">
      <c r="A15" s="7">
        <f>IF(子基金及业绩基准周净值!A70="","",子基金及业绩基准周净值!A70)</f>
        <v>45947</v>
      </c>
      <c r="B15" s="1">
        <f>IF(A15="","",VLOOKUP($A15,子基金及业绩基准周净值!$A:$AV,25))</f>
        <v>0.996</v>
      </c>
      <c r="C15" s="8">
        <f t="shared" si="2"/>
        <v>-0.00170391901373157</v>
      </c>
      <c r="D15" s="9">
        <f>IF(A15="","",C15-(子基金及业绩基准周净值!AG70/子基金及业绩基准周净值!AG69-1))</f>
        <v>-0.00202728537800967</v>
      </c>
      <c r="E15" s="12">
        <f>IF(A15="","",(MAX(B$3:B15)-B15)/MAX(B$3:B15))</f>
        <v>0.00638467677573819</v>
      </c>
      <c r="F15" s="12">
        <f>IF(A15="","",MAX(E$4:E15))</f>
        <v>0.00768156424580999</v>
      </c>
      <c r="G15" s="13">
        <v>2</v>
      </c>
      <c r="H15" s="14" t="str">
        <f t="shared" si="3"/>
        <v>否</v>
      </c>
      <c r="I15" s="14" t="str">
        <f t="shared" si="0"/>
        <v>否</v>
      </c>
      <c r="J15" s="15" t="str">
        <f t="shared" si="1"/>
        <v>否</v>
      </c>
    </row>
    <row r="16" spans="1:10">
      <c r="A16" s="7">
        <f>IF(子基金及业绩基准周净值!A71="","",子基金及业绩基准周净值!A71)</f>
        <v>45954</v>
      </c>
      <c r="B16" s="1">
        <f>IF(A16="","",VLOOKUP($A16,子基金及业绩基准周净值!$A:$AV,25))</f>
        <v>1.002</v>
      </c>
      <c r="C16" s="8">
        <f t="shared" si="2"/>
        <v>0.00602409638554224</v>
      </c>
      <c r="D16" s="9">
        <f>IF(A16="","",C16-(子基金及业绩基准周净值!AG71/子基金及业绩基准周净值!AG70-1))</f>
        <v>-0.000935619393737319</v>
      </c>
      <c r="E16" s="12">
        <f>IF(A16="","",(MAX(B$3:B16)-B16)/MAX(B$3:B16))</f>
        <v>0.000399042298483595</v>
      </c>
      <c r="F16" s="12">
        <f>IF(A16="","",MAX(E$4:E16))</f>
        <v>0.00768156424580999</v>
      </c>
      <c r="G16" s="13">
        <v>3</v>
      </c>
      <c r="H16" s="14" t="str">
        <f t="shared" si="3"/>
        <v>否</v>
      </c>
      <c r="I16" s="14" t="str">
        <f t="shared" si="0"/>
        <v>否</v>
      </c>
      <c r="J16" s="15" t="str">
        <f t="shared" si="1"/>
        <v>否</v>
      </c>
    </row>
    <row r="17" spans="1:10">
      <c r="A17" s="7">
        <f>IF(子基金及业绩基准周净值!A72="","",子基金及业绩基准周净值!A72)</f>
        <v>45961</v>
      </c>
      <c r="B17" s="1">
        <f>IF(A17="","",VLOOKUP($A17,子基金及业绩基准周净值!$A:$AV,25))</f>
        <v>0.996</v>
      </c>
      <c r="C17" s="8">
        <f t="shared" si="2"/>
        <v>-0.00598802395209586</v>
      </c>
      <c r="D17" s="9">
        <f>IF(A17="","",C17-(子基金及业绩基准周净值!AG72/子基金及业绩基准周净值!AG71-1))</f>
        <v>-0.00327190929787358</v>
      </c>
      <c r="E17" s="12">
        <f>IF(A17="","",(MAX(B$3:B17)-B17)/MAX(B$3:B17))</f>
        <v>0.00638467677573819</v>
      </c>
      <c r="F17" s="12">
        <f>IF(A17="","",MAX(E$4:E17))</f>
        <v>0.00768156424580999</v>
      </c>
      <c r="G17" s="13">
        <v>4</v>
      </c>
      <c r="H17" s="14" t="str">
        <f t="shared" si="3"/>
        <v>否</v>
      </c>
      <c r="I17" s="14" t="str">
        <f t="shared" si="0"/>
        <v>否</v>
      </c>
      <c r="J17" s="15" t="str">
        <f t="shared" si="1"/>
        <v>是</v>
      </c>
    </row>
    <row r="18" spans="1:10">
      <c r="A18" s="7" t="str">
        <f>IF(子基金及业绩基准周净值!A73="","",子基金及业绩基准周净值!A73)</f>
        <v/>
      </c>
      <c r="B18" s="1" t="str">
        <f>IF(A18="","",VLOOKUP($A18,子基金及业绩基准周净值!$A:$AV,25))</f>
        <v/>
      </c>
      <c r="C18" s="8" t="str">
        <f t="shared" si="2"/>
        <v/>
      </c>
      <c r="D18" s="9" t="str">
        <f>IF(A18="","",C18-(子基金及业绩基准周净值!AG73/子基金及业绩基准周净值!AG72-1))</f>
        <v/>
      </c>
      <c r="E18" s="12" t="str">
        <f>IF(A18="","",(MAX(B$3:B18)-B18)/MAX(B$3:B18))</f>
        <v/>
      </c>
      <c r="F18" s="12" t="str">
        <f>IF(A18="","",MAX(E$4:E18))</f>
        <v/>
      </c>
      <c r="G18" s="13"/>
      <c r="H18" s="14" t="str">
        <f t="shared" si="3"/>
        <v/>
      </c>
      <c r="I18" s="14" t="str">
        <f t="shared" si="0"/>
        <v/>
      </c>
      <c r="J18" s="15" t="str">
        <f t="shared" si="1"/>
        <v/>
      </c>
    </row>
    <row r="19" spans="1:10">
      <c r="A19" s="7" t="str">
        <f>IF(子基金及业绩基准周净值!A74="","",子基金及业绩基准周净值!A74)</f>
        <v/>
      </c>
      <c r="B19" s="1" t="str">
        <f>IF(A19="","",VLOOKUP($A19,子基金及业绩基准周净值!$A:$AV,25))</f>
        <v/>
      </c>
      <c r="C19" s="8" t="str">
        <f t="shared" si="2"/>
        <v/>
      </c>
      <c r="D19" s="9" t="str">
        <f>IF(A19="","",C19-(子基金及业绩基准周净值!AG74/子基金及业绩基准周净值!AG73-1))</f>
        <v/>
      </c>
      <c r="E19" s="12" t="str">
        <f>IF(A19="","",(MAX(B$3:B19)-B19)/MAX(B$3:B19))</f>
        <v/>
      </c>
      <c r="F19" s="12" t="str">
        <f>IF(A19="","",MAX(E$4:E19))</f>
        <v/>
      </c>
      <c r="G19" s="13"/>
      <c r="H19" s="14" t="str">
        <f t="shared" si="3"/>
        <v/>
      </c>
      <c r="I19" s="14" t="str">
        <f t="shared" si="0"/>
        <v/>
      </c>
      <c r="J19" s="15" t="str">
        <f t="shared" si="1"/>
        <v/>
      </c>
    </row>
    <row r="20" spans="1:10">
      <c r="A20" s="7" t="str">
        <f>IF(子基金及业绩基准周净值!A75="","",子基金及业绩基准周净值!A75)</f>
        <v/>
      </c>
      <c r="B20" s="1" t="str">
        <f>IF(A20="","",VLOOKUP($A20,子基金及业绩基准周净值!$A:$AV,25))</f>
        <v/>
      </c>
      <c r="C20" s="8" t="str">
        <f t="shared" si="2"/>
        <v/>
      </c>
      <c r="D20" s="9" t="str">
        <f>IF(A20="","",C20-(子基金及业绩基准周净值!AG75/子基金及业绩基准周净值!AG74-1))</f>
        <v/>
      </c>
      <c r="E20" s="12" t="str">
        <f>IF(A20="","",(MAX(B$3:B20)-B20)/MAX(B$3:B20))</f>
        <v/>
      </c>
      <c r="F20" s="12" t="str">
        <f>IF(A20="","",MAX(E$4:E20))</f>
        <v/>
      </c>
      <c r="G20" s="13"/>
      <c r="H20" s="14" t="str">
        <f t="shared" si="3"/>
        <v/>
      </c>
      <c r="I20" s="14" t="str">
        <f t="shared" si="0"/>
        <v/>
      </c>
      <c r="J20" s="15" t="str">
        <f t="shared" si="1"/>
        <v/>
      </c>
    </row>
    <row r="21" spans="1:10">
      <c r="A21" s="7" t="str">
        <f>IF(子基金及业绩基准周净值!A76="","",子基金及业绩基准周净值!A76)</f>
        <v/>
      </c>
      <c r="B21" s="1" t="str">
        <f>IF(A21="","",VLOOKUP($A21,子基金及业绩基准周净值!$A:$AV,25))</f>
        <v/>
      </c>
      <c r="C21" s="8" t="str">
        <f t="shared" si="2"/>
        <v/>
      </c>
      <c r="D21" s="9" t="str">
        <f>IF(A21="","",C21-(子基金及业绩基准周净值!AG76/子基金及业绩基准周净值!AG75-1))</f>
        <v/>
      </c>
      <c r="E21" s="12" t="str">
        <f>IF(A21="","",(MAX(B$3:B21)-B21)/MAX(B$3:B21))</f>
        <v/>
      </c>
      <c r="F21" s="12" t="str">
        <f>IF(A21="","",MAX(E$4:E21))</f>
        <v/>
      </c>
      <c r="G21" s="20"/>
      <c r="H21" s="14" t="str">
        <f t="shared" si="3"/>
        <v/>
      </c>
      <c r="I21" s="14" t="str">
        <f t="shared" si="0"/>
        <v/>
      </c>
      <c r="J21" s="15" t="str">
        <f t="shared" si="1"/>
        <v/>
      </c>
    </row>
    <row r="22" spans="1:10">
      <c r="A22" s="7" t="str">
        <f>IF(子基金及业绩基准周净值!A77="","",子基金及业绩基准周净值!A77)</f>
        <v/>
      </c>
      <c r="B22" s="1" t="str">
        <f>IF(A22="","",VLOOKUP($A22,子基金及业绩基准周净值!$A:$AV,25))</f>
        <v/>
      </c>
      <c r="C22" s="8" t="str">
        <f t="shared" si="2"/>
        <v/>
      </c>
      <c r="D22" s="9" t="str">
        <f>IF(A22="","",C22-(子基金及业绩基准周净值!AG77/子基金及业绩基准周净值!AG76-1))</f>
        <v/>
      </c>
      <c r="E22" s="12" t="str">
        <f>IF(A22="","",(MAX(B$3:B22)-B22)/MAX(B$3:B22))</f>
        <v/>
      </c>
      <c r="F22" s="12" t="str">
        <f>IF(A22="","",MAX(E$4:E22))</f>
        <v/>
      </c>
      <c r="G22" s="13"/>
      <c r="H22" s="14" t="str">
        <f t="shared" si="3"/>
        <v/>
      </c>
      <c r="I22" s="14" t="str">
        <f t="shared" si="0"/>
        <v/>
      </c>
      <c r="J22" s="15" t="str">
        <f t="shared" si="1"/>
        <v/>
      </c>
    </row>
    <row r="23" spans="1:10">
      <c r="A23" s="7" t="str">
        <f>IF(子基金及业绩基准周净值!A78="","",子基金及业绩基准周净值!A78)</f>
        <v/>
      </c>
      <c r="B23" s="1" t="str">
        <f>IF(A23="","",VLOOKUP($A23,子基金及业绩基准周净值!$A:$AV,25))</f>
        <v/>
      </c>
      <c r="C23" s="8" t="str">
        <f t="shared" si="2"/>
        <v/>
      </c>
      <c r="D23" s="9" t="str">
        <f>IF(A23="","",C23-(子基金及业绩基准周净值!AG78/子基金及业绩基准周净值!AG77-1))</f>
        <v/>
      </c>
      <c r="E23" s="12" t="str">
        <f>IF(A23="","",(MAX(B$3:B23)-B23)/MAX(B$3:B23))</f>
        <v/>
      </c>
      <c r="F23" s="12" t="str">
        <f>IF(A23="","",MAX(E$4:E23))</f>
        <v/>
      </c>
      <c r="G23" s="13"/>
      <c r="H23" s="14" t="str">
        <f t="shared" si="3"/>
        <v/>
      </c>
      <c r="I23" s="14" t="str">
        <f t="shared" si="0"/>
        <v/>
      </c>
      <c r="J23" s="15" t="str">
        <f t="shared" si="1"/>
        <v/>
      </c>
    </row>
    <row r="24" spans="1:10">
      <c r="A24" s="7" t="str">
        <f>IF(子基金及业绩基准周净值!A79="","",子基金及业绩基准周净值!A79)</f>
        <v/>
      </c>
      <c r="B24" s="1" t="str">
        <f>IF(A24="","",VLOOKUP($A24,子基金及业绩基准周净值!$A:$AV,25))</f>
        <v/>
      </c>
      <c r="C24" s="8" t="str">
        <f t="shared" si="2"/>
        <v/>
      </c>
      <c r="D24" s="9" t="str">
        <f>IF(A24="","",C24-(子基金及业绩基准周净值!AG79/子基金及业绩基准周净值!AG78-1))</f>
        <v/>
      </c>
      <c r="E24" s="12" t="str">
        <f>IF(A24="","",(MAX(B$3:B24)-B24)/MAX(B$3:B24))</f>
        <v/>
      </c>
      <c r="F24" s="12" t="str">
        <f>IF(A24="","",MAX(E$4:E24))</f>
        <v/>
      </c>
      <c r="G24" s="13"/>
      <c r="H24" s="14" t="str">
        <f t="shared" si="3"/>
        <v/>
      </c>
      <c r="I24" s="14" t="str">
        <f t="shared" si="0"/>
        <v/>
      </c>
      <c r="J24" s="15" t="str">
        <f t="shared" si="1"/>
        <v/>
      </c>
    </row>
    <row r="25" spans="1:10">
      <c r="A25" s="7" t="str">
        <f>IF(子基金及业绩基准周净值!A80="","",子基金及业绩基准周净值!A80)</f>
        <v/>
      </c>
      <c r="B25" s="1" t="str">
        <f>IF(A25="","",VLOOKUP($A25,子基金及业绩基准周净值!$A:$AV,25))</f>
        <v/>
      </c>
      <c r="C25" s="8" t="str">
        <f t="shared" si="2"/>
        <v/>
      </c>
      <c r="D25" s="9" t="str">
        <f>IF(A25="","",C25-(子基金及业绩基准周净值!AG80/子基金及业绩基准周净值!AG79-1))</f>
        <v/>
      </c>
      <c r="E25" s="12" t="str">
        <f>IF(A25="","",(MAX(B$3:B25)-B25)/MAX(B$3:B25))</f>
        <v/>
      </c>
      <c r="F25" s="12" t="str">
        <f>IF(A25="","",MAX(E$4:E25))</f>
        <v/>
      </c>
      <c r="G25" s="13"/>
      <c r="H25" s="14" t="str">
        <f t="shared" si="3"/>
        <v/>
      </c>
      <c r="I25" s="14" t="str">
        <f t="shared" si="0"/>
        <v/>
      </c>
      <c r="J25" s="15" t="str">
        <f t="shared" si="1"/>
        <v/>
      </c>
    </row>
    <row r="26" spans="1:10">
      <c r="A26" s="7" t="str">
        <f>IF(子基金及业绩基准周净值!A81="","",子基金及业绩基准周净值!A81)</f>
        <v/>
      </c>
      <c r="B26" s="1" t="str">
        <f>IF(A26="","",VLOOKUP($A26,子基金及业绩基准周净值!$A:$AV,25))</f>
        <v/>
      </c>
      <c r="C26" s="8" t="str">
        <f t="shared" si="2"/>
        <v/>
      </c>
      <c r="D26" s="9" t="str">
        <f>IF(A26="","",C26-(子基金及业绩基准周净值!AG81/子基金及业绩基准周净值!AG80-1))</f>
        <v/>
      </c>
      <c r="E26" s="12" t="str">
        <f>IF(A26="","",(MAX(B$3:B26)-B26)/MAX(B$3:B26))</f>
        <v/>
      </c>
      <c r="F26" s="12" t="str">
        <f>IF(A26="","",MAX(E$4:E26))</f>
        <v/>
      </c>
      <c r="G26" s="13"/>
      <c r="H26" s="14" t="str">
        <f t="shared" si="3"/>
        <v/>
      </c>
      <c r="I26" s="14" t="str">
        <f t="shared" si="0"/>
        <v/>
      </c>
      <c r="J26" s="15" t="str">
        <f t="shared" si="1"/>
        <v/>
      </c>
    </row>
    <row r="27" spans="1:10">
      <c r="A27" s="7" t="str">
        <f>IF(子基金及业绩基准周净值!A82="","",子基金及业绩基准周净值!A82)</f>
        <v/>
      </c>
      <c r="B27" s="1" t="str">
        <f>IF(A27="","",VLOOKUP($A27,子基金及业绩基准周净值!$A:$AV,25))</f>
        <v/>
      </c>
      <c r="C27" s="8" t="str">
        <f t="shared" si="2"/>
        <v/>
      </c>
      <c r="D27" s="9" t="str">
        <f>IF(A27="","",C27-(子基金及业绩基准周净值!AG82/子基金及业绩基准周净值!AG81-1))</f>
        <v/>
      </c>
      <c r="E27" s="12" t="str">
        <f>IF(A27="","",(MAX(B$3:B27)-B27)/MAX(B$3:B27))</f>
        <v/>
      </c>
      <c r="F27" s="12" t="str">
        <f>IF(A27="","",MAX(E$4:E27))</f>
        <v/>
      </c>
      <c r="G27" s="13"/>
      <c r="H27" s="14" t="str">
        <f t="shared" si="3"/>
        <v/>
      </c>
      <c r="I27" s="14" t="str">
        <f t="shared" si="0"/>
        <v/>
      </c>
      <c r="J27" s="15" t="str">
        <f t="shared" si="1"/>
        <v/>
      </c>
    </row>
    <row r="28" spans="1:10">
      <c r="A28" s="7" t="str">
        <f>IF(子基金及业绩基准周净值!A83="","",子基金及业绩基准周净值!A83)</f>
        <v/>
      </c>
      <c r="B28" s="1" t="str">
        <f>IF(A28="","",VLOOKUP($A28,子基金及业绩基准周净值!$A:$AV,25))</f>
        <v/>
      </c>
      <c r="C28" s="8" t="str">
        <f t="shared" si="2"/>
        <v/>
      </c>
      <c r="D28" s="9" t="str">
        <f>IF(A28="","",C28-(子基金及业绩基准周净值!AG83/子基金及业绩基准周净值!AG82-1))</f>
        <v/>
      </c>
      <c r="E28" s="12" t="str">
        <f>IF(A28="","",(MAX(B$3:B28)-B28)/MAX(B$3:B28))</f>
        <v/>
      </c>
      <c r="F28" s="12" t="str">
        <f>IF(A28="","",MAX(E$4:E28))</f>
        <v/>
      </c>
      <c r="G28" s="13"/>
      <c r="H28" s="14" t="str">
        <f t="shared" si="3"/>
        <v/>
      </c>
      <c r="I28" s="14" t="str">
        <f t="shared" si="0"/>
        <v/>
      </c>
      <c r="J28" s="15" t="str">
        <f t="shared" si="1"/>
        <v/>
      </c>
    </row>
    <row r="29" spans="1:10">
      <c r="A29" s="7" t="str">
        <f>IF(子基金及业绩基准周净值!A84="","",子基金及业绩基准周净值!A84)</f>
        <v/>
      </c>
      <c r="B29" s="1" t="str">
        <f>IF(A29="","",VLOOKUP($A29,子基金及业绩基准周净值!$A:$AV,25))</f>
        <v/>
      </c>
      <c r="C29" s="8" t="str">
        <f t="shared" si="2"/>
        <v/>
      </c>
      <c r="D29" s="9" t="str">
        <f>IF(A29="","",C29-(子基金及业绩基准周净值!AG84/子基金及业绩基准周净值!AG83-1))</f>
        <v/>
      </c>
      <c r="E29" s="12" t="str">
        <f>IF(A29="","",(MAX(B$3:B29)-B29)/MAX(B$3:B29))</f>
        <v/>
      </c>
      <c r="F29" s="12" t="str">
        <f>IF(A29="","",MAX(E$4:E29))</f>
        <v/>
      </c>
      <c r="G29" s="13"/>
      <c r="H29" s="14" t="str">
        <f t="shared" si="3"/>
        <v/>
      </c>
      <c r="I29" s="14" t="str">
        <f t="shared" si="0"/>
        <v/>
      </c>
      <c r="J29" s="15" t="str">
        <f t="shared" si="1"/>
        <v/>
      </c>
    </row>
    <row r="30" spans="1:10">
      <c r="A30" s="7" t="str">
        <f>IF(子基金及业绩基准周净值!A85="","",子基金及业绩基准周净值!A85)</f>
        <v/>
      </c>
      <c r="B30" s="1" t="str">
        <f>IF(A30="","",VLOOKUP($A30,子基金及业绩基准周净值!$A:$AV,25))</f>
        <v/>
      </c>
      <c r="C30" s="8" t="str">
        <f t="shared" si="2"/>
        <v/>
      </c>
      <c r="D30" s="9" t="str">
        <f>IF(A30="","",C30-(子基金及业绩基准周净值!AG85/子基金及业绩基准周净值!AG84-1))</f>
        <v/>
      </c>
      <c r="E30" s="12" t="str">
        <f>IF(A30="","",(MAX(B$3:B30)-B30)/MAX(B$3:B30))</f>
        <v/>
      </c>
      <c r="F30" s="12" t="str">
        <f>IF(A30="","",MAX(E$4:E30))</f>
        <v/>
      </c>
      <c r="G30" s="13"/>
      <c r="H30" s="14" t="str">
        <f t="shared" si="3"/>
        <v/>
      </c>
      <c r="I30" s="14" t="str">
        <f t="shared" si="0"/>
        <v/>
      </c>
      <c r="J30" s="15" t="str">
        <f t="shared" si="1"/>
        <v/>
      </c>
    </row>
    <row r="31" spans="1:10">
      <c r="A31" s="7" t="str">
        <f>IF(子基金及业绩基准周净值!A86="","",子基金及业绩基准周净值!A86)</f>
        <v/>
      </c>
      <c r="B31" s="1" t="str">
        <f>IF(A31="","",VLOOKUP($A31,子基金及业绩基准周净值!$A:$AV,25))</f>
        <v/>
      </c>
      <c r="C31" s="8" t="str">
        <f t="shared" si="2"/>
        <v/>
      </c>
      <c r="D31" s="9" t="str">
        <f>IF(A31="","",C31-(子基金及业绩基准周净值!AG86/子基金及业绩基准周净值!AG85-1))</f>
        <v/>
      </c>
      <c r="E31" s="12" t="str">
        <f>IF(A31="","",(MAX(B$3:B31)-B31)/MAX(B$3:B31))</f>
        <v/>
      </c>
      <c r="F31" s="12" t="str">
        <f>IF(A31="","",MAX(E$4:E31))</f>
        <v/>
      </c>
      <c r="G31" s="13"/>
      <c r="H31" s="14" t="str">
        <f t="shared" si="3"/>
        <v/>
      </c>
      <c r="I31" s="14" t="str">
        <f t="shared" si="0"/>
        <v/>
      </c>
      <c r="J31" s="15" t="str">
        <f t="shared" si="1"/>
        <v/>
      </c>
    </row>
    <row r="32" spans="1:10">
      <c r="A32" s="7" t="str">
        <f>IF(子基金及业绩基准周净值!A87="","",子基金及业绩基准周净值!A87)</f>
        <v/>
      </c>
      <c r="B32" s="1" t="str">
        <f>IF(A32="","",VLOOKUP($A32,子基金及业绩基准周净值!$A:$AV,25))</f>
        <v/>
      </c>
      <c r="C32" s="8" t="str">
        <f t="shared" si="2"/>
        <v/>
      </c>
      <c r="D32" s="9" t="str">
        <f>IF(A32="","",C32-(子基金及业绩基准周净值!AG87/子基金及业绩基准周净值!AG86-1))</f>
        <v/>
      </c>
      <c r="E32" s="12" t="str">
        <f>IF(A32="","",(MAX(B$3:B32)-B32)/MAX(B$3:B32))</f>
        <v/>
      </c>
      <c r="F32" s="12" t="str">
        <f>IF(A32="","",MAX(E$4:E32))</f>
        <v/>
      </c>
      <c r="G32" s="13"/>
      <c r="H32" s="14" t="str">
        <f t="shared" si="3"/>
        <v/>
      </c>
      <c r="I32" s="14" t="str">
        <f t="shared" si="0"/>
        <v/>
      </c>
      <c r="J32" s="15" t="str">
        <f t="shared" si="1"/>
        <v/>
      </c>
    </row>
    <row r="33" spans="1:10">
      <c r="A33" s="7" t="str">
        <f>IF(子基金及业绩基准周净值!A88="","",子基金及业绩基准周净值!A88)</f>
        <v/>
      </c>
      <c r="B33" s="1" t="str">
        <f>IF(A33="","",VLOOKUP($A33,子基金及业绩基准周净值!$A:$AV,25))</f>
        <v/>
      </c>
      <c r="C33" s="8" t="str">
        <f t="shared" si="2"/>
        <v/>
      </c>
      <c r="D33" s="9" t="str">
        <f>IF(A33="","",C33-(子基金及业绩基准周净值!AG88/子基金及业绩基准周净值!AG87-1))</f>
        <v/>
      </c>
      <c r="E33" s="12" t="str">
        <f>IF(A33="","",(MAX(B$3:B33)-B33)/MAX(B$3:B33))</f>
        <v/>
      </c>
      <c r="F33" s="12" t="str">
        <f>IF(A33="","",MAX(E$4:E33))</f>
        <v/>
      </c>
      <c r="G33" s="13"/>
      <c r="H33" s="14" t="str">
        <f t="shared" si="3"/>
        <v/>
      </c>
      <c r="I33" s="14" t="str">
        <f t="shared" si="0"/>
        <v/>
      </c>
      <c r="J33" s="15" t="str">
        <f t="shared" si="1"/>
        <v/>
      </c>
    </row>
    <row r="34" spans="1:10">
      <c r="A34" s="7" t="str">
        <f>IF(子基金及业绩基准周净值!A89="","",子基金及业绩基准周净值!A89)</f>
        <v/>
      </c>
      <c r="B34" s="1" t="str">
        <f>IF(A34="","",VLOOKUP($A34,子基金及业绩基准周净值!$A:$AV,25))</f>
        <v/>
      </c>
      <c r="C34" s="8" t="str">
        <f t="shared" si="2"/>
        <v/>
      </c>
      <c r="D34" s="9" t="str">
        <f>IF(A34="","",C34-(子基金及业绩基准周净值!AG89/子基金及业绩基准周净值!AG88-1))</f>
        <v/>
      </c>
      <c r="E34" s="12" t="str">
        <f>IF(A34="","",(MAX(B$3:B34)-B34)/MAX(B$3:B34))</f>
        <v/>
      </c>
      <c r="F34" s="12" t="str">
        <f>IF(A34="","",MAX(E$4:E34))</f>
        <v/>
      </c>
      <c r="G34" s="13"/>
      <c r="H34" s="14" t="str">
        <f t="shared" si="3"/>
        <v/>
      </c>
      <c r="I34" s="14" t="str">
        <f t="shared" si="0"/>
        <v/>
      </c>
      <c r="J34" s="15" t="str">
        <f t="shared" si="1"/>
        <v/>
      </c>
    </row>
    <row r="35" spans="1:10">
      <c r="A35" s="7" t="str">
        <f>IF(子基金及业绩基准周净值!A90="","",子基金及业绩基准周净值!A90)</f>
        <v/>
      </c>
      <c r="B35" s="1" t="str">
        <f>IF(A35="","",VLOOKUP($A35,子基金及业绩基准周净值!$A:$AV,25))</f>
        <v/>
      </c>
      <c r="C35" s="8" t="str">
        <f t="shared" si="2"/>
        <v/>
      </c>
      <c r="D35" s="9" t="str">
        <f>IF(A35="","",C35-(子基金及业绩基准周净值!AG90/子基金及业绩基准周净值!AG89-1))</f>
        <v/>
      </c>
      <c r="E35" s="12" t="str">
        <f>IF(A35="","",(MAX(B$3:B35)-B35)/MAX(B$3:B35))</f>
        <v/>
      </c>
      <c r="F35" s="12" t="str">
        <f>IF(A35="","",MAX(E$4:E35))</f>
        <v/>
      </c>
      <c r="G35" s="13"/>
      <c r="H35" s="14" t="str">
        <f t="shared" si="3"/>
        <v/>
      </c>
      <c r="I35" s="14" t="str">
        <f t="shared" si="0"/>
        <v/>
      </c>
      <c r="J35" s="15" t="str">
        <f t="shared" si="1"/>
        <v/>
      </c>
    </row>
    <row r="36" spans="1:10">
      <c r="A36" s="7" t="str">
        <f>IF(子基金及业绩基准周净值!A91="","",子基金及业绩基准周净值!A91)</f>
        <v/>
      </c>
      <c r="B36" s="1" t="str">
        <f>IF(A36="","",VLOOKUP($A36,子基金及业绩基准周净值!$A:$AV,25))</f>
        <v/>
      </c>
      <c r="C36" s="8" t="str">
        <f t="shared" si="2"/>
        <v/>
      </c>
      <c r="D36" s="9" t="str">
        <f>IF(A36="","",C36-(子基金及业绩基准周净值!AG91/子基金及业绩基准周净值!AG90-1))</f>
        <v/>
      </c>
      <c r="E36" s="12" t="str">
        <f>IF(A36="","",(MAX(B$3:B36)-B36)/MAX(B$3:B36))</f>
        <v/>
      </c>
      <c r="F36" s="12" t="str">
        <f>IF(A36="","",MAX(E$4:E36))</f>
        <v/>
      </c>
      <c r="G36" s="13"/>
      <c r="H36" s="14" t="str">
        <f t="shared" si="3"/>
        <v/>
      </c>
      <c r="I36" s="14" t="str">
        <f t="shared" si="0"/>
        <v/>
      </c>
      <c r="J36" s="15" t="str">
        <f t="shared" si="1"/>
        <v/>
      </c>
    </row>
    <row r="37" spans="1:10">
      <c r="A37" s="7" t="str">
        <f>IF(子基金及业绩基准周净值!A92="","",子基金及业绩基准周净值!A92)</f>
        <v/>
      </c>
      <c r="B37" s="1" t="str">
        <f>IF(A37="","",VLOOKUP($A37,子基金及业绩基准周净值!$A:$AV,25))</f>
        <v/>
      </c>
      <c r="C37" s="8" t="str">
        <f t="shared" si="2"/>
        <v/>
      </c>
      <c r="D37" s="9" t="str">
        <f>IF(A37="","",C37-(子基金及业绩基准周净值!AG92/子基金及业绩基准周净值!AG91-1))</f>
        <v/>
      </c>
      <c r="E37" s="12" t="str">
        <f>IF(A37="","",(MAX(B$3:B37)-B37)/MAX(B$3:B37))</f>
        <v/>
      </c>
      <c r="F37" s="12" t="str">
        <f>IF(A37="","",MAX(E$4:E37))</f>
        <v/>
      </c>
      <c r="G37" s="13"/>
      <c r="H37" s="14" t="str">
        <f t="shared" ref="H37:H53" si="4">IF(B37="","",IF(C37&lt;-3%,"是","否"))</f>
        <v/>
      </c>
      <c r="I37" s="14" t="str">
        <f t="shared" si="0"/>
        <v/>
      </c>
      <c r="J37" s="15" t="str">
        <f t="shared" si="1"/>
        <v/>
      </c>
    </row>
    <row r="38" spans="1:10">
      <c r="A38" s="7" t="str">
        <f>IF(子基金及业绩基准周净值!A93="","",子基金及业绩基准周净值!A93)</f>
        <v/>
      </c>
      <c r="B38" s="1" t="str">
        <f>IF(A38="","",VLOOKUP($A38,子基金及业绩基准周净值!$A:$AV,25))</f>
        <v/>
      </c>
      <c r="C38" s="8" t="str">
        <f t="shared" si="2"/>
        <v/>
      </c>
      <c r="D38" s="9" t="str">
        <f>IF(A38="","",C38-(子基金及业绩基准周净值!AG93/子基金及业绩基准周净值!AG92-1))</f>
        <v/>
      </c>
      <c r="E38" s="12" t="str">
        <f>IF(A38="","",(MAX(B$3:B38)-B38)/MAX(B$3:B38))</f>
        <v/>
      </c>
      <c r="F38" s="12" t="str">
        <f>IF(A38="","",MAX(E$4:E38))</f>
        <v/>
      </c>
      <c r="G38" s="13"/>
      <c r="H38" s="14" t="str">
        <f t="shared" si="4"/>
        <v/>
      </c>
      <c r="I38" s="14" t="str">
        <f t="shared" si="0"/>
        <v/>
      </c>
      <c r="J38" s="15" t="str">
        <f t="shared" si="1"/>
        <v/>
      </c>
    </row>
    <row r="39" spans="1:10">
      <c r="A39" s="7" t="str">
        <f>IF(子基金及业绩基准周净值!A94="","",子基金及业绩基准周净值!A94)</f>
        <v/>
      </c>
      <c r="B39" s="1" t="str">
        <f>IF(A39="","",VLOOKUP($A39,子基金及业绩基准周净值!$A:$AV,25))</f>
        <v/>
      </c>
      <c r="C39" s="8" t="str">
        <f t="shared" si="2"/>
        <v/>
      </c>
      <c r="D39" s="9" t="str">
        <f>IF(A39="","",C39-(子基金及业绩基准周净值!AG94/子基金及业绩基准周净值!AG93-1))</f>
        <v/>
      </c>
      <c r="E39" s="12" t="str">
        <f>IF(A39="","",(MAX(B$3:B39)-B39)/MAX(B$3:B39))</f>
        <v/>
      </c>
      <c r="F39" s="12" t="str">
        <f>IF(A39="","",MAX(E$4:E39))</f>
        <v/>
      </c>
      <c r="G39" s="13"/>
      <c r="H39" s="14" t="str">
        <f t="shared" si="4"/>
        <v/>
      </c>
      <c r="I39" s="14" t="str">
        <f t="shared" si="0"/>
        <v/>
      </c>
      <c r="J39" s="15" t="str">
        <f t="shared" si="1"/>
        <v/>
      </c>
    </row>
    <row r="40" spans="1:10">
      <c r="A40" s="7" t="str">
        <f>IF(子基金及业绩基准周净值!A95="","",子基金及业绩基准周净值!A95)</f>
        <v/>
      </c>
      <c r="B40" s="1" t="str">
        <f>IF(A40="","",VLOOKUP($A40,子基金及业绩基准周净值!$A:$AV,25))</f>
        <v/>
      </c>
      <c r="C40" s="8" t="str">
        <f t="shared" si="2"/>
        <v/>
      </c>
      <c r="D40" s="9" t="str">
        <f>IF(A40="","",C40-(子基金及业绩基准周净值!AG95/子基金及业绩基准周净值!AG94-1))</f>
        <v/>
      </c>
      <c r="E40" s="12" t="str">
        <f>IF(A40="","",(MAX(B$3:B40)-B40)/MAX(B$3:B40))</f>
        <v/>
      </c>
      <c r="F40" s="12" t="str">
        <f>IF(A40="","",MAX(E$4:E40))</f>
        <v/>
      </c>
      <c r="G40" s="13"/>
      <c r="H40" s="14" t="str">
        <f t="shared" si="4"/>
        <v/>
      </c>
      <c r="I40" s="14" t="str">
        <f t="shared" si="0"/>
        <v/>
      </c>
      <c r="J40" s="15" t="str">
        <f t="shared" si="1"/>
        <v/>
      </c>
    </row>
    <row r="41" spans="1:10">
      <c r="A41" s="7" t="str">
        <f>IF(子基金及业绩基准周净值!A96="","",子基金及业绩基准周净值!A96)</f>
        <v/>
      </c>
      <c r="B41" s="1" t="str">
        <f>IF(A41="","",VLOOKUP($A41,子基金及业绩基准周净值!$A:$AV,25))</f>
        <v/>
      </c>
      <c r="C41" s="8" t="str">
        <f t="shared" si="2"/>
        <v/>
      </c>
      <c r="D41" s="9" t="str">
        <f>IF(A41="","",C41-(子基金及业绩基准周净值!AG96/子基金及业绩基准周净值!AG95-1))</f>
        <v/>
      </c>
      <c r="E41" s="12" t="str">
        <f>IF(A41="","",(MAX(B$3:B41)-B41)/MAX(B$3:B41))</f>
        <v/>
      </c>
      <c r="F41" s="12" t="str">
        <f>IF(A41="","",MAX(E$4:E41))</f>
        <v/>
      </c>
      <c r="G41" s="13"/>
      <c r="H41" s="14" t="str">
        <f t="shared" si="4"/>
        <v/>
      </c>
      <c r="I41" s="14" t="str">
        <f t="shared" si="0"/>
        <v/>
      </c>
      <c r="J41" s="15" t="str">
        <f t="shared" si="1"/>
        <v/>
      </c>
    </row>
    <row r="42" spans="1:10">
      <c r="A42" s="7"/>
      <c r="B42" s="1" t="str">
        <f>IF(A42="","",VLOOKUP($A42,子基金及业绩基准周净值!$A:$AV,25))</f>
        <v/>
      </c>
      <c r="C42" s="8" t="str">
        <f t="shared" si="2"/>
        <v/>
      </c>
      <c r="D42" s="9" t="str">
        <f>IF(A42="","",C42-(子基金及业绩基准周净值!AG97/子基金及业绩基准周净值!AG96-1))</f>
        <v/>
      </c>
      <c r="E42" s="12" t="str">
        <f>IF(A42="","",(MAX(B$3:B42)-B42)/MAX(B$3:B42))</f>
        <v/>
      </c>
      <c r="F42" s="12" t="str">
        <f>IF(A42="","",MAX(E$4:E42))</f>
        <v/>
      </c>
      <c r="G42" s="13"/>
      <c r="H42" s="14" t="str">
        <f t="shared" si="4"/>
        <v/>
      </c>
      <c r="I42" s="14" t="str">
        <f t="shared" si="0"/>
        <v/>
      </c>
      <c r="J42" s="15" t="str">
        <f t="shared" si="1"/>
        <v/>
      </c>
    </row>
    <row r="43" spans="1:10">
      <c r="A43" s="7"/>
      <c r="B43" s="1"/>
      <c r="C43" s="8"/>
      <c r="D43" s="9"/>
      <c r="E43" s="12" t="str">
        <f>IF(A43="","",(MAX(B$3:B43)-B43)/MAX(B$3:B43))</f>
        <v/>
      </c>
      <c r="F43" s="12" t="str">
        <f>IF(A43="","",MAX(E$4:E43))</f>
        <v/>
      </c>
      <c r="G43" s="13"/>
      <c r="H43" s="14" t="str">
        <f t="shared" si="4"/>
        <v/>
      </c>
      <c r="I43" s="14" t="str">
        <f t="shared" si="0"/>
        <v/>
      </c>
      <c r="J43" s="15" t="str">
        <f t="shared" si="1"/>
        <v/>
      </c>
    </row>
    <row r="44" spans="1:10">
      <c r="A44" s="7"/>
      <c r="B44" s="1"/>
      <c r="C44" s="8"/>
      <c r="D44" s="9"/>
      <c r="E44" s="12" t="str">
        <f>IF(A44="","",(MAX(B$3:B44)-B44)/MAX(B$3:B44))</f>
        <v/>
      </c>
      <c r="F44" s="12" t="str">
        <f>IF(A44="","",MAX(E$4:E44))</f>
        <v/>
      </c>
      <c r="G44" s="13"/>
      <c r="H44" s="14" t="str">
        <f t="shared" si="4"/>
        <v/>
      </c>
      <c r="I44" s="14" t="str">
        <f t="shared" si="0"/>
        <v/>
      </c>
      <c r="J44" s="15" t="str">
        <f t="shared" si="1"/>
        <v/>
      </c>
    </row>
    <row r="45" spans="1:10">
      <c r="A45" s="7"/>
      <c r="B45" s="1"/>
      <c r="C45" s="8"/>
      <c r="D45" s="9"/>
      <c r="E45" s="12" t="str">
        <f>IF(A45="","",(MAX(B$3:B45)-B45)/MAX(B$3:B45))</f>
        <v/>
      </c>
      <c r="F45" s="12" t="str">
        <f>IF(A45="","",MAX(E$4:E45))</f>
        <v/>
      </c>
      <c r="G45" s="13"/>
      <c r="H45" s="14" t="str">
        <f t="shared" si="4"/>
        <v/>
      </c>
      <c r="I45" s="14" t="str">
        <f t="shared" si="0"/>
        <v/>
      </c>
      <c r="J45" s="15" t="str">
        <f t="shared" si="1"/>
        <v/>
      </c>
    </row>
    <row r="46" spans="1:10">
      <c r="A46" s="7"/>
      <c r="B46" s="1"/>
      <c r="C46" s="8"/>
      <c r="D46" s="9"/>
      <c r="E46" s="12" t="str">
        <f>IF(A46="","",(MAX(B$3:B46)-B46)/MAX(B$3:B46))</f>
        <v/>
      </c>
      <c r="F46" s="12" t="str">
        <f>IF(A46="","",MAX(E$4:E46))</f>
        <v/>
      </c>
      <c r="G46" s="13"/>
      <c r="H46" s="14" t="str">
        <f t="shared" si="4"/>
        <v/>
      </c>
      <c r="I46" s="14" t="str">
        <f t="shared" si="0"/>
        <v/>
      </c>
      <c r="J46" s="15" t="str">
        <f t="shared" si="1"/>
        <v/>
      </c>
    </row>
    <row r="47" spans="1:10">
      <c r="A47" s="7"/>
      <c r="B47" s="1"/>
      <c r="C47" s="8"/>
      <c r="D47" s="9"/>
      <c r="E47" s="12" t="str">
        <f>IF(A47="","",(MAX(B$3:B47)-B47)/MAX(B$3:B47))</f>
        <v/>
      </c>
      <c r="F47" s="12" t="str">
        <f>IF(A47="","",MAX(E$4:E47))</f>
        <v/>
      </c>
      <c r="G47" s="13"/>
      <c r="H47" s="14" t="str">
        <f t="shared" si="4"/>
        <v/>
      </c>
      <c r="I47" s="14" t="str">
        <f t="shared" si="0"/>
        <v/>
      </c>
      <c r="J47" s="15" t="str">
        <f t="shared" si="1"/>
        <v/>
      </c>
    </row>
    <row r="48" spans="1:10">
      <c r="A48" s="7"/>
      <c r="B48" s="1"/>
      <c r="C48" s="8"/>
      <c r="D48" s="9"/>
      <c r="E48" s="12" t="str">
        <f>IF(A48="","",(MAX(B$3:B48)-B48)/MAX(B$3:B48))</f>
        <v/>
      </c>
      <c r="F48" s="12" t="str">
        <f>IF(A48="","",MAX(E$4:E48))</f>
        <v/>
      </c>
      <c r="G48" s="13"/>
      <c r="H48" s="14" t="str">
        <f t="shared" si="4"/>
        <v/>
      </c>
      <c r="I48" s="14" t="str">
        <f t="shared" si="0"/>
        <v/>
      </c>
      <c r="J48" s="15" t="str">
        <f t="shared" si="1"/>
        <v/>
      </c>
    </row>
    <row r="49" spans="1:10">
      <c r="A49" s="7"/>
      <c r="B49" s="1"/>
      <c r="C49" s="8"/>
      <c r="D49" s="9"/>
      <c r="E49" s="12" t="str">
        <f>IF(A49="","",(MAX(B$3:B49)-B49)/MAX(B$3:B49))</f>
        <v/>
      </c>
      <c r="F49" s="12" t="str">
        <f>IF(A49="","",MAX(E$4:E49))</f>
        <v/>
      </c>
      <c r="G49" s="13"/>
      <c r="H49" s="14" t="str">
        <f t="shared" si="4"/>
        <v/>
      </c>
      <c r="I49" s="14" t="str">
        <f t="shared" si="0"/>
        <v/>
      </c>
      <c r="J49" s="15" t="str">
        <f t="shared" si="1"/>
        <v/>
      </c>
    </row>
    <row r="50" spans="1:10">
      <c r="A50" s="7"/>
      <c r="B50" s="1"/>
      <c r="C50" s="8"/>
      <c r="D50" s="9"/>
      <c r="E50" s="12" t="str">
        <f>IF(A50="","",(MAX(B$3:B50)-B50)/MAX(B$3:B50))</f>
        <v/>
      </c>
      <c r="F50" s="12" t="str">
        <f>IF(A50="","",MAX(E$4:E50))</f>
        <v/>
      </c>
      <c r="G50" s="13"/>
      <c r="H50" s="14" t="str">
        <f t="shared" si="4"/>
        <v/>
      </c>
      <c r="I50" s="14" t="str">
        <f t="shared" si="0"/>
        <v/>
      </c>
      <c r="J50" s="15" t="str">
        <f t="shared" si="1"/>
        <v/>
      </c>
    </row>
    <row r="51" spans="1:10">
      <c r="A51" s="7"/>
      <c r="B51" s="1"/>
      <c r="C51" s="8"/>
      <c r="D51" s="9"/>
      <c r="E51" s="12" t="str">
        <f>IF(A51="","",(MAX(B$3:B51)-B51)/MAX(B$3:B51))</f>
        <v/>
      </c>
      <c r="F51" s="12" t="str">
        <f>IF(A51="","",MAX(E$4:E51))</f>
        <v/>
      </c>
      <c r="G51" s="13"/>
      <c r="H51" s="14" t="str">
        <f t="shared" si="4"/>
        <v/>
      </c>
      <c r="I51" s="14" t="str">
        <f t="shared" si="0"/>
        <v/>
      </c>
      <c r="J51" s="15" t="str">
        <f t="shared" si="1"/>
        <v/>
      </c>
    </row>
    <row r="52" spans="1:10">
      <c r="A52" s="7"/>
      <c r="B52" s="1"/>
      <c r="C52" s="8"/>
      <c r="D52" s="9"/>
      <c r="E52" s="12" t="str">
        <f>IF(A52="","",(MAX(B$3:B52)-B52)/MAX(B$3:B52))</f>
        <v/>
      </c>
      <c r="F52" s="12" t="str">
        <f>IF(A52="","",MAX(E$4:E52))</f>
        <v/>
      </c>
      <c r="G52" s="13"/>
      <c r="H52" s="14" t="str">
        <f t="shared" si="4"/>
        <v/>
      </c>
      <c r="I52" s="14" t="str">
        <f t="shared" si="0"/>
        <v/>
      </c>
      <c r="J52" s="15" t="str">
        <f t="shared" si="1"/>
        <v/>
      </c>
    </row>
    <row r="53" spans="1:10">
      <c r="A53" s="7"/>
      <c r="B53" s="1"/>
      <c r="C53" s="8"/>
      <c r="D53" s="9"/>
      <c r="E53" s="12" t="str">
        <f>IF(A53="","",(MAX(B$3:B53)-B53)/MAX(B$3:B53))</f>
        <v/>
      </c>
      <c r="F53" s="12" t="str">
        <f>IF(A53="","",MAX(E$4:E53))</f>
        <v/>
      </c>
      <c r="G53" s="13"/>
      <c r="H53" s="14" t="str">
        <f t="shared" si="4"/>
        <v/>
      </c>
      <c r="I53" s="14" t="str">
        <f t="shared" si="0"/>
        <v/>
      </c>
      <c r="J53" s="15" t="str">
        <f t="shared" si="1"/>
        <v/>
      </c>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G137" s="13"/>
      <c r="H137" s="14"/>
      <c r="I137" s="14"/>
      <c r="J137" s="15"/>
    </row>
    <row r="138" spans="1:10">
      <c r="A138" s="7"/>
      <c r="B138" s="1"/>
      <c r="C138" s="8"/>
      <c r="D138" s="9"/>
      <c r="E138" s="12"/>
      <c r="F138" s="12"/>
      <c r="G138" s="13"/>
      <c r="H138" s="14"/>
      <c r="I138" s="14"/>
      <c r="J138" s="15"/>
    </row>
    <row r="139" spans="1:10">
      <c r="A139" s="7"/>
      <c r="B139" s="1"/>
      <c r="C139" s="8"/>
      <c r="D139" s="9"/>
      <c r="E139" s="12"/>
      <c r="F139" s="12"/>
      <c r="G139" s="13"/>
      <c r="H139" s="14"/>
      <c r="I139" s="14"/>
      <c r="J139" s="15"/>
    </row>
    <row r="140" spans="1:10">
      <c r="A140" s="7"/>
      <c r="B140" s="1"/>
      <c r="C140" s="8"/>
      <c r="D140" s="9"/>
      <c r="E140" s="12"/>
      <c r="F140" s="12"/>
      <c r="G140" s="13"/>
      <c r="H140" s="14"/>
      <c r="I140" s="14"/>
      <c r="J140" s="15"/>
    </row>
    <row r="141" spans="1:10">
      <c r="A141" s="7"/>
      <c r="B141" s="1"/>
      <c r="C141" s="8"/>
      <c r="D141" s="9"/>
      <c r="E141" s="12"/>
      <c r="F141" s="12"/>
      <c r="G141" s="13"/>
      <c r="H141" s="14"/>
      <c r="I141" s="14"/>
      <c r="J141" s="15"/>
    </row>
    <row r="142" spans="1:10">
      <c r="A142" s="7"/>
      <c r="B142" s="1"/>
      <c r="C142" s="8"/>
      <c r="D142" s="9"/>
      <c r="E142" s="12"/>
      <c r="F142" s="12"/>
      <c r="G142" s="13"/>
      <c r="H142" s="14"/>
      <c r="I142" s="14"/>
      <c r="J142" s="15"/>
    </row>
    <row r="143" spans="1:10">
      <c r="A143" s="7"/>
      <c r="B143" s="1"/>
      <c r="C143" s="8"/>
      <c r="D143" s="9"/>
      <c r="E143" s="12"/>
      <c r="F143" s="12"/>
      <c r="G143" s="13"/>
      <c r="H143" s="14"/>
      <c r="I143" s="14"/>
      <c r="J143" s="15"/>
    </row>
    <row r="144" spans="1:10">
      <c r="A144" s="7"/>
      <c r="B144" s="1"/>
      <c r="C144" s="8"/>
      <c r="D144" s="9"/>
      <c r="E144" s="12"/>
      <c r="F144" s="12"/>
      <c r="G144" s="13"/>
      <c r="H144" s="14"/>
      <c r="I144" s="14"/>
      <c r="J144" s="15"/>
    </row>
    <row r="145" spans="1:10">
      <c r="A145" s="7"/>
      <c r="B145" s="1"/>
      <c r="C145" s="8"/>
      <c r="D145" s="9"/>
      <c r="E145" s="12"/>
      <c r="F145" s="12"/>
      <c r="G145" s="13"/>
      <c r="H145" s="14"/>
      <c r="I145" s="14"/>
      <c r="J145" s="15"/>
    </row>
    <row r="146" spans="1:10">
      <c r="A146" s="7"/>
      <c r="B146" s="1"/>
      <c r="C146" s="8"/>
      <c r="D146" s="9"/>
      <c r="E146" s="12"/>
      <c r="F146" s="12"/>
      <c r="G146" s="13"/>
      <c r="H146" s="14"/>
      <c r="I146" s="14"/>
      <c r="J146" s="15"/>
    </row>
    <row r="147" spans="1:10">
      <c r="A147" s="7"/>
      <c r="B147" s="1"/>
      <c r="C147" s="8"/>
      <c r="D147" s="9"/>
      <c r="E147" s="12"/>
      <c r="F147" s="12"/>
      <c r="G147" s="13"/>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row r="298" spans="1:10">
      <c r="A298" s="7"/>
      <c r="B298" s="1"/>
      <c r="C298" s="8"/>
      <c r="D298" s="9"/>
      <c r="E298" s="12"/>
      <c r="F298" s="12"/>
      <c r="H298" s="14"/>
      <c r="I298" s="14"/>
      <c r="J298" s="15"/>
    </row>
    <row r="299" spans="1:10">
      <c r="A299" s="7"/>
      <c r="B299" s="1"/>
      <c r="C299" s="8"/>
      <c r="D299" s="9"/>
      <c r="E299" s="12"/>
      <c r="F299" s="12"/>
      <c r="H299" s="14"/>
      <c r="I299" s="14"/>
      <c r="J299" s="15"/>
    </row>
    <row r="300" spans="1:10">
      <c r="A300" s="7"/>
      <c r="B300" s="1"/>
      <c r="C300" s="8"/>
      <c r="D300" s="9"/>
      <c r="E300" s="12"/>
      <c r="F300" s="12"/>
      <c r="H300" s="14"/>
      <c r="I300" s="14"/>
      <c r="J300" s="15"/>
    </row>
    <row r="301" spans="1:10">
      <c r="A301" s="7"/>
      <c r="B301" s="1"/>
      <c r="C301" s="8"/>
      <c r="D301" s="9"/>
      <c r="E301" s="12"/>
      <c r="F301" s="12"/>
      <c r="H301" s="14"/>
      <c r="I301" s="14"/>
      <c r="J301" s="15"/>
    </row>
    <row r="302" spans="1:10">
      <c r="A302" s="7"/>
      <c r="B302" s="1"/>
      <c r="C302" s="8"/>
      <c r="D302" s="9"/>
      <c r="E302" s="12"/>
      <c r="F302" s="12"/>
      <c r="H302" s="14"/>
      <c r="I302" s="14"/>
      <c r="J302" s="15"/>
    </row>
    <row r="303" spans="1:10">
      <c r="A303" s="7"/>
      <c r="B303" s="1"/>
      <c r="C303" s="8"/>
      <c r="D303" s="9"/>
      <c r="E303" s="12"/>
      <c r="F303" s="12"/>
      <c r="H303" s="14"/>
      <c r="I303" s="14"/>
      <c r="J303" s="15"/>
    </row>
    <row r="304" spans="1:10">
      <c r="A304" s="7"/>
      <c r="B304" s="1"/>
      <c r="C304" s="8"/>
      <c r="D304" s="9"/>
      <c r="E304" s="12"/>
      <c r="F304" s="12"/>
      <c r="H304" s="14"/>
      <c r="I304" s="14"/>
      <c r="J304" s="15"/>
    </row>
    <row r="305" spans="1:10">
      <c r="A305" s="7"/>
      <c r="B305" s="1"/>
      <c r="C305" s="8"/>
      <c r="D305" s="9"/>
      <c r="E305" s="12"/>
      <c r="F305" s="12"/>
      <c r="H305" s="14"/>
      <c r="I305" s="14"/>
      <c r="J305" s="15"/>
    </row>
    <row r="306" spans="1:10">
      <c r="A306" s="7"/>
      <c r="B306" s="1"/>
      <c r="C306" s="8"/>
      <c r="D306" s="9"/>
      <c r="E306" s="12"/>
      <c r="F306" s="12"/>
      <c r="H306" s="14"/>
      <c r="I306" s="14"/>
      <c r="J306" s="15"/>
    </row>
    <row r="307" spans="1:10">
      <c r="A307" s="7"/>
      <c r="B307" s="1"/>
      <c r="C307" s="8"/>
      <c r="D307" s="9"/>
      <c r="E307" s="12"/>
      <c r="F307" s="12"/>
      <c r="H307" s="14"/>
      <c r="I307" s="14"/>
      <c r="J307" s="15"/>
    </row>
    <row r="308" spans="1:10">
      <c r="A308" s="7"/>
      <c r="B308" s="1"/>
      <c r="C308" s="8"/>
      <c r="D308" s="9"/>
      <c r="E308" s="12"/>
      <c r="F308" s="12"/>
      <c r="H308" s="14"/>
      <c r="I308" s="14"/>
      <c r="J308" s="15"/>
    </row>
  </sheetData>
  <conditionalFormatting sqref="H4:H53">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K308"/>
  <sheetViews>
    <sheetView workbookViewId="0">
      <selection activeCell="H28" sqref="H28"/>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63</v>
      </c>
      <c r="C2" s="5" t="s">
        <v>310</v>
      </c>
      <c r="D2" s="6" t="s">
        <v>311</v>
      </c>
      <c r="F2" s="5" t="s">
        <v>22</v>
      </c>
      <c r="G2" s="10" t="s">
        <v>312</v>
      </c>
      <c r="H2" s="11" t="s">
        <v>313</v>
      </c>
      <c r="I2" s="11" t="s">
        <v>314</v>
      </c>
      <c r="J2" s="11" t="s">
        <v>315</v>
      </c>
      <c r="K2" s="5" t="s">
        <v>316</v>
      </c>
    </row>
    <row r="3" spans="1:2">
      <c r="A3" s="7">
        <f>IF(子基金及业绩基准周净值!A58="","",子基金及业绩基准周净值!A58)</f>
        <v>45856</v>
      </c>
      <c r="B3" s="1">
        <f>IF(A3="","",VLOOKUP($A3,子基金及业绩基准周净值!$A:$AV,26))</f>
        <v>1.2588</v>
      </c>
    </row>
    <row r="4" spans="1:10">
      <c r="A4" s="7">
        <f>IF(子基金及业绩基准周净值!A59="","",子基金及业绩基准周净值!A59)</f>
        <v>45863</v>
      </c>
      <c r="B4" s="1">
        <f>IF(A4="","",VLOOKUP($A4,子基金及业绩基准周净值!$A:$AV,26))</f>
        <v>1.2574</v>
      </c>
      <c r="C4" s="8">
        <f>IF(B4="","",B4/B3-1)</f>
        <v>-0.00111217032094046</v>
      </c>
      <c r="D4" s="9">
        <f>IF(A4="","",C4-(子基金及业绩基准周净值!AG59/子基金及业绩基准周净值!AG58-1))</f>
        <v>-0.00263672696240413</v>
      </c>
      <c r="E4" s="12">
        <f>IF(A4="","",(MAX(B$3:B4)-B4)/MAX(B$3:B4))</f>
        <v>0.00111217032094046</v>
      </c>
      <c r="F4" s="12">
        <f>IF(A4="","",MAX(E$4:E4))</f>
        <v>0.00111217032094046</v>
      </c>
      <c r="G4" s="13">
        <v>0</v>
      </c>
      <c r="H4" s="14" t="str">
        <f>IF(B4="","",IF(C4&lt;-3%,"是","否"))</f>
        <v>否</v>
      </c>
      <c r="I4" s="14" t="str">
        <f t="shared" ref="I4:I53" si="0">IF(A4="","",IF(F4&gt;5%,"是","否"))</f>
        <v>否</v>
      </c>
      <c r="J4" s="15" t="str">
        <f t="shared" ref="J4:J53" si="1">IF(A4="","",IF(G4&gt;=4,"是","否"))</f>
        <v>否</v>
      </c>
    </row>
    <row r="5" spans="1:10">
      <c r="A5" s="7">
        <f>IF(子基金及业绩基准周净值!A60="","",子基金及业绩基准周净值!A60)</f>
        <v>45870</v>
      </c>
      <c r="B5" s="1">
        <f>IF(A5="","",VLOOKUP($A5,子基金及业绩基准周净值!$A:$AV,26))</f>
        <v>1.2633</v>
      </c>
      <c r="C5" s="8">
        <f>IF(B5="","",B5/B4-1)</f>
        <v>0.0046922220454908</v>
      </c>
      <c r="D5" s="9">
        <f>IF(A5="","",C5-(子基金及业绩基准周净值!AG60/子基金及业绩基准周净值!AG59-1))</f>
        <v>0.00173624345376377</v>
      </c>
      <c r="E5" s="12">
        <f>IF(A5="","",(MAX(B$3:B5)-B5)/MAX(B$3:B5))</f>
        <v>0</v>
      </c>
      <c r="F5" s="12">
        <f>IF(A5="","",MAX(E$4:E5))</f>
        <v>0.00111217032094046</v>
      </c>
      <c r="G5" s="13">
        <v>0</v>
      </c>
      <c r="H5" s="14" t="str">
        <f t="shared" ref="H5:H36" si="2">IF(B5="","",IF(C5&lt;-3%,"是","否"))</f>
        <v>否</v>
      </c>
      <c r="I5" s="14" t="str">
        <f t="shared" si="0"/>
        <v>否</v>
      </c>
      <c r="J5" s="15" t="str">
        <f t="shared" si="1"/>
        <v>否</v>
      </c>
    </row>
    <row r="6" spans="1:10">
      <c r="A6" s="7">
        <f>IF(子基金及业绩基准周净值!A61="","",子基金及业绩基准周净值!A61)</f>
        <v>45877</v>
      </c>
      <c r="B6" s="1">
        <f>IF(A6="","",VLOOKUP($A6,子基金及业绩基准周净值!$A:$AV,26))</f>
        <v>1.266</v>
      </c>
      <c r="C6" s="8">
        <f t="shared" ref="C6:C42" si="3">IF(B6="","",B6/B5-1)</f>
        <v>0.00213725955829958</v>
      </c>
      <c r="D6" s="9">
        <f>IF(A6="","",C6-(子基金及业绩基准周净值!AG61/子基金及业绩基准周净值!AG60-1))</f>
        <v>-0.00312618595615355</v>
      </c>
      <c r="E6" s="12">
        <f>IF(A6="","",(MAX(B$3:B6)-B6)/MAX(B$3:B6))</f>
        <v>0</v>
      </c>
      <c r="F6" s="12">
        <f>IF(A6="","",MAX(E$4:E6))</f>
        <v>0.00111217032094046</v>
      </c>
      <c r="G6" s="13">
        <v>1</v>
      </c>
      <c r="H6" s="14" t="str">
        <f t="shared" si="2"/>
        <v>否</v>
      </c>
      <c r="I6" s="14" t="str">
        <f t="shared" si="0"/>
        <v>否</v>
      </c>
      <c r="J6" s="15" t="str">
        <f t="shared" si="1"/>
        <v>否</v>
      </c>
    </row>
    <row r="7" spans="1:10">
      <c r="A7" s="7">
        <f>IF(子基金及业绩基准周净值!A62="","",子基金及业绩基准周净值!A62)</f>
        <v>45884</v>
      </c>
      <c r="B7" s="1">
        <f>IF(A7="","",VLOOKUP($A7,子基金及业绩基准周净值!$A:$AV,26))</f>
        <v>1.267</v>
      </c>
      <c r="C7" s="8">
        <f t="shared" si="3"/>
        <v>0.000789889415481637</v>
      </c>
      <c r="D7" s="9">
        <f>IF(A7="","",C7-(子基金及业绩基准周净值!AG62/子基金及业绩基准周净值!AG61-1))</f>
        <v>0.00634576230289663</v>
      </c>
      <c r="E7" s="12">
        <f>IF(A7="","",(MAX(B$3:B7)-B7)/MAX(B$3:B7))</f>
        <v>0</v>
      </c>
      <c r="F7" s="12">
        <f>IF(A7="","",MAX(E$4:E7))</f>
        <v>0.00111217032094046</v>
      </c>
      <c r="G7" s="13">
        <v>0</v>
      </c>
      <c r="H7" s="14" t="str">
        <f t="shared" si="2"/>
        <v>否</v>
      </c>
      <c r="I7" s="14" t="str">
        <f t="shared" si="0"/>
        <v>否</v>
      </c>
      <c r="J7" s="15" t="str">
        <f t="shared" si="1"/>
        <v>否</v>
      </c>
    </row>
    <row r="8" spans="1:10">
      <c r="A8" s="7">
        <f>IF(子基金及业绩基准周净值!A63="","",子基金及业绩基准周净值!A63)</f>
        <v>45891</v>
      </c>
      <c r="B8" s="1">
        <f>IF(A8="","",VLOOKUP($A8,子基金及业绩基准周净值!$A:$AV,26))</f>
        <v>1.2731</v>
      </c>
      <c r="C8" s="8">
        <f t="shared" si="3"/>
        <v>0.00481452249408054</v>
      </c>
      <c r="D8" s="9">
        <f>IF(A8="","",C8-(子基金及业绩基准周净值!AG63/子基金及业绩基准周净值!AG62-1))</f>
        <v>0.00165695102150987</v>
      </c>
      <c r="E8" s="12">
        <f>IF(A8="","",(MAX(B$3:B8)-B8)/MAX(B$3:B8))</f>
        <v>0</v>
      </c>
      <c r="F8" s="12">
        <f>IF(A8="","",MAX(E$4:E8))</f>
        <v>0.00111217032094046</v>
      </c>
      <c r="G8" s="13">
        <v>0</v>
      </c>
      <c r="H8" s="14" t="str">
        <f t="shared" si="2"/>
        <v>否</v>
      </c>
      <c r="I8" s="14" t="str">
        <f t="shared" si="0"/>
        <v>否</v>
      </c>
      <c r="J8" s="15" t="str">
        <f t="shared" si="1"/>
        <v>否</v>
      </c>
    </row>
    <row r="9" spans="1:10">
      <c r="A9" s="7">
        <f>IF(子基金及业绩基准周净值!A64="","",子基金及业绩基准周净值!A64)</f>
        <v>45898</v>
      </c>
      <c r="B9" s="1">
        <f>IF(A9="","",VLOOKUP($A9,子基金及业绩基准周净值!$A:$AV,26))</f>
        <v>1.2573</v>
      </c>
      <c r="C9" s="8">
        <f t="shared" si="3"/>
        <v>-0.012410651166444</v>
      </c>
      <c r="D9" s="9">
        <f>IF(A9="","",C9-(子基金及业绩基准周净值!AG64/子基金及业绩基准周净值!AG63-1))</f>
        <v>-0.0103673767366724</v>
      </c>
      <c r="E9" s="12">
        <f>IF(A9="","",(MAX(B$3:B9)-B9)/MAX(B$3:B9))</f>
        <v>0.012410651166444</v>
      </c>
      <c r="F9" s="12">
        <f>IF(A9="","",MAX(E$4:E9))</f>
        <v>0.012410651166444</v>
      </c>
      <c r="G9" s="13">
        <v>1</v>
      </c>
      <c r="H9" s="14" t="str">
        <f t="shared" si="2"/>
        <v>否</v>
      </c>
      <c r="I9" s="14" t="str">
        <f t="shared" si="0"/>
        <v>否</v>
      </c>
      <c r="J9" s="15" t="str">
        <f t="shared" si="1"/>
        <v>否</v>
      </c>
    </row>
    <row r="10" spans="1:10">
      <c r="A10" s="7">
        <f>IF(子基金及业绩基准周净值!A65="","",子基金及业绩基准周净值!A65)</f>
        <v>45905</v>
      </c>
      <c r="B10" s="1">
        <f>IF(A10="","",VLOOKUP($A10,子基金及业绩基准周净值!$A:$AV,26))</f>
        <v>1.243</v>
      </c>
      <c r="C10" s="8">
        <f t="shared" si="3"/>
        <v>-0.0113735783027121</v>
      </c>
      <c r="D10" s="9">
        <f>IF(A10="","",C10-(子基金及业绩基准周净值!AG65/子基金及业绩基准周净值!AG64-1))</f>
        <v>-0.01170513958547</v>
      </c>
      <c r="E10" s="12">
        <f>IF(A10="","",(MAX(B$3:B10)-B10)/MAX(B$3:B10))</f>
        <v>0.0236430759563269</v>
      </c>
      <c r="F10" s="12">
        <f>IF(A10="","",MAX(E$4:E10))</f>
        <v>0.0236430759563269</v>
      </c>
      <c r="G10" s="13">
        <v>2</v>
      </c>
      <c r="H10" s="14" t="str">
        <f t="shared" si="2"/>
        <v>否</v>
      </c>
      <c r="I10" s="14" t="str">
        <f t="shared" si="0"/>
        <v>否</v>
      </c>
      <c r="J10" s="15" t="str">
        <f t="shared" si="1"/>
        <v>否</v>
      </c>
    </row>
    <row r="11" spans="1:10">
      <c r="A11" s="7">
        <f>IF(子基金及业绩基准周净值!A66="","",子基金及业绩基准周净值!A66)</f>
        <v>45912</v>
      </c>
      <c r="B11" s="1">
        <f>IF(A11="","",VLOOKUP($A11,子基金及业绩基准周净值!$A:$AV,26))</f>
        <v>1.244</v>
      </c>
      <c r="C11" s="8">
        <f t="shared" si="3"/>
        <v>0.000804505229283992</v>
      </c>
      <c r="D11" s="9">
        <f>IF(A11="","",C11-(子基金及业绩基准周净值!AG66/子基金及业绩基准周净值!AG65-1))</f>
        <v>-0.00123289338657129</v>
      </c>
      <c r="E11" s="12">
        <f>IF(A11="","",(MAX(B$3:B11)-B11)/MAX(B$3:B11))</f>
        <v>0.0228575917052862</v>
      </c>
      <c r="F11" s="12">
        <f>IF(A11="","",MAX(E$4:E11))</f>
        <v>0.0236430759563269</v>
      </c>
      <c r="G11" s="13">
        <v>3</v>
      </c>
      <c r="H11" s="14" t="str">
        <f t="shared" si="2"/>
        <v>否</v>
      </c>
      <c r="I11" s="14" t="str">
        <f t="shared" si="0"/>
        <v>否</v>
      </c>
      <c r="J11" s="15" t="str">
        <f t="shared" si="1"/>
        <v>否</v>
      </c>
    </row>
    <row r="12" spans="1:10">
      <c r="A12" s="7">
        <f>IF(子基金及业绩基准周净值!A67="","",子基金及业绩基准周净值!A67)</f>
        <v>45919</v>
      </c>
      <c r="B12" s="1">
        <f>IF(A12="","",VLOOKUP($A12,子基金及业绩基准周净值!$A:$AV,26))</f>
        <v>1.2524</v>
      </c>
      <c r="C12" s="8">
        <f t="shared" si="3"/>
        <v>0.00675241157556261</v>
      </c>
      <c r="D12" s="9">
        <f>IF(A12="","",C12-(子基金及业绩基准周净值!AG67/子基金及业绩基准周净值!AG66-1))</f>
        <v>0.0064711169963898</v>
      </c>
      <c r="E12" s="12">
        <f>IF(A12="","",(MAX(B$3:B12)-B12)/MAX(B$3:B12))</f>
        <v>0.0162595239965438</v>
      </c>
      <c r="F12" s="12">
        <f>IF(A12="","",MAX(E$4:E12))</f>
        <v>0.0236430759563269</v>
      </c>
      <c r="G12" s="13">
        <v>0</v>
      </c>
      <c r="H12" s="14" t="str">
        <f t="shared" si="2"/>
        <v>否</v>
      </c>
      <c r="I12" s="14" t="str">
        <f t="shared" si="0"/>
        <v>否</v>
      </c>
      <c r="J12" s="15" t="str">
        <f t="shared" si="1"/>
        <v>否</v>
      </c>
    </row>
    <row r="13" spans="1:10">
      <c r="A13" s="7">
        <f>IF(子基金及业绩基准周净值!A68="","",子基金及业绩基准周净值!A68)</f>
        <v>45926</v>
      </c>
      <c r="B13" s="1">
        <f>IF(A13="","",VLOOKUP($A13,子基金及业绩基准周净值!$A:$AV,26))</f>
        <v>1.2584</v>
      </c>
      <c r="C13" s="8">
        <f t="shared" si="3"/>
        <v>0.00479080166081114</v>
      </c>
      <c r="D13" s="9">
        <f>IF(A13="","",C13-(子基金及业绩基准周净值!AG68/子基金及业绩基准周净值!AG67-1))</f>
        <v>0.00759662794630245</v>
      </c>
      <c r="E13" s="12">
        <f>IF(A13="","",(MAX(B$3:B13)-B13)/MAX(B$3:B13))</f>
        <v>0.0115466184902992</v>
      </c>
      <c r="F13" s="12">
        <f>IF(A13="","",MAX(E$4:E13))</f>
        <v>0.0236430759563269</v>
      </c>
      <c r="G13" s="13">
        <v>0</v>
      </c>
      <c r="H13" s="14" t="str">
        <f t="shared" si="2"/>
        <v>否</v>
      </c>
      <c r="I13" s="14" t="str">
        <f t="shared" si="0"/>
        <v>否</v>
      </c>
      <c r="J13" s="15" t="str">
        <f t="shared" si="1"/>
        <v>否</v>
      </c>
    </row>
    <row r="14" spans="1:10">
      <c r="A14" s="7">
        <f>IF(子基金及业绩基准周净值!A69="","",子基金及业绩基准周净值!A69)</f>
        <v>45940</v>
      </c>
      <c r="B14" s="1">
        <f>IF(A14="","",VLOOKUP($A14,子基金及业绩基准周净值!$A:$AV,26))</f>
        <v>1.2543</v>
      </c>
      <c r="C14" s="8">
        <f t="shared" si="3"/>
        <v>-0.00325810553083283</v>
      </c>
      <c r="D14" s="9">
        <f>IF(A14="","",C14-(子基金及业绩基准周净值!AG69/子基金及业绩基准周净值!AG68-1))</f>
        <v>-0.00527094537353145</v>
      </c>
      <c r="E14" s="12">
        <f>IF(A14="","",(MAX(B$3:B14)-B14)/MAX(B$3:B14))</f>
        <v>0.0147671039195664</v>
      </c>
      <c r="F14" s="12">
        <f>IF(A14="","",MAX(E$4:E14))</f>
        <v>0.0236430759563269</v>
      </c>
      <c r="G14" s="13">
        <v>1</v>
      </c>
      <c r="H14" s="14" t="str">
        <f t="shared" si="2"/>
        <v>否</v>
      </c>
      <c r="I14" s="14" t="str">
        <f t="shared" si="0"/>
        <v>否</v>
      </c>
      <c r="J14" s="15" t="str">
        <f t="shared" si="1"/>
        <v>否</v>
      </c>
    </row>
    <row r="15" spans="1:10">
      <c r="A15" s="7">
        <f>IF(子基金及业绩基准周净值!A70="","",子基金及业绩基准周净值!A70)</f>
        <v>45947</v>
      </c>
      <c r="B15" s="1">
        <f>IF(A15="","",VLOOKUP($A15,子基金及业绩基准周净值!$A:$AV,26))</f>
        <v>1.2467</v>
      </c>
      <c r="C15" s="8">
        <f t="shared" si="3"/>
        <v>-0.00605915650163447</v>
      </c>
      <c r="D15" s="9">
        <f>IF(A15="","",C15-(子基金及业绩基准周净值!AG70/子基金及业绩基准周净值!AG69-1))</f>
        <v>-0.00638252286591257</v>
      </c>
      <c r="E15" s="12">
        <f>IF(A15="","",(MAX(B$3:B15)-B15)/MAX(B$3:B15))</f>
        <v>0.0207367842274762</v>
      </c>
      <c r="F15" s="12">
        <f>IF(A15="","",MAX(E$4:E15))</f>
        <v>0.0236430759563269</v>
      </c>
      <c r="G15" s="13">
        <v>2</v>
      </c>
      <c r="H15" s="14" t="str">
        <f t="shared" si="2"/>
        <v>否</v>
      </c>
      <c r="I15" s="14" t="str">
        <f t="shared" si="0"/>
        <v>否</v>
      </c>
      <c r="J15" s="15" t="str">
        <f t="shared" si="1"/>
        <v>否</v>
      </c>
    </row>
    <row r="16" spans="1:10">
      <c r="A16" s="7">
        <f>IF(子基金及业绩基准周净值!A71="","",子基金及业绩基准周净值!A71)</f>
        <v>45954</v>
      </c>
      <c r="B16" s="1">
        <f>IF(A16="","",VLOOKUP($A16,子基金及业绩基准周净值!$A:$AV,26))</f>
        <v>1.2521</v>
      </c>
      <c r="C16" s="8">
        <f t="shared" si="3"/>
        <v>0.00433143498836941</v>
      </c>
      <c r="D16" s="9">
        <f>IF(A16="","",C16-(子基金及业绩基准周净值!AG71/子基金及业绩基准周净值!AG70-1))</f>
        <v>-0.00262828079091015</v>
      </c>
      <c r="E16" s="12">
        <f>IF(A16="","",(MAX(B$3:B16)-B16)/MAX(B$3:B16))</f>
        <v>0.016495169271856</v>
      </c>
      <c r="F16" s="12">
        <f>IF(A16="","",MAX(E$4:E16))</f>
        <v>0.0236430759563269</v>
      </c>
      <c r="G16" s="13">
        <v>3</v>
      </c>
      <c r="H16" s="14" t="str">
        <f t="shared" si="2"/>
        <v>否</v>
      </c>
      <c r="I16" s="14" t="str">
        <f t="shared" si="0"/>
        <v>否</v>
      </c>
      <c r="J16" s="15" t="str">
        <f t="shared" si="1"/>
        <v>否</v>
      </c>
    </row>
    <row r="17" spans="1:10">
      <c r="A17" s="7">
        <f>IF(子基金及业绩基准周净值!A72="","",子基金及业绩基准周净值!A72)</f>
        <v>45961</v>
      </c>
      <c r="B17" s="1">
        <f>IF(A17="","",VLOOKUP($A17,子基金及业绩基准周净值!$A:$AV,26))</f>
        <v>1.2472</v>
      </c>
      <c r="C17" s="8">
        <f t="shared" si="3"/>
        <v>-0.00391342544525186</v>
      </c>
      <c r="D17" s="9">
        <f>IF(A17="","",C17-(子基金及业绩基准周净值!AG72/子基金及业绩基准周净值!AG71-1))</f>
        <v>-0.00119731079102958</v>
      </c>
      <c r="E17" s="12">
        <f>IF(A17="","",(MAX(B$3:B17)-B17)/MAX(B$3:B17))</f>
        <v>0.0203440421019557</v>
      </c>
      <c r="F17" s="12">
        <f>IF(A17="","",MAX(E$4:E17))</f>
        <v>0.0236430759563269</v>
      </c>
      <c r="G17" s="13">
        <v>4</v>
      </c>
      <c r="H17" s="14" t="str">
        <f t="shared" si="2"/>
        <v>否</v>
      </c>
      <c r="I17" s="14" t="str">
        <f t="shared" si="0"/>
        <v>否</v>
      </c>
      <c r="J17" s="15" t="str">
        <f t="shared" si="1"/>
        <v>是</v>
      </c>
    </row>
    <row r="18" spans="1:10">
      <c r="A18" s="7" t="str">
        <f>IF(子基金及业绩基准周净值!A73="","",子基金及业绩基准周净值!A73)</f>
        <v/>
      </c>
      <c r="B18" s="1" t="str">
        <f>IF(A18="","",VLOOKUP($A18,子基金及业绩基准周净值!$A:$AV,26))</f>
        <v/>
      </c>
      <c r="C18" s="8" t="str">
        <f t="shared" si="3"/>
        <v/>
      </c>
      <c r="D18" s="9" t="str">
        <f>IF(A18="","",C18-(子基金及业绩基准周净值!AG73/子基金及业绩基准周净值!AG72-1))</f>
        <v/>
      </c>
      <c r="E18" s="12" t="str">
        <f>IF(A18="","",(MAX(B$3:B18)-B18)/MAX(B$3:B18))</f>
        <v/>
      </c>
      <c r="F18" s="12" t="str">
        <f>IF(A18="","",MAX(E$4:E18))</f>
        <v/>
      </c>
      <c r="G18" s="13"/>
      <c r="H18" s="14" t="str">
        <f t="shared" si="2"/>
        <v/>
      </c>
      <c r="I18" s="14" t="str">
        <f t="shared" si="0"/>
        <v/>
      </c>
      <c r="J18" s="15" t="str">
        <f t="shared" si="1"/>
        <v/>
      </c>
    </row>
    <row r="19" spans="1:10">
      <c r="A19" s="7" t="str">
        <f>IF(子基金及业绩基准周净值!A74="","",子基金及业绩基准周净值!A74)</f>
        <v/>
      </c>
      <c r="B19" s="1" t="str">
        <f>IF(A19="","",VLOOKUP($A19,子基金及业绩基准周净值!$A:$AV,26))</f>
        <v/>
      </c>
      <c r="C19" s="8" t="str">
        <f t="shared" si="3"/>
        <v/>
      </c>
      <c r="D19" s="9" t="str">
        <f>IF(A19="","",C19-(子基金及业绩基准周净值!AG74/子基金及业绩基准周净值!AG73-1))</f>
        <v/>
      </c>
      <c r="E19" s="12" t="str">
        <f>IF(A19="","",(MAX(B$3:B19)-B19)/MAX(B$3:B19))</f>
        <v/>
      </c>
      <c r="F19" s="12" t="str">
        <f>IF(A19="","",MAX(E$4:E19))</f>
        <v/>
      </c>
      <c r="G19" s="13"/>
      <c r="H19" s="14" t="str">
        <f t="shared" si="2"/>
        <v/>
      </c>
      <c r="I19" s="14" t="str">
        <f t="shared" si="0"/>
        <v/>
      </c>
      <c r="J19" s="15" t="str">
        <f t="shared" si="1"/>
        <v/>
      </c>
    </row>
    <row r="20" spans="1:10">
      <c r="A20" s="7" t="str">
        <f>IF(子基金及业绩基准周净值!A75="","",子基金及业绩基准周净值!A75)</f>
        <v/>
      </c>
      <c r="B20" s="1" t="str">
        <f>IF(A20="","",VLOOKUP($A20,子基金及业绩基准周净值!$A:$AV,26))</f>
        <v/>
      </c>
      <c r="C20" s="8" t="str">
        <f t="shared" si="3"/>
        <v/>
      </c>
      <c r="D20" s="9" t="str">
        <f>IF(A20="","",C20-(子基金及业绩基准周净值!AG75/子基金及业绩基准周净值!AG74-1))</f>
        <v/>
      </c>
      <c r="E20" s="12" t="str">
        <f>IF(A20="","",(MAX(B$3:B20)-B20)/MAX(B$3:B20))</f>
        <v/>
      </c>
      <c r="F20" s="12" t="str">
        <f>IF(A20="","",MAX(E$4:E20))</f>
        <v/>
      </c>
      <c r="G20" s="13"/>
      <c r="H20" s="14" t="str">
        <f t="shared" si="2"/>
        <v/>
      </c>
      <c r="I20" s="14" t="str">
        <f t="shared" si="0"/>
        <v/>
      </c>
      <c r="J20" s="15" t="str">
        <f t="shared" si="1"/>
        <v/>
      </c>
    </row>
    <row r="21" spans="1:10">
      <c r="A21" s="7" t="str">
        <f>IF(子基金及业绩基准周净值!A76="","",子基金及业绩基准周净值!A76)</f>
        <v/>
      </c>
      <c r="B21" s="1" t="str">
        <f>IF(A21="","",VLOOKUP($A21,子基金及业绩基准周净值!$A:$AV,26))</f>
        <v/>
      </c>
      <c r="C21" s="8" t="str">
        <f t="shared" si="3"/>
        <v/>
      </c>
      <c r="D21" s="9" t="str">
        <f>IF(A21="","",C21-(子基金及业绩基准周净值!AG76/子基金及业绩基准周净值!AG75-1))</f>
        <v/>
      </c>
      <c r="E21" s="12" t="str">
        <f>IF(A21="","",(MAX(B$3:B21)-B21)/MAX(B$3:B21))</f>
        <v/>
      </c>
      <c r="F21" s="12" t="str">
        <f>IF(A21="","",MAX(E$4:E21))</f>
        <v/>
      </c>
      <c r="G21" s="20"/>
      <c r="H21" s="14" t="str">
        <f t="shared" si="2"/>
        <v/>
      </c>
      <c r="I21" s="14" t="str">
        <f t="shared" si="0"/>
        <v/>
      </c>
      <c r="J21" s="15" t="str">
        <f t="shared" si="1"/>
        <v/>
      </c>
    </row>
    <row r="22" spans="1:10">
      <c r="A22" s="7" t="str">
        <f>IF(子基金及业绩基准周净值!A77="","",子基金及业绩基准周净值!A77)</f>
        <v/>
      </c>
      <c r="B22" s="1" t="str">
        <f>IF(A22="","",VLOOKUP($A22,子基金及业绩基准周净值!$A:$AV,26))</f>
        <v/>
      </c>
      <c r="C22" s="8" t="str">
        <f t="shared" si="3"/>
        <v/>
      </c>
      <c r="D22" s="9" t="str">
        <f>IF(A22="","",C22-(子基金及业绩基准周净值!AG77/子基金及业绩基准周净值!AG76-1))</f>
        <v/>
      </c>
      <c r="E22" s="12" t="str">
        <f>IF(A22="","",(MAX(B$3:B22)-B22)/MAX(B$3:B22))</f>
        <v/>
      </c>
      <c r="F22" s="12" t="str">
        <f>IF(A22="","",MAX(E$4:E22))</f>
        <v/>
      </c>
      <c r="G22" s="13"/>
      <c r="H22" s="14" t="str">
        <f t="shared" si="2"/>
        <v/>
      </c>
      <c r="I22" s="14" t="str">
        <f t="shared" si="0"/>
        <v/>
      </c>
      <c r="J22" s="15" t="str">
        <f t="shared" si="1"/>
        <v/>
      </c>
    </row>
    <row r="23" spans="1:10">
      <c r="A23" s="7" t="str">
        <f>IF(子基金及业绩基准周净值!A78="","",子基金及业绩基准周净值!A78)</f>
        <v/>
      </c>
      <c r="B23" s="1" t="str">
        <f>IF(A23="","",VLOOKUP($A23,子基金及业绩基准周净值!$A:$AV,26))</f>
        <v/>
      </c>
      <c r="C23" s="8" t="str">
        <f t="shared" si="3"/>
        <v/>
      </c>
      <c r="D23" s="9" t="str">
        <f>IF(A23="","",C23-(子基金及业绩基准周净值!AG78/子基金及业绩基准周净值!AG77-1))</f>
        <v/>
      </c>
      <c r="E23" s="12" t="str">
        <f>IF(A23="","",(MAX(B$3:B23)-B23)/MAX(B$3:B23))</f>
        <v/>
      </c>
      <c r="F23" s="12" t="str">
        <f>IF(A23="","",MAX(E$4:E23))</f>
        <v/>
      </c>
      <c r="G23" s="13"/>
      <c r="H23" s="14" t="str">
        <f t="shared" si="2"/>
        <v/>
      </c>
      <c r="I23" s="14" t="str">
        <f t="shared" si="0"/>
        <v/>
      </c>
      <c r="J23" s="15" t="str">
        <f t="shared" si="1"/>
        <v/>
      </c>
    </row>
    <row r="24" spans="1:10">
      <c r="A24" s="7" t="str">
        <f>IF(子基金及业绩基准周净值!A79="","",子基金及业绩基准周净值!A79)</f>
        <v/>
      </c>
      <c r="B24" s="1" t="str">
        <f>IF(A24="","",VLOOKUP($A24,子基金及业绩基准周净值!$A:$AV,26))</f>
        <v/>
      </c>
      <c r="C24" s="8" t="str">
        <f t="shared" si="3"/>
        <v/>
      </c>
      <c r="D24" s="9" t="str">
        <f>IF(A24="","",C24-(子基金及业绩基准周净值!AG79/子基金及业绩基准周净值!AG78-1))</f>
        <v/>
      </c>
      <c r="E24" s="12" t="str">
        <f>IF(A24="","",(MAX(B$3:B24)-B24)/MAX(B$3:B24))</f>
        <v/>
      </c>
      <c r="F24" s="12" t="str">
        <f>IF(A24="","",MAX(E$4:E24))</f>
        <v/>
      </c>
      <c r="G24" s="13"/>
      <c r="H24" s="14" t="str">
        <f t="shared" si="2"/>
        <v/>
      </c>
      <c r="I24" s="14" t="str">
        <f t="shared" si="0"/>
        <v/>
      </c>
      <c r="J24" s="15" t="str">
        <f t="shared" si="1"/>
        <v/>
      </c>
    </row>
    <row r="25" spans="1:10">
      <c r="A25" s="7" t="str">
        <f>IF(子基金及业绩基准周净值!A80="","",子基金及业绩基准周净值!A80)</f>
        <v/>
      </c>
      <c r="B25" s="1" t="str">
        <f>IF(A25="","",VLOOKUP($A25,子基金及业绩基准周净值!$A:$AV,26))</f>
        <v/>
      </c>
      <c r="C25" s="8" t="str">
        <f t="shared" si="3"/>
        <v/>
      </c>
      <c r="D25" s="9" t="str">
        <f>IF(A25="","",C25-(子基金及业绩基准周净值!AG80/子基金及业绩基准周净值!AG79-1))</f>
        <v/>
      </c>
      <c r="E25" s="12" t="str">
        <f>IF(A25="","",(MAX(B$3:B25)-B25)/MAX(B$3:B25))</f>
        <v/>
      </c>
      <c r="F25" s="12" t="str">
        <f>IF(A25="","",MAX(E$4:E25))</f>
        <v/>
      </c>
      <c r="G25" s="13"/>
      <c r="H25" s="14" t="str">
        <f t="shared" si="2"/>
        <v/>
      </c>
      <c r="I25" s="14" t="str">
        <f t="shared" si="0"/>
        <v/>
      </c>
      <c r="J25" s="15" t="str">
        <f t="shared" si="1"/>
        <v/>
      </c>
    </row>
    <row r="26" spans="1:10">
      <c r="A26" s="7" t="str">
        <f>IF(子基金及业绩基准周净值!A81="","",子基金及业绩基准周净值!A81)</f>
        <v/>
      </c>
      <c r="B26" s="1" t="str">
        <f>IF(A26="","",VLOOKUP($A26,子基金及业绩基准周净值!$A:$AV,26))</f>
        <v/>
      </c>
      <c r="C26" s="8" t="str">
        <f t="shared" si="3"/>
        <v/>
      </c>
      <c r="D26" s="9" t="str">
        <f>IF(A26="","",C26-(子基金及业绩基准周净值!AG81/子基金及业绩基准周净值!AG80-1))</f>
        <v/>
      </c>
      <c r="E26" s="12" t="str">
        <f>IF(A26="","",(MAX(B$3:B26)-B26)/MAX(B$3:B26))</f>
        <v/>
      </c>
      <c r="F26" s="12" t="str">
        <f>IF(A26="","",MAX(E$4:E26))</f>
        <v/>
      </c>
      <c r="G26" s="13"/>
      <c r="H26" s="14" t="str">
        <f t="shared" si="2"/>
        <v/>
      </c>
      <c r="I26" s="14" t="str">
        <f t="shared" si="0"/>
        <v/>
      </c>
      <c r="J26" s="15" t="str">
        <f t="shared" si="1"/>
        <v/>
      </c>
    </row>
    <row r="27" spans="1:10">
      <c r="A27" s="7" t="str">
        <f>IF(子基金及业绩基准周净值!A82="","",子基金及业绩基准周净值!A82)</f>
        <v/>
      </c>
      <c r="B27" s="1" t="str">
        <f>IF(A27="","",VLOOKUP($A27,子基金及业绩基准周净值!$A:$AV,26))</f>
        <v/>
      </c>
      <c r="C27" s="8" t="str">
        <f t="shared" si="3"/>
        <v/>
      </c>
      <c r="D27" s="9" t="str">
        <f>IF(A27="","",C27-(子基金及业绩基准周净值!AG82/子基金及业绩基准周净值!AG81-1))</f>
        <v/>
      </c>
      <c r="E27" s="12" t="str">
        <f>IF(A27="","",(MAX(B$3:B27)-B27)/MAX(B$3:B27))</f>
        <v/>
      </c>
      <c r="F27" s="12" t="str">
        <f>IF(A27="","",MAX(E$4:E27))</f>
        <v/>
      </c>
      <c r="G27" s="13"/>
      <c r="H27" s="14" t="str">
        <f t="shared" si="2"/>
        <v/>
      </c>
      <c r="I27" s="14" t="str">
        <f t="shared" si="0"/>
        <v/>
      </c>
      <c r="J27" s="15" t="str">
        <f t="shared" si="1"/>
        <v/>
      </c>
    </row>
    <row r="28" spans="1:10">
      <c r="A28" s="7" t="str">
        <f>IF(子基金及业绩基准周净值!A83="","",子基金及业绩基准周净值!A83)</f>
        <v/>
      </c>
      <c r="B28" s="1" t="str">
        <f>IF(A28="","",VLOOKUP($A28,子基金及业绩基准周净值!$A:$AV,26))</f>
        <v/>
      </c>
      <c r="C28" s="8" t="str">
        <f t="shared" si="3"/>
        <v/>
      </c>
      <c r="D28" s="9" t="str">
        <f>IF(A28="","",C28-(子基金及业绩基准周净值!AG83/子基金及业绩基准周净值!AG82-1))</f>
        <v/>
      </c>
      <c r="E28" s="12" t="str">
        <f>IF(A28="","",(MAX(B$3:B28)-B28)/MAX(B$3:B28))</f>
        <v/>
      </c>
      <c r="F28" s="12" t="str">
        <f>IF(A28="","",MAX(E$4:E28))</f>
        <v/>
      </c>
      <c r="G28" s="13"/>
      <c r="H28" s="14" t="str">
        <f t="shared" si="2"/>
        <v/>
      </c>
      <c r="I28" s="14" t="str">
        <f t="shared" si="0"/>
        <v/>
      </c>
      <c r="J28" s="15" t="str">
        <f t="shared" si="1"/>
        <v/>
      </c>
    </row>
    <row r="29" spans="1:10">
      <c r="A29" s="7" t="str">
        <f>IF(子基金及业绩基准周净值!A84="","",子基金及业绩基准周净值!A84)</f>
        <v/>
      </c>
      <c r="B29" s="1" t="str">
        <f>IF(A29="","",VLOOKUP($A29,子基金及业绩基准周净值!$A:$AV,26))</f>
        <v/>
      </c>
      <c r="C29" s="8" t="str">
        <f t="shared" si="3"/>
        <v/>
      </c>
      <c r="D29" s="9" t="str">
        <f>IF(A29="","",C29-(子基金及业绩基准周净值!AG84/子基金及业绩基准周净值!AG83-1))</f>
        <v/>
      </c>
      <c r="E29" s="12" t="str">
        <f>IF(A29="","",(MAX(B$3:B29)-B29)/MAX(B$3:B29))</f>
        <v/>
      </c>
      <c r="F29" s="12" t="str">
        <f>IF(A29="","",MAX(E$4:E29))</f>
        <v/>
      </c>
      <c r="G29" s="13"/>
      <c r="H29" s="14" t="str">
        <f t="shared" si="2"/>
        <v/>
      </c>
      <c r="I29" s="14" t="str">
        <f t="shared" si="0"/>
        <v/>
      </c>
      <c r="J29" s="15" t="str">
        <f t="shared" si="1"/>
        <v/>
      </c>
    </row>
    <row r="30" spans="1:10">
      <c r="A30" s="7" t="str">
        <f>IF(子基金及业绩基准周净值!A85="","",子基金及业绩基准周净值!A85)</f>
        <v/>
      </c>
      <c r="B30" s="1" t="str">
        <f>IF(A30="","",VLOOKUP($A30,子基金及业绩基准周净值!$A:$AV,26))</f>
        <v/>
      </c>
      <c r="C30" s="8" t="str">
        <f t="shared" si="3"/>
        <v/>
      </c>
      <c r="D30" s="9" t="str">
        <f>IF(A30="","",C30-(子基金及业绩基准周净值!AG85/子基金及业绩基准周净值!AG84-1))</f>
        <v/>
      </c>
      <c r="E30" s="12" t="str">
        <f>IF(A30="","",(MAX(B$3:B30)-B30)/MAX(B$3:B30))</f>
        <v/>
      </c>
      <c r="F30" s="12" t="str">
        <f>IF(A30="","",MAX(E$4:E30))</f>
        <v/>
      </c>
      <c r="G30" s="13"/>
      <c r="H30" s="14" t="str">
        <f t="shared" si="2"/>
        <v/>
      </c>
      <c r="I30" s="14" t="str">
        <f t="shared" si="0"/>
        <v/>
      </c>
      <c r="J30" s="15" t="str">
        <f t="shared" si="1"/>
        <v/>
      </c>
    </row>
    <row r="31" spans="1:10">
      <c r="A31" s="7" t="str">
        <f>IF(子基金及业绩基准周净值!A86="","",子基金及业绩基准周净值!A86)</f>
        <v/>
      </c>
      <c r="B31" s="1" t="str">
        <f>IF(A31="","",VLOOKUP($A31,子基金及业绩基准周净值!$A:$AV,26))</f>
        <v/>
      </c>
      <c r="C31" s="8" t="str">
        <f t="shared" si="3"/>
        <v/>
      </c>
      <c r="D31" s="9" t="str">
        <f>IF(A31="","",C31-(子基金及业绩基准周净值!AG86/子基金及业绩基准周净值!AG85-1))</f>
        <v/>
      </c>
      <c r="E31" s="12" t="str">
        <f>IF(A31="","",(MAX(B$3:B31)-B31)/MAX(B$3:B31))</f>
        <v/>
      </c>
      <c r="F31" s="12" t="str">
        <f>IF(A31="","",MAX(E$4:E31))</f>
        <v/>
      </c>
      <c r="G31" s="13"/>
      <c r="H31" s="14" t="str">
        <f t="shared" si="2"/>
        <v/>
      </c>
      <c r="I31" s="14" t="str">
        <f t="shared" si="0"/>
        <v/>
      </c>
      <c r="J31" s="15" t="str">
        <f t="shared" si="1"/>
        <v/>
      </c>
    </row>
    <row r="32" spans="1:10">
      <c r="A32" s="7" t="str">
        <f>IF(子基金及业绩基准周净值!A87="","",子基金及业绩基准周净值!A87)</f>
        <v/>
      </c>
      <c r="B32" s="1" t="str">
        <f>IF(A32="","",VLOOKUP($A32,子基金及业绩基准周净值!$A:$AV,26))</f>
        <v/>
      </c>
      <c r="C32" s="8" t="str">
        <f t="shared" si="3"/>
        <v/>
      </c>
      <c r="D32" s="9" t="str">
        <f>IF(A32="","",C32-(子基金及业绩基准周净值!AG87/子基金及业绩基准周净值!AG86-1))</f>
        <v/>
      </c>
      <c r="E32" s="12" t="str">
        <f>IF(A32="","",(MAX(B$3:B32)-B32)/MAX(B$3:B32))</f>
        <v/>
      </c>
      <c r="F32" s="12" t="str">
        <f>IF(A32="","",MAX(E$4:E32))</f>
        <v/>
      </c>
      <c r="G32" s="13"/>
      <c r="H32" s="14" t="str">
        <f t="shared" si="2"/>
        <v/>
      </c>
      <c r="I32" s="14" t="str">
        <f t="shared" si="0"/>
        <v/>
      </c>
      <c r="J32" s="15" t="str">
        <f t="shared" si="1"/>
        <v/>
      </c>
    </row>
    <row r="33" spans="1:10">
      <c r="A33" s="7" t="str">
        <f>IF(子基金及业绩基准周净值!A88="","",子基金及业绩基准周净值!A88)</f>
        <v/>
      </c>
      <c r="B33" s="1" t="str">
        <f>IF(A33="","",VLOOKUP($A33,子基金及业绩基准周净值!$A:$AV,26))</f>
        <v/>
      </c>
      <c r="C33" s="8" t="str">
        <f t="shared" si="3"/>
        <v/>
      </c>
      <c r="D33" s="9" t="str">
        <f>IF(A33="","",C33-(子基金及业绩基准周净值!AG88/子基金及业绩基准周净值!AG87-1))</f>
        <v/>
      </c>
      <c r="E33" s="12" t="str">
        <f>IF(A33="","",(MAX(B$3:B33)-B33)/MAX(B$3:B33))</f>
        <v/>
      </c>
      <c r="F33" s="12" t="str">
        <f>IF(A33="","",MAX(E$4:E33))</f>
        <v/>
      </c>
      <c r="G33" s="13"/>
      <c r="H33" s="14" t="str">
        <f t="shared" si="2"/>
        <v/>
      </c>
      <c r="I33" s="14" t="str">
        <f t="shared" si="0"/>
        <v/>
      </c>
      <c r="J33" s="15" t="str">
        <f t="shared" si="1"/>
        <v/>
      </c>
    </row>
    <row r="34" spans="1:10">
      <c r="A34" s="7" t="str">
        <f>IF(子基金及业绩基准周净值!A89="","",子基金及业绩基准周净值!A89)</f>
        <v/>
      </c>
      <c r="B34" s="1" t="str">
        <f>IF(A34="","",VLOOKUP($A34,子基金及业绩基准周净值!$A:$AV,26))</f>
        <v/>
      </c>
      <c r="C34" s="8" t="str">
        <f t="shared" si="3"/>
        <v/>
      </c>
      <c r="D34" s="9" t="str">
        <f>IF(A34="","",C34-(子基金及业绩基准周净值!AG89/子基金及业绩基准周净值!AG88-1))</f>
        <v/>
      </c>
      <c r="E34" s="12" t="str">
        <f>IF(A34="","",(MAX(B$3:B34)-B34)/MAX(B$3:B34))</f>
        <v/>
      </c>
      <c r="F34" s="12" t="str">
        <f>IF(A34="","",MAX(E$4:E34))</f>
        <v/>
      </c>
      <c r="G34" s="13"/>
      <c r="H34" s="14" t="str">
        <f t="shared" si="2"/>
        <v/>
      </c>
      <c r="I34" s="14" t="str">
        <f t="shared" si="0"/>
        <v/>
      </c>
      <c r="J34" s="15" t="str">
        <f t="shared" si="1"/>
        <v/>
      </c>
    </row>
    <row r="35" spans="1:10">
      <c r="A35" s="7" t="str">
        <f>IF(子基金及业绩基准周净值!A90="","",子基金及业绩基准周净值!A90)</f>
        <v/>
      </c>
      <c r="B35" s="1" t="str">
        <f>IF(A35="","",VLOOKUP($A35,子基金及业绩基准周净值!$A:$AV,26))</f>
        <v/>
      </c>
      <c r="C35" s="8" t="str">
        <f t="shared" si="3"/>
        <v/>
      </c>
      <c r="D35" s="9" t="str">
        <f>IF(A35="","",C35-(子基金及业绩基准周净值!AG90/子基金及业绩基准周净值!AG89-1))</f>
        <v/>
      </c>
      <c r="E35" s="12" t="str">
        <f>IF(A35="","",(MAX(B$3:B35)-B35)/MAX(B$3:B35))</f>
        <v/>
      </c>
      <c r="F35" s="12" t="str">
        <f>IF(A35="","",MAX(E$4:E35))</f>
        <v/>
      </c>
      <c r="G35" s="13"/>
      <c r="H35" s="14" t="str">
        <f t="shared" si="2"/>
        <v/>
      </c>
      <c r="I35" s="14" t="str">
        <f t="shared" si="0"/>
        <v/>
      </c>
      <c r="J35" s="15" t="str">
        <f t="shared" si="1"/>
        <v/>
      </c>
    </row>
    <row r="36" spans="1:10">
      <c r="A36" s="7" t="str">
        <f>IF(子基金及业绩基准周净值!A91="","",子基金及业绩基准周净值!A91)</f>
        <v/>
      </c>
      <c r="B36" s="1" t="str">
        <f>IF(A36="","",VLOOKUP($A36,子基金及业绩基准周净值!$A:$AV,26))</f>
        <v/>
      </c>
      <c r="C36" s="8" t="str">
        <f t="shared" si="3"/>
        <v/>
      </c>
      <c r="D36" s="9" t="str">
        <f>IF(A36="","",C36-(子基金及业绩基准周净值!AG91/子基金及业绩基准周净值!AG90-1))</f>
        <v/>
      </c>
      <c r="E36" s="12" t="str">
        <f>IF(A36="","",(MAX(B$3:B36)-B36)/MAX(B$3:B36))</f>
        <v/>
      </c>
      <c r="F36" s="12" t="str">
        <f>IF(A36="","",MAX(E$4:E36))</f>
        <v/>
      </c>
      <c r="G36" s="13"/>
      <c r="H36" s="14" t="str">
        <f t="shared" si="2"/>
        <v/>
      </c>
      <c r="I36" s="14" t="str">
        <f t="shared" si="0"/>
        <v/>
      </c>
      <c r="J36" s="15" t="str">
        <f t="shared" si="1"/>
        <v/>
      </c>
    </row>
    <row r="37" spans="1:10">
      <c r="A37" s="7" t="str">
        <f>IF(子基金及业绩基准周净值!A92="","",子基金及业绩基准周净值!A92)</f>
        <v/>
      </c>
      <c r="B37" s="1" t="str">
        <f>IF(A37="","",VLOOKUP($A37,子基金及业绩基准周净值!$A:$AV,26))</f>
        <v/>
      </c>
      <c r="C37" s="8" t="str">
        <f t="shared" si="3"/>
        <v/>
      </c>
      <c r="D37" s="9" t="str">
        <f>IF(A37="","",C37-(子基金及业绩基准周净值!AG92/子基金及业绩基准周净值!AG91-1))</f>
        <v/>
      </c>
      <c r="E37" s="12" t="str">
        <f>IF(A37="","",(MAX(B$3:B37)-B37)/MAX(B$3:B37))</f>
        <v/>
      </c>
      <c r="F37" s="12" t="str">
        <f>IF(A37="","",MAX(E$4:E37))</f>
        <v/>
      </c>
      <c r="G37" s="13"/>
      <c r="H37" s="14" t="str">
        <f t="shared" ref="H37:H53" si="4">IF(B37="","",IF(C37&lt;-3%,"是","否"))</f>
        <v/>
      </c>
      <c r="I37" s="14" t="str">
        <f t="shared" si="0"/>
        <v/>
      </c>
      <c r="J37" s="15" t="str">
        <f t="shared" si="1"/>
        <v/>
      </c>
    </row>
    <row r="38" spans="1:10">
      <c r="A38" s="7" t="str">
        <f>IF(子基金及业绩基准周净值!A93="","",子基金及业绩基准周净值!A93)</f>
        <v/>
      </c>
      <c r="B38" s="1" t="str">
        <f>IF(A38="","",VLOOKUP($A38,子基金及业绩基准周净值!$A:$AV,26))</f>
        <v/>
      </c>
      <c r="C38" s="8" t="str">
        <f t="shared" si="3"/>
        <v/>
      </c>
      <c r="D38" s="9" t="str">
        <f>IF(A38="","",C38-(子基金及业绩基准周净值!AG93/子基金及业绩基准周净值!AG92-1))</f>
        <v/>
      </c>
      <c r="E38" s="12" t="str">
        <f>IF(A38="","",(MAX(B$3:B38)-B38)/MAX(B$3:B38))</f>
        <v/>
      </c>
      <c r="F38" s="12" t="str">
        <f>IF(A38="","",MAX(E$4:E38))</f>
        <v/>
      </c>
      <c r="G38" s="13"/>
      <c r="H38" s="14" t="str">
        <f t="shared" si="4"/>
        <v/>
      </c>
      <c r="I38" s="14" t="str">
        <f t="shared" si="0"/>
        <v/>
      </c>
      <c r="J38" s="15" t="str">
        <f t="shared" si="1"/>
        <v/>
      </c>
    </row>
    <row r="39" spans="1:10">
      <c r="A39" s="7" t="str">
        <f>IF(子基金及业绩基准周净值!A94="","",子基金及业绩基准周净值!A94)</f>
        <v/>
      </c>
      <c r="B39" s="1" t="str">
        <f>IF(A39="","",VLOOKUP($A39,子基金及业绩基准周净值!$A:$AV,26))</f>
        <v/>
      </c>
      <c r="C39" s="8" t="str">
        <f t="shared" si="3"/>
        <v/>
      </c>
      <c r="D39" s="9" t="str">
        <f>IF(A39="","",C39-(子基金及业绩基准周净值!AG94/子基金及业绩基准周净值!AG93-1))</f>
        <v/>
      </c>
      <c r="E39" s="12" t="str">
        <f>IF(A39="","",(MAX(B$3:B39)-B39)/MAX(B$3:B39))</f>
        <v/>
      </c>
      <c r="F39" s="12" t="str">
        <f>IF(A39="","",MAX(E$4:E39))</f>
        <v/>
      </c>
      <c r="G39" s="13"/>
      <c r="H39" s="14" t="str">
        <f t="shared" si="4"/>
        <v/>
      </c>
      <c r="I39" s="14" t="str">
        <f t="shared" si="0"/>
        <v/>
      </c>
      <c r="J39" s="15" t="str">
        <f t="shared" si="1"/>
        <v/>
      </c>
    </row>
    <row r="40" spans="1:10">
      <c r="A40" s="7" t="str">
        <f>IF(子基金及业绩基准周净值!A95="","",子基金及业绩基准周净值!A95)</f>
        <v/>
      </c>
      <c r="B40" s="1" t="str">
        <f>IF(A40="","",VLOOKUP($A40,子基金及业绩基准周净值!$A:$AV,26))</f>
        <v/>
      </c>
      <c r="C40" s="8" t="str">
        <f t="shared" si="3"/>
        <v/>
      </c>
      <c r="D40" s="9" t="str">
        <f>IF(A40="","",C40-(子基金及业绩基准周净值!AG95/子基金及业绩基准周净值!AG94-1))</f>
        <v/>
      </c>
      <c r="E40" s="12" t="str">
        <f>IF(A40="","",(MAX(B$3:B40)-B40)/MAX(B$3:B40))</f>
        <v/>
      </c>
      <c r="F40" s="12" t="str">
        <f>IF(A40="","",MAX(E$4:E40))</f>
        <v/>
      </c>
      <c r="G40" s="13"/>
      <c r="H40" s="14" t="str">
        <f t="shared" si="4"/>
        <v/>
      </c>
      <c r="I40" s="14" t="str">
        <f t="shared" si="0"/>
        <v/>
      </c>
      <c r="J40" s="15" t="str">
        <f t="shared" si="1"/>
        <v/>
      </c>
    </row>
    <row r="41" spans="1:10">
      <c r="A41" s="7" t="str">
        <f>IF(子基金及业绩基准周净值!A96="","",子基金及业绩基准周净值!A96)</f>
        <v/>
      </c>
      <c r="B41" s="1" t="str">
        <f>IF(A41="","",VLOOKUP($A41,子基金及业绩基准周净值!$A:$AV,26))</f>
        <v/>
      </c>
      <c r="C41" s="8" t="str">
        <f t="shared" si="3"/>
        <v/>
      </c>
      <c r="D41" s="9" t="str">
        <f>IF(A41="","",C41-(子基金及业绩基准周净值!AG96/子基金及业绩基准周净值!AG95-1))</f>
        <v/>
      </c>
      <c r="E41" s="12" t="str">
        <f>IF(A41="","",(MAX(B$3:B41)-B41)/MAX(B$3:B41))</f>
        <v/>
      </c>
      <c r="F41" s="12" t="str">
        <f>IF(A41="","",MAX(E$4:E41))</f>
        <v/>
      </c>
      <c r="G41" s="13"/>
      <c r="H41" s="14" t="str">
        <f t="shared" si="4"/>
        <v/>
      </c>
      <c r="I41" s="14" t="str">
        <f t="shared" si="0"/>
        <v/>
      </c>
      <c r="J41" s="15" t="str">
        <f t="shared" si="1"/>
        <v/>
      </c>
    </row>
    <row r="42" spans="1:10">
      <c r="A42" s="7"/>
      <c r="B42" s="1" t="str">
        <f>IF(A42="","",VLOOKUP($A42,子基金及业绩基准周净值!$A:$AV,26))</f>
        <v/>
      </c>
      <c r="C42" s="8" t="str">
        <f t="shared" si="3"/>
        <v/>
      </c>
      <c r="D42" s="9" t="str">
        <f>IF(A42="","",C42-(子基金及业绩基准周净值!AG97/子基金及业绩基准周净值!AG96-1))</f>
        <v/>
      </c>
      <c r="E42" s="12" t="str">
        <f>IF(A42="","",(MAX(B$3:B42)-B42)/MAX(B$3:B42))</f>
        <v/>
      </c>
      <c r="F42" s="12" t="str">
        <f>IF(A42="","",MAX(E$4:E42))</f>
        <v/>
      </c>
      <c r="G42" s="13"/>
      <c r="H42" s="14" t="str">
        <f t="shared" si="4"/>
        <v/>
      </c>
      <c r="I42" s="14" t="str">
        <f t="shared" si="0"/>
        <v/>
      </c>
      <c r="J42" s="15" t="str">
        <f t="shared" si="1"/>
        <v/>
      </c>
    </row>
    <row r="43" spans="1:10">
      <c r="A43" s="7"/>
      <c r="B43" s="1"/>
      <c r="C43" s="8"/>
      <c r="D43" s="9"/>
      <c r="E43" s="12" t="str">
        <f>IF(A43="","",(MAX(B$3:B43)-B43)/MAX(B$3:B43))</f>
        <v/>
      </c>
      <c r="F43" s="12" t="str">
        <f>IF(A43="","",MAX(E$4:E43))</f>
        <v/>
      </c>
      <c r="G43" s="13"/>
      <c r="H43" s="14" t="str">
        <f t="shared" si="4"/>
        <v/>
      </c>
      <c r="I43" s="14" t="str">
        <f t="shared" si="0"/>
        <v/>
      </c>
      <c r="J43" s="15" t="str">
        <f t="shared" si="1"/>
        <v/>
      </c>
    </row>
    <row r="44" spans="1:10">
      <c r="A44" s="7"/>
      <c r="B44" s="1"/>
      <c r="C44" s="8"/>
      <c r="D44" s="9"/>
      <c r="E44" s="12" t="str">
        <f>IF(A44="","",(MAX(B$3:B44)-B44)/MAX(B$3:B44))</f>
        <v/>
      </c>
      <c r="F44" s="12" t="str">
        <f>IF(A44="","",MAX(E$4:E44))</f>
        <v/>
      </c>
      <c r="G44" s="13"/>
      <c r="H44" s="14" t="str">
        <f t="shared" si="4"/>
        <v/>
      </c>
      <c r="I44" s="14" t="str">
        <f t="shared" si="0"/>
        <v/>
      </c>
      <c r="J44" s="15" t="str">
        <f t="shared" si="1"/>
        <v/>
      </c>
    </row>
    <row r="45" spans="1:10">
      <c r="A45" s="7"/>
      <c r="B45" s="1"/>
      <c r="C45" s="8"/>
      <c r="D45" s="9"/>
      <c r="E45" s="12" t="str">
        <f>IF(A45="","",(MAX(B$3:B45)-B45)/MAX(B$3:B45))</f>
        <v/>
      </c>
      <c r="F45" s="12" t="str">
        <f>IF(A45="","",MAX(E$4:E45))</f>
        <v/>
      </c>
      <c r="G45" s="13"/>
      <c r="H45" s="14" t="str">
        <f t="shared" si="4"/>
        <v/>
      </c>
      <c r="I45" s="14" t="str">
        <f t="shared" si="0"/>
        <v/>
      </c>
      <c r="J45" s="15" t="str">
        <f t="shared" si="1"/>
        <v/>
      </c>
    </row>
    <row r="46" spans="1:10">
      <c r="A46" s="7"/>
      <c r="B46" s="1"/>
      <c r="C46" s="8"/>
      <c r="D46" s="9"/>
      <c r="E46" s="12" t="str">
        <f>IF(A46="","",(MAX(B$3:B46)-B46)/MAX(B$3:B46))</f>
        <v/>
      </c>
      <c r="F46" s="12" t="str">
        <f>IF(A46="","",MAX(E$4:E46))</f>
        <v/>
      </c>
      <c r="G46" s="13"/>
      <c r="H46" s="14" t="str">
        <f t="shared" si="4"/>
        <v/>
      </c>
      <c r="I46" s="14" t="str">
        <f t="shared" si="0"/>
        <v/>
      </c>
      <c r="J46" s="15" t="str">
        <f t="shared" si="1"/>
        <v/>
      </c>
    </row>
    <row r="47" spans="1:10">
      <c r="A47" s="7"/>
      <c r="B47" s="1"/>
      <c r="C47" s="8"/>
      <c r="D47" s="9"/>
      <c r="E47" s="12" t="str">
        <f>IF(A47="","",(MAX(B$3:B47)-B47)/MAX(B$3:B47))</f>
        <v/>
      </c>
      <c r="F47" s="12" t="str">
        <f>IF(A47="","",MAX(E$4:E47))</f>
        <v/>
      </c>
      <c r="G47" s="13"/>
      <c r="H47" s="14" t="str">
        <f t="shared" si="4"/>
        <v/>
      </c>
      <c r="I47" s="14" t="str">
        <f t="shared" si="0"/>
        <v/>
      </c>
      <c r="J47" s="15" t="str">
        <f t="shared" si="1"/>
        <v/>
      </c>
    </row>
    <row r="48" spans="1:10">
      <c r="A48" s="7"/>
      <c r="B48" s="1"/>
      <c r="C48" s="8"/>
      <c r="D48" s="9"/>
      <c r="E48" s="12" t="str">
        <f>IF(A48="","",(MAX(B$3:B48)-B48)/MAX(B$3:B48))</f>
        <v/>
      </c>
      <c r="F48" s="12" t="str">
        <f>IF(A48="","",MAX(E$4:E48))</f>
        <v/>
      </c>
      <c r="G48" s="13"/>
      <c r="H48" s="14" t="str">
        <f t="shared" si="4"/>
        <v/>
      </c>
      <c r="I48" s="14" t="str">
        <f t="shared" si="0"/>
        <v/>
      </c>
      <c r="J48" s="15" t="str">
        <f t="shared" si="1"/>
        <v/>
      </c>
    </row>
    <row r="49" spans="1:10">
      <c r="A49" s="7"/>
      <c r="B49" s="1"/>
      <c r="C49" s="8"/>
      <c r="D49" s="9"/>
      <c r="E49" s="12" t="str">
        <f>IF(A49="","",(MAX(B$3:B49)-B49)/MAX(B$3:B49))</f>
        <v/>
      </c>
      <c r="F49" s="12" t="str">
        <f>IF(A49="","",MAX(E$4:E49))</f>
        <v/>
      </c>
      <c r="G49" s="13"/>
      <c r="H49" s="14" t="str">
        <f t="shared" si="4"/>
        <v/>
      </c>
      <c r="I49" s="14" t="str">
        <f t="shared" si="0"/>
        <v/>
      </c>
      <c r="J49" s="15" t="str">
        <f t="shared" si="1"/>
        <v/>
      </c>
    </row>
    <row r="50" spans="1:10">
      <c r="A50" s="7"/>
      <c r="B50" s="1"/>
      <c r="C50" s="8"/>
      <c r="D50" s="9"/>
      <c r="E50" s="12" t="str">
        <f>IF(A50="","",(MAX(B$3:B50)-B50)/MAX(B$3:B50))</f>
        <v/>
      </c>
      <c r="F50" s="12" t="str">
        <f>IF(A50="","",MAX(E$4:E50))</f>
        <v/>
      </c>
      <c r="G50" s="13"/>
      <c r="H50" s="14" t="str">
        <f t="shared" si="4"/>
        <v/>
      </c>
      <c r="I50" s="14" t="str">
        <f t="shared" si="0"/>
        <v/>
      </c>
      <c r="J50" s="15" t="str">
        <f t="shared" si="1"/>
        <v/>
      </c>
    </row>
    <row r="51" spans="1:10">
      <c r="A51" s="7"/>
      <c r="B51" s="1"/>
      <c r="C51" s="8"/>
      <c r="D51" s="9"/>
      <c r="E51" s="12" t="str">
        <f>IF(A51="","",(MAX(B$3:B51)-B51)/MAX(B$3:B51))</f>
        <v/>
      </c>
      <c r="F51" s="12" t="str">
        <f>IF(A51="","",MAX(E$4:E51))</f>
        <v/>
      </c>
      <c r="G51" s="13"/>
      <c r="H51" s="14" t="str">
        <f t="shared" si="4"/>
        <v/>
      </c>
      <c r="I51" s="14" t="str">
        <f t="shared" si="0"/>
        <v/>
      </c>
      <c r="J51" s="15" t="str">
        <f t="shared" si="1"/>
        <v/>
      </c>
    </row>
    <row r="52" spans="1:10">
      <c r="A52" s="7"/>
      <c r="B52" s="1"/>
      <c r="C52" s="8"/>
      <c r="D52" s="9"/>
      <c r="E52" s="12" t="str">
        <f>IF(A52="","",(MAX(B$3:B52)-B52)/MAX(B$3:B52))</f>
        <v/>
      </c>
      <c r="F52" s="12" t="str">
        <f>IF(A52="","",MAX(E$4:E52))</f>
        <v/>
      </c>
      <c r="G52" s="13"/>
      <c r="H52" s="14" t="str">
        <f t="shared" si="4"/>
        <v/>
      </c>
      <c r="I52" s="14" t="str">
        <f t="shared" si="0"/>
        <v/>
      </c>
      <c r="J52" s="15" t="str">
        <f t="shared" si="1"/>
        <v/>
      </c>
    </row>
    <row r="53" spans="1:10">
      <c r="A53" s="7"/>
      <c r="B53" s="1"/>
      <c r="C53" s="8"/>
      <c r="D53" s="9"/>
      <c r="E53" s="12" t="str">
        <f>IF(A53="","",(MAX(B$3:B53)-B53)/MAX(B$3:B53))</f>
        <v/>
      </c>
      <c r="F53" s="12" t="str">
        <f>IF(A53="","",MAX(E$4:E53))</f>
        <v/>
      </c>
      <c r="G53" s="13"/>
      <c r="H53" s="14" t="str">
        <f t="shared" si="4"/>
        <v/>
      </c>
      <c r="I53" s="14" t="str">
        <f t="shared" si="0"/>
        <v/>
      </c>
      <c r="J53" s="15" t="str">
        <f t="shared" si="1"/>
        <v/>
      </c>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G137" s="13"/>
      <c r="H137" s="14"/>
      <c r="I137" s="14"/>
      <c r="J137" s="15"/>
    </row>
    <row r="138" spans="1:10">
      <c r="A138" s="7"/>
      <c r="B138" s="1"/>
      <c r="C138" s="8"/>
      <c r="D138" s="9"/>
      <c r="E138" s="12"/>
      <c r="F138" s="12"/>
      <c r="G138" s="13"/>
      <c r="H138" s="14"/>
      <c r="I138" s="14"/>
      <c r="J138" s="15"/>
    </row>
    <row r="139" spans="1:10">
      <c r="A139" s="7"/>
      <c r="B139" s="1"/>
      <c r="C139" s="8"/>
      <c r="D139" s="9"/>
      <c r="E139" s="12"/>
      <c r="F139" s="12"/>
      <c r="G139" s="13"/>
      <c r="H139" s="14"/>
      <c r="I139" s="14"/>
      <c r="J139" s="15"/>
    </row>
    <row r="140" spans="1:10">
      <c r="A140" s="7"/>
      <c r="B140" s="1"/>
      <c r="C140" s="8"/>
      <c r="D140" s="9"/>
      <c r="E140" s="12"/>
      <c r="F140" s="12"/>
      <c r="G140" s="13"/>
      <c r="H140" s="14"/>
      <c r="I140" s="14"/>
      <c r="J140" s="15"/>
    </row>
    <row r="141" spans="1:10">
      <c r="A141" s="7"/>
      <c r="B141" s="1"/>
      <c r="C141" s="8"/>
      <c r="D141" s="9"/>
      <c r="E141" s="12"/>
      <c r="F141" s="12"/>
      <c r="G141" s="13"/>
      <c r="H141" s="14"/>
      <c r="I141" s="14"/>
      <c r="J141" s="15"/>
    </row>
    <row r="142" spans="1:10">
      <c r="A142" s="7"/>
      <c r="B142" s="1"/>
      <c r="C142" s="8"/>
      <c r="D142" s="9"/>
      <c r="E142" s="12"/>
      <c r="F142" s="12"/>
      <c r="G142" s="13"/>
      <c r="H142" s="14"/>
      <c r="I142" s="14"/>
      <c r="J142" s="15"/>
    </row>
    <row r="143" spans="1:10">
      <c r="A143" s="7"/>
      <c r="B143" s="1"/>
      <c r="C143" s="8"/>
      <c r="D143" s="9"/>
      <c r="E143" s="12"/>
      <c r="F143" s="12"/>
      <c r="G143" s="13"/>
      <c r="H143" s="14"/>
      <c r="I143" s="14"/>
      <c r="J143" s="15"/>
    </row>
    <row r="144" spans="1:10">
      <c r="A144" s="7"/>
      <c r="B144" s="1"/>
      <c r="C144" s="8"/>
      <c r="D144" s="9"/>
      <c r="E144" s="12"/>
      <c r="F144" s="12"/>
      <c r="G144" s="13"/>
      <c r="H144" s="14"/>
      <c r="I144" s="14"/>
      <c r="J144" s="15"/>
    </row>
    <row r="145" spans="1:10">
      <c r="A145" s="7"/>
      <c r="B145" s="1"/>
      <c r="C145" s="8"/>
      <c r="D145" s="9"/>
      <c r="E145" s="12"/>
      <c r="F145" s="12"/>
      <c r="G145" s="13"/>
      <c r="H145" s="14"/>
      <c r="I145" s="14"/>
      <c r="J145" s="15"/>
    </row>
    <row r="146" spans="1:10">
      <c r="A146" s="7"/>
      <c r="B146" s="1"/>
      <c r="C146" s="8"/>
      <c r="D146" s="9"/>
      <c r="E146" s="12"/>
      <c r="F146" s="12"/>
      <c r="G146" s="13"/>
      <c r="H146" s="14"/>
      <c r="I146" s="14"/>
      <c r="J146" s="15"/>
    </row>
    <row r="147" spans="1:10">
      <c r="A147" s="7"/>
      <c r="B147" s="1"/>
      <c r="C147" s="8"/>
      <c r="D147" s="9"/>
      <c r="E147" s="12"/>
      <c r="F147" s="12"/>
      <c r="G147" s="13"/>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row r="298" spans="1:10">
      <c r="A298" s="7"/>
      <c r="B298" s="1"/>
      <c r="C298" s="8"/>
      <c r="D298" s="9"/>
      <c r="E298" s="12"/>
      <c r="F298" s="12"/>
      <c r="H298" s="14"/>
      <c r="I298" s="14"/>
      <c r="J298" s="15"/>
    </row>
    <row r="299" spans="1:10">
      <c r="A299" s="7"/>
      <c r="B299" s="1"/>
      <c r="C299" s="8"/>
      <c r="D299" s="9"/>
      <c r="E299" s="12"/>
      <c r="F299" s="12"/>
      <c r="H299" s="14"/>
      <c r="I299" s="14"/>
      <c r="J299" s="15"/>
    </row>
    <row r="300" spans="1:10">
      <c r="A300" s="7"/>
      <c r="B300" s="1"/>
      <c r="C300" s="8"/>
      <c r="D300" s="9"/>
      <c r="E300" s="12"/>
      <c r="F300" s="12"/>
      <c r="H300" s="14"/>
      <c r="I300" s="14"/>
      <c r="J300" s="15"/>
    </row>
    <row r="301" spans="1:10">
      <c r="A301" s="7"/>
      <c r="B301" s="1"/>
      <c r="C301" s="8"/>
      <c r="D301" s="9"/>
      <c r="E301" s="12"/>
      <c r="F301" s="12"/>
      <c r="H301" s="14"/>
      <c r="I301" s="14"/>
      <c r="J301" s="15"/>
    </row>
    <row r="302" spans="1:10">
      <c r="A302" s="7"/>
      <c r="B302" s="1"/>
      <c r="C302" s="8"/>
      <c r="D302" s="9"/>
      <c r="E302" s="12"/>
      <c r="F302" s="12"/>
      <c r="H302" s="14"/>
      <c r="I302" s="14"/>
      <c r="J302" s="15"/>
    </row>
    <row r="303" spans="1:10">
      <c r="A303" s="7"/>
      <c r="B303" s="1"/>
      <c r="C303" s="8"/>
      <c r="D303" s="9"/>
      <c r="E303" s="12"/>
      <c r="F303" s="12"/>
      <c r="H303" s="14"/>
      <c r="I303" s="14"/>
      <c r="J303" s="15"/>
    </row>
    <row r="304" spans="1:10">
      <c r="A304" s="7"/>
      <c r="B304" s="1"/>
      <c r="C304" s="8"/>
      <c r="D304" s="9"/>
      <c r="E304" s="12"/>
      <c r="F304" s="12"/>
      <c r="H304" s="14"/>
      <c r="I304" s="14"/>
      <c r="J304" s="15"/>
    </row>
    <row r="305" spans="1:10">
      <c r="A305" s="7"/>
      <c r="B305" s="1"/>
      <c r="C305" s="8"/>
      <c r="D305" s="9"/>
      <c r="E305" s="12"/>
      <c r="F305" s="12"/>
      <c r="H305" s="14"/>
      <c r="I305" s="14"/>
      <c r="J305" s="15"/>
    </row>
    <row r="306" spans="1:10">
      <c r="A306" s="7"/>
      <c r="B306" s="1"/>
      <c r="C306" s="8"/>
      <c r="D306" s="9"/>
      <c r="E306" s="12"/>
      <c r="F306" s="12"/>
      <c r="H306" s="14"/>
      <c r="I306" s="14"/>
      <c r="J306" s="15"/>
    </row>
    <row r="307" spans="1:10">
      <c r="A307" s="7"/>
      <c r="B307" s="1"/>
      <c r="C307" s="8"/>
      <c r="D307" s="9"/>
      <c r="E307" s="12"/>
      <c r="F307" s="12"/>
      <c r="H307" s="14"/>
      <c r="I307" s="14"/>
      <c r="J307" s="15"/>
    </row>
    <row r="308" spans="1:10">
      <c r="A308" s="7"/>
      <c r="B308" s="1"/>
      <c r="C308" s="8"/>
      <c r="D308" s="9"/>
      <c r="E308" s="12"/>
      <c r="F308" s="12"/>
      <c r="H308" s="14"/>
      <c r="I308" s="14"/>
      <c r="J308" s="15"/>
    </row>
  </sheetData>
  <conditionalFormatting sqref="H4:H53">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K308"/>
  <sheetViews>
    <sheetView workbookViewId="0">
      <selection activeCell="G18" sqref="G18"/>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65</v>
      </c>
      <c r="C2" s="5" t="s">
        <v>310</v>
      </c>
      <c r="D2" s="6" t="s">
        <v>311</v>
      </c>
      <c r="F2" s="5" t="s">
        <v>22</v>
      </c>
      <c r="G2" s="10" t="s">
        <v>312</v>
      </c>
      <c r="H2" s="11" t="s">
        <v>313</v>
      </c>
      <c r="I2" s="11" t="s">
        <v>314</v>
      </c>
      <c r="J2" s="11" t="s">
        <v>315</v>
      </c>
      <c r="K2" s="5" t="s">
        <v>316</v>
      </c>
    </row>
    <row r="3" spans="1:2">
      <c r="A3" s="7">
        <f>IF(子基金及业绩基准周净值!A58="","",子基金及业绩基准周净值!A58)</f>
        <v>45856</v>
      </c>
      <c r="B3" s="1">
        <f>IF(A3="","",VLOOKUP($A3,子基金及业绩基准周净值!$A:$AV,28))</f>
        <v>0.9944</v>
      </c>
    </row>
    <row r="4" spans="1:10">
      <c r="A4" s="7">
        <f>IF(子基金及业绩基准周净值!A59="","",子基金及业绩基准周净值!A59)</f>
        <v>45863</v>
      </c>
      <c r="B4" s="1">
        <f>IF(A4="","",VLOOKUP($A4,子基金及业绩基准周净值!$A:$AV,28))</f>
        <v>0.99862</v>
      </c>
      <c r="C4" s="8">
        <f>IF(B4="","",B4/B3-1)</f>
        <v>0.00424376508447311</v>
      </c>
      <c r="D4" s="9">
        <f>IF(A4="","",C4-(子基金及业绩基准周净值!AG59/子基金及业绩基准周净值!AG58-1))</f>
        <v>0.00271920844300944</v>
      </c>
      <c r="E4" s="12">
        <f>IF(A4="","",(MAX(B$3:B4)-B4)/MAX(B$3:B4))</f>
        <v>0</v>
      </c>
      <c r="F4" s="12">
        <f>IF(A4="","",MAX(E$4:E4))</f>
        <v>0</v>
      </c>
      <c r="G4" s="13">
        <v>0</v>
      </c>
      <c r="H4" s="14" t="str">
        <f>IF(B4="","",IF(C4&lt;-3%,"是","否"))</f>
        <v>否</v>
      </c>
      <c r="I4" s="14" t="str">
        <f t="shared" ref="I4:I53" si="0">IF(A4="","",IF(F4&gt;5%,"是","否"))</f>
        <v>否</v>
      </c>
      <c r="J4" s="15" t="str">
        <f t="shared" ref="J4:J53" si="1">IF(A4="","",IF(G4&gt;=4,"是","否"))</f>
        <v>否</v>
      </c>
    </row>
    <row r="5" spans="1:10">
      <c r="A5" s="7">
        <f>IF(子基金及业绩基准周净值!A60="","",子基金及业绩基准周净值!A60)</f>
        <v>45870</v>
      </c>
      <c r="B5" s="1">
        <f>IF(A5="","",VLOOKUP($A5,子基金及业绩基准周净值!$A:$AV,28))</f>
        <v>1.00000422</v>
      </c>
      <c r="C5" s="8">
        <f t="shared" ref="C5:C42" si="2">IF(B5="","",B5/B4-1)</f>
        <v>0.00138613286335154</v>
      </c>
      <c r="D5" s="9">
        <f>IF(A5="","",C5-(子基金及业绩基准周净值!AG60/子基金及业绩基准周净值!AG59-1))</f>
        <v>-0.00156984572837549</v>
      </c>
      <c r="E5" s="12">
        <f>IF(A5="","",(MAX(B$3:B5)-B5)/MAX(B$3:B5))</f>
        <v>0</v>
      </c>
      <c r="F5" s="12">
        <f>IF(A5="","",MAX(E$4:E5))</f>
        <v>0</v>
      </c>
      <c r="G5" s="13">
        <v>1</v>
      </c>
      <c r="H5" s="14" t="str">
        <f t="shared" ref="H5:H36" si="3">IF(B5="","",IF(C5&lt;-3%,"是","否"))</f>
        <v>否</v>
      </c>
      <c r="I5" s="14" t="str">
        <f t="shared" si="0"/>
        <v>否</v>
      </c>
      <c r="J5" s="15" t="str">
        <f t="shared" si="1"/>
        <v>否</v>
      </c>
    </row>
    <row r="6" spans="1:10">
      <c r="A6" s="7">
        <f>IF(子基金及业绩基准周净值!A61="","",子基金及业绩基准周净值!A61)</f>
        <v>45877</v>
      </c>
      <c r="B6" s="1">
        <f>IF(A6="","",VLOOKUP($A6,子基金及业绩基准周净值!$A:$AV,28))</f>
        <v>0.99755162</v>
      </c>
      <c r="C6" s="8">
        <f t="shared" si="2"/>
        <v>-0.00245258965007178</v>
      </c>
      <c r="D6" s="9">
        <f>IF(A6="","",C6-(子基金及业绩基准周净值!AG61/子基金及业绩基准周净值!AG60-1))</f>
        <v>-0.0077160351645249</v>
      </c>
      <c r="E6" s="12">
        <f>IF(A6="","",(MAX(B$3:B6)-B6)/MAX(B$3:B6))</f>
        <v>0.00245258965007181</v>
      </c>
      <c r="F6" s="12">
        <f>IF(A6="","",MAX(E$4:E6))</f>
        <v>0.00245258965007181</v>
      </c>
      <c r="G6" s="13">
        <v>2</v>
      </c>
      <c r="H6" s="14" t="str">
        <f t="shared" si="3"/>
        <v>否</v>
      </c>
      <c r="I6" s="14" t="str">
        <f t="shared" si="0"/>
        <v>否</v>
      </c>
      <c r="J6" s="15" t="str">
        <f t="shared" si="1"/>
        <v>否</v>
      </c>
    </row>
    <row r="7" spans="1:10">
      <c r="A7" s="7">
        <f>IF(子基金及业绩基准周净值!A62="","",子基金及业绩基准周净值!A62)</f>
        <v>45884</v>
      </c>
      <c r="B7" s="1">
        <f>IF(A7="","",VLOOKUP($A7,子基金及业绩基准周净值!$A:$AV,28))</f>
        <v>0.9695</v>
      </c>
      <c r="C7" s="8">
        <f t="shared" si="2"/>
        <v>-0.0281204695953478</v>
      </c>
      <c r="D7" s="9">
        <f>IF(A7="","",C7-(子基金及业绩基准周净值!AG62/子基金及业绩基准周净值!AG61-1))</f>
        <v>-0.0225645967079328</v>
      </c>
      <c r="E7" s="12">
        <f>IF(A7="","",(MAX(B$3:B7)-B7)/MAX(B$3:B7))</f>
        <v>0.0305040912727349</v>
      </c>
      <c r="F7" s="12">
        <f>IF(A7="","",MAX(E$4:E7))</f>
        <v>0.0305040912727349</v>
      </c>
      <c r="G7" s="13">
        <v>3</v>
      </c>
      <c r="H7" s="14" t="str">
        <f t="shared" si="3"/>
        <v>否</v>
      </c>
      <c r="I7" s="14" t="str">
        <f t="shared" si="0"/>
        <v>否</v>
      </c>
      <c r="J7" s="15" t="str">
        <f t="shared" si="1"/>
        <v>否</v>
      </c>
    </row>
    <row r="8" spans="1:10">
      <c r="A8" s="7">
        <f>IF(子基金及业绩基准周净值!A63="","",子基金及业绩基准周净值!A63)</f>
        <v>45891</v>
      </c>
      <c r="B8" s="1">
        <f>IF(A8="","",VLOOKUP($A8,子基金及业绩基准周净值!$A:$AV,28))</f>
        <v>0.967</v>
      </c>
      <c r="C8" s="8">
        <f t="shared" si="2"/>
        <v>-0.00257864878803515</v>
      </c>
      <c r="D8" s="9">
        <f>IF(A8="","",C8-(子基金及业绩基准周净值!AG63/子基金及业绩基准周净值!AG62-1))</f>
        <v>-0.00573622026060583</v>
      </c>
      <c r="E8" s="12">
        <f>IF(A8="","",(MAX(B$3:B8)-B8)/MAX(B$3:B8))</f>
        <v>0.0330040807227795</v>
      </c>
      <c r="F8" s="12">
        <f>IF(A8="","",MAX(E$4:E8))</f>
        <v>0.0330040807227795</v>
      </c>
      <c r="G8" s="13">
        <v>4</v>
      </c>
      <c r="H8" s="14" t="str">
        <f t="shared" si="3"/>
        <v>否</v>
      </c>
      <c r="I8" s="14" t="str">
        <f t="shared" si="0"/>
        <v>否</v>
      </c>
      <c r="J8" s="15" t="str">
        <f t="shared" si="1"/>
        <v>是</v>
      </c>
    </row>
    <row r="9" spans="1:10">
      <c r="A9" s="7">
        <f>IF(子基金及业绩基准周净值!A64="","",子基金及业绩基准周净值!A64)</f>
        <v>45898</v>
      </c>
      <c r="B9" s="1">
        <f>IF(A9="","",VLOOKUP($A9,子基金及业绩基准周净值!$A:$AV,28))</f>
        <v>0.9625</v>
      </c>
      <c r="C9" s="8">
        <f t="shared" si="2"/>
        <v>-0.0046535677352636</v>
      </c>
      <c r="D9" s="9">
        <f>IF(A9="","",C9-(子基金及业绩基准周净值!AG64/子基金及业绩基准周净值!AG63-1))</f>
        <v>-0.00261029330549201</v>
      </c>
      <c r="E9" s="12">
        <f>IF(A9="","",(MAX(B$3:B9)-B9)/MAX(B$3:B9))</f>
        <v>0.0375040617328596</v>
      </c>
      <c r="F9" s="12">
        <f>IF(A9="","",MAX(E$4:E9))</f>
        <v>0.0375040617328596</v>
      </c>
      <c r="G9" s="13">
        <v>5</v>
      </c>
      <c r="H9" s="14" t="str">
        <f t="shared" si="3"/>
        <v>否</v>
      </c>
      <c r="I9" s="14" t="str">
        <f t="shared" si="0"/>
        <v>否</v>
      </c>
      <c r="J9" s="15" t="str">
        <f t="shared" si="1"/>
        <v>是</v>
      </c>
    </row>
    <row r="10" spans="1:10">
      <c r="A10" s="7">
        <f>IF(子基金及业绩基准周净值!A65="","",子基金及业绩基准周净值!A65)</f>
        <v>45905</v>
      </c>
      <c r="B10" s="1">
        <f>IF(A10="","",VLOOKUP($A10,子基金及业绩基准周净值!$A:$AV,28))</f>
        <v>0.9652</v>
      </c>
      <c r="C10" s="8">
        <f t="shared" si="2"/>
        <v>0.00280519480519481</v>
      </c>
      <c r="D10" s="9">
        <f>IF(A10="","",C10-(子基金及业绩基准周净值!AG65/子基金及业绩基准周净值!AG64-1))</f>
        <v>0.0024736335224369</v>
      </c>
      <c r="E10" s="12">
        <f>IF(A10="","",(MAX(B$3:B10)-B10)/MAX(B$3:B10))</f>
        <v>0.0348040731268116</v>
      </c>
      <c r="F10" s="12">
        <f>IF(A10="","",MAX(E$4:E10))</f>
        <v>0.0375040617328596</v>
      </c>
      <c r="G10" s="13">
        <v>0</v>
      </c>
      <c r="H10" s="14" t="str">
        <f t="shared" si="3"/>
        <v>否</v>
      </c>
      <c r="I10" s="14" t="str">
        <f t="shared" si="0"/>
        <v>否</v>
      </c>
      <c r="J10" s="15" t="str">
        <f t="shared" si="1"/>
        <v>否</v>
      </c>
    </row>
    <row r="11" spans="1:10">
      <c r="A11" s="7">
        <f>IF(子基金及业绩基准周净值!A66="","",子基金及业绩基准周净值!A66)</f>
        <v>45912</v>
      </c>
      <c r="B11" s="1">
        <f>IF(A11="","",VLOOKUP($A11,子基金及业绩基准周净值!$A:$AV,28))</f>
        <v>0.9669</v>
      </c>
      <c r="C11" s="8">
        <f t="shared" si="2"/>
        <v>0.00176129299627026</v>
      </c>
      <c r="D11" s="9">
        <f>IF(A11="","",C11-(子基金及业绩基准周净值!AG66/子基金及业绩基准周净值!AG65-1))</f>
        <v>-0.000276105619585021</v>
      </c>
      <c r="E11" s="12">
        <f>IF(A11="","",(MAX(B$3:B11)-B11)/MAX(B$3:B11))</f>
        <v>0.0331040803007813</v>
      </c>
      <c r="F11" s="12">
        <f>IF(A11="","",MAX(E$4:E11))</f>
        <v>0.0375040617328596</v>
      </c>
      <c r="G11" s="13">
        <v>1</v>
      </c>
      <c r="H11" s="14" t="str">
        <f t="shared" si="3"/>
        <v>否</v>
      </c>
      <c r="I11" s="14" t="str">
        <f t="shared" si="0"/>
        <v>否</v>
      </c>
      <c r="J11" s="15" t="str">
        <f t="shared" si="1"/>
        <v>否</v>
      </c>
    </row>
    <row r="12" spans="1:10">
      <c r="A12" s="7">
        <f>IF(子基金及业绩基准周净值!A67="","",子基金及业绩基准周净值!A67)</f>
        <v>45919</v>
      </c>
      <c r="B12" s="1">
        <f>IF(A12="","",VLOOKUP($A12,子基金及业绩基准周净值!$A:$AV,28))</f>
        <v>0.9608</v>
      </c>
      <c r="C12" s="8">
        <f t="shared" si="2"/>
        <v>-0.00630882200848071</v>
      </c>
      <c r="D12" s="9">
        <f>IF(A12="","",C12-(子基金及业绩基准周净值!AG67/子基金及业绩基准周净值!AG66-1))</f>
        <v>-0.00659011658765352</v>
      </c>
      <c r="E12" s="12">
        <f>IF(A12="","",(MAX(B$3:B12)-B12)/MAX(B$3:B12))</f>
        <v>0.0392040545588899</v>
      </c>
      <c r="F12" s="12">
        <f>IF(A12="","",MAX(E$4:E12))</f>
        <v>0.0392040545588899</v>
      </c>
      <c r="G12" s="13">
        <v>2</v>
      </c>
      <c r="H12" s="14" t="str">
        <f t="shared" si="3"/>
        <v>否</v>
      </c>
      <c r="I12" s="14" t="str">
        <f t="shared" si="0"/>
        <v>否</v>
      </c>
      <c r="J12" s="15" t="str">
        <f t="shared" si="1"/>
        <v>否</v>
      </c>
    </row>
    <row r="13" spans="1:10">
      <c r="A13" s="7">
        <f>IF(子基金及业绩基准周净值!A68="","",子基金及业绩基准周净值!A68)</f>
        <v>45926</v>
      </c>
      <c r="B13" s="1">
        <f>IF(A13="","",VLOOKUP($A13,子基金及业绩基准周净值!$A:$AV,28))</f>
        <v>0.9577</v>
      </c>
      <c r="C13" s="8">
        <f t="shared" si="2"/>
        <v>-0.00322647793505415</v>
      </c>
      <c r="D13" s="9">
        <f>IF(A13="","",C13-(子基金及业绩基准周净值!AG68/子基金及业绩基准周净值!AG67-1))</f>
        <v>-0.000420651649562842</v>
      </c>
      <c r="E13" s="12">
        <f>IF(A13="","",(MAX(B$3:B13)-B13)/MAX(B$3:B13))</f>
        <v>0.0423040414769451</v>
      </c>
      <c r="F13" s="12">
        <f>IF(A13="","",MAX(E$4:E13))</f>
        <v>0.0423040414769451</v>
      </c>
      <c r="G13" s="13">
        <v>3</v>
      </c>
      <c r="H13" s="14" t="str">
        <f t="shared" si="3"/>
        <v>否</v>
      </c>
      <c r="I13" s="14" t="str">
        <f t="shared" si="0"/>
        <v>否</v>
      </c>
      <c r="J13" s="15" t="str">
        <f t="shared" si="1"/>
        <v>否</v>
      </c>
    </row>
    <row r="14" spans="1:10">
      <c r="A14" s="7">
        <f>IF(子基金及业绩基准周净值!A69="","",子基金及业绩基准周净值!A69)</f>
        <v>45940</v>
      </c>
      <c r="B14" s="1">
        <f>IF(A14="","",VLOOKUP($A14,子基金及业绩基准周净值!$A:$AV,28))</f>
        <v>0.9581</v>
      </c>
      <c r="C14" s="8">
        <f t="shared" si="2"/>
        <v>0.000417667327973215</v>
      </c>
      <c r="D14" s="9">
        <f>IF(A14="","",C14-(子基金及业绩基准周净值!AG69/子基金及业绩基准周净值!AG68-1))</f>
        <v>-0.00159517251472541</v>
      </c>
      <c r="E14" s="12">
        <f>IF(A14="","",(MAX(B$3:B14)-B14)/MAX(B$3:B14))</f>
        <v>0.041904043164938</v>
      </c>
      <c r="F14" s="12">
        <f>IF(A14="","",MAX(E$4:E14))</f>
        <v>0.0423040414769451</v>
      </c>
      <c r="G14" s="13">
        <v>4</v>
      </c>
      <c r="H14" s="14" t="str">
        <f t="shared" si="3"/>
        <v>否</v>
      </c>
      <c r="I14" s="14" t="str">
        <f t="shared" si="0"/>
        <v>否</v>
      </c>
      <c r="J14" s="15" t="str">
        <f t="shared" si="1"/>
        <v>是</v>
      </c>
    </row>
    <row r="15" spans="1:10">
      <c r="A15" s="7">
        <f>IF(子基金及业绩基准周净值!A70="","",子基金及业绩基准周净值!A70)</f>
        <v>45947</v>
      </c>
      <c r="B15" s="1">
        <f>IF(A15="","",VLOOKUP($A15,子基金及业绩基准周净值!$A:$AV,28))</f>
        <v>0.9563</v>
      </c>
      <c r="C15" s="8">
        <f t="shared" si="2"/>
        <v>-0.00187871829662867</v>
      </c>
      <c r="D15" s="9">
        <f>IF(A15="","",C15-(子基金及业绩基准周净值!AG70/子基金及业绩基准周净值!AG69-1))</f>
        <v>-0.00220208466090677</v>
      </c>
      <c r="E15" s="12">
        <f>IF(A15="","",(MAX(B$3:B15)-B15)/MAX(B$3:B15))</f>
        <v>0.04370403556897</v>
      </c>
      <c r="F15" s="12">
        <f>IF(A15="","",MAX(E$4:E15))</f>
        <v>0.04370403556897</v>
      </c>
      <c r="G15" s="13">
        <v>5</v>
      </c>
      <c r="H15" s="14" t="str">
        <f t="shared" si="3"/>
        <v>否</v>
      </c>
      <c r="I15" s="14" t="str">
        <f t="shared" si="0"/>
        <v>否</v>
      </c>
      <c r="J15" s="15" t="str">
        <f t="shared" si="1"/>
        <v>是</v>
      </c>
    </row>
    <row r="16" spans="1:10">
      <c r="A16" s="7">
        <f>IF(子基金及业绩基准周净值!A71="","",子基金及业绩基准周净值!A71)</f>
        <v>45954</v>
      </c>
      <c r="B16" s="1">
        <f>IF(A16="","",VLOOKUP($A16,子基金及业绩基准周净值!$A:$AV,28))</f>
        <v>0.9605</v>
      </c>
      <c r="C16" s="8">
        <f t="shared" si="2"/>
        <v>0.00439192721949166</v>
      </c>
      <c r="D16" s="9">
        <f>IF(A16="","",C16-(子基金及业绩基准周净值!AG71/子基金及业绩基准周净值!AG70-1))</f>
        <v>-0.0025677885597879</v>
      </c>
      <c r="E16" s="12">
        <f>IF(A16="","",(MAX(B$3:B16)-B16)/MAX(B$3:B16))</f>
        <v>0.0395040532928952</v>
      </c>
      <c r="F16" s="12">
        <f>IF(A16="","",MAX(E$4:E16))</f>
        <v>0.04370403556897</v>
      </c>
      <c r="G16" s="13">
        <v>6</v>
      </c>
      <c r="H16" s="14" t="str">
        <f t="shared" si="3"/>
        <v>否</v>
      </c>
      <c r="I16" s="14" t="str">
        <f t="shared" si="0"/>
        <v>否</v>
      </c>
      <c r="J16" s="15" t="str">
        <f t="shared" si="1"/>
        <v>是</v>
      </c>
    </row>
    <row r="17" spans="1:10">
      <c r="A17" s="7">
        <f>IF(子基金及业绩基准周净值!A72="","",子基金及业绩基准周净值!A72)</f>
        <v>45961</v>
      </c>
      <c r="B17" s="1">
        <f>IF(A17="","",VLOOKUP($A17,子基金及业绩基准周净值!$A:$AV,28))</f>
        <v>0.9566</v>
      </c>
      <c r="C17" s="8">
        <f t="shared" si="2"/>
        <v>-0.00406038521603336</v>
      </c>
      <c r="D17" s="9">
        <f>IF(A17="","",C17-(子基金及业绩基准周净值!AG72/子基金及业绩基准周净值!AG71-1))</f>
        <v>-0.00134427056181108</v>
      </c>
      <c r="E17" s="12">
        <f>IF(A17="","",(MAX(B$3:B17)-B17)/MAX(B$3:B17))</f>
        <v>0.0434040368349647</v>
      </c>
      <c r="F17" s="12">
        <f>IF(A17="","",MAX(E$4:E17))</f>
        <v>0.04370403556897</v>
      </c>
      <c r="G17" s="13">
        <v>7</v>
      </c>
      <c r="H17" s="14" t="str">
        <f t="shared" si="3"/>
        <v>否</v>
      </c>
      <c r="I17" s="14" t="str">
        <f t="shared" si="0"/>
        <v>否</v>
      </c>
      <c r="J17" s="15" t="str">
        <f t="shared" si="1"/>
        <v>是</v>
      </c>
    </row>
    <row r="18" spans="1:10">
      <c r="A18" s="7" t="str">
        <f>IF(子基金及业绩基准周净值!A73="","",子基金及业绩基准周净值!A73)</f>
        <v/>
      </c>
      <c r="B18" s="1" t="str">
        <f>IF(A18="","",VLOOKUP($A18,子基金及业绩基准周净值!$A:$AV,28))</f>
        <v/>
      </c>
      <c r="C18" s="8" t="str">
        <f t="shared" si="2"/>
        <v/>
      </c>
      <c r="D18" s="9" t="str">
        <f>IF(A18="","",C18-(子基金及业绩基准周净值!AG73/子基金及业绩基准周净值!AG72-1))</f>
        <v/>
      </c>
      <c r="E18" s="12" t="str">
        <f>IF(A18="","",(MAX(B$3:B18)-B18)/MAX(B$3:B18))</f>
        <v/>
      </c>
      <c r="F18" s="12" t="str">
        <f>IF(A18="","",MAX(E$4:E18))</f>
        <v/>
      </c>
      <c r="G18" s="13"/>
      <c r="H18" s="14" t="str">
        <f t="shared" si="3"/>
        <v/>
      </c>
      <c r="I18" s="14" t="str">
        <f t="shared" si="0"/>
        <v/>
      </c>
      <c r="J18" s="15" t="str">
        <f t="shared" si="1"/>
        <v/>
      </c>
    </row>
    <row r="19" spans="1:10">
      <c r="A19" s="7" t="str">
        <f>IF(子基金及业绩基准周净值!A74="","",子基金及业绩基准周净值!A74)</f>
        <v/>
      </c>
      <c r="B19" s="1" t="str">
        <f>IF(A19="","",VLOOKUP($A19,子基金及业绩基准周净值!$A:$AV,28))</f>
        <v/>
      </c>
      <c r="C19" s="8" t="str">
        <f t="shared" si="2"/>
        <v/>
      </c>
      <c r="D19" s="9" t="str">
        <f>IF(A19="","",C19-(子基金及业绩基准周净值!AG74/子基金及业绩基准周净值!AG73-1))</f>
        <v/>
      </c>
      <c r="E19" s="12" t="str">
        <f>IF(A19="","",(MAX(B$3:B19)-B19)/MAX(B$3:B19))</f>
        <v/>
      </c>
      <c r="F19" s="12" t="str">
        <f>IF(A19="","",MAX(E$4:E19))</f>
        <v/>
      </c>
      <c r="G19" s="13"/>
      <c r="H19" s="14" t="str">
        <f t="shared" si="3"/>
        <v/>
      </c>
      <c r="I19" s="14" t="str">
        <f t="shared" si="0"/>
        <v/>
      </c>
      <c r="J19" s="15" t="str">
        <f t="shared" si="1"/>
        <v/>
      </c>
    </row>
    <row r="20" spans="1:10">
      <c r="A20" s="7" t="str">
        <f>IF(子基金及业绩基准周净值!A75="","",子基金及业绩基准周净值!A75)</f>
        <v/>
      </c>
      <c r="B20" s="1" t="str">
        <f>IF(A20="","",VLOOKUP($A20,子基金及业绩基准周净值!$A:$AV,28))</f>
        <v/>
      </c>
      <c r="C20" s="8" t="str">
        <f t="shared" si="2"/>
        <v/>
      </c>
      <c r="D20" s="9" t="str">
        <f>IF(A20="","",C20-(子基金及业绩基准周净值!AG75/子基金及业绩基准周净值!AG74-1))</f>
        <v/>
      </c>
      <c r="E20" s="12" t="str">
        <f>IF(A20="","",(MAX(B$3:B20)-B20)/MAX(B$3:B20))</f>
        <v/>
      </c>
      <c r="F20" s="12" t="str">
        <f>IF(A20="","",MAX(E$4:E20))</f>
        <v/>
      </c>
      <c r="G20" s="13"/>
      <c r="H20" s="14" t="str">
        <f t="shared" si="3"/>
        <v/>
      </c>
      <c r="I20" s="14" t="str">
        <f t="shared" si="0"/>
        <v/>
      </c>
      <c r="J20" s="15" t="str">
        <f t="shared" si="1"/>
        <v/>
      </c>
    </row>
    <row r="21" spans="1:10">
      <c r="A21" s="7" t="str">
        <f>IF(子基金及业绩基准周净值!A76="","",子基金及业绩基准周净值!A76)</f>
        <v/>
      </c>
      <c r="B21" s="1" t="str">
        <f>IF(A21="","",VLOOKUP($A21,子基金及业绩基准周净值!$A:$AV,28))</f>
        <v/>
      </c>
      <c r="C21" s="8" t="str">
        <f t="shared" si="2"/>
        <v/>
      </c>
      <c r="D21" s="9" t="str">
        <f>IF(A21="","",C21-(子基金及业绩基准周净值!AG76/子基金及业绩基准周净值!AG75-1))</f>
        <v/>
      </c>
      <c r="E21" s="12" t="str">
        <f>IF(A21="","",(MAX(B$3:B21)-B21)/MAX(B$3:B21))</f>
        <v/>
      </c>
      <c r="F21" s="12" t="str">
        <f>IF(A21="","",MAX(E$4:E21))</f>
        <v/>
      </c>
      <c r="G21" s="20"/>
      <c r="H21" s="14" t="str">
        <f t="shared" si="3"/>
        <v/>
      </c>
      <c r="I21" s="14" t="str">
        <f t="shared" si="0"/>
        <v/>
      </c>
      <c r="J21" s="15" t="str">
        <f t="shared" si="1"/>
        <v/>
      </c>
    </row>
    <row r="22" spans="1:10">
      <c r="A22" s="7" t="str">
        <f>IF(子基金及业绩基准周净值!A77="","",子基金及业绩基准周净值!A77)</f>
        <v/>
      </c>
      <c r="B22" s="1" t="str">
        <f>IF(A22="","",VLOOKUP($A22,子基金及业绩基准周净值!$A:$AV,28))</f>
        <v/>
      </c>
      <c r="C22" s="8" t="str">
        <f t="shared" si="2"/>
        <v/>
      </c>
      <c r="D22" s="9" t="str">
        <f>IF(A22="","",C22-(子基金及业绩基准周净值!AG77/子基金及业绩基准周净值!AG76-1))</f>
        <v/>
      </c>
      <c r="E22" s="12" t="str">
        <f>IF(A22="","",(MAX(B$3:B22)-B22)/MAX(B$3:B22))</f>
        <v/>
      </c>
      <c r="F22" s="12" t="str">
        <f>IF(A22="","",MAX(E$4:E22))</f>
        <v/>
      </c>
      <c r="G22" s="13"/>
      <c r="H22" s="14" t="str">
        <f t="shared" si="3"/>
        <v/>
      </c>
      <c r="I22" s="14" t="str">
        <f t="shared" si="0"/>
        <v/>
      </c>
      <c r="J22" s="15" t="str">
        <f t="shared" si="1"/>
        <v/>
      </c>
    </row>
    <row r="23" spans="1:10">
      <c r="A23" s="7" t="str">
        <f>IF(子基金及业绩基准周净值!A78="","",子基金及业绩基准周净值!A78)</f>
        <v/>
      </c>
      <c r="B23" s="1" t="str">
        <f>IF(A23="","",VLOOKUP($A23,子基金及业绩基准周净值!$A:$AV,28))</f>
        <v/>
      </c>
      <c r="C23" s="8" t="str">
        <f t="shared" si="2"/>
        <v/>
      </c>
      <c r="D23" s="9" t="str">
        <f>IF(A23="","",C23-(子基金及业绩基准周净值!AG78/子基金及业绩基准周净值!AG77-1))</f>
        <v/>
      </c>
      <c r="E23" s="12" t="str">
        <f>IF(A23="","",(MAX(B$3:B23)-B23)/MAX(B$3:B23))</f>
        <v/>
      </c>
      <c r="F23" s="12" t="str">
        <f>IF(A23="","",MAX(E$4:E23))</f>
        <v/>
      </c>
      <c r="G23" s="13"/>
      <c r="H23" s="14" t="str">
        <f t="shared" si="3"/>
        <v/>
      </c>
      <c r="I23" s="14" t="str">
        <f t="shared" si="0"/>
        <v/>
      </c>
      <c r="J23" s="15" t="str">
        <f t="shared" si="1"/>
        <v/>
      </c>
    </row>
    <row r="24" spans="1:10">
      <c r="A24" s="7" t="str">
        <f>IF(子基金及业绩基准周净值!A79="","",子基金及业绩基准周净值!A79)</f>
        <v/>
      </c>
      <c r="B24" s="1" t="str">
        <f>IF(A24="","",VLOOKUP($A24,子基金及业绩基准周净值!$A:$AV,28))</f>
        <v/>
      </c>
      <c r="C24" s="8" t="str">
        <f t="shared" si="2"/>
        <v/>
      </c>
      <c r="D24" s="9" t="str">
        <f>IF(A24="","",C24-(子基金及业绩基准周净值!AG79/子基金及业绩基准周净值!AG78-1))</f>
        <v/>
      </c>
      <c r="E24" s="12" t="str">
        <f>IF(A24="","",(MAX(B$3:B24)-B24)/MAX(B$3:B24))</f>
        <v/>
      </c>
      <c r="F24" s="12" t="str">
        <f>IF(A24="","",MAX(E$4:E24))</f>
        <v/>
      </c>
      <c r="G24" s="13"/>
      <c r="H24" s="14" t="str">
        <f t="shared" si="3"/>
        <v/>
      </c>
      <c r="I24" s="14" t="str">
        <f t="shared" si="0"/>
        <v/>
      </c>
      <c r="J24" s="15" t="str">
        <f t="shared" si="1"/>
        <v/>
      </c>
    </row>
    <row r="25" spans="1:10">
      <c r="A25" s="7" t="str">
        <f>IF(子基金及业绩基准周净值!A80="","",子基金及业绩基准周净值!A80)</f>
        <v/>
      </c>
      <c r="B25" s="1" t="str">
        <f>IF(A25="","",VLOOKUP($A25,子基金及业绩基准周净值!$A:$AV,28))</f>
        <v/>
      </c>
      <c r="C25" s="8" t="str">
        <f t="shared" si="2"/>
        <v/>
      </c>
      <c r="D25" s="9" t="str">
        <f>IF(A25="","",C25-(子基金及业绩基准周净值!AG80/子基金及业绩基准周净值!AG79-1))</f>
        <v/>
      </c>
      <c r="E25" s="12" t="str">
        <f>IF(A25="","",(MAX(B$3:B25)-B25)/MAX(B$3:B25))</f>
        <v/>
      </c>
      <c r="F25" s="12" t="str">
        <f>IF(A25="","",MAX(E$4:E25))</f>
        <v/>
      </c>
      <c r="G25" s="13"/>
      <c r="H25" s="14" t="str">
        <f t="shared" si="3"/>
        <v/>
      </c>
      <c r="I25" s="14" t="str">
        <f t="shared" si="0"/>
        <v/>
      </c>
      <c r="J25" s="15" t="str">
        <f t="shared" si="1"/>
        <v/>
      </c>
    </row>
    <row r="26" spans="1:10">
      <c r="A26" s="7" t="str">
        <f>IF(子基金及业绩基准周净值!A81="","",子基金及业绩基准周净值!A81)</f>
        <v/>
      </c>
      <c r="B26" s="1" t="str">
        <f>IF(A26="","",VLOOKUP($A26,子基金及业绩基准周净值!$A:$AV,28))</f>
        <v/>
      </c>
      <c r="C26" s="8" t="str">
        <f t="shared" si="2"/>
        <v/>
      </c>
      <c r="D26" s="9" t="str">
        <f>IF(A26="","",C26-(子基金及业绩基准周净值!AG81/子基金及业绩基准周净值!AG80-1))</f>
        <v/>
      </c>
      <c r="E26" s="12" t="str">
        <f>IF(A26="","",(MAX(B$3:B26)-B26)/MAX(B$3:B26))</f>
        <v/>
      </c>
      <c r="F26" s="12" t="str">
        <f>IF(A26="","",MAX(E$4:E26))</f>
        <v/>
      </c>
      <c r="G26" s="13"/>
      <c r="H26" s="14" t="str">
        <f t="shared" si="3"/>
        <v/>
      </c>
      <c r="I26" s="14" t="str">
        <f t="shared" si="0"/>
        <v/>
      </c>
      <c r="J26" s="15" t="str">
        <f t="shared" si="1"/>
        <v/>
      </c>
    </row>
    <row r="27" spans="1:10">
      <c r="A27" s="7" t="str">
        <f>IF(子基金及业绩基准周净值!A82="","",子基金及业绩基准周净值!A82)</f>
        <v/>
      </c>
      <c r="B27" s="1" t="str">
        <f>IF(A27="","",VLOOKUP($A27,子基金及业绩基准周净值!$A:$AV,28))</f>
        <v/>
      </c>
      <c r="C27" s="8" t="str">
        <f t="shared" si="2"/>
        <v/>
      </c>
      <c r="D27" s="9" t="str">
        <f>IF(A27="","",C27-(子基金及业绩基准周净值!AG82/子基金及业绩基准周净值!AG81-1))</f>
        <v/>
      </c>
      <c r="E27" s="12" t="str">
        <f>IF(A27="","",(MAX(B$3:B27)-B27)/MAX(B$3:B27))</f>
        <v/>
      </c>
      <c r="F27" s="12" t="str">
        <f>IF(A27="","",MAX(E$4:E27))</f>
        <v/>
      </c>
      <c r="G27" s="13"/>
      <c r="H27" s="14" t="str">
        <f t="shared" si="3"/>
        <v/>
      </c>
      <c r="I27" s="14" t="str">
        <f t="shared" si="0"/>
        <v/>
      </c>
      <c r="J27" s="15" t="str">
        <f t="shared" si="1"/>
        <v/>
      </c>
    </row>
    <row r="28" spans="1:10">
      <c r="A28" s="7" t="str">
        <f>IF(子基金及业绩基准周净值!A83="","",子基金及业绩基准周净值!A83)</f>
        <v/>
      </c>
      <c r="B28" s="1" t="str">
        <f>IF(A28="","",VLOOKUP($A28,子基金及业绩基准周净值!$A:$AV,28))</f>
        <v/>
      </c>
      <c r="C28" s="8" t="str">
        <f t="shared" si="2"/>
        <v/>
      </c>
      <c r="D28" s="9" t="str">
        <f>IF(A28="","",C28-(子基金及业绩基准周净值!AG83/子基金及业绩基准周净值!AG82-1))</f>
        <v/>
      </c>
      <c r="E28" s="12" t="str">
        <f>IF(A28="","",(MAX(B$3:B28)-B28)/MAX(B$3:B28))</f>
        <v/>
      </c>
      <c r="F28" s="12" t="str">
        <f>IF(A28="","",MAX(E$4:E28))</f>
        <v/>
      </c>
      <c r="G28" s="13"/>
      <c r="H28" s="14" t="str">
        <f t="shared" si="3"/>
        <v/>
      </c>
      <c r="I28" s="14" t="str">
        <f t="shared" si="0"/>
        <v/>
      </c>
      <c r="J28" s="15" t="str">
        <f t="shared" si="1"/>
        <v/>
      </c>
    </row>
    <row r="29" spans="1:10">
      <c r="A29" s="7" t="str">
        <f>IF(子基金及业绩基准周净值!A84="","",子基金及业绩基准周净值!A84)</f>
        <v/>
      </c>
      <c r="B29" s="1" t="str">
        <f>IF(A29="","",VLOOKUP($A29,子基金及业绩基准周净值!$A:$AV,28))</f>
        <v/>
      </c>
      <c r="C29" s="8" t="str">
        <f t="shared" si="2"/>
        <v/>
      </c>
      <c r="D29" s="9" t="str">
        <f>IF(A29="","",C29-(子基金及业绩基准周净值!AG84/子基金及业绩基准周净值!AG83-1))</f>
        <v/>
      </c>
      <c r="E29" s="12" t="str">
        <f>IF(A29="","",(MAX(B$3:B29)-B29)/MAX(B$3:B29))</f>
        <v/>
      </c>
      <c r="F29" s="12" t="str">
        <f>IF(A29="","",MAX(E$4:E29))</f>
        <v/>
      </c>
      <c r="G29" s="13"/>
      <c r="H29" s="14" t="str">
        <f t="shared" si="3"/>
        <v/>
      </c>
      <c r="I29" s="14" t="str">
        <f t="shared" si="0"/>
        <v/>
      </c>
      <c r="J29" s="15" t="str">
        <f t="shared" si="1"/>
        <v/>
      </c>
    </row>
    <row r="30" spans="1:10">
      <c r="A30" s="7" t="str">
        <f>IF(子基金及业绩基准周净值!A85="","",子基金及业绩基准周净值!A85)</f>
        <v/>
      </c>
      <c r="B30" s="1" t="str">
        <f>IF(A30="","",VLOOKUP($A30,子基金及业绩基准周净值!$A:$AV,28))</f>
        <v/>
      </c>
      <c r="C30" s="8" t="str">
        <f t="shared" si="2"/>
        <v/>
      </c>
      <c r="D30" s="9" t="str">
        <f>IF(A30="","",C30-(子基金及业绩基准周净值!AG85/子基金及业绩基准周净值!AG84-1))</f>
        <v/>
      </c>
      <c r="E30" s="12" t="str">
        <f>IF(A30="","",(MAX(B$3:B30)-B30)/MAX(B$3:B30))</f>
        <v/>
      </c>
      <c r="F30" s="12" t="str">
        <f>IF(A30="","",MAX(E$4:E30))</f>
        <v/>
      </c>
      <c r="G30" s="13"/>
      <c r="H30" s="14" t="str">
        <f t="shared" si="3"/>
        <v/>
      </c>
      <c r="I30" s="14" t="str">
        <f t="shared" si="0"/>
        <v/>
      </c>
      <c r="J30" s="15" t="str">
        <f t="shared" si="1"/>
        <v/>
      </c>
    </row>
    <row r="31" spans="1:10">
      <c r="A31" s="7" t="str">
        <f>IF(子基金及业绩基准周净值!A86="","",子基金及业绩基准周净值!A86)</f>
        <v/>
      </c>
      <c r="B31" s="1" t="str">
        <f>IF(A31="","",VLOOKUP($A31,子基金及业绩基准周净值!$A:$AV,28))</f>
        <v/>
      </c>
      <c r="C31" s="8" t="str">
        <f t="shared" si="2"/>
        <v/>
      </c>
      <c r="D31" s="9" t="str">
        <f>IF(A31="","",C31-(子基金及业绩基准周净值!AG86/子基金及业绩基准周净值!AG85-1))</f>
        <v/>
      </c>
      <c r="E31" s="12" t="str">
        <f>IF(A31="","",(MAX(B$3:B31)-B31)/MAX(B$3:B31))</f>
        <v/>
      </c>
      <c r="F31" s="12" t="str">
        <f>IF(A31="","",MAX(E$4:E31))</f>
        <v/>
      </c>
      <c r="G31" s="13"/>
      <c r="H31" s="14" t="str">
        <f t="shared" si="3"/>
        <v/>
      </c>
      <c r="I31" s="14" t="str">
        <f t="shared" si="0"/>
        <v/>
      </c>
      <c r="J31" s="15" t="str">
        <f t="shared" si="1"/>
        <v/>
      </c>
    </row>
    <row r="32" spans="1:10">
      <c r="A32" s="7" t="str">
        <f>IF(子基金及业绩基准周净值!A87="","",子基金及业绩基准周净值!A87)</f>
        <v/>
      </c>
      <c r="B32" s="1" t="str">
        <f>IF(A32="","",VLOOKUP($A32,子基金及业绩基准周净值!$A:$AV,28))</f>
        <v/>
      </c>
      <c r="C32" s="8" t="str">
        <f t="shared" si="2"/>
        <v/>
      </c>
      <c r="D32" s="9" t="str">
        <f>IF(A32="","",C32-(子基金及业绩基准周净值!AG87/子基金及业绩基准周净值!AG86-1))</f>
        <v/>
      </c>
      <c r="E32" s="12" t="str">
        <f>IF(A32="","",(MAX(B$3:B32)-B32)/MAX(B$3:B32))</f>
        <v/>
      </c>
      <c r="F32" s="12" t="str">
        <f>IF(A32="","",MAX(E$4:E32))</f>
        <v/>
      </c>
      <c r="G32" s="13"/>
      <c r="H32" s="14" t="str">
        <f t="shared" si="3"/>
        <v/>
      </c>
      <c r="I32" s="14" t="str">
        <f t="shared" si="0"/>
        <v/>
      </c>
      <c r="J32" s="15" t="str">
        <f t="shared" si="1"/>
        <v/>
      </c>
    </row>
    <row r="33" spans="1:10">
      <c r="A33" s="7" t="str">
        <f>IF(子基金及业绩基准周净值!A88="","",子基金及业绩基准周净值!A88)</f>
        <v/>
      </c>
      <c r="B33" s="1" t="str">
        <f>IF(A33="","",VLOOKUP($A33,子基金及业绩基准周净值!$A:$AV,28))</f>
        <v/>
      </c>
      <c r="C33" s="8" t="str">
        <f t="shared" si="2"/>
        <v/>
      </c>
      <c r="D33" s="9" t="str">
        <f>IF(A33="","",C33-(子基金及业绩基准周净值!AG88/子基金及业绩基准周净值!AG87-1))</f>
        <v/>
      </c>
      <c r="E33" s="12" t="str">
        <f>IF(A33="","",(MAX(B$3:B33)-B33)/MAX(B$3:B33))</f>
        <v/>
      </c>
      <c r="F33" s="12" t="str">
        <f>IF(A33="","",MAX(E$4:E33))</f>
        <v/>
      </c>
      <c r="G33" s="13"/>
      <c r="H33" s="14" t="str">
        <f t="shared" si="3"/>
        <v/>
      </c>
      <c r="I33" s="14" t="str">
        <f t="shared" si="0"/>
        <v/>
      </c>
      <c r="J33" s="15" t="str">
        <f t="shared" si="1"/>
        <v/>
      </c>
    </row>
    <row r="34" spans="1:10">
      <c r="A34" s="7" t="str">
        <f>IF(子基金及业绩基准周净值!A89="","",子基金及业绩基准周净值!A89)</f>
        <v/>
      </c>
      <c r="B34" s="1" t="str">
        <f>IF(A34="","",VLOOKUP($A34,子基金及业绩基准周净值!$A:$AV,28))</f>
        <v/>
      </c>
      <c r="C34" s="8" t="str">
        <f t="shared" si="2"/>
        <v/>
      </c>
      <c r="D34" s="9" t="str">
        <f>IF(A34="","",C34-(子基金及业绩基准周净值!AG89/子基金及业绩基准周净值!AG88-1))</f>
        <v/>
      </c>
      <c r="E34" s="12" t="str">
        <f>IF(A34="","",(MAX(B$3:B34)-B34)/MAX(B$3:B34))</f>
        <v/>
      </c>
      <c r="F34" s="12" t="str">
        <f>IF(A34="","",MAX(E$4:E34))</f>
        <v/>
      </c>
      <c r="G34" s="13"/>
      <c r="H34" s="14" t="str">
        <f t="shared" si="3"/>
        <v/>
      </c>
      <c r="I34" s="14" t="str">
        <f t="shared" si="0"/>
        <v/>
      </c>
      <c r="J34" s="15" t="str">
        <f t="shared" si="1"/>
        <v/>
      </c>
    </row>
    <row r="35" spans="1:10">
      <c r="A35" s="7" t="str">
        <f>IF(子基金及业绩基准周净值!A90="","",子基金及业绩基准周净值!A90)</f>
        <v/>
      </c>
      <c r="B35" s="1" t="str">
        <f>IF(A35="","",VLOOKUP($A35,子基金及业绩基准周净值!$A:$AV,28))</f>
        <v/>
      </c>
      <c r="C35" s="8" t="str">
        <f t="shared" si="2"/>
        <v/>
      </c>
      <c r="D35" s="9" t="str">
        <f>IF(A35="","",C35-(子基金及业绩基准周净值!AG90/子基金及业绩基准周净值!AG89-1))</f>
        <v/>
      </c>
      <c r="E35" s="12" t="str">
        <f>IF(A35="","",(MAX(B$3:B35)-B35)/MAX(B$3:B35))</f>
        <v/>
      </c>
      <c r="F35" s="12" t="str">
        <f>IF(A35="","",MAX(E$4:E35))</f>
        <v/>
      </c>
      <c r="G35" s="13"/>
      <c r="H35" s="14" t="str">
        <f t="shared" si="3"/>
        <v/>
      </c>
      <c r="I35" s="14" t="str">
        <f t="shared" si="0"/>
        <v/>
      </c>
      <c r="J35" s="15" t="str">
        <f t="shared" si="1"/>
        <v/>
      </c>
    </row>
    <row r="36" spans="1:10">
      <c r="A36" s="7" t="str">
        <f>IF(子基金及业绩基准周净值!A91="","",子基金及业绩基准周净值!A91)</f>
        <v/>
      </c>
      <c r="B36" s="1" t="str">
        <f>IF(A36="","",VLOOKUP($A36,子基金及业绩基准周净值!$A:$AV,28))</f>
        <v/>
      </c>
      <c r="C36" s="8" t="str">
        <f t="shared" si="2"/>
        <v/>
      </c>
      <c r="D36" s="9" t="str">
        <f>IF(A36="","",C36-(子基金及业绩基准周净值!AG91/子基金及业绩基准周净值!AG90-1))</f>
        <v/>
      </c>
      <c r="E36" s="12" t="str">
        <f>IF(A36="","",(MAX(B$3:B36)-B36)/MAX(B$3:B36))</f>
        <v/>
      </c>
      <c r="F36" s="12" t="str">
        <f>IF(A36="","",MAX(E$4:E36))</f>
        <v/>
      </c>
      <c r="G36" s="13"/>
      <c r="H36" s="14" t="str">
        <f t="shared" si="3"/>
        <v/>
      </c>
      <c r="I36" s="14" t="str">
        <f t="shared" si="0"/>
        <v/>
      </c>
      <c r="J36" s="15" t="str">
        <f t="shared" si="1"/>
        <v/>
      </c>
    </row>
    <row r="37" spans="1:10">
      <c r="A37" s="7" t="str">
        <f>IF(子基金及业绩基准周净值!A92="","",子基金及业绩基准周净值!A92)</f>
        <v/>
      </c>
      <c r="B37" s="1" t="str">
        <f>IF(A37="","",VLOOKUP($A37,子基金及业绩基准周净值!$A:$AV,28))</f>
        <v/>
      </c>
      <c r="C37" s="8" t="str">
        <f t="shared" si="2"/>
        <v/>
      </c>
      <c r="D37" s="9" t="str">
        <f>IF(A37="","",C37-(子基金及业绩基准周净值!AG92/子基金及业绩基准周净值!AG91-1))</f>
        <v/>
      </c>
      <c r="E37" s="12" t="str">
        <f>IF(A37="","",(MAX(B$3:B37)-B37)/MAX(B$3:B37))</f>
        <v/>
      </c>
      <c r="F37" s="12" t="str">
        <f>IF(A37="","",MAX(E$4:E37))</f>
        <v/>
      </c>
      <c r="G37" s="13"/>
      <c r="H37" s="14" t="str">
        <f t="shared" ref="H37:H53" si="4">IF(B37="","",IF(C37&lt;-3%,"是","否"))</f>
        <v/>
      </c>
      <c r="I37" s="14" t="str">
        <f t="shared" si="0"/>
        <v/>
      </c>
      <c r="J37" s="15" t="str">
        <f t="shared" si="1"/>
        <v/>
      </c>
    </row>
    <row r="38" spans="1:10">
      <c r="A38" s="7" t="str">
        <f>IF(子基金及业绩基准周净值!A93="","",子基金及业绩基准周净值!A93)</f>
        <v/>
      </c>
      <c r="B38" s="1" t="str">
        <f>IF(A38="","",VLOOKUP($A38,子基金及业绩基准周净值!$A:$AV,28))</f>
        <v/>
      </c>
      <c r="C38" s="8" t="str">
        <f t="shared" si="2"/>
        <v/>
      </c>
      <c r="D38" s="9" t="str">
        <f>IF(A38="","",C38-(子基金及业绩基准周净值!AG93/子基金及业绩基准周净值!AG92-1))</f>
        <v/>
      </c>
      <c r="E38" s="12" t="str">
        <f>IF(A38="","",(MAX(B$3:B38)-B38)/MAX(B$3:B38))</f>
        <v/>
      </c>
      <c r="F38" s="12" t="str">
        <f>IF(A38="","",MAX(E$4:E38))</f>
        <v/>
      </c>
      <c r="G38" s="13"/>
      <c r="H38" s="14" t="str">
        <f t="shared" si="4"/>
        <v/>
      </c>
      <c r="I38" s="14" t="str">
        <f t="shared" si="0"/>
        <v/>
      </c>
      <c r="J38" s="15" t="str">
        <f t="shared" si="1"/>
        <v/>
      </c>
    </row>
    <row r="39" spans="1:10">
      <c r="A39" s="7" t="str">
        <f>IF(子基金及业绩基准周净值!A94="","",子基金及业绩基准周净值!A94)</f>
        <v/>
      </c>
      <c r="B39" s="1" t="str">
        <f>IF(A39="","",VLOOKUP($A39,子基金及业绩基准周净值!$A:$AV,28))</f>
        <v/>
      </c>
      <c r="C39" s="8" t="str">
        <f t="shared" si="2"/>
        <v/>
      </c>
      <c r="D39" s="9" t="str">
        <f>IF(A39="","",C39-(子基金及业绩基准周净值!AG94/子基金及业绩基准周净值!AG93-1))</f>
        <v/>
      </c>
      <c r="E39" s="12" t="str">
        <f>IF(A39="","",(MAX(B$3:B39)-B39)/MAX(B$3:B39))</f>
        <v/>
      </c>
      <c r="F39" s="12" t="str">
        <f>IF(A39="","",MAX(E$4:E39))</f>
        <v/>
      </c>
      <c r="G39" s="13"/>
      <c r="H39" s="14" t="str">
        <f t="shared" si="4"/>
        <v/>
      </c>
      <c r="I39" s="14" t="str">
        <f t="shared" si="0"/>
        <v/>
      </c>
      <c r="J39" s="15" t="str">
        <f t="shared" si="1"/>
        <v/>
      </c>
    </row>
    <row r="40" spans="1:10">
      <c r="A40" s="7" t="str">
        <f>IF(子基金及业绩基准周净值!A95="","",子基金及业绩基准周净值!A95)</f>
        <v/>
      </c>
      <c r="B40" s="1" t="str">
        <f>IF(A40="","",VLOOKUP($A40,子基金及业绩基准周净值!$A:$AV,28))</f>
        <v/>
      </c>
      <c r="C40" s="8" t="str">
        <f t="shared" si="2"/>
        <v/>
      </c>
      <c r="D40" s="9" t="str">
        <f>IF(A40="","",C40-(子基金及业绩基准周净值!AG95/子基金及业绩基准周净值!AG94-1))</f>
        <v/>
      </c>
      <c r="E40" s="12" t="str">
        <f>IF(A40="","",(MAX(B$3:B40)-B40)/MAX(B$3:B40))</f>
        <v/>
      </c>
      <c r="F40" s="12" t="str">
        <f>IF(A40="","",MAX(E$4:E40))</f>
        <v/>
      </c>
      <c r="G40" s="13"/>
      <c r="H40" s="14" t="str">
        <f t="shared" si="4"/>
        <v/>
      </c>
      <c r="I40" s="14" t="str">
        <f t="shared" si="0"/>
        <v/>
      </c>
      <c r="J40" s="15" t="str">
        <f t="shared" si="1"/>
        <v/>
      </c>
    </row>
    <row r="41" spans="1:10">
      <c r="A41" s="7" t="str">
        <f>IF(子基金及业绩基准周净值!A96="","",子基金及业绩基准周净值!A96)</f>
        <v/>
      </c>
      <c r="B41" s="1" t="str">
        <f>IF(A41="","",VLOOKUP($A41,子基金及业绩基准周净值!$A:$AV,28))</f>
        <v/>
      </c>
      <c r="C41" s="8" t="str">
        <f t="shared" si="2"/>
        <v/>
      </c>
      <c r="D41" s="9" t="str">
        <f>IF(A41="","",C41-(子基金及业绩基准周净值!AG96/子基金及业绩基准周净值!AG95-1))</f>
        <v/>
      </c>
      <c r="E41" s="12" t="str">
        <f>IF(A41="","",(MAX(B$3:B41)-B41)/MAX(B$3:B41))</f>
        <v/>
      </c>
      <c r="F41" s="12" t="str">
        <f>IF(A41="","",MAX(E$4:E41))</f>
        <v/>
      </c>
      <c r="G41" s="13"/>
      <c r="H41" s="14" t="str">
        <f t="shared" si="4"/>
        <v/>
      </c>
      <c r="I41" s="14" t="str">
        <f t="shared" si="0"/>
        <v/>
      </c>
      <c r="J41" s="15" t="str">
        <f t="shared" si="1"/>
        <v/>
      </c>
    </row>
    <row r="42" spans="1:10">
      <c r="A42" s="7"/>
      <c r="B42" s="1" t="str">
        <f>IF(A42="","",VLOOKUP($A42,子基金及业绩基准周净值!$A:$AV,28))</f>
        <v/>
      </c>
      <c r="C42" s="8" t="str">
        <f t="shared" si="2"/>
        <v/>
      </c>
      <c r="D42" s="9" t="str">
        <f>IF(A42="","",C42-(子基金及业绩基准周净值!AG97/子基金及业绩基准周净值!AG96-1))</f>
        <v/>
      </c>
      <c r="E42" s="12" t="str">
        <f>IF(A42="","",(MAX(B$3:B42)-B42)/MAX(B$3:B42))</f>
        <v/>
      </c>
      <c r="F42" s="12" t="str">
        <f>IF(A42="","",MAX(E$4:E42))</f>
        <v/>
      </c>
      <c r="G42" s="13"/>
      <c r="H42" s="14" t="str">
        <f t="shared" si="4"/>
        <v/>
      </c>
      <c r="I42" s="14" t="str">
        <f t="shared" si="0"/>
        <v/>
      </c>
      <c r="J42" s="15" t="str">
        <f t="shared" si="1"/>
        <v/>
      </c>
    </row>
    <row r="43" spans="1:10">
      <c r="A43" s="7"/>
      <c r="B43" s="1"/>
      <c r="C43" s="8"/>
      <c r="D43" s="9"/>
      <c r="E43" s="12" t="str">
        <f>IF(A43="","",(MAX(B$3:B43)-B43)/MAX(B$3:B43))</f>
        <v/>
      </c>
      <c r="F43" s="12" t="str">
        <f>IF(A43="","",MAX(E$4:E43))</f>
        <v/>
      </c>
      <c r="G43" s="13"/>
      <c r="H43" s="14" t="str">
        <f t="shared" si="4"/>
        <v/>
      </c>
      <c r="I43" s="14" t="str">
        <f t="shared" si="0"/>
        <v/>
      </c>
      <c r="J43" s="15" t="str">
        <f t="shared" si="1"/>
        <v/>
      </c>
    </row>
    <row r="44" spans="1:10">
      <c r="A44" s="7"/>
      <c r="B44" s="1"/>
      <c r="C44" s="8"/>
      <c r="D44" s="9"/>
      <c r="E44" s="12" t="str">
        <f>IF(A44="","",(MAX(B$3:B44)-B44)/MAX(B$3:B44))</f>
        <v/>
      </c>
      <c r="F44" s="12" t="str">
        <f>IF(A44="","",MAX(E$4:E44))</f>
        <v/>
      </c>
      <c r="G44" s="13"/>
      <c r="H44" s="14" t="str">
        <f t="shared" si="4"/>
        <v/>
      </c>
      <c r="I44" s="14" t="str">
        <f t="shared" si="0"/>
        <v/>
      </c>
      <c r="J44" s="15" t="str">
        <f t="shared" si="1"/>
        <v/>
      </c>
    </row>
    <row r="45" spans="1:10">
      <c r="A45" s="7"/>
      <c r="B45" s="1"/>
      <c r="C45" s="8"/>
      <c r="D45" s="9"/>
      <c r="E45" s="12" t="str">
        <f>IF(A45="","",(MAX(B$3:B45)-B45)/MAX(B$3:B45))</f>
        <v/>
      </c>
      <c r="F45" s="12" t="str">
        <f>IF(A45="","",MAX(E$4:E45))</f>
        <v/>
      </c>
      <c r="G45" s="13"/>
      <c r="H45" s="14" t="str">
        <f t="shared" si="4"/>
        <v/>
      </c>
      <c r="I45" s="14" t="str">
        <f t="shared" si="0"/>
        <v/>
      </c>
      <c r="J45" s="15" t="str">
        <f t="shared" si="1"/>
        <v/>
      </c>
    </row>
    <row r="46" spans="1:10">
      <c r="A46" s="7"/>
      <c r="B46" s="1"/>
      <c r="C46" s="8"/>
      <c r="D46" s="9"/>
      <c r="E46" s="12" t="str">
        <f>IF(A46="","",(MAX(B$3:B46)-B46)/MAX(B$3:B46))</f>
        <v/>
      </c>
      <c r="F46" s="12" t="str">
        <f>IF(A46="","",MAX(E$4:E46))</f>
        <v/>
      </c>
      <c r="G46" s="13"/>
      <c r="H46" s="14" t="str">
        <f t="shared" si="4"/>
        <v/>
      </c>
      <c r="I46" s="14" t="str">
        <f t="shared" si="0"/>
        <v/>
      </c>
      <c r="J46" s="15" t="str">
        <f t="shared" si="1"/>
        <v/>
      </c>
    </row>
    <row r="47" spans="1:10">
      <c r="A47" s="7"/>
      <c r="B47" s="1"/>
      <c r="C47" s="8"/>
      <c r="D47" s="9"/>
      <c r="E47" s="12" t="str">
        <f>IF(A47="","",(MAX(B$3:B47)-B47)/MAX(B$3:B47))</f>
        <v/>
      </c>
      <c r="F47" s="12" t="str">
        <f>IF(A47="","",MAX(E$4:E47))</f>
        <v/>
      </c>
      <c r="G47" s="13"/>
      <c r="H47" s="14" t="str">
        <f t="shared" si="4"/>
        <v/>
      </c>
      <c r="I47" s="14" t="str">
        <f t="shared" si="0"/>
        <v/>
      </c>
      <c r="J47" s="15" t="str">
        <f t="shared" si="1"/>
        <v/>
      </c>
    </row>
    <row r="48" spans="1:10">
      <c r="A48" s="7"/>
      <c r="B48" s="1"/>
      <c r="C48" s="8"/>
      <c r="D48" s="9"/>
      <c r="E48" s="12" t="str">
        <f>IF(A48="","",(MAX(B$3:B48)-B48)/MAX(B$3:B48))</f>
        <v/>
      </c>
      <c r="F48" s="12" t="str">
        <f>IF(A48="","",MAX(E$4:E48))</f>
        <v/>
      </c>
      <c r="G48" s="13"/>
      <c r="H48" s="14" t="str">
        <f t="shared" si="4"/>
        <v/>
      </c>
      <c r="I48" s="14" t="str">
        <f t="shared" si="0"/>
        <v/>
      </c>
      <c r="J48" s="15" t="str">
        <f t="shared" si="1"/>
        <v/>
      </c>
    </row>
    <row r="49" spans="1:10">
      <c r="A49" s="7"/>
      <c r="B49" s="1"/>
      <c r="C49" s="8"/>
      <c r="D49" s="9"/>
      <c r="E49" s="12" t="str">
        <f>IF(A49="","",(MAX(B$3:B49)-B49)/MAX(B$3:B49))</f>
        <v/>
      </c>
      <c r="F49" s="12" t="str">
        <f>IF(A49="","",MAX(E$4:E49))</f>
        <v/>
      </c>
      <c r="G49" s="13"/>
      <c r="H49" s="14" t="str">
        <f t="shared" si="4"/>
        <v/>
      </c>
      <c r="I49" s="14" t="str">
        <f t="shared" si="0"/>
        <v/>
      </c>
      <c r="J49" s="15" t="str">
        <f t="shared" si="1"/>
        <v/>
      </c>
    </row>
    <row r="50" spans="1:10">
      <c r="A50" s="7"/>
      <c r="B50" s="1"/>
      <c r="C50" s="8"/>
      <c r="D50" s="9"/>
      <c r="E50" s="12" t="str">
        <f>IF(A50="","",(MAX(B$3:B50)-B50)/MAX(B$3:B50))</f>
        <v/>
      </c>
      <c r="F50" s="12" t="str">
        <f>IF(A50="","",MAX(E$4:E50))</f>
        <v/>
      </c>
      <c r="G50" s="13"/>
      <c r="H50" s="14" t="str">
        <f t="shared" si="4"/>
        <v/>
      </c>
      <c r="I50" s="14" t="str">
        <f t="shared" si="0"/>
        <v/>
      </c>
      <c r="J50" s="15" t="str">
        <f t="shared" si="1"/>
        <v/>
      </c>
    </row>
    <row r="51" spans="1:10">
      <c r="A51" s="7"/>
      <c r="B51" s="1"/>
      <c r="C51" s="8"/>
      <c r="D51" s="9"/>
      <c r="E51" s="12" t="str">
        <f>IF(A51="","",(MAX(B$3:B51)-B51)/MAX(B$3:B51))</f>
        <v/>
      </c>
      <c r="F51" s="12" t="str">
        <f>IF(A51="","",MAX(E$4:E51))</f>
        <v/>
      </c>
      <c r="G51" s="13"/>
      <c r="H51" s="14" t="str">
        <f t="shared" si="4"/>
        <v/>
      </c>
      <c r="I51" s="14" t="str">
        <f t="shared" si="0"/>
        <v/>
      </c>
      <c r="J51" s="15" t="str">
        <f t="shared" si="1"/>
        <v/>
      </c>
    </row>
    <row r="52" spans="1:10">
      <c r="A52" s="7"/>
      <c r="B52" s="1"/>
      <c r="C52" s="8"/>
      <c r="D52" s="9"/>
      <c r="E52" s="12" t="str">
        <f>IF(A52="","",(MAX(B$3:B52)-B52)/MAX(B$3:B52))</f>
        <v/>
      </c>
      <c r="F52" s="12" t="str">
        <f>IF(A52="","",MAX(E$4:E52))</f>
        <v/>
      </c>
      <c r="G52" s="13"/>
      <c r="H52" s="14" t="str">
        <f t="shared" si="4"/>
        <v/>
      </c>
      <c r="I52" s="14" t="str">
        <f t="shared" si="0"/>
        <v/>
      </c>
      <c r="J52" s="15" t="str">
        <f t="shared" si="1"/>
        <v/>
      </c>
    </row>
    <row r="53" spans="1:10">
      <c r="A53" s="7"/>
      <c r="B53" s="1"/>
      <c r="C53" s="8"/>
      <c r="D53" s="9"/>
      <c r="E53" s="12" t="str">
        <f>IF(A53="","",(MAX(B$3:B53)-B53)/MAX(B$3:B53))</f>
        <v/>
      </c>
      <c r="F53" s="12" t="str">
        <f>IF(A53="","",MAX(E$4:E53))</f>
        <v/>
      </c>
      <c r="G53" s="13"/>
      <c r="H53" s="14" t="str">
        <f t="shared" si="4"/>
        <v/>
      </c>
      <c r="I53" s="14" t="str">
        <f t="shared" si="0"/>
        <v/>
      </c>
      <c r="J53" s="15" t="str">
        <f t="shared" si="1"/>
        <v/>
      </c>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G137" s="13"/>
      <c r="H137" s="14"/>
      <c r="I137" s="14"/>
      <c r="J137" s="15"/>
    </row>
    <row r="138" spans="1:10">
      <c r="A138" s="7"/>
      <c r="B138" s="1"/>
      <c r="C138" s="8"/>
      <c r="D138" s="9"/>
      <c r="E138" s="12"/>
      <c r="F138" s="12"/>
      <c r="G138" s="13"/>
      <c r="H138" s="14"/>
      <c r="I138" s="14"/>
      <c r="J138" s="15"/>
    </row>
    <row r="139" spans="1:10">
      <c r="A139" s="7"/>
      <c r="B139" s="1"/>
      <c r="C139" s="8"/>
      <c r="D139" s="9"/>
      <c r="E139" s="12"/>
      <c r="F139" s="12"/>
      <c r="G139" s="13"/>
      <c r="H139" s="14"/>
      <c r="I139" s="14"/>
      <c r="J139" s="15"/>
    </row>
    <row r="140" spans="1:10">
      <c r="A140" s="7"/>
      <c r="B140" s="1"/>
      <c r="C140" s="8"/>
      <c r="D140" s="9"/>
      <c r="E140" s="12"/>
      <c r="F140" s="12"/>
      <c r="G140" s="13"/>
      <c r="H140" s="14"/>
      <c r="I140" s="14"/>
      <c r="J140" s="15"/>
    </row>
    <row r="141" spans="1:10">
      <c r="A141" s="7"/>
      <c r="B141" s="1"/>
      <c r="C141" s="8"/>
      <c r="D141" s="9"/>
      <c r="E141" s="12"/>
      <c r="F141" s="12"/>
      <c r="G141" s="13"/>
      <c r="H141" s="14"/>
      <c r="I141" s="14"/>
      <c r="J141" s="15"/>
    </row>
    <row r="142" spans="1:10">
      <c r="A142" s="7"/>
      <c r="B142" s="1"/>
      <c r="C142" s="8"/>
      <c r="D142" s="9"/>
      <c r="E142" s="12"/>
      <c r="F142" s="12"/>
      <c r="G142" s="13"/>
      <c r="H142" s="14"/>
      <c r="I142" s="14"/>
      <c r="J142" s="15"/>
    </row>
    <row r="143" spans="1:10">
      <c r="A143" s="7"/>
      <c r="B143" s="1"/>
      <c r="C143" s="8"/>
      <c r="D143" s="9"/>
      <c r="E143" s="12"/>
      <c r="F143" s="12"/>
      <c r="G143" s="13"/>
      <c r="H143" s="14"/>
      <c r="I143" s="14"/>
      <c r="J143" s="15"/>
    </row>
    <row r="144" spans="1:10">
      <c r="A144" s="7"/>
      <c r="B144" s="1"/>
      <c r="C144" s="8"/>
      <c r="D144" s="9"/>
      <c r="E144" s="12"/>
      <c r="F144" s="12"/>
      <c r="G144" s="13"/>
      <c r="H144" s="14"/>
      <c r="I144" s="14"/>
      <c r="J144" s="15"/>
    </row>
    <row r="145" spans="1:10">
      <c r="A145" s="7"/>
      <c r="B145" s="1"/>
      <c r="C145" s="8"/>
      <c r="D145" s="9"/>
      <c r="E145" s="12"/>
      <c r="F145" s="12"/>
      <c r="G145" s="13"/>
      <c r="H145" s="14"/>
      <c r="I145" s="14"/>
      <c r="J145" s="15"/>
    </row>
    <row r="146" spans="1:10">
      <c r="A146" s="7"/>
      <c r="B146" s="1"/>
      <c r="C146" s="8"/>
      <c r="D146" s="9"/>
      <c r="E146" s="12"/>
      <c r="F146" s="12"/>
      <c r="G146" s="13"/>
      <c r="H146" s="14"/>
      <c r="I146" s="14"/>
      <c r="J146" s="15"/>
    </row>
    <row r="147" spans="1:10">
      <c r="A147" s="7"/>
      <c r="B147" s="1"/>
      <c r="C147" s="8"/>
      <c r="D147" s="9"/>
      <c r="E147" s="12"/>
      <c r="F147" s="12"/>
      <c r="G147" s="13"/>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row r="298" spans="1:10">
      <c r="A298" s="7"/>
      <c r="B298" s="1"/>
      <c r="C298" s="8"/>
      <c r="D298" s="9"/>
      <c r="E298" s="12"/>
      <c r="F298" s="12"/>
      <c r="H298" s="14"/>
      <c r="I298" s="14"/>
      <c r="J298" s="15"/>
    </row>
    <row r="299" spans="1:10">
      <c r="A299" s="7"/>
      <c r="B299" s="1"/>
      <c r="C299" s="8"/>
      <c r="D299" s="9"/>
      <c r="E299" s="12"/>
      <c r="F299" s="12"/>
      <c r="H299" s="14"/>
      <c r="I299" s="14"/>
      <c r="J299" s="15"/>
    </row>
    <row r="300" spans="1:10">
      <c r="A300" s="7"/>
      <c r="B300" s="1"/>
      <c r="C300" s="8"/>
      <c r="D300" s="9"/>
      <c r="E300" s="12"/>
      <c r="F300" s="12"/>
      <c r="H300" s="14"/>
      <c r="I300" s="14"/>
      <c r="J300" s="15"/>
    </row>
    <row r="301" spans="1:10">
      <c r="A301" s="7"/>
      <c r="B301" s="1"/>
      <c r="C301" s="8"/>
      <c r="D301" s="9"/>
      <c r="E301" s="12"/>
      <c r="F301" s="12"/>
      <c r="H301" s="14"/>
      <c r="I301" s="14"/>
      <c r="J301" s="15"/>
    </row>
    <row r="302" spans="1:10">
      <c r="A302" s="7"/>
      <c r="B302" s="1"/>
      <c r="C302" s="8"/>
      <c r="D302" s="9"/>
      <c r="E302" s="12"/>
      <c r="F302" s="12"/>
      <c r="H302" s="14"/>
      <c r="I302" s="14"/>
      <c r="J302" s="15"/>
    </row>
    <row r="303" spans="1:10">
      <c r="A303" s="7"/>
      <c r="B303" s="1"/>
      <c r="C303" s="8"/>
      <c r="D303" s="9"/>
      <c r="E303" s="12"/>
      <c r="F303" s="12"/>
      <c r="H303" s="14"/>
      <c r="I303" s="14"/>
      <c r="J303" s="15"/>
    </row>
    <row r="304" spans="1:10">
      <c r="A304" s="7"/>
      <c r="B304" s="1"/>
      <c r="C304" s="8"/>
      <c r="D304" s="9"/>
      <c r="E304" s="12"/>
      <c r="F304" s="12"/>
      <c r="H304" s="14"/>
      <c r="I304" s="14"/>
      <c r="J304" s="15"/>
    </row>
    <row r="305" spans="1:10">
      <c r="A305" s="7"/>
      <c r="B305" s="1"/>
      <c r="C305" s="8"/>
      <c r="D305" s="9"/>
      <c r="E305" s="12"/>
      <c r="F305" s="12"/>
      <c r="H305" s="14"/>
      <c r="I305" s="14"/>
      <c r="J305" s="15"/>
    </row>
    <row r="306" spans="1:10">
      <c r="A306" s="7"/>
      <c r="B306" s="1"/>
      <c r="C306" s="8"/>
      <c r="D306" s="9"/>
      <c r="E306" s="12"/>
      <c r="F306" s="12"/>
      <c r="H306" s="14"/>
      <c r="I306" s="14"/>
      <c r="J306" s="15"/>
    </row>
    <row r="307" spans="1:10">
      <c r="A307" s="7"/>
      <c r="B307" s="1"/>
      <c r="C307" s="8"/>
      <c r="D307" s="9"/>
      <c r="E307" s="12"/>
      <c r="F307" s="12"/>
      <c r="H307" s="14"/>
      <c r="I307" s="14"/>
      <c r="J307" s="15"/>
    </row>
    <row r="308" spans="1:10">
      <c r="A308" s="7"/>
      <c r="B308" s="1"/>
      <c r="C308" s="8"/>
      <c r="D308" s="9"/>
      <c r="E308" s="12"/>
      <c r="F308" s="12"/>
      <c r="H308" s="14"/>
      <c r="I308" s="14"/>
      <c r="J308" s="15"/>
    </row>
  </sheetData>
  <conditionalFormatting sqref="H4:H53">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K303"/>
  <sheetViews>
    <sheetView workbookViewId="0">
      <selection activeCell="F19" sqref="F19"/>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66</v>
      </c>
      <c r="C2" s="5" t="s">
        <v>310</v>
      </c>
      <c r="D2" s="6" t="s">
        <v>311</v>
      </c>
      <c r="F2" s="5" t="s">
        <v>22</v>
      </c>
      <c r="G2" s="10" t="s">
        <v>312</v>
      </c>
      <c r="H2" s="11" t="s">
        <v>313</v>
      </c>
      <c r="I2" s="11" t="s">
        <v>314</v>
      </c>
      <c r="J2" s="11" t="s">
        <v>315</v>
      </c>
      <c r="K2" s="5" t="s">
        <v>316</v>
      </c>
    </row>
    <row r="3" spans="1:10">
      <c r="A3" s="7">
        <f>IF(子基金及业绩基准周净值!A63="","",子基金及业绩基准周净值!A63)</f>
        <v>45891</v>
      </c>
      <c r="B3" s="1">
        <f>IF(A3="","",VLOOKUP($A3,子基金及业绩基准周净值!$A:$AV,29))</f>
        <v>1.7387</v>
      </c>
      <c r="C3" s="8"/>
      <c r="D3" s="9"/>
      <c r="E3" s="12"/>
      <c r="F3" s="12"/>
      <c r="G3" s="13"/>
      <c r="H3" s="14"/>
      <c r="I3" s="14"/>
      <c r="J3" s="15"/>
    </row>
    <row r="4" spans="1:10">
      <c r="A4" s="7">
        <f>IF(子基金及业绩基准周净值!A64="","",子基金及业绩基准周净值!A64)</f>
        <v>45898</v>
      </c>
      <c r="B4" s="1">
        <f>IF(A4="","",VLOOKUP($A4,子基金及业绩基准周净值!$A:$AV,29))</f>
        <v>1.7411</v>
      </c>
      <c r="C4" s="8">
        <f>IF(B4="","",B4/B3-1)</f>
        <v>0.00138034163455458</v>
      </c>
      <c r="D4" s="9">
        <f>IF(A4="","",C4-子基金及业绩基准周净值!AL64)</f>
        <v>-0.00101965836544542</v>
      </c>
      <c r="E4" s="12">
        <f>IF(A4="","",(MAX(B$3:B4)-B4)/MAX(B$3:B4))</f>
        <v>0</v>
      </c>
      <c r="F4" s="12">
        <f>IF(A4="","",MAX(E$3:E4))</f>
        <v>0</v>
      </c>
      <c r="G4" s="13">
        <v>1</v>
      </c>
      <c r="H4" s="14" t="str">
        <f>IF(B4="","",IF(C4&lt;-3%,"是","否"))</f>
        <v>否</v>
      </c>
      <c r="I4" s="14" t="str">
        <f t="shared" ref="I4:I48" si="0">IF(A4="","",IF(F4&gt;5%,"是","否"))</f>
        <v>否</v>
      </c>
      <c r="J4" s="15" t="str">
        <f t="shared" ref="J4:J48" si="1">IF(A4="","",IF(G4&gt;=4,"是","否"))</f>
        <v>否</v>
      </c>
    </row>
    <row r="5" spans="1:10">
      <c r="A5" s="7">
        <f>IF(子基金及业绩基准周净值!A65="","",子基金及业绩基准周净值!A65)</f>
        <v>45905</v>
      </c>
      <c r="B5" s="1">
        <f>IF(A5="","",VLOOKUP($A5,子基金及业绩基准周净值!$A:$AV,29))</f>
        <v>1.7501</v>
      </c>
      <c r="C5" s="8">
        <f t="shared" ref="C5:C37" si="2">IF(B5="","",B5/B4-1)</f>
        <v>0.00516914594222029</v>
      </c>
      <c r="D5" s="9">
        <f>IF(A5="","",C5-子基金及业绩基准周净值!AL65)</f>
        <v>0.0157691459422203</v>
      </c>
      <c r="E5" s="12">
        <f>IF(A5="","",(MAX(B$3:B5)-B5)/MAX(B$3:B5))</f>
        <v>0</v>
      </c>
      <c r="F5" s="12">
        <f>IF(A5="","",MAX(E$3:E5))</f>
        <v>0</v>
      </c>
      <c r="G5" s="13">
        <v>0</v>
      </c>
      <c r="H5" s="14" t="str">
        <f t="shared" ref="H5:H48" si="3">IF(B5="","",IF(C5&lt;-3%,"是","否"))</f>
        <v>否</v>
      </c>
      <c r="I5" s="14" t="str">
        <f t="shared" si="0"/>
        <v>否</v>
      </c>
      <c r="J5" s="15" t="str">
        <f t="shared" si="1"/>
        <v>否</v>
      </c>
    </row>
    <row r="6" spans="1:10">
      <c r="A6" s="7">
        <f>IF(子基金及业绩基准周净值!A66="","",子基金及业绩基准周净值!A66)</f>
        <v>45912</v>
      </c>
      <c r="B6" s="1">
        <f>IF(A6="","",VLOOKUP($A6,子基金及业绩基准周净值!$A:$AV,29))</f>
        <v>1.7619</v>
      </c>
      <c r="C6" s="8">
        <f t="shared" si="2"/>
        <v>0.00674247185875099</v>
      </c>
      <c r="D6" s="9">
        <f>IF(A6="","",C6-子基金及业绩基准周净值!AL66)</f>
        <v>-0.013757528141249</v>
      </c>
      <c r="E6" s="12">
        <f>IF(A6="","",(MAX(B$3:B6)-B6)/MAX(B$3:B6))</f>
        <v>0</v>
      </c>
      <c r="F6" s="12">
        <f>IF(A6="","",MAX(E$3:E6))</f>
        <v>0</v>
      </c>
      <c r="G6" s="13">
        <v>1</v>
      </c>
      <c r="H6" s="14" t="str">
        <f t="shared" si="3"/>
        <v>否</v>
      </c>
      <c r="I6" s="14" t="str">
        <f t="shared" si="0"/>
        <v>否</v>
      </c>
      <c r="J6" s="15" t="str">
        <f t="shared" si="1"/>
        <v>否</v>
      </c>
    </row>
    <row r="7" spans="1:10">
      <c r="A7" s="7">
        <f>IF(子基金及业绩基准周净值!A67="","",子基金及业绩基准周净值!A67)</f>
        <v>45919</v>
      </c>
      <c r="B7" s="1">
        <f>IF(A7="","",VLOOKUP($A7,子基金及业绩基准周净值!$A:$AV,29))</f>
        <v>1.7227</v>
      </c>
      <c r="C7" s="8">
        <f t="shared" si="2"/>
        <v>-0.0222487087802941</v>
      </c>
      <c r="D7" s="9">
        <f>IF(A7="","",C7-子基金及业绩基准周净值!AL67)</f>
        <v>-0.0228487087802941</v>
      </c>
      <c r="E7" s="12">
        <f>IF(A7="","",(MAX(B$3:B7)-B7)/MAX(B$3:B7))</f>
        <v>0.0222487087802941</v>
      </c>
      <c r="F7" s="12">
        <f>IF(A7="","",MAX(E$3:E7))</f>
        <v>0.0222487087802941</v>
      </c>
      <c r="G7" s="13">
        <v>2</v>
      </c>
      <c r="H7" s="14" t="str">
        <f t="shared" si="3"/>
        <v>否</v>
      </c>
      <c r="I7" s="14" t="str">
        <f t="shared" si="0"/>
        <v>否</v>
      </c>
      <c r="J7" s="15" t="str">
        <f t="shared" si="1"/>
        <v>否</v>
      </c>
    </row>
    <row r="8" spans="1:10">
      <c r="A8" s="7">
        <f>IF(子基金及业绩基准周净值!A68="","",子基金及业绩基准周净值!A68)</f>
        <v>45926</v>
      </c>
      <c r="B8" s="1">
        <f>IF(A8="","",VLOOKUP($A8,子基金及业绩基准周净值!$A:$AV,29))</f>
        <v>1.6931</v>
      </c>
      <c r="C8" s="8">
        <f t="shared" si="2"/>
        <v>-0.0171823300632726</v>
      </c>
      <c r="D8" s="9">
        <f>IF(A8="","",C8-(子基金及业绩基准周净值!AG68/子基金及业绩基准周净值!AG67-1))</f>
        <v>-0.0143765037777813</v>
      </c>
      <c r="E8" s="12">
        <f>IF(A8="","",(MAX(B$3:B8)-B8)/MAX(B$3:B8))</f>
        <v>0.0390487541858221</v>
      </c>
      <c r="F8" s="12">
        <f>IF(A8="","",MAX(E$3:E8))</f>
        <v>0.0390487541858221</v>
      </c>
      <c r="G8" s="13">
        <v>3</v>
      </c>
      <c r="H8" s="14" t="str">
        <f t="shared" si="3"/>
        <v>否</v>
      </c>
      <c r="I8" s="14" t="str">
        <f t="shared" si="0"/>
        <v>否</v>
      </c>
      <c r="J8" s="15" t="str">
        <f t="shared" si="1"/>
        <v>否</v>
      </c>
    </row>
    <row r="9" spans="1:10">
      <c r="A9" s="7">
        <f>IF(子基金及业绩基准周净值!A69="","",子基金及业绩基准周净值!A69)</f>
        <v>45940</v>
      </c>
      <c r="B9" s="1">
        <f>IF(A9="","",VLOOKUP($A9,子基金及业绩基准周净值!$A:$AV,29))</f>
        <v>1.7279</v>
      </c>
      <c r="C9" s="8">
        <f t="shared" si="2"/>
        <v>0.020554013348296</v>
      </c>
      <c r="D9" s="9">
        <f>IF(A9="","",C9-(子基金及业绩基准周净值!AG69/子基金及业绩基准周净值!AG68-1))</f>
        <v>0.0185411735055974</v>
      </c>
      <c r="E9" s="12">
        <f>IF(A9="","",(MAX(B$3:B9)-B9)/MAX(B$3:B9))</f>
        <v>0.0192973494522958</v>
      </c>
      <c r="F9" s="12">
        <f>IF(A9="","",MAX(E$3:E9))</f>
        <v>0.0390487541858221</v>
      </c>
      <c r="G9" s="13">
        <v>0</v>
      </c>
      <c r="H9" s="14" t="str">
        <f t="shared" si="3"/>
        <v>否</v>
      </c>
      <c r="I9" s="14" t="str">
        <f t="shared" si="0"/>
        <v>否</v>
      </c>
      <c r="J9" s="15" t="str">
        <f t="shared" si="1"/>
        <v>否</v>
      </c>
    </row>
    <row r="10" spans="1:10">
      <c r="A10" s="7">
        <f>IF(子基金及业绩基准周净值!A70="","",子基金及业绩基准周净值!A70)</f>
        <v>45947</v>
      </c>
      <c r="B10" s="1">
        <f>IF(A10="","",VLOOKUP($A10,子基金及业绩基准周净值!$A:$AV,29))</f>
        <v>1.7481</v>
      </c>
      <c r="C10" s="8">
        <f t="shared" si="2"/>
        <v>0.011690491347879</v>
      </c>
      <c r="D10" s="9">
        <f>IF(A10="","",C10-(子基金及业绩基准周净值!AG70/子基金及业绩基准周净值!AG69-1))</f>
        <v>0.0113671249836009</v>
      </c>
      <c r="E10" s="12">
        <f>IF(A10="","",(MAX(B$3:B10)-B10)/MAX(B$3:B10))</f>
        <v>0.00783245360122597</v>
      </c>
      <c r="F10" s="12">
        <f>IF(A10="","",MAX(E$3:E10))</f>
        <v>0.0390487541858221</v>
      </c>
      <c r="G10" s="13">
        <v>0</v>
      </c>
      <c r="H10" s="14" t="str">
        <f t="shared" si="3"/>
        <v>否</v>
      </c>
      <c r="I10" s="14" t="str">
        <f t="shared" si="0"/>
        <v>否</v>
      </c>
      <c r="J10" s="15" t="str">
        <f t="shared" si="1"/>
        <v>否</v>
      </c>
    </row>
    <row r="11" spans="1:10">
      <c r="A11" s="7">
        <f>IF(子基金及业绩基准周净值!A71="","",子基金及业绩基准周净值!A71)</f>
        <v>45954</v>
      </c>
      <c r="B11" s="1">
        <f>IF(A11="","",VLOOKUP($A11,子基金及业绩基准周净值!$A:$AV,29))</f>
        <v>1.7406</v>
      </c>
      <c r="C11" s="8">
        <f t="shared" si="2"/>
        <v>-0.00429037240432473</v>
      </c>
      <c r="D11" s="9">
        <f>IF(A11="","",C11-(子基金及业绩基准周净值!AG71/子基金及业绩基准周净值!AG70-1))</f>
        <v>-0.0112500881836043</v>
      </c>
      <c r="E11" s="12">
        <f>IF(A11="","",(MAX(B$3:B11)-B11)/MAX(B$3:B11))</f>
        <v>0.0120892218627618</v>
      </c>
      <c r="F11" s="12">
        <f>IF(A11="","",MAX(E$3:E11))</f>
        <v>0.0390487541858221</v>
      </c>
      <c r="G11" s="13">
        <v>1</v>
      </c>
      <c r="H11" s="14" t="str">
        <f t="shared" si="3"/>
        <v>否</v>
      </c>
      <c r="I11" s="14" t="str">
        <f t="shared" si="0"/>
        <v>否</v>
      </c>
      <c r="J11" s="15" t="str">
        <f t="shared" si="1"/>
        <v>否</v>
      </c>
    </row>
    <row r="12" spans="1:10">
      <c r="A12" s="7">
        <f>IF(子基金及业绩基准周净值!A72="","",子基金及业绩基准周净值!A72)</f>
        <v>45961</v>
      </c>
      <c r="B12" s="1">
        <f>IF(A12="","",VLOOKUP($A12,子基金及业绩基准周净值!$A:$AV,29))</f>
        <v>1.7275</v>
      </c>
      <c r="C12" s="8">
        <f t="shared" si="2"/>
        <v>-0.00752614041135236</v>
      </c>
      <c r="D12" s="9">
        <f>IF(A12="","",C12-(子基金及业绩基准周净值!AG72/子基金及业绩基准周净值!AG71-1))</f>
        <v>-0.00481002575713008</v>
      </c>
      <c r="E12" s="12">
        <f>IF(A12="","",(MAX(B$3:B12)-B12)/MAX(B$3:B12))</f>
        <v>0.0195243770929111</v>
      </c>
      <c r="F12" s="12">
        <f>IF(A12="","",MAX(E$3:E12))</f>
        <v>0.0390487541858221</v>
      </c>
      <c r="G12" s="13">
        <v>2</v>
      </c>
      <c r="H12" s="14" t="str">
        <f t="shared" si="3"/>
        <v>否</v>
      </c>
      <c r="I12" s="14" t="str">
        <f t="shared" si="0"/>
        <v>否</v>
      </c>
      <c r="J12" s="15" t="str">
        <f t="shared" si="1"/>
        <v>否</v>
      </c>
    </row>
    <row r="13" spans="1:10">
      <c r="A13" s="7" t="str">
        <f>IF(子基金及业绩基准周净值!A73="","",子基金及业绩基准周净值!A73)</f>
        <v/>
      </c>
      <c r="B13" s="1" t="str">
        <f>IF(A13="","",VLOOKUP($A13,子基金及业绩基准周净值!$A:$AV,29))</f>
        <v/>
      </c>
      <c r="C13" s="8" t="str">
        <f t="shared" si="2"/>
        <v/>
      </c>
      <c r="D13" s="9" t="str">
        <f>IF(A13="","",C13-(子基金及业绩基准周净值!AG73/子基金及业绩基准周净值!AG72-1))</f>
        <v/>
      </c>
      <c r="E13" s="12" t="str">
        <f>IF(A13="","",(MAX(B$3:B13)-B13)/MAX(B$3:B13))</f>
        <v/>
      </c>
      <c r="F13" s="12" t="str">
        <f>IF(A13="","",MAX(E$3:E13))</f>
        <v/>
      </c>
      <c r="G13" s="13"/>
      <c r="H13" s="14" t="str">
        <f t="shared" si="3"/>
        <v/>
      </c>
      <c r="I13" s="14" t="str">
        <f t="shared" si="0"/>
        <v/>
      </c>
      <c r="J13" s="15" t="str">
        <f t="shared" si="1"/>
        <v/>
      </c>
    </row>
    <row r="14" spans="1:10">
      <c r="A14" s="7" t="str">
        <f>IF(子基金及业绩基准周净值!A74="","",子基金及业绩基准周净值!A74)</f>
        <v/>
      </c>
      <c r="B14" s="1" t="str">
        <f>IF(A14="","",VLOOKUP($A14,子基金及业绩基准周净值!$A:$AV,29))</f>
        <v/>
      </c>
      <c r="C14" s="8" t="str">
        <f t="shared" si="2"/>
        <v/>
      </c>
      <c r="D14" s="9" t="str">
        <f>IF(A14="","",C14-(子基金及业绩基准周净值!AG74/子基金及业绩基准周净值!AG73-1))</f>
        <v/>
      </c>
      <c r="E14" s="12" t="str">
        <f>IF(A14="","",(MAX(B$3:B14)-B14)/MAX(B$3:B14))</f>
        <v/>
      </c>
      <c r="F14" s="12" t="str">
        <f>IF(A14="","",MAX(E$3:E14))</f>
        <v/>
      </c>
      <c r="G14" s="13"/>
      <c r="H14" s="14" t="str">
        <f t="shared" si="3"/>
        <v/>
      </c>
      <c r="I14" s="14" t="str">
        <f t="shared" si="0"/>
        <v/>
      </c>
      <c r="J14" s="15" t="str">
        <f t="shared" si="1"/>
        <v/>
      </c>
    </row>
    <row r="15" spans="1:10">
      <c r="A15" s="7" t="str">
        <f>IF(子基金及业绩基准周净值!A75="","",子基金及业绩基准周净值!A75)</f>
        <v/>
      </c>
      <c r="B15" s="1" t="str">
        <f>IF(A15="","",VLOOKUP($A15,子基金及业绩基准周净值!$A:$AV,29))</f>
        <v/>
      </c>
      <c r="C15" s="8" t="str">
        <f t="shared" si="2"/>
        <v/>
      </c>
      <c r="D15" s="9" t="str">
        <f>IF(A15="","",C15-(子基金及业绩基准周净值!AG75/子基金及业绩基准周净值!AG74-1))</f>
        <v/>
      </c>
      <c r="E15" s="12" t="str">
        <f>IF(A15="","",(MAX(B$3:B15)-B15)/MAX(B$3:B15))</f>
        <v/>
      </c>
      <c r="F15" s="12" t="str">
        <f>IF(A15="","",MAX(E$3:E15))</f>
        <v/>
      </c>
      <c r="G15" s="13"/>
      <c r="H15" s="14" t="str">
        <f t="shared" si="3"/>
        <v/>
      </c>
      <c r="I15" s="14" t="str">
        <f t="shared" si="0"/>
        <v/>
      </c>
      <c r="J15" s="15" t="str">
        <f t="shared" si="1"/>
        <v/>
      </c>
    </row>
    <row r="16" spans="1:10">
      <c r="A16" s="7" t="str">
        <f>IF(子基金及业绩基准周净值!A76="","",子基金及业绩基准周净值!A76)</f>
        <v/>
      </c>
      <c r="B16" s="1" t="str">
        <f>IF(A16="","",VLOOKUP($A16,子基金及业绩基准周净值!$A:$AV,29))</f>
        <v/>
      </c>
      <c r="C16" s="8" t="str">
        <f t="shared" si="2"/>
        <v/>
      </c>
      <c r="D16" s="9" t="str">
        <f>IF(A16="","",C16-(子基金及业绩基准周净值!AG76/子基金及业绩基准周净值!AG75-1))</f>
        <v/>
      </c>
      <c r="E16" s="12" t="str">
        <f>IF(A16="","",(MAX(B$3:B16)-B16)/MAX(B$3:B16))</f>
        <v/>
      </c>
      <c r="F16" s="12" t="str">
        <f>IF(A16="","",MAX(E$3:E16))</f>
        <v/>
      </c>
      <c r="G16" s="20"/>
      <c r="H16" s="14" t="str">
        <f t="shared" si="3"/>
        <v/>
      </c>
      <c r="I16" s="14" t="str">
        <f t="shared" si="0"/>
        <v/>
      </c>
      <c r="J16" s="15" t="str">
        <f t="shared" si="1"/>
        <v/>
      </c>
    </row>
    <row r="17" spans="1:10">
      <c r="A17" s="7" t="str">
        <f>IF(子基金及业绩基准周净值!A77="","",子基金及业绩基准周净值!A77)</f>
        <v/>
      </c>
      <c r="B17" s="1" t="str">
        <f>IF(A17="","",VLOOKUP($A17,子基金及业绩基准周净值!$A:$AV,29))</f>
        <v/>
      </c>
      <c r="C17" s="8" t="str">
        <f t="shared" si="2"/>
        <v/>
      </c>
      <c r="D17" s="9" t="str">
        <f>IF(A17="","",C17-(子基金及业绩基准周净值!AG77/子基金及业绩基准周净值!AG76-1))</f>
        <v/>
      </c>
      <c r="E17" s="12" t="str">
        <f>IF(A17="","",(MAX(B$3:B17)-B17)/MAX(B$3:B17))</f>
        <v/>
      </c>
      <c r="F17" s="12" t="str">
        <f>IF(A17="","",MAX(E$3:E17))</f>
        <v/>
      </c>
      <c r="G17" s="13"/>
      <c r="H17" s="14" t="str">
        <f t="shared" si="3"/>
        <v/>
      </c>
      <c r="I17" s="14" t="str">
        <f t="shared" si="0"/>
        <v/>
      </c>
      <c r="J17" s="15" t="str">
        <f t="shared" si="1"/>
        <v/>
      </c>
    </row>
    <row r="18" spans="1:10">
      <c r="A18" s="7" t="str">
        <f>IF(子基金及业绩基准周净值!A78="","",子基金及业绩基准周净值!A78)</f>
        <v/>
      </c>
      <c r="B18" s="1" t="str">
        <f>IF(A18="","",VLOOKUP($A18,子基金及业绩基准周净值!$A:$AV,29))</f>
        <v/>
      </c>
      <c r="C18" s="8" t="str">
        <f t="shared" si="2"/>
        <v/>
      </c>
      <c r="D18" s="9" t="str">
        <f>IF(A18="","",C18-(子基金及业绩基准周净值!AG78/子基金及业绩基准周净值!AG77-1))</f>
        <v/>
      </c>
      <c r="E18" s="12" t="str">
        <f>IF(A18="","",(MAX(B$3:B18)-B18)/MAX(B$3:B18))</f>
        <v/>
      </c>
      <c r="F18" s="12" t="str">
        <f>IF(A18="","",MAX(E$3:E18))</f>
        <v/>
      </c>
      <c r="G18" s="13"/>
      <c r="H18" s="14" t="str">
        <f t="shared" si="3"/>
        <v/>
      </c>
      <c r="I18" s="14" t="str">
        <f t="shared" si="0"/>
        <v/>
      </c>
      <c r="J18" s="15" t="str">
        <f t="shared" si="1"/>
        <v/>
      </c>
    </row>
    <row r="19" spans="1:10">
      <c r="A19" s="7" t="str">
        <f>IF(子基金及业绩基准周净值!A79="","",子基金及业绩基准周净值!A79)</f>
        <v/>
      </c>
      <c r="B19" s="1" t="str">
        <f>IF(A19="","",VLOOKUP($A19,子基金及业绩基准周净值!$A:$AV,29))</f>
        <v/>
      </c>
      <c r="C19" s="8" t="str">
        <f t="shared" si="2"/>
        <v/>
      </c>
      <c r="D19" s="9" t="str">
        <f>IF(A19="","",C19-(子基金及业绩基准周净值!AG79/子基金及业绩基准周净值!AG78-1))</f>
        <v/>
      </c>
      <c r="E19" s="12" t="str">
        <f>IF(A19="","",(MAX(B$3:B19)-B19)/MAX(B$3:B19))</f>
        <v/>
      </c>
      <c r="F19" s="12" t="str">
        <f>IF(A19="","",MAX(E$3:E19))</f>
        <v/>
      </c>
      <c r="G19" s="13"/>
      <c r="H19" s="14" t="str">
        <f t="shared" si="3"/>
        <v/>
      </c>
      <c r="I19" s="14" t="str">
        <f t="shared" si="0"/>
        <v/>
      </c>
      <c r="J19" s="15" t="str">
        <f t="shared" si="1"/>
        <v/>
      </c>
    </row>
    <row r="20" spans="1:10">
      <c r="A20" s="7" t="str">
        <f>IF(子基金及业绩基准周净值!A80="","",子基金及业绩基准周净值!A80)</f>
        <v/>
      </c>
      <c r="B20" s="1" t="str">
        <f>IF(A20="","",VLOOKUP($A20,子基金及业绩基准周净值!$A:$AV,29))</f>
        <v/>
      </c>
      <c r="C20" s="8" t="str">
        <f t="shared" si="2"/>
        <v/>
      </c>
      <c r="D20" s="9" t="str">
        <f>IF(A20="","",C20-(子基金及业绩基准周净值!AG80/子基金及业绩基准周净值!AG79-1))</f>
        <v/>
      </c>
      <c r="E20" s="12" t="str">
        <f>IF(A20="","",(MAX(B$3:B20)-B20)/MAX(B$3:B20))</f>
        <v/>
      </c>
      <c r="F20" s="12" t="str">
        <f>IF(A20="","",MAX(E$3:E20))</f>
        <v/>
      </c>
      <c r="G20" s="13"/>
      <c r="H20" s="14" t="str">
        <f t="shared" si="3"/>
        <v/>
      </c>
      <c r="I20" s="14" t="str">
        <f t="shared" si="0"/>
        <v/>
      </c>
      <c r="J20" s="15" t="str">
        <f t="shared" si="1"/>
        <v/>
      </c>
    </row>
    <row r="21" spans="1:10">
      <c r="A21" s="7" t="str">
        <f>IF(子基金及业绩基准周净值!A81="","",子基金及业绩基准周净值!A81)</f>
        <v/>
      </c>
      <c r="B21" s="1" t="str">
        <f>IF(A21="","",VLOOKUP($A21,子基金及业绩基准周净值!$A:$AV,29))</f>
        <v/>
      </c>
      <c r="C21" s="8" t="str">
        <f t="shared" si="2"/>
        <v/>
      </c>
      <c r="D21" s="9" t="str">
        <f>IF(A21="","",C21-(子基金及业绩基准周净值!AG81/子基金及业绩基准周净值!AG80-1))</f>
        <v/>
      </c>
      <c r="E21" s="12" t="str">
        <f>IF(A21="","",(MAX(B$3:B21)-B21)/MAX(B$3:B21))</f>
        <v/>
      </c>
      <c r="F21" s="12" t="str">
        <f>IF(A21="","",MAX(E$3:E21))</f>
        <v/>
      </c>
      <c r="G21" s="13"/>
      <c r="H21" s="14" t="str">
        <f t="shared" si="3"/>
        <v/>
      </c>
      <c r="I21" s="14" t="str">
        <f t="shared" si="0"/>
        <v/>
      </c>
      <c r="J21" s="15" t="str">
        <f t="shared" si="1"/>
        <v/>
      </c>
    </row>
    <row r="22" spans="1:10">
      <c r="A22" s="7" t="str">
        <f>IF(子基金及业绩基准周净值!A82="","",子基金及业绩基准周净值!A82)</f>
        <v/>
      </c>
      <c r="B22" s="1" t="str">
        <f>IF(A22="","",VLOOKUP($A22,子基金及业绩基准周净值!$A:$AV,29))</f>
        <v/>
      </c>
      <c r="C22" s="8" t="str">
        <f t="shared" si="2"/>
        <v/>
      </c>
      <c r="D22" s="9" t="str">
        <f>IF(A22="","",C22-(子基金及业绩基准周净值!AG82/子基金及业绩基准周净值!AG81-1))</f>
        <v/>
      </c>
      <c r="E22" s="12" t="str">
        <f>IF(A22="","",(MAX(B$3:B22)-B22)/MAX(B$3:B22))</f>
        <v/>
      </c>
      <c r="F22" s="12" t="str">
        <f>IF(A22="","",MAX(E$3:E22))</f>
        <v/>
      </c>
      <c r="G22" s="13"/>
      <c r="H22" s="14" t="str">
        <f t="shared" si="3"/>
        <v/>
      </c>
      <c r="I22" s="14" t="str">
        <f t="shared" si="0"/>
        <v/>
      </c>
      <c r="J22" s="15" t="str">
        <f t="shared" si="1"/>
        <v/>
      </c>
    </row>
    <row r="23" spans="1:10">
      <c r="A23" s="7" t="str">
        <f>IF(子基金及业绩基准周净值!A83="","",子基金及业绩基准周净值!A83)</f>
        <v/>
      </c>
      <c r="B23" s="1" t="str">
        <f>IF(A23="","",VLOOKUP($A23,子基金及业绩基准周净值!$A:$AV,29))</f>
        <v/>
      </c>
      <c r="C23" s="8" t="str">
        <f t="shared" si="2"/>
        <v/>
      </c>
      <c r="D23" s="9" t="str">
        <f>IF(A23="","",C23-(子基金及业绩基准周净值!AG83/子基金及业绩基准周净值!AG82-1))</f>
        <v/>
      </c>
      <c r="E23" s="12" t="str">
        <f>IF(A23="","",(MAX(B$3:B23)-B23)/MAX(B$3:B23))</f>
        <v/>
      </c>
      <c r="F23" s="12" t="str">
        <f>IF(A23="","",MAX(E$3:E23))</f>
        <v/>
      </c>
      <c r="G23" s="13"/>
      <c r="H23" s="14" t="str">
        <f t="shared" si="3"/>
        <v/>
      </c>
      <c r="I23" s="14" t="str">
        <f t="shared" si="0"/>
        <v/>
      </c>
      <c r="J23" s="15" t="str">
        <f t="shared" si="1"/>
        <v/>
      </c>
    </row>
    <row r="24" spans="1:10">
      <c r="A24" s="7" t="str">
        <f>IF(子基金及业绩基准周净值!A84="","",子基金及业绩基准周净值!A84)</f>
        <v/>
      </c>
      <c r="B24" s="1" t="str">
        <f>IF(A24="","",VLOOKUP($A24,子基金及业绩基准周净值!$A:$AV,29))</f>
        <v/>
      </c>
      <c r="C24" s="8" t="str">
        <f t="shared" si="2"/>
        <v/>
      </c>
      <c r="D24" s="9" t="str">
        <f>IF(A24="","",C24-(子基金及业绩基准周净值!AG84/子基金及业绩基准周净值!AG83-1))</f>
        <v/>
      </c>
      <c r="E24" s="12" t="str">
        <f>IF(A24="","",(MAX(B$3:B24)-B24)/MAX(B$3:B24))</f>
        <v/>
      </c>
      <c r="F24" s="12" t="str">
        <f>IF(A24="","",MAX(E$3:E24))</f>
        <v/>
      </c>
      <c r="G24" s="13"/>
      <c r="H24" s="14" t="str">
        <f t="shared" si="3"/>
        <v/>
      </c>
      <c r="I24" s="14" t="str">
        <f t="shared" si="0"/>
        <v/>
      </c>
      <c r="J24" s="15" t="str">
        <f t="shared" si="1"/>
        <v/>
      </c>
    </row>
    <row r="25" spans="1:10">
      <c r="A25" s="7" t="str">
        <f>IF(子基金及业绩基准周净值!A85="","",子基金及业绩基准周净值!A85)</f>
        <v/>
      </c>
      <c r="B25" s="1" t="str">
        <f>IF(A25="","",VLOOKUP($A25,子基金及业绩基准周净值!$A:$AV,29))</f>
        <v/>
      </c>
      <c r="C25" s="8" t="str">
        <f t="shared" si="2"/>
        <v/>
      </c>
      <c r="D25" s="9" t="str">
        <f>IF(A25="","",C25-(子基金及业绩基准周净值!AG85/子基金及业绩基准周净值!AG84-1))</f>
        <v/>
      </c>
      <c r="E25" s="12" t="str">
        <f>IF(A25="","",(MAX(B$3:B25)-B25)/MAX(B$3:B25))</f>
        <v/>
      </c>
      <c r="F25" s="12" t="str">
        <f>IF(A25="","",MAX(E$3:E25))</f>
        <v/>
      </c>
      <c r="G25" s="13"/>
      <c r="H25" s="14" t="str">
        <f t="shared" si="3"/>
        <v/>
      </c>
      <c r="I25" s="14" t="str">
        <f t="shared" si="0"/>
        <v/>
      </c>
      <c r="J25" s="15" t="str">
        <f t="shared" si="1"/>
        <v/>
      </c>
    </row>
    <row r="26" spans="1:10">
      <c r="A26" s="7" t="str">
        <f>IF(子基金及业绩基准周净值!A86="","",子基金及业绩基准周净值!A86)</f>
        <v/>
      </c>
      <c r="B26" s="1" t="str">
        <f>IF(A26="","",VLOOKUP($A26,子基金及业绩基准周净值!$A:$AV,29))</f>
        <v/>
      </c>
      <c r="C26" s="8" t="str">
        <f t="shared" si="2"/>
        <v/>
      </c>
      <c r="D26" s="9" t="str">
        <f>IF(A26="","",C26-(子基金及业绩基准周净值!AG86/子基金及业绩基准周净值!AG85-1))</f>
        <v/>
      </c>
      <c r="E26" s="12" t="str">
        <f>IF(A26="","",(MAX(B$3:B26)-B26)/MAX(B$3:B26))</f>
        <v/>
      </c>
      <c r="F26" s="12" t="str">
        <f>IF(A26="","",MAX(E$3:E26))</f>
        <v/>
      </c>
      <c r="G26" s="13"/>
      <c r="H26" s="14" t="str">
        <f t="shared" si="3"/>
        <v/>
      </c>
      <c r="I26" s="14" t="str">
        <f t="shared" si="0"/>
        <v/>
      </c>
      <c r="J26" s="15" t="str">
        <f t="shared" si="1"/>
        <v/>
      </c>
    </row>
    <row r="27" spans="1:10">
      <c r="A27" s="7" t="str">
        <f>IF(子基金及业绩基准周净值!A87="","",子基金及业绩基准周净值!A87)</f>
        <v/>
      </c>
      <c r="B27" s="1" t="str">
        <f>IF(A27="","",VLOOKUP($A27,子基金及业绩基准周净值!$A:$AV,29))</f>
        <v/>
      </c>
      <c r="C27" s="8" t="str">
        <f t="shared" si="2"/>
        <v/>
      </c>
      <c r="D27" s="9" t="str">
        <f>IF(A27="","",C27-(子基金及业绩基准周净值!AG87/子基金及业绩基准周净值!AG86-1))</f>
        <v/>
      </c>
      <c r="E27" s="12" t="str">
        <f>IF(A27="","",(MAX(B$3:B27)-B27)/MAX(B$3:B27))</f>
        <v/>
      </c>
      <c r="F27" s="12" t="str">
        <f>IF(A27="","",MAX(E$3:E27))</f>
        <v/>
      </c>
      <c r="G27" s="13"/>
      <c r="H27" s="14" t="str">
        <f t="shared" si="3"/>
        <v/>
      </c>
      <c r="I27" s="14" t="str">
        <f t="shared" si="0"/>
        <v/>
      </c>
      <c r="J27" s="15" t="str">
        <f t="shared" si="1"/>
        <v/>
      </c>
    </row>
    <row r="28" spans="1:10">
      <c r="A28" s="7" t="str">
        <f>IF(子基金及业绩基准周净值!A88="","",子基金及业绩基准周净值!A88)</f>
        <v/>
      </c>
      <c r="B28" s="1" t="str">
        <f>IF(A28="","",VLOOKUP($A28,子基金及业绩基准周净值!$A:$AV,29))</f>
        <v/>
      </c>
      <c r="C28" s="8" t="str">
        <f t="shared" si="2"/>
        <v/>
      </c>
      <c r="D28" s="9" t="str">
        <f>IF(A28="","",C28-(子基金及业绩基准周净值!AG88/子基金及业绩基准周净值!AG87-1))</f>
        <v/>
      </c>
      <c r="E28" s="12" t="str">
        <f>IF(A28="","",(MAX(B$3:B28)-B28)/MAX(B$3:B28))</f>
        <v/>
      </c>
      <c r="F28" s="12" t="str">
        <f>IF(A28="","",MAX(E$3:E28))</f>
        <v/>
      </c>
      <c r="G28" s="13"/>
      <c r="H28" s="14" t="str">
        <f t="shared" si="3"/>
        <v/>
      </c>
      <c r="I28" s="14" t="str">
        <f t="shared" si="0"/>
        <v/>
      </c>
      <c r="J28" s="15" t="str">
        <f t="shared" si="1"/>
        <v/>
      </c>
    </row>
    <row r="29" spans="1:10">
      <c r="A29" s="7" t="str">
        <f>IF(子基金及业绩基准周净值!A89="","",子基金及业绩基准周净值!A89)</f>
        <v/>
      </c>
      <c r="B29" s="1" t="str">
        <f>IF(A29="","",VLOOKUP($A29,子基金及业绩基准周净值!$A:$AV,29))</f>
        <v/>
      </c>
      <c r="C29" s="8" t="str">
        <f t="shared" si="2"/>
        <v/>
      </c>
      <c r="D29" s="9" t="str">
        <f>IF(A29="","",C29-(子基金及业绩基准周净值!AG89/子基金及业绩基准周净值!AG88-1))</f>
        <v/>
      </c>
      <c r="E29" s="12" t="str">
        <f>IF(A29="","",(MAX(B$3:B29)-B29)/MAX(B$3:B29))</f>
        <v/>
      </c>
      <c r="F29" s="12" t="str">
        <f>IF(A29="","",MAX(E$3:E29))</f>
        <v/>
      </c>
      <c r="G29" s="13"/>
      <c r="H29" s="14" t="str">
        <f t="shared" si="3"/>
        <v/>
      </c>
      <c r="I29" s="14" t="str">
        <f t="shared" si="0"/>
        <v/>
      </c>
      <c r="J29" s="15" t="str">
        <f t="shared" si="1"/>
        <v/>
      </c>
    </row>
    <row r="30" spans="1:10">
      <c r="A30" s="7" t="str">
        <f>IF(子基金及业绩基准周净值!A90="","",子基金及业绩基准周净值!A90)</f>
        <v/>
      </c>
      <c r="B30" s="1" t="str">
        <f>IF(A30="","",VLOOKUP($A30,子基金及业绩基准周净值!$A:$AV,29))</f>
        <v/>
      </c>
      <c r="C30" s="8" t="str">
        <f t="shared" si="2"/>
        <v/>
      </c>
      <c r="D30" s="9" t="str">
        <f>IF(A30="","",C30-(子基金及业绩基准周净值!AG90/子基金及业绩基准周净值!AG89-1))</f>
        <v/>
      </c>
      <c r="E30" s="12" t="str">
        <f>IF(A30="","",(MAX(B$3:B30)-B30)/MAX(B$3:B30))</f>
        <v/>
      </c>
      <c r="F30" s="12" t="str">
        <f>IF(A30="","",MAX(E$3:E30))</f>
        <v/>
      </c>
      <c r="G30" s="13"/>
      <c r="H30" s="14" t="str">
        <f t="shared" si="3"/>
        <v/>
      </c>
      <c r="I30" s="14" t="str">
        <f t="shared" si="0"/>
        <v/>
      </c>
      <c r="J30" s="15" t="str">
        <f t="shared" si="1"/>
        <v/>
      </c>
    </row>
    <row r="31" spans="1:10">
      <c r="A31" s="7" t="str">
        <f>IF(子基金及业绩基准周净值!A91="","",子基金及业绩基准周净值!A91)</f>
        <v/>
      </c>
      <c r="B31" s="1" t="str">
        <f>IF(A31="","",VLOOKUP($A31,子基金及业绩基准周净值!$A:$AV,29))</f>
        <v/>
      </c>
      <c r="C31" s="8" t="str">
        <f t="shared" si="2"/>
        <v/>
      </c>
      <c r="D31" s="9" t="str">
        <f>IF(A31="","",C31-(子基金及业绩基准周净值!AG91/子基金及业绩基准周净值!AG90-1))</f>
        <v/>
      </c>
      <c r="E31" s="12" t="str">
        <f>IF(A31="","",(MAX(B$3:B31)-B31)/MAX(B$3:B31))</f>
        <v/>
      </c>
      <c r="F31" s="12" t="str">
        <f>IF(A31="","",MAX(E$3:E31))</f>
        <v/>
      </c>
      <c r="G31" s="13"/>
      <c r="H31" s="14" t="str">
        <f t="shared" si="3"/>
        <v/>
      </c>
      <c r="I31" s="14" t="str">
        <f t="shared" si="0"/>
        <v/>
      </c>
      <c r="J31" s="15" t="str">
        <f t="shared" si="1"/>
        <v/>
      </c>
    </row>
    <row r="32" spans="1:10">
      <c r="A32" s="7" t="str">
        <f>IF(子基金及业绩基准周净值!A92="","",子基金及业绩基准周净值!A92)</f>
        <v/>
      </c>
      <c r="B32" s="1" t="str">
        <f>IF(A32="","",VLOOKUP($A32,子基金及业绩基准周净值!$A:$AV,29))</f>
        <v/>
      </c>
      <c r="C32" s="8" t="str">
        <f t="shared" si="2"/>
        <v/>
      </c>
      <c r="D32" s="9" t="str">
        <f>IF(A32="","",C32-(子基金及业绩基准周净值!AG92/子基金及业绩基准周净值!AG91-1))</f>
        <v/>
      </c>
      <c r="E32" s="12" t="str">
        <f>IF(A32="","",(MAX(B$3:B32)-B32)/MAX(B$3:B32))</f>
        <v/>
      </c>
      <c r="F32" s="12" t="str">
        <f>IF(A32="","",MAX(E$3:E32))</f>
        <v/>
      </c>
      <c r="G32" s="13"/>
      <c r="H32" s="14" t="str">
        <f t="shared" si="3"/>
        <v/>
      </c>
      <c r="I32" s="14" t="str">
        <f t="shared" si="0"/>
        <v/>
      </c>
      <c r="J32" s="15" t="str">
        <f t="shared" si="1"/>
        <v/>
      </c>
    </row>
    <row r="33" spans="1:10">
      <c r="A33" s="7" t="str">
        <f>IF(子基金及业绩基准周净值!A93="","",子基金及业绩基准周净值!A93)</f>
        <v/>
      </c>
      <c r="B33" s="1" t="str">
        <f>IF(A33="","",VLOOKUP($A33,子基金及业绩基准周净值!$A:$AV,29))</f>
        <v/>
      </c>
      <c r="C33" s="8" t="str">
        <f t="shared" si="2"/>
        <v/>
      </c>
      <c r="D33" s="9" t="str">
        <f>IF(A33="","",C33-(子基金及业绩基准周净值!AG93/子基金及业绩基准周净值!AG92-1))</f>
        <v/>
      </c>
      <c r="E33" s="12" t="str">
        <f>IF(A33="","",(MAX(B$3:B33)-B33)/MAX(B$3:B33))</f>
        <v/>
      </c>
      <c r="F33" s="12" t="str">
        <f>IF(A33="","",MAX(E$3:E33))</f>
        <v/>
      </c>
      <c r="G33" s="13"/>
      <c r="H33" s="14" t="str">
        <f t="shared" si="3"/>
        <v/>
      </c>
      <c r="I33" s="14" t="str">
        <f t="shared" si="0"/>
        <v/>
      </c>
      <c r="J33" s="15" t="str">
        <f t="shared" si="1"/>
        <v/>
      </c>
    </row>
    <row r="34" spans="1:10">
      <c r="A34" s="7" t="str">
        <f>IF(子基金及业绩基准周净值!A94="","",子基金及业绩基准周净值!A94)</f>
        <v/>
      </c>
      <c r="B34" s="1" t="str">
        <f>IF(A34="","",VLOOKUP($A34,子基金及业绩基准周净值!$A:$AV,29))</f>
        <v/>
      </c>
      <c r="C34" s="8" t="str">
        <f t="shared" si="2"/>
        <v/>
      </c>
      <c r="D34" s="9" t="str">
        <f>IF(A34="","",C34-(子基金及业绩基准周净值!AG94/子基金及业绩基准周净值!AG93-1))</f>
        <v/>
      </c>
      <c r="E34" s="12" t="str">
        <f>IF(A34="","",(MAX(B$3:B34)-B34)/MAX(B$3:B34))</f>
        <v/>
      </c>
      <c r="F34" s="12" t="str">
        <f>IF(A34="","",MAX(E$3:E34))</f>
        <v/>
      </c>
      <c r="G34" s="13"/>
      <c r="H34" s="14" t="str">
        <f t="shared" si="3"/>
        <v/>
      </c>
      <c r="I34" s="14" t="str">
        <f t="shared" si="0"/>
        <v/>
      </c>
      <c r="J34" s="15" t="str">
        <f t="shared" si="1"/>
        <v/>
      </c>
    </row>
    <row r="35" spans="1:10">
      <c r="A35" s="7" t="str">
        <f>IF(子基金及业绩基准周净值!A95="","",子基金及业绩基准周净值!A95)</f>
        <v/>
      </c>
      <c r="B35" s="1" t="str">
        <f>IF(A35="","",VLOOKUP($A35,子基金及业绩基准周净值!$A:$AV,29))</f>
        <v/>
      </c>
      <c r="C35" s="8" t="str">
        <f t="shared" si="2"/>
        <v/>
      </c>
      <c r="D35" s="9" t="str">
        <f>IF(A35="","",C35-(子基金及业绩基准周净值!AG95/子基金及业绩基准周净值!AG94-1))</f>
        <v/>
      </c>
      <c r="E35" s="12" t="str">
        <f>IF(A35="","",(MAX(B$3:B35)-B35)/MAX(B$3:B35))</f>
        <v/>
      </c>
      <c r="F35" s="12" t="str">
        <f>IF(A35="","",MAX(E$3:E35))</f>
        <v/>
      </c>
      <c r="G35" s="13"/>
      <c r="H35" s="14" t="str">
        <f t="shared" si="3"/>
        <v/>
      </c>
      <c r="I35" s="14" t="str">
        <f t="shared" si="0"/>
        <v/>
      </c>
      <c r="J35" s="15" t="str">
        <f t="shared" si="1"/>
        <v/>
      </c>
    </row>
    <row r="36" spans="1:10">
      <c r="A36" s="7" t="str">
        <f>IF(子基金及业绩基准周净值!A96="","",子基金及业绩基准周净值!A96)</f>
        <v/>
      </c>
      <c r="B36" s="1" t="str">
        <f>IF(A36="","",VLOOKUP($A36,子基金及业绩基准周净值!$A:$AV,29))</f>
        <v/>
      </c>
      <c r="C36" s="8" t="str">
        <f t="shared" si="2"/>
        <v/>
      </c>
      <c r="D36" s="9" t="str">
        <f>IF(A36="","",C36-(子基金及业绩基准周净值!AG96/子基金及业绩基准周净值!AG95-1))</f>
        <v/>
      </c>
      <c r="E36" s="12" t="str">
        <f>IF(A36="","",(MAX(B$3:B36)-B36)/MAX(B$3:B36))</f>
        <v/>
      </c>
      <c r="F36" s="12" t="str">
        <f>IF(A36="","",MAX(E$3:E36))</f>
        <v/>
      </c>
      <c r="G36" s="13"/>
      <c r="H36" s="14" t="str">
        <f t="shared" si="3"/>
        <v/>
      </c>
      <c r="I36" s="14" t="str">
        <f t="shared" si="0"/>
        <v/>
      </c>
      <c r="J36" s="15" t="str">
        <f t="shared" si="1"/>
        <v/>
      </c>
    </row>
    <row r="37" spans="1:10">
      <c r="A37" s="7"/>
      <c r="B37" s="1" t="str">
        <f>IF(A37="","",VLOOKUP($A37,子基金及业绩基准周净值!$A:$AV,29))</f>
        <v/>
      </c>
      <c r="C37" s="8" t="str">
        <f t="shared" si="2"/>
        <v/>
      </c>
      <c r="D37" s="9" t="str">
        <f>IF(A37="","",C37-(子基金及业绩基准周净值!AG97/子基金及业绩基准周净值!AG96-1))</f>
        <v/>
      </c>
      <c r="E37" s="12" t="str">
        <f>IF(A37="","",(MAX(B$3:B37)-B37)/MAX(B$3:B37))</f>
        <v/>
      </c>
      <c r="F37" s="12" t="str">
        <f>IF(A37="","",MAX(E$3:E37))</f>
        <v/>
      </c>
      <c r="G37" s="13"/>
      <c r="H37" s="14" t="str">
        <f t="shared" si="3"/>
        <v/>
      </c>
      <c r="I37" s="14" t="str">
        <f t="shared" si="0"/>
        <v/>
      </c>
      <c r="J37" s="15" t="str">
        <f t="shared" si="1"/>
        <v/>
      </c>
    </row>
    <row r="38" spans="1:10">
      <c r="A38" s="7"/>
      <c r="B38" s="1"/>
      <c r="C38" s="8"/>
      <c r="D38" s="9"/>
      <c r="E38" s="12" t="str">
        <f>IF(A38="","",(MAX(B$3:B38)-B38)/MAX(B$3:B38))</f>
        <v/>
      </c>
      <c r="F38" s="12" t="str">
        <f>IF(A38="","",MAX(E$3:E38))</f>
        <v/>
      </c>
      <c r="G38" s="13"/>
      <c r="H38" s="14" t="str">
        <f t="shared" si="3"/>
        <v/>
      </c>
      <c r="I38" s="14" t="str">
        <f t="shared" si="0"/>
        <v/>
      </c>
      <c r="J38" s="15" t="str">
        <f t="shared" si="1"/>
        <v/>
      </c>
    </row>
    <row r="39" spans="1:10">
      <c r="A39" s="7"/>
      <c r="B39" s="1"/>
      <c r="C39" s="8"/>
      <c r="D39" s="9"/>
      <c r="E39" s="12" t="str">
        <f>IF(A39="","",(MAX(B$3:B39)-B39)/MAX(B$3:B39))</f>
        <v/>
      </c>
      <c r="F39" s="12" t="str">
        <f>IF(A39="","",MAX(E$3:E39))</f>
        <v/>
      </c>
      <c r="G39" s="13"/>
      <c r="H39" s="14" t="str">
        <f t="shared" si="3"/>
        <v/>
      </c>
      <c r="I39" s="14" t="str">
        <f t="shared" si="0"/>
        <v/>
      </c>
      <c r="J39" s="15" t="str">
        <f t="shared" si="1"/>
        <v/>
      </c>
    </row>
    <row r="40" spans="1:10">
      <c r="A40" s="7"/>
      <c r="B40" s="1"/>
      <c r="C40" s="8"/>
      <c r="D40" s="9"/>
      <c r="E40" s="12" t="str">
        <f>IF(A40="","",(MAX(B$3:B40)-B40)/MAX(B$3:B40))</f>
        <v/>
      </c>
      <c r="F40" s="12" t="str">
        <f>IF(A40="","",MAX(E$3:E40))</f>
        <v/>
      </c>
      <c r="G40" s="13"/>
      <c r="H40" s="14" t="str">
        <f t="shared" si="3"/>
        <v/>
      </c>
      <c r="I40" s="14" t="str">
        <f t="shared" si="0"/>
        <v/>
      </c>
      <c r="J40" s="15" t="str">
        <f t="shared" si="1"/>
        <v/>
      </c>
    </row>
    <row r="41" spans="1:10">
      <c r="A41" s="7"/>
      <c r="B41" s="1"/>
      <c r="C41" s="8"/>
      <c r="D41" s="9"/>
      <c r="E41" s="12" t="str">
        <f>IF(A41="","",(MAX(B$3:B41)-B41)/MAX(B$3:B41))</f>
        <v/>
      </c>
      <c r="F41" s="12" t="str">
        <f>IF(A41="","",MAX(E$3:E41))</f>
        <v/>
      </c>
      <c r="G41" s="13"/>
      <c r="H41" s="14" t="str">
        <f t="shared" si="3"/>
        <v/>
      </c>
      <c r="I41" s="14" t="str">
        <f t="shared" si="0"/>
        <v/>
      </c>
      <c r="J41" s="15" t="str">
        <f t="shared" si="1"/>
        <v/>
      </c>
    </row>
    <row r="42" spans="1:10">
      <c r="A42" s="7"/>
      <c r="B42" s="1"/>
      <c r="C42" s="8"/>
      <c r="D42" s="9"/>
      <c r="E42" s="12" t="str">
        <f>IF(A42="","",(MAX(B$3:B42)-B42)/MAX(B$3:B42))</f>
        <v/>
      </c>
      <c r="F42" s="12" t="str">
        <f>IF(A42="","",MAX(E$3:E42))</f>
        <v/>
      </c>
      <c r="G42" s="13"/>
      <c r="H42" s="14" t="str">
        <f t="shared" si="3"/>
        <v/>
      </c>
      <c r="I42" s="14" t="str">
        <f t="shared" si="0"/>
        <v/>
      </c>
      <c r="J42" s="15" t="str">
        <f t="shared" si="1"/>
        <v/>
      </c>
    </row>
    <row r="43" spans="1:10">
      <c r="A43" s="7"/>
      <c r="B43" s="1"/>
      <c r="C43" s="8"/>
      <c r="D43" s="9"/>
      <c r="E43" s="12" t="str">
        <f>IF(A43="","",(MAX(B$3:B43)-B43)/MAX(B$3:B43))</f>
        <v/>
      </c>
      <c r="F43" s="12" t="str">
        <f>IF(A43="","",MAX(E$3:E43))</f>
        <v/>
      </c>
      <c r="G43" s="13"/>
      <c r="H43" s="14" t="str">
        <f t="shared" si="3"/>
        <v/>
      </c>
      <c r="I43" s="14" t="str">
        <f t="shared" si="0"/>
        <v/>
      </c>
      <c r="J43" s="15" t="str">
        <f t="shared" si="1"/>
        <v/>
      </c>
    </row>
    <row r="44" spans="1:10">
      <c r="A44" s="7"/>
      <c r="B44" s="1"/>
      <c r="C44" s="8"/>
      <c r="D44" s="9"/>
      <c r="E44" s="12" t="str">
        <f>IF(A44="","",(MAX(B$3:B44)-B44)/MAX(B$3:B44))</f>
        <v/>
      </c>
      <c r="F44" s="12" t="str">
        <f>IF(A44="","",MAX(E$3:E44))</f>
        <v/>
      </c>
      <c r="G44" s="13"/>
      <c r="H44" s="14" t="str">
        <f t="shared" si="3"/>
        <v/>
      </c>
      <c r="I44" s="14" t="str">
        <f t="shared" si="0"/>
        <v/>
      </c>
      <c r="J44" s="15" t="str">
        <f t="shared" si="1"/>
        <v/>
      </c>
    </row>
    <row r="45" spans="1:10">
      <c r="A45" s="7"/>
      <c r="B45" s="1"/>
      <c r="C45" s="8"/>
      <c r="D45" s="9"/>
      <c r="E45" s="12" t="str">
        <f>IF(A45="","",(MAX(B$3:B45)-B45)/MAX(B$3:B45))</f>
        <v/>
      </c>
      <c r="F45" s="12" t="str">
        <f>IF(A45="","",MAX(E$3:E45))</f>
        <v/>
      </c>
      <c r="G45" s="13"/>
      <c r="H45" s="14" t="str">
        <f t="shared" si="3"/>
        <v/>
      </c>
      <c r="I45" s="14" t="str">
        <f t="shared" si="0"/>
        <v/>
      </c>
      <c r="J45" s="15" t="str">
        <f t="shared" si="1"/>
        <v/>
      </c>
    </row>
    <row r="46" spans="1:10">
      <c r="A46" s="7"/>
      <c r="B46" s="1"/>
      <c r="C46" s="8"/>
      <c r="D46" s="9"/>
      <c r="E46" s="12" t="str">
        <f>IF(A46="","",(MAX(B$3:B46)-B46)/MAX(B$3:B46))</f>
        <v/>
      </c>
      <c r="F46" s="12" t="str">
        <f>IF(A46="","",MAX(E$3:E46))</f>
        <v/>
      </c>
      <c r="G46" s="13"/>
      <c r="H46" s="14" t="str">
        <f t="shared" si="3"/>
        <v/>
      </c>
      <c r="I46" s="14" t="str">
        <f t="shared" si="0"/>
        <v/>
      </c>
      <c r="J46" s="15" t="str">
        <f t="shared" si="1"/>
        <v/>
      </c>
    </row>
    <row r="47" spans="1:10">
      <c r="A47" s="7"/>
      <c r="B47" s="1"/>
      <c r="C47" s="8"/>
      <c r="D47" s="9"/>
      <c r="E47" s="12" t="str">
        <f>IF(A47="","",(MAX(B$3:B47)-B47)/MAX(B$3:B47))</f>
        <v/>
      </c>
      <c r="F47" s="12" t="str">
        <f>IF(A47="","",MAX(E$3:E47))</f>
        <v/>
      </c>
      <c r="G47" s="13"/>
      <c r="H47" s="14" t="str">
        <f t="shared" si="3"/>
        <v/>
      </c>
      <c r="I47" s="14" t="str">
        <f t="shared" si="0"/>
        <v/>
      </c>
      <c r="J47" s="15" t="str">
        <f t="shared" si="1"/>
        <v/>
      </c>
    </row>
    <row r="48" spans="1:10">
      <c r="A48" s="7"/>
      <c r="B48" s="1"/>
      <c r="C48" s="8"/>
      <c r="D48" s="9"/>
      <c r="E48" s="12" t="str">
        <f>IF(A48="","",(MAX(B$3:B48)-B48)/MAX(B$3:B48))</f>
        <v/>
      </c>
      <c r="F48" s="12" t="str">
        <f>IF(A48="","",MAX(E$3:E48))</f>
        <v/>
      </c>
      <c r="G48" s="13"/>
      <c r="H48" s="14" t="str">
        <f t="shared" si="3"/>
        <v/>
      </c>
      <c r="I48" s="14" t="str">
        <f t="shared" si="0"/>
        <v/>
      </c>
      <c r="J48" s="15" t="str">
        <f t="shared" si="1"/>
        <v/>
      </c>
    </row>
    <row r="49" spans="1:10">
      <c r="A49" s="7"/>
      <c r="B49" s="1"/>
      <c r="C49" s="8"/>
      <c r="D49" s="9"/>
      <c r="E49" s="12"/>
      <c r="F49" s="12"/>
      <c r="G49" s="13"/>
      <c r="H49" s="14"/>
      <c r="I49" s="14"/>
      <c r="J49" s="15"/>
    </row>
    <row r="50" spans="1:10">
      <c r="A50" s="7"/>
      <c r="B50" s="1"/>
      <c r="C50" s="8"/>
      <c r="D50" s="9"/>
      <c r="E50" s="12"/>
      <c r="F50" s="12"/>
      <c r="G50" s="13"/>
      <c r="H50" s="14"/>
      <c r="I50" s="14"/>
      <c r="J50" s="15"/>
    </row>
    <row r="51" spans="1:10">
      <c r="A51" s="7"/>
      <c r="B51" s="1"/>
      <c r="C51" s="8"/>
      <c r="D51" s="9"/>
      <c r="E51" s="12"/>
      <c r="F51" s="12"/>
      <c r="G51" s="13"/>
      <c r="H51" s="14"/>
      <c r="I51" s="14"/>
      <c r="J51" s="15"/>
    </row>
    <row r="52" spans="1:10">
      <c r="A52" s="7"/>
      <c r="B52" s="1"/>
      <c r="C52" s="8"/>
      <c r="D52" s="9"/>
      <c r="E52" s="12"/>
      <c r="F52" s="12"/>
      <c r="G52" s="13"/>
      <c r="H52" s="14"/>
      <c r="I52" s="14"/>
      <c r="J52" s="15"/>
    </row>
    <row r="53" spans="1:10">
      <c r="A53" s="7"/>
      <c r="B53" s="1"/>
      <c r="C53" s="8"/>
      <c r="D53" s="9"/>
      <c r="E53" s="12"/>
      <c r="F53" s="12"/>
      <c r="G53" s="13"/>
      <c r="H53" s="14"/>
      <c r="I53" s="14"/>
      <c r="J53" s="15"/>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G137" s="13"/>
      <c r="H137" s="14"/>
      <c r="I137" s="14"/>
      <c r="J137" s="15"/>
    </row>
    <row r="138" spans="1:10">
      <c r="A138" s="7"/>
      <c r="B138" s="1"/>
      <c r="C138" s="8"/>
      <c r="D138" s="9"/>
      <c r="E138" s="12"/>
      <c r="F138" s="12"/>
      <c r="G138" s="13"/>
      <c r="H138" s="14"/>
      <c r="I138" s="14"/>
      <c r="J138" s="15"/>
    </row>
    <row r="139" spans="1:10">
      <c r="A139" s="7"/>
      <c r="B139" s="1"/>
      <c r="C139" s="8"/>
      <c r="D139" s="9"/>
      <c r="E139" s="12"/>
      <c r="F139" s="12"/>
      <c r="G139" s="13"/>
      <c r="H139" s="14"/>
      <c r="I139" s="14"/>
      <c r="J139" s="15"/>
    </row>
    <row r="140" spans="1:10">
      <c r="A140" s="7"/>
      <c r="B140" s="1"/>
      <c r="C140" s="8"/>
      <c r="D140" s="9"/>
      <c r="E140" s="12"/>
      <c r="F140" s="12"/>
      <c r="G140" s="13"/>
      <c r="H140" s="14"/>
      <c r="I140" s="14"/>
      <c r="J140" s="15"/>
    </row>
    <row r="141" spans="1:10">
      <c r="A141" s="7"/>
      <c r="B141" s="1"/>
      <c r="C141" s="8"/>
      <c r="D141" s="9"/>
      <c r="E141" s="12"/>
      <c r="F141" s="12"/>
      <c r="G141" s="13"/>
      <c r="H141" s="14"/>
      <c r="I141" s="14"/>
      <c r="J141" s="15"/>
    </row>
    <row r="142" spans="1:10">
      <c r="A142" s="7"/>
      <c r="B142" s="1"/>
      <c r="C142" s="8"/>
      <c r="D142" s="9"/>
      <c r="E142" s="12"/>
      <c r="F142" s="12"/>
      <c r="G142" s="13"/>
      <c r="H142" s="14"/>
      <c r="I142" s="14"/>
      <c r="J142" s="15"/>
    </row>
    <row r="143" spans="1:10">
      <c r="A143" s="7"/>
      <c r="B143" s="1"/>
      <c r="C143" s="8"/>
      <c r="D143" s="9"/>
      <c r="E143" s="12"/>
      <c r="F143" s="12"/>
      <c r="H143" s="14"/>
      <c r="I143" s="14"/>
      <c r="J143" s="15"/>
    </row>
    <row r="144" spans="1:10">
      <c r="A144" s="7"/>
      <c r="B144" s="1"/>
      <c r="C144" s="8"/>
      <c r="D144" s="9"/>
      <c r="E144" s="12"/>
      <c r="F144" s="12"/>
      <c r="H144" s="14"/>
      <c r="I144" s="14"/>
      <c r="J144" s="15"/>
    </row>
    <row r="145" spans="1:10">
      <c r="A145" s="7"/>
      <c r="B145" s="1"/>
      <c r="C145" s="8"/>
      <c r="D145" s="9"/>
      <c r="E145" s="12"/>
      <c r="F145" s="12"/>
      <c r="H145" s="14"/>
      <c r="I145" s="14"/>
      <c r="J145" s="15"/>
    </row>
    <row r="146" spans="1:10">
      <c r="A146" s="7"/>
      <c r="B146" s="1"/>
      <c r="C146" s="8"/>
      <c r="D146" s="9"/>
      <c r="E146" s="12"/>
      <c r="F146" s="12"/>
      <c r="H146" s="14"/>
      <c r="I146" s="14"/>
      <c r="J146" s="15"/>
    </row>
    <row r="147" spans="1:10">
      <c r="A147" s="7"/>
      <c r="B147" s="1"/>
      <c r="C147" s="8"/>
      <c r="D147" s="9"/>
      <c r="E147" s="12"/>
      <c r="F147" s="12"/>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row r="298" spans="1:10">
      <c r="A298" s="7"/>
      <c r="B298" s="1"/>
      <c r="C298" s="8"/>
      <c r="D298" s="9"/>
      <c r="E298" s="12"/>
      <c r="F298" s="12"/>
      <c r="H298" s="14"/>
      <c r="I298" s="14"/>
      <c r="J298" s="15"/>
    </row>
    <row r="299" spans="1:10">
      <c r="A299" s="7"/>
      <c r="B299" s="1"/>
      <c r="C299" s="8"/>
      <c r="D299" s="9"/>
      <c r="E299" s="12"/>
      <c r="F299" s="12"/>
      <c r="H299" s="14"/>
      <c r="I299" s="14"/>
      <c r="J299" s="15"/>
    </row>
    <row r="300" spans="1:10">
      <c r="A300" s="7"/>
      <c r="B300" s="1"/>
      <c r="C300" s="8"/>
      <c r="D300" s="9"/>
      <c r="E300" s="12"/>
      <c r="F300" s="12"/>
      <c r="H300" s="14"/>
      <c r="I300" s="14"/>
      <c r="J300" s="15"/>
    </row>
    <row r="301" spans="1:10">
      <c r="A301" s="7"/>
      <c r="B301" s="1"/>
      <c r="C301" s="8"/>
      <c r="D301" s="9"/>
      <c r="E301" s="12"/>
      <c r="F301" s="12"/>
      <c r="H301" s="14"/>
      <c r="I301" s="14"/>
      <c r="J301" s="15"/>
    </row>
    <row r="302" spans="1:10">
      <c r="A302" s="7"/>
      <c r="B302" s="1"/>
      <c r="C302" s="8"/>
      <c r="D302" s="9"/>
      <c r="E302" s="12"/>
      <c r="F302" s="12"/>
      <c r="H302" s="14"/>
      <c r="I302" s="14"/>
      <c r="J302" s="15"/>
    </row>
    <row r="303" spans="1:10">
      <c r="A303" s="7"/>
      <c r="B303" s="1"/>
      <c r="C303" s="8"/>
      <c r="D303" s="9"/>
      <c r="E303" s="12"/>
      <c r="F303" s="12"/>
      <c r="H303" s="14"/>
      <c r="I303" s="14"/>
      <c r="J303" s="15"/>
    </row>
  </sheetData>
  <conditionalFormatting sqref="H4:H4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5" right="0.75" top="1" bottom="1" header="0.5" footer="0.5"/>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dimension ref="A1:K297"/>
  <sheetViews>
    <sheetView workbookViewId="0">
      <selection activeCell="E33" sqref="E33"/>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320</v>
      </c>
      <c r="C2" s="5" t="s">
        <v>310</v>
      </c>
      <c r="D2" s="6" t="s">
        <v>311</v>
      </c>
      <c r="F2" s="5" t="s">
        <v>22</v>
      </c>
      <c r="G2" s="10" t="s">
        <v>312</v>
      </c>
      <c r="H2" s="11" t="s">
        <v>313</v>
      </c>
      <c r="I2" s="11" t="s">
        <v>314</v>
      </c>
      <c r="J2" s="11" t="s">
        <v>315</v>
      </c>
      <c r="K2" s="5" t="s">
        <v>316</v>
      </c>
    </row>
    <row r="3" spans="1:10">
      <c r="A3" s="7">
        <f>IF(子基金及业绩基准周净值!A69="","",子基金及业绩基准周净值!A69)</f>
        <v>45940</v>
      </c>
      <c r="B3" s="1">
        <f>IF(A3="","",VLOOKUP($A3,子基金及业绩基准周净值!$A:$AV,30))</f>
        <v>1.2921</v>
      </c>
      <c r="C3" s="8"/>
      <c r="D3" s="9"/>
      <c r="E3" s="12"/>
      <c r="F3" s="12"/>
      <c r="G3" s="13"/>
      <c r="H3" s="14"/>
      <c r="I3" s="14"/>
      <c r="J3" s="15"/>
    </row>
    <row r="4" spans="1:10">
      <c r="A4" s="7">
        <f>IF(子基金及业绩基准周净值!A70="","",子基金及业绩基准周净值!A70)</f>
        <v>45947</v>
      </c>
      <c r="B4" s="1">
        <f>IF(A4="","",VLOOKUP($A4,子基金及业绩基准周净值!$A:$AV,30))</f>
        <v>1.2697</v>
      </c>
      <c r="C4" s="8">
        <f>IF(B4="","",B4/B3-1)</f>
        <v>-0.017336119495395</v>
      </c>
      <c r="D4" s="9">
        <f>IF(A4="","",C4-(子基金及业绩基准周净值!AM70/子基金及业绩基准周净值!AM69-1))</f>
        <v>0.0203719590186043</v>
      </c>
      <c r="E4" s="12">
        <f>IF(A4="","",(MAX(B$3:B4)-B4)/MAX(B$3:B4))</f>
        <v>0.0173361194953951</v>
      </c>
      <c r="F4" s="12">
        <f>IF(A4="","",MAX(E$3:E4))</f>
        <v>0.0173361194953951</v>
      </c>
      <c r="G4" s="13">
        <v>0</v>
      </c>
      <c r="H4" s="14" t="str">
        <f>IF(B4="","",IF(C4&lt;-3%,"是","否"))</f>
        <v>否</v>
      </c>
      <c r="I4" s="14" t="str">
        <f>IF(A4="","",IF(F4&gt;5%,"是","否"))</f>
        <v>否</v>
      </c>
      <c r="J4" s="15" t="str">
        <f>IF(A4="","",IF(G4&gt;=4,"是","否"))</f>
        <v>否</v>
      </c>
    </row>
    <row r="5" spans="1:10">
      <c r="A5" s="7">
        <f>IF(子基金及业绩基准周净值!A71="","",子基金及业绩基准周净值!A71)</f>
        <v>45954</v>
      </c>
      <c r="B5" s="1">
        <f>IF(A5="","",VLOOKUP($A5,子基金及业绩基准周净值!$A:$AV,30))</f>
        <v>1.2948</v>
      </c>
      <c r="C5" s="8">
        <f>IF(B5="","",B5/B4-1)</f>
        <v>0.0197684492399779</v>
      </c>
      <c r="D5" s="9">
        <f>IF(A5="","",C5-(子基金及业绩基准周净值!AM71/子基金及业绩基准周净值!AM70-1))</f>
        <v>-0.0167900320219707</v>
      </c>
      <c r="E5" s="12">
        <f>IF(A5="","",(MAX(B$3:B5)-B5)/MAX(B$3:B5))</f>
        <v>0</v>
      </c>
      <c r="F5" s="12">
        <f>IF(A5="","",MAX(E$3:E5))</f>
        <v>0.0173361194953951</v>
      </c>
      <c r="G5" s="13">
        <v>0</v>
      </c>
      <c r="H5" s="14" t="str">
        <f>IF(B5="","",IF(C5&lt;-3%,"是","否"))</f>
        <v>否</v>
      </c>
      <c r="I5" s="14" t="str">
        <f>IF(A5="","",IF(F5&gt;5%,"是","否"))</f>
        <v>否</v>
      </c>
      <c r="J5" s="15" t="str">
        <f>IF(A5="","",IF(G5&gt;=4,"是","否"))</f>
        <v>否</v>
      </c>
    </row>
    <row r="6" spans="1:10">
      <c r="A6" s="7">
        <f>IF(子基金及业绩基准周净值!A72="","",子基金及业绩基准周净值!A72)</f>
        <v>45961</v>
      </c>
      <c r="B6" s="1">
        <f>IF(A6="","",VLOOKUP($A6,子基金及业绩基准周净值!$A:$AV,30))</f>
        <v>1.2997</v>
      </c>
      <c r="C6" s="8">
        <f>IF(B6="","",B6/B5-1)</f>
        <v>0.00378436824219963</v>
      </c>
      <c r="D6" s="9">
        <f>IF(A6="","",C6-(子基金及业绩基准周净值!AM72/子基金及业绩基准周净值!AM71-1))</f>
        <v>-0.00637660821153641</v>
      </c>
      <c r="E6" s="12">
        <f>IF(A6="","",(MAX(B$3:B6)-B6)/MAX(B$3:B6))</f>
        <v>0</v>
      </c>
      <c r="F6" s="12">
        <f>IF(A6="","",MAX(E$3:E6))</f>
        <v>0.0173361194953951</v>
      </c>
      <c r="G6" s="13">
        <v>0</v>
      </c>
      <c r="H6" s="14" t="str">
        <f>IF(B6="","",IF(C6&lt;-3%,"是","否"))</f>
        <v>否</v>
      </c>
      <c r="I6" s="14" t="str">
        <f>IF(A6="","",IF(F6&gt;5%,"是","否"))</f>
        <v>否</v>
      </c>
      <c r="J6" s="15" t="str">
        <f>IF(A6="","",IF(G6&gt;=4,"是","否"))</f>
        <v>否</v>
      </c>
    </row>
    <row r="7" spans="1:10">
      <c r="A7" s="7" t="str">
        <f>IF(子基金及业绩基准周净值!A73="","",子基金及业绩基准周净值!A73)</f>
        <v/>
      </c>
      <c r="B7" s="1" t="str">
        <f>IF(A7="","",VLOOKUP($A7,子基金及业绩基准周净值!$A:$AV,30))</f>
        <v/>
      </c>
      <c r="C7" s="8" t="str">
        <f t="shared" ref="C3:C31" si="0">IF(B7="","",B7/B6-1)</f>
        <v/>
      </c>
      <c r="D7" s="9" t="str">
        <f>IF(A7="","",C7-(子基金及业绩基准周净值!AM73/子基金及业绩基准周净值!AM72-1))</f>
        <v/>
      </c>
      <c r="E7" s="12" t="str">
        <f>IF(A7="","",(MAX(B$3:B7)-B7)/MAX(B$3:B7))</f>
        <v/>
      </c>
      <c r="F7" s="12" t="str">
        <f>IF(A7="","",MAX(E$3:E7))</f>
        <v/>
      </c>
      <c r="G7" s="13"/>
      <c r="H7" s="14" t="str">
        <f t="shared" ref="H3:H42" si="1">IF(B7="","",IF(C7&lt;-3%,"是","否"))</f>
        <v/>
      </c>
      <c r="I7" s="14" t="str">
        <f t="shared" ref="I3:I42" si="2">IF(A7="","",IF(F7&gt;5%,"是","否"))</f>
        <v/>
      </c>
      <c r="J7" s="15" t="str">
        <f t="shared" ref="J3:J42" si="3">IF(A7="","",IF(G7&gt;=4,"是","否"))</f>
        <v/>
      </c>
    </row>
    <row r="8" spans="1:10">
      <c r="A8" s="7" t="str">
        <f>IF(子基金及业绩基准周净值!A74="","",子基金及业绩基准周净值!A74)</f>
        <v/>
      </c>
      <c r="B8" s="1" t="str">
        <f>IF(A8="","",VLOOKUP($A8,子基金及业绩基准周净值!$A:$AV,30))</f>
        <v/>
      </c>
      <c r="C8" s="8" t="str">
        <f t="shared" si="0"/>
        <v/>
      </c>
      <c r="D8" s="9" t="str">
        <f>IF(A8="","",C8-(子基金及业绩基准周净值!AM74/子基金及业绩基准周净值!AM73-1))</f>
        <v/>
      </c>
      <c r="E8" s="12" t="str">
        <f>IF(A8="","",(MAX(B$3:B8)-B8)/MAX(B$3:B8))</f>
        <v/>
      </c>
      <c r="F8" s="12" t="str">
        <f>IF(A8="","",MAX(E$3:E8))</f>
        <v/>
      </c>
      <c r="G8" s="13"/>
      <c r="H8" s="14" t="str">
        <f t="shared" si="1"/>
        <v/>
      </c>
      <c r="I8" s="14" t="str">
        <f t="shared" si="2"/>
        <v/>
      </c>
      <c r="J8" s="15" t="str">
        <f t="shared" si="3"/>
        <v/>
      </c>
    </row>
    <row r="9" spans="1:10">
      <c r="A9" s="7" t="str">
        <f>IF(子基金及业绩基准周净值!A75="","",子基金及业绩基准周净值!A75)</f>
        <v/>
      </c>
      <c r="B9" s="1" t="str">
        <f>IF(A9="","",VLOOKUP($A9,子基金及业绩基准周净值!$A:$AV,30))</f>
        <v/>
      </c>
      <c r="C9" s="8" t="str">
        <f t="shared" si="0"/>
        <v/>
      </c>
      <c r="D9" s="9" t="str">
        <f>IF(A9="","",C9-(子基金及业绩基准周净值!AM75/子基金及业绩基准周净值!AM74-1))</f>
        <v/>
      </c>
      <c r="E9" s="12" t="str">
        <f>IF(A9="","",(MAX(B$3:B9)-B9)/MAX(B$3:B9))</f>
        <v/>
      </c>
      <c r="F9" s="12" t="str">
        <f>IF(A9="","",MAX(E$3:E9))</f>
        <v/>
      </c>
      <c r="G9" s="13"/>
      <c r="H9" s="14" t="str">
        <f t="shared" si="1"/>
        <v/>
      </c>
      <c r="I9" s="14" t="str">
        <f t="shared" si="2"/>
        <v/>
      </c>
      <c r="J9" s="15" t="str">
        <f t="shared" si="3"/>
        <v/>
      </c>
    </row>
    <row r="10" spans="1:10">
      <c r="A10" s="7" t="str">
        <f>IF(子基金及业绩基准周净值!A76="","",子基金及业绩基准周净值!A76)</f>
        <v/>
      </c>
      <c r="B10" s="1" t="str">
        <f>IF(A10="","",VLOOKUP($A10,子基金及业绩基准周净值!$A:$AV,30))</f>
        <v/>
      </c>
      <c r="C10" s="8" t="str">
        <f t="shared" si="0"/>
        <v/>
      </c>
      <c r="D10" s="9" t="str">
        <f>IF(A10="","",C10-(子基金及业绩基准周净值!AM76/子基金及业绩基准周净值!AM75-1))</f>
        <v/>
      </c>
      <c r="E10" s="12" t="str">
        <f>IF(A10="","",(MAX(B$3:B10)-B10)/MAX(B$3:B10))</f>
        <v/>
      </c>
      <c r="F10" s="12" t="str">
        <f>IF(A10="","",MAX(E$3:E10))</f>
        <v/>
      </c>
      <c r="G10" s="20"/>
      <c r="H10" s="14" t="str">
        <f t="shared" si="1"/>
        <v/>
      </c>
      <c r="I10" s="14" t="str">
        <f t="shared" si="2"/>
        <v/>
      </c>
      <c r="J10" s="15" t="str">
        <f t="shared" si="3"/>
        <v/>
      </c>
    </row>
    <row r="11" spans="1:10">
      <c r="A11" s="7" t="str">
        <f>IF(子基金及业绩基准周净值!A77="","",子基金及业绩基准周净值!A77)</f>
        <v/>
      </c>
      <c r="B11" s="1" t="str">
        <f>IF(A11="","",VLOOKUP($A11,子基金及业绩基准周净值!$A:$AV,30))</f>
        <v/>
      </c>
      <c r="C11" s="8" t="str">
        <f t="shared" si="0"/>
        <v/>
      </c>
      <c r="D11" s="9" t="str">
        <f>IF(A11="","",C11-(子基金及业绩基准周净值!AM77/子基金及业绩基准周净值!AM76-1))</f>
        <v/>
      </c>
      <c r="E11" s="12" t="str">
        <f>IF(A11="","",(MAX(B$3:B11)-B11)/MAX(B$3:B11))</f>
        <v/>
      </c>
      <c r="F11" s="12" t="str">
        <f>IF(A11="","",MAX(E$3:E11))</f>
        <v/>
      </c>
      <c r="G11" s="13"/>
      <c r="H11" s="14" t="str">
        <f t="shared" si="1"/>
        <v/>
      </c>
      <c r="I11" s="14" t="str">
        <f t="shared" si="2"/>
        <v/>
      </c>
      <c r="J11" s="15" t="str">
        <f t="shared" si="3"/>
        <v/>
      </c>
    </row>
    <row r="12" spans="1:10">
      <c r="A12" s="7" t="str">
        <f>IF(子基金及业绩基准周净值!A78="","",子基金及业绩基准周净值!A78)</f>
        <v/>
      </c>
      <c r="B12" s="1" t="str">
        <f>IF(A12="","",VLOOKUP($A12,子基金及业绩基准周净值!$A:$AV,30))</f>
        <v/>
      </c>
      <c r="C12" s="8" t="str">
        <f t="shared" si="0"/>
        <v/>
      </c>
      <c r="D12" s="9" t="str">
        <f>IF(A12="","",C12-(子基金及业绩基准周净值!AM78/子基金及业绩基准周净值!AM77-1))</f>
        <v/>
      </c>
      <c r="E12" s="12" t="str">
        <f>IF(A12="","",(MAX(B$3:B12)-B12)/MAX(B$3:B12))</f>
        <v/>
      </c>
      <c r="F12" s="12" t="str">
        <f>IF(A12="","",MAX(E$3:E12))</f>
        <v/>
      </c>
      <c r="G12" s="13"/>
      <c r="H12" s="14" t="str">
        <f t="shared" si="1"/>
        <v/>
      </c>
      <c r="I12" s="14" t="str">
        <f t="shared" si="2"/>
        <v/>
      </c>
      <c r="J12" s="15" t="str">
        <f t="shared" si="3"/>
        <v/>
      </c>
    </row>
    <row r="13" spans="1:10">
      <c r="A13" s="7" t="str">
        <f>IF(子基金及业绩基准周净值!A79="","",子基金及业绩基准周净值!A79)</f>
        <v/>
      </c>
      <c r="B13" s="1" t="str">
        <f>IF(A13="","",VLOOKUP($A13,子基金及业绩基准周净值!$A:$AV,30))</f>
        <v/>
      </c>
      <c r="C13" s="8" t="str">
        <f t="shared" si="0"/>
        <v/>
      </c>
      <c r="D13" s="9" t="str">
        <f>IF(A13="","",C13-(子基金及业绩基准周净值!AM79/子基金及业绩基准周净值!AM78-1))</f>
        <v/>
      </c>
      <c r="E13" s="12" t="str">
        <f>IF(A13="","",(MAX(B$3:B13)-B13)/MAX(B$3:B13))</f>
        <v/>
      </c>
      <c r="F13" s="12" t="str">
        <f>IF(A13="","",MAX(E$3:E13))</f>
        <v/>
      </c>
      <c r="G13" s="13"/>
      <c r="H13" s="14" t="str">
        <f t="shared" si="1"/>
        <v/>
      </c>
      <c r="I13" s="14" t="str">
        <f t="shared" si="2"/>
        <v/>
      </c>
      <c r="J13" s="15" t="str">
        <f t="shared" si="3"/>
        <v/>
      </c>
    </row>
    <row r="14" spans="1:10">
      <c r="A14" s="7" t="str">
        <f>IF(子基金及业绩基准周净值!A80="","",子基金及业绩基准周净值!A80)</f>
        <v/>
      </c>
      <c r="B14" s="1" t="str">
        <f>IF(A14="","",VLOOKUP($A14,子基金及业绩基准周净值!$A:$AV,30))</f>
        <v/>
      </c>
      <c r="C14" s="8" t="str">
        <f t="shared" si="0"/>
        <v/>
      </c>
      <c r="D14" s="9" t="str">
        <f>IF(A14="","",C14-(子基金及业绩基准周净值!AM80/子基金及业绩基准周净值!AM79-1))</f>
        <v/>
      </c>
      <c r="E14" s="12" t="str">
        <f>IF(A14="","",(MAX(B$3:B14)-B14)/MAX(B$3:B14))</f>
        <v/>
      </c>
      <c r="F14" s="12" t="str">
        <f>IF(A14="","",MAX(E$3:E14))</f>
        <v/>
      </c>
      <c r="G14" s="13"/>
      <c r="H14" s="14" t="str">
        <f t="shared" si="1"/>
        <v/>
      </c>
      <c r="I14" s="14" t="str">
        <f t="shared" si="2"/>
        <v/>
      </c>
      <c r="J14" s="15" t="str">
        <f t="shared" si="3"/>
        <v/>
      </c>
    </row>
    <row r="15" spans="1:10">
      <c r="A15" s="7" t="str">
        <f>IF(子基金及业绩基准周净值!A81="","",子基金及业绩基准周净值!A81)</f>
        <v/>
      </c>
      <c r="B15" s="1" t="str">
        <f>IF(A15="","",VLOOKUP($A15,子基金及业绩基准周净值!$A:$AV,30))</f>
        <v/>
      </c>
      <c r="C15" s="8" t="str">
        <f t="shared" si="0"/>
        <v/>
      </c>
      <c r="D15" s="9" t="str">
        <f>IF(A15="","",C15-(子基金及业绩基准周净值!AM81/子基金及业绩基准周净值!AM80-1))</f>
        <v/>
      </c>
      <c r="E15" s="12" t="str">
        <f>IF(A15="","",(MAX(B$3:B15)-B15)/MAX(B$3:B15))</f>
        <v/>
      </c>
      <c r="F15" s="12" t="str">
        <f>IF(A15="","",MAX(E$3:E15))</f>
        <v/>
      </c>
      <c r="G15" s="13"/>
      <c r="H15" s="14" t="str">
        <f t="shared" si="1"/>
        <v/>
      </c>
      <c r="I15" s="14" t="str">
        <f t="shared" si="2"/>
        <v/>
      </c>
      <c r="J15" s="15" t="str">
        <f t="shared" si="3"/>
        <v/>
      </c>
    </row>
    <row r="16" spans="1:10">
      <c r="A16" s="7" t="str">
        <f>IF(子基金及业绩基准周净值!A82="","",子基金及业绩基准周净值!A82)</f>
        <v/>
      </c>
      <c r="B16" s="1" t="str">
        <f>IF(A16="","",VLOOKUP($A16,子基金及业绩基准周净值!$A:$AV,30))</f>
        <v/>
      </c>
      <c r="C16" s="8" t="str">
        <f t="shared" si="0"/>
        <v/>
      </c>
      <c r="D16" s="9" t="str">
        <f>IF(A16="","",C16-(子基金及业绩基准周净值!AM82/子基金及业绩基准周净值!AM81-1))</f>
        <v/>
      </c>
      <c r="E16" s="12" t="str">
        <f>IF(A16="","",(MAX(B$3:B16)-B16)/MAX(B$3:B16))</f>
        <v/>
      </c>
      <c r="F16" s="12" t="str">
        <f>IF(A16="","",MAX(E$3:E16))</f>
        <v/>
      </c>
      <c r="G16" s="13"/>
      <c r="H16" s="14" t="str">
        <f t="shared" si="1"/>
        <v/>
      </c>
      <c r="I16" s="14" t="str">
        <f t="shared" si="2"/>
        <v/>
      </c>
      <c r="J16" s="15" t="str">
        <f t="shared" si="3"/>
        <v/>
      </c>
    </row>
    <row r="17" spans="1:10">
      <c r="A17" s="7" t="str">
        <f>IF(子基金及业绩基准周净值!A83="","",子基金及业绩基准周净值!A83)</f>
        <v/>
      </c>
      <c r="B17" s="1" t="str">
        <f>IF(A17="","",VLOOKUP($A17,子基金及业绩基准周净值!$A:$AV,30))</f>
        <v/>
      </c>
      <c r="C17" s="8" t="str">
        <f t="shared" si="0"/>
        <v/>
      </c>
      <c r="D17" s="9" t="str">
        <f>IF(A17="","",C17-(子基金及业绩基准周净值!AM83/子基金及业绩基准周净值!AM82-1))</f>
        <v/>
      </c>
      <c r="E17" s="12" t="str">
        <f>IF(A17="","",(MAX(B$3:B17)-B17)/MAX(B$3:B17))</f>
        <v/>
      </c>
      <c r="F17" s="12" t="str">
        <f>IF(A17="","",MAX(E$3:E17))</f>
        <v/>
      </c>
      <c r="G17" s="13"/>
      <c r="H17" s="14" t="str">
        <f t="shared" si="1"/>
        <v/>
      </c>
      <c r="I17" s="14" t="str">
        <f t="shared" si="2"/>
        <v/>
      </c>
      <c r="J17" s="15" t="str">
        <f t="shared" si="3"/>
        <v/>
      </c>
    </row>
    <row r="18" spans="1:10">
      <c r="A18" s="7" t="str">
        <f>IF(子基金及业绩基准周净值!A84="","",子基金及业绩基准周净值!A84)</f>
        <v/>
      </c>
      <c r="B18" s="1" t="str">
        <f>IF(A18="","",VLOOKUP($A18,子基金及业绩基准周净值!$A:$AV,30))</f>
        <v/>
      </c>
      <c r="C18" s="8" t="str">
        <f t="shared" si="0"/>
        <v/>
      </c>
      <c r="D18" s="9" t="str">
        <f>IF(A18="","",C18-(子基金及业绩基准周净值!AM84/子基金及业绩基准周净值!AM83-1))</f>
        <v/>
      </c>
      <c r="E18" s="12" t="str">
        <f>IF(A18="","",(MAX(B$3:B18)-B18)/MAX(B$3:B18))</f>
        <v/>
      </c>
      <c r="F18" s="12" t="str">
        <f>IF(A18="","",MAX(E$3:E18))</f>
        <v/>
      </c>
      <c r="G18" s="13"/>
      <c r="H18" s="14" t="str">
        <f t="shared" si="1"/>
        <v/>
      </c>
      <c r="I18" s="14" t="str">
        <f t="shared" si="2"/>
        <v/>
      </c>
      <c r="J18" s="15" t="str">
        <f t="shared" si="3"/>
        <v/>
      </c>
    </row>
    <row r="19" spans="1:10">
      <c r="A19" s="7" t="str">
        <f>IF(子基金及业绩基准周净值!A85="","",子基金及业绩基准周净值!A85)</f>
        <v/>
      </c>
      <c r="B19" s="1" t="str">
        <f>IF(A19="","",VLOOKUP($A19,子基金及业绩基准周净值!$A:$AV,30))</f>
        <v/>
      </c>
      <c r="C19" s="8" t="str">
        <f t="shared" si="0"/>
        <v/>
      </c>
      <c r="D19" s="9" t="str">
        <f>IF(A19="","",C19-(子基金及业绩基准周净值!AM85/子基金及业绩基准周净值!AM84-1))</f>
        <v/>
      </c>
      <c r="E19" s="12" t="str">
        <f>IF(A19="","",(MAX(B$3:B19)-B19)/MAX(B$3:B19))</f>
        <v/>
      </c>
      <c r="F19" s="12" t="str">
        <f>IF(A19="","",MAX(E$3:E19))</f>
        <v/>
      </c>
      <c r="G19" s="13"/>
      <c r="H19" s="14" t="str">
        <f t="shared" si="1"/>
        <v/>
      </c>
      <c r="I19" s="14" t="str">
        <f t="shared" si="2"/>
        <v/>
      </c>
      <c r="J19" s="15" t="str">
        <f t="shared" si="3"/>
        <v/>
      </c>
    </row>
    <row r="20" spans="1:10">
      <c r="A20" s="7" t="str">
        <f>IF(子基金及业绩基准周净值!A86="","",子基金及业绩基准周净值!A86)</f>
        <v/>
      </c>
      <c r="B20" s="1" t="str">
        <f>IF(A20="","",VLOOKUP($A20,子基金及业绩基准周净值!$A:$AV,30))</f>
        <v/>
      </c>
      <c r="C20" s="8" t="str">
        <f t="shared" si="0"/>
        <v/>
      </c>
      <c r="D20" s="9" t="str">
        <f>IF(A20="","",C20-(子基金及业绩基准周净值!AM86/子基金及业绩基准周净值!AM85-1))</f>
        <v/>
      </c>
      <c r="E20" s="12" t="str">
        <f>IF(A20="","",(MAX(B$3:B20)-B20)/MAX(B$3:B20))</f>
        <v/>
      </c>
      <c r="F20" s="12" t="str">
        <f>IF(A20="","",MAX(E$3:E20))</f>
        <v/>
      </c>
      <c r="G20" s="13"/>
      <c r="H20" s="14" t="str">
        <f t="shared" si="1"/>
        <v/>
      </c>
      <c r="I20" s="14" t="str">
        <f t="shared" si="2"/>
        <v/>
      </c>
      <c r="J20" s="15" t="str">
        <f t="shared" si="3"/>
        <v/>
      </c>
    </row>
    <row r="21" spans="1:10">
      <c r="A21" s="7" t="str">
        <f>IF(子基金及业绩基准周净值!A87="","",子基金及业绩基准周净值!A87)</f>
        <v/>
      </c>
      <c r="B21" s="1" t="str">
        <f>IF(A21="","",VLOOKUP($A21,子基金及业绩基准周净值!$A:$AV,30))</f>
        <v/>
      </c>
      <c r="C21" s="8" t="str">
        <f t="shared" si="0"/>
        <v/>
      </c>
      <c r="D21" s="9" t="str">
        <f>IF(A21="","",C21-(子基金及业绩基准周净值!AM87/子基金及业绩基准周净值!AM86-1))</f>
        <v/>
      </c>
      <c r="E21" s="12" t="str">
        <f>IF(A21="","",(MAX(B$3:B21)-B21)/MAX(B$3:B21))</f>
        <v/>
      </c>
      <c r="F21" s="12" t="str">
        <f>IF(A21="","",MAX(E$3:E21))</f>
        <v/>
      </c>
      <c r="G21" s="13"/>
      <c r="H21" s="14" t="str">
        <f t="shared" si="1"/>
        <v/>
      </c>
      <c r="I21" s="14" t="str">
        <f t="shared" si="2"/>
        <v/>
      </c>
      <c r="J21" s="15" t="str">
        <f t="shared" si="3"/>
        <v/>
      </c>
    </row>
    <row r="22" spans="1:10">
      <c r="A22" s="7" t="str">
        <f>IF(子基金及业绩基准周净值!A88="","",子基金及业绩基准周净值!A88)</f>
        <v/>
      </c>
      <c r="B22" s="1" t="str">
        <f>IF(A22="","",VLOOKUP($A22,子基金及业绩基准周净值!$A:$AV,30))</f>
        <v/>
      </c>
      <c r="C22" s="8" t="str">
        <f t="shared" si="0"/>
        <v/>
      </c>
      <c r="D22" s="9" t="str">
        <f>IF(A22="","",C22-(子基金及业绩基准周净值!AM88/子基金及业绩基准周净值!AM87-1))</f>
        <v/>
      </c>
      <c r="E22" s="12" t="str">
        <f>IF(A22="","",(MAX(B$3:B22)-B22)/MAX(B$3:B22))</f>
        <v/>
      </c>
      <c r="F22" s="12" t="str">
        <f>IF(A22="","",MAX(E$3:E22))</f>
        <v/>
      </c>
      <c r="G22" s="13"/>
      <c r="H22" s="14" t="str">
        <f t="shared" si="1"/>
        <v/>
      </c>
      <c r="I22" s="14" t="str">
        <f t="shared" si="2"/>
        <v/>
      </c>
      <c r="J22" s="15" t="str">
        <f t="shared" si="3"/>
        <v/>
      </c>
    </row>
    <row r="23" spans="1:10">
      <c r="A23" s="7" t="str">
        <f>IF(子基金及业绩基准周净值!A89="","",子基金及业绩基准周净值!A89)</f>
        <v/>
      </c>
      <c r="B23" s="1" t="str">
        <f>IF(A23="","",VLOOKUP($A23,子基金及业绩基准周净值!$A:$AV,30))</f>
        <v/>
      </c>
      <c r="C23" s="8" t="str">
        <f t="shared" si="0"/>
        <v/>
      </c>
      <c r="D23" s="9" t="str">
        <f>IF(A23="","",C23-(子基金及业绩基准周净值!AM89/子基金及业绩基准周净值!AM88-1))</f>
        <v/>
      </c>
      <c r="E23" s="12" t="str">
        <f>IF(A23="","",(MAX(B$3:B23)-B23)/MAX(B$3:B23))</f>
        <v/>
      </c>
      <c r="F23" s="12" t="str">
        <f>IF(A23="","",MAX(E$3:E23))</f>
        <v/>
      </c>
      <c r="G23" s="13"/>
      <c r="H23" s="14" t="str">
        <f t="shared" si="1"/>
        <v/>
      </c>
      <c r="I23" s="14" t="str">
        <f t="shared" si="2"/>
        <v/>
      </c>
      <c r="J23" s="15" t="str">
        <f t="shared" si="3"/>
        <v/>
      </c>
    </row>
    <row r="24" spans="1:10">
      <c r="A24" s="7" t="str">
        <f>IF(子基金及业绩基准周净值!A90="","",子基金及业绩基准周净值!A90)</f>
        <v/>
      </c>
      <c r="B24" s="1" t="str">
        <f>IF(A24="","",VLOOKUP($A24,子基金及业绩基准周净值!$A:$AV,30))</f>
        <v/>
      </c>
      <c r="C24" s="8" t="str">
        <f t="shared" si="0"/>
        <v/>
      </c>
      <c r="D24" s="9" t="str">
        <f>IF(A24="","",C24-(子基金及业绩基准周净值!AM90/子基金及业绩基准周净值!AM89-1))</f>
        <v/>
      </c>
      <c r="E24" s="12" t="str">
        <f>IF(A24="","",(MAX(B$3:B24)-B24)/MAX(B$3:B24))</f>
        <v/>
      </c>
      <c r="F24" s="12" t="str">
        <f>IF(A24="","",MAX(E$3:E24))</f>
        <v/>
      </c>
      <c r="G24" s="13"/>
      <c r="H24" s="14" t="str">
        <f t="shared" si="1"/>
        <v/>
      </c>
      <c r="I24" s="14" t="str">
        <f t="shared" si="2"/>
        <v/>
      </c>
      <c r="J24" s="15" t="str">
        <f t="shared" si="3"/>
        <v/>
      </c>
    </row>
    <row r="25" spans="1:10">
      <c r="A25" s="7" t="str">
        <f>IF(子基金及业绩基准周净值!A91="","",子基金及业绩基准周净值!A91)</f>
        <v/>
      </c>
      <c r="B25" s="1" t="str">
        <f>IF(A25="","",VLOOKUP($A25,子基金及业绩基准周净值!$A:$AV,30))</f>
        <v/>
      </c>
      <c r="C25" s="8" t="str">
        <f t="shared" si="0"/>
        <v/>
      </c>
      <c r="D25" s="9" t="str">
        <f>IF(A25="","",C25-(子基金及业绩基准周净值!AM91/子基金及业绩基准周净值!AM90-1))</f>
        <v/>
      </c>
      <c r="E25" s="12" t="str">
        <f>IF(A25="","",(MAX(B$3:B25)-B25)/MAX(B$3:B25))</f>
        <v/>
      </c>
      <c r="F25" s="12" t="str">
        <f>IF(A25="","",MAX(E$3:E25))</f>
        <v/>
      </c>
      <c r="G25" s="13"/>
      <c r="H25" s="14" t="str">
        <f t="shared" si="1"/>
        <v/>
      </c>
      <c r="I25" s="14" t="str">
        <f t="shared" si="2"/>
        <v/>
      </c>
      <c r="J25" s="15" t="str">
        <f t="shared" si="3"/>
        <v/>
      </c>
    </row>
    <row r="26" spans="1:10">
      <c r="A26" s="7" t="str">
        <f>IF(子基金及业绩基准周净值!A92="","",子基金及业绩基准周净值!A92)</f>
        <v/>
      </c>
      <c r="B26" s="1" t="str">
        <f>IF(A26="","",VLOOKUP($A26,子基金及业绩基准周净值!$A:$AV,30))</f>
        <v/>
      </c>
      <c r="C26" s="8" t="str">
        <f t="shared" si="0"/>
        <v/>
      </c>
      <c r="D26" s="9" t="str">
        <f>IF(A26="","",C26-(子基金及业绩基准周净值!AM92/子基金及业绩基准周净值!AM91-1))</f>
        <v/>
      </c>
      <c r="E26" s="12" t="str">
        <f>IF(A26="","",(MAX(B$3:B26)-B26)/MAX(B$3:B26))</f>
        <v/>
      </c>
      <c r="F26" s="12" t="str">
        <f>IF(A26="","",MAX(E$3:E26))</f>
        <v/>
      </c>
      <c r="G26" s="13"/>
      <c r="H26" s="14" t="str">
        <f t="shared" si="1"/>
        <v/>
      </c>
      <c r="I26" s="14" t="str">
        <f t="shared" si="2"/>
        <v/>
      </c>
      <c r="J26" s="15" t="str">
        <f t="shared" si="3"/>
        <v/>
      </c>
    </row>
    <row r="27" spans="1:10">
      <c r="A27" s="7" t="str">
        <f>IF(子基金及业绩基准周净值!A93="","",子基金及业绩基准周净值!A93)</f>
        <v/>
      </c>
      <c r="B27" s="1" t="str">
        <f>IF(A27="","",VLOOKUP($A27,子基金及业绩基准周净值!$A:$AV,30))</f>
        <v/>
      </c>
      <c r="C27" s="8" t="str">
        <f t="shared" si="0"/>
        <v/>
      </c>
      <c r="D27" s="9" t="str">
        <f>IF(A27="","",C27-(子基金及业绩基准周净值!AM93/子基金及业绩基准周净值!AM92-1))</f>
        <v/>
      </c>
      <c r="E27" s="12" t="str">
        <f>IF(A27="","",(MAX(B$3:B27)-B27)/MAX(B$3:B27))</f>
        <v/>
      </c>
      <c r="F27" s="12" t="str">
        <f>IF(A27="","",MAX(E$3:E27))</f>
        <v/>
      </c>
      <c r="G27" s="13"/>
      <c r="H27" s="14" t="str">
        <f t="shared" si="1"/>
        <v/>
      </c>
      <c r="I27" s="14" t="str">
        <f t="shared" si="2"/>
        <v/>
      </c>
      <c r="J27" s="15" t="str">
        <f t="shared" si="3"/>
        <v/>
      </c>
    </row>
    <row r="28" spans="1:10">
      <c r="A28" s="7" t="str">
        <f>IF(子基金及业绩基准周净值!A94="","",子基金及业绩基准周净值!A94)</f>
        <v/>
      </c>
      <c r="B28" s="1" t="str">
        <f>IF(A28="","",VLOOKUP($A28,子基金及业绩基准周净值!$A:$AV,30))</f>
        <v/>
      </c>
      <c r="C28" s="8" t="str">
        <f t="shared" si="0"/>
        <v/>
      </c>
      <c r="D28" s="9" t="str">
        <f>IF(A28="","",C28-(子基金及业绩基准周净值!AM94/子基金及业绩基准周净值!AM93-1))</f>
        <v/>
      </c>
      <c r="E28" s="12" t="str">
        <f>IF(A28="","",(MAX(B$3:B28)-B28)/MAX(B$3:B28))</f>
        <v/>
      </c>
      <c r="F28" s="12" t="str">
        <f>IF(A28="","",MAX(E$3:E28))</f>
        <v/>
      </c>
      <c r="G28" s="13"/>
      <c r="H28" s="14" t="str">
        <f t="shared" si="1"/>
        <v/>
      </c>
      <c r="I28" s="14" t="str">
        <f t="shared" si="2"/>
        <v/>
      </c>
      <c r="J28" s="15" t="str">
        <f t="shared" si="3"/>
        <v/>
      </c>
    </row>
    <row r="29" spans="1:10">
      <c r="A29" s="7" t="str">
        <f>IF(子基金及业绩基准周净值!A95="","",子基金及业绩基准周净值!A95)</f>
        <v/>
      </c>
      <c r="B29" s="1" t="str">
        <f>IF(A29="","",VLOOKUP($A29,子基金及业绩基准周净值!$A:$AV,30))</f>
        <v/>
      </c>
      <c r="C29" s="8" t="str">
        <f t="shared" si="0"/>
        <v/>
      </c>
      <c r="D29" s="9" t="str">
        <f>IF(A29="","",C29-(子基金及业绩基准周净值!AM95/子基金及业绩基准周净值!AM94-1))</f>
        <v/>
      </c>
      <c r="E29" s="12" t="str">
        <f>IF(A29="","",(MAX(B$3:B29)-B29)/MAX(B$3:B29))</f>
        <v/>
      </c>
      <c r="F29" s="12" t="str">
        <f>IF(A29="","",MAX(E$3:E29))</f>
        <v/>
      </c>
      <c r="G29" s="13"/>
      <c r="H29" s="14" t="str">
        <f t="shared" si="1"/>
        <v/>
      </c>
      <c r="I29" s="14" t="str">
        <f t="shared" si="2"/>
        <v/>
      </c>
      <c r="J29" s="15" t="str">
        <f t="shared" si="3"/>
        <v/>
      </c>
    </row>
    <row r="30" spans="1:10">
      <c r="A30" s="7" t="str">
        <f>IF(子基金及业绩基准周净值!A96="","",子基金及业绩基准周净值!A96)</f>
        <v/>
      </c>
      <c r="B30" s="1" t="str">
        <f>IF(A30="","",VLOOKUP($A30,子基金及业绩基准周净值!$A:$AV,30))</f>
        <v/>
      </c>
      <c r="C30" s="8" t="str">
        <f t="shared" si="0"/>
        <v/>
      </c>
      <c r="D30" s="9" t="str">
        <f>IF(A30="","",C30-(子基金及业绩基准周净值!AM96/子基金及业绩基准周净值!AM95-1))</f>
        <v/>
      </c>
      <c r="E30" s="12" t="str">
        <f>IF(A30="","",(MAX(B$3:B30)-B30)/MAX(B$3:B30))</f>
        <v/>
      </c>
      <c r="F30" s="12" t="str">
        <f>IF(A30="","",MAX(E$3:E30))</f>
        <v/>
      </c>
      <c r="G30" s="13"/>
      <c r="H30" s="14" t="str">
        <f t="shared" si="1"/>
        <v/>
      </c>
      <c r="I30" s="14" t="str">
        <f t="shared" si="2"/>
        <v/>
      </c>
      <c r="J30" s="15" t="str">
        <f t="shared" si="3"/>
        <v/>
      </c>
    </row>
    <row r="31" spans="1:10">
      <c r="A31" s="7"/>
      <c r="B31" s="1" t="str">
        <f>IF(A31="","",VLOOKUP($A31,子基金及业绩基准周净值!$A:$AV,30))</f>
        <v/>
      </c>
      <c r="C31" s="8" t="str">
        <f t="shared" si="0"/>
        <v/>
      </c>
      <c r="D31" s="9" t="str">
        <f>IF(A31="","",C31-(子基金及业绩基准周净值!AM97/子基金及业绩基准周净值!AM96-1))</f>
        <v/>
      </c>
      <c r="E31" s="12" t="str">
        <f>IF(A31="","",(MAX(B$3:B31)-B31)/MAX(B$3:B31))</f>
        <v/>
      </c>
      <c r="F31" s="12" t="str">
        <f>IF(A31="","",MAX(E$3:E31))</f>
        <v/>
      </c>
      <c r="G31" s="13"/>
      <c r="H31" s="14" t="str">
        <f t="shared" si="1"/>
        <v/>
      </c>
      <c r="I31" s="14" t="str">
        <f t="shared" si="2"/>
        <v/>
      </c>
      <c r="J31" s="15" t="str">
        <f t="shared" si="3"/>
        <v/>
      </c>
    </row>
    <row r="32" spans="1:10">
      <c r="A32" s="7"/>
      <c r="B32" s="1" t="str">
        <f>IF(A32="","",VLOOKUP($A32,子基金及业绩基准周净值!$A:$AV,30))</f>
        <v/>
      </c>
      <c r="C32" s="8"/>
      <c r="D32" s="9"/>
      <c r="E32" s="12" t="str">
        <f>IF(A32="","",(MAX(B$3:B32)-B32)/MAX(B$3:B32))</f>
        <v/>
      </c>
      <c r="F32" s="12" t="str">
        <f>IF(A32="","",MAX(E$3:E32))</f>
        <v/>
      </c>
      <c r="G32" s="13"/>
      <c r="H32" s="14" t="str">
        <f t="shared" si="1"/>
        <v/>
      </c>
      <c r="I32" s="14" t="str">
        <f t="shared" si="2"/>
        <v/>
      </c>
      <c r="J32" s="15" t="str">
        <f t="shared" si="3"/>
        <v/>
      </c>
    </row>
    <row r="33" spans="1:10">
      <c r="A33" s="7"/>
      <c r="B33" s="1" t="str">
        <f>IF(A33="","",VLOOKUP($A33,子基金及业绩基准周净值!$A:$AV,30))</f>
        <v/>
      </c>
      <c r="C33" s="8"/>
      <c r="D33" s="9"/>
      <c r="E33" s="12" t="str">
        <f>IF(A33="","",(MAX(B$3:B33)-B33)/MAX(B$3:B33))</f>
        <v/>
      </c>
      <c r="F33" s="12" t="str">
        <f>IF(A33="","",MAX(E$3:E33))</f>
        <v/>
      </c>
      <c r="G33" s="13"/>
      <c r="H33" s="14" t="str">
        <f t="shared" si="1"/>
        <v/>
      </c>
      <c r="I33" s="14" t="str">
        <f t="shared" si="2"/>
        <v/>
      </c>
      <c r="J33" s="15" t="str">
        <f t="shared" si="3"/>
        <v/>
      </c>
    </row>
    <row r="34" spans="1:10">
      <c r="A34" s="7"/>
      <c r="B34" s="1" t="str">
        <f>IF(A34="","",VLOOKUP($A34,子基金及业绩基准周净值!$A:$AV,30))</f>
        <v/>
      </c>
      <c r="C34" s="8"/>
      <c r="D34" s="9"/>
      <c r="E34" s="12" t="str">
        <f>IF(A34="","",(MAX(B$3:B34)-B34)/MAX(B$3:B34))</f>
        <v/>
      </c>
      <c r="F34" s="12" t="str">
        <f>IF(A34="","",MAX(E$3:E34))</f>
        <v/>
      </c>
      <c r="G34" s="13"/>
      <c r="H34" s="14" t="str">
        <f t="shared" si="1"/>
        <v/>
      </c>
      <c r="I34" s="14" t="str">
        <f t="shared" si="2"/>
        <v/>
      </c>
      <c r="J34" s="15" t="str">
        <f t="shared" si="3"/>
        <v/>
      </c>
    </row>
    <row r="35" spans="1:10">
      <c r="A35" s="7"/>
      <c r="B35" s="1" t="str">
        <f>IF(A35="","",VLOOKUP($A35,子基金及业绩基准周净值!$A:$AV,30))</f>
        <v/>
      </c>
      <c r="C35" s="8"/>
      <c r="D35" s="9"/>
      <c r="E35" s="12" t="str">
        <f>IF(A35="","",(MAX(B$3:B35)-B35)/MAX(B$3:B35))</f>
        <v/>
      </c>
      <c r="F35" s="12" t="str">
        <f>IF(A35="","",MAX(E$3:E35))</f>
        <v/>
      </c>
      <c r="G35" s="13"/>
      <c r="H35" s="14" t="str">
        <f t="shared" si="1"/>
        <v/>
      </c>
      <c r="I35" s="14" t="str">
        <f t="shared" si="2"/>
        <v/>
      </c>
      <c r="J35" s="15" t="str">
        <f t="shared" si="3"/>
        <v/>
      </c>
    </row>
    <row r="36" spans="1:10">
      <c r="A36" s="7"/>
      <c r="B36" s="1" t="str">
        <f>IF(A36="","",VLOOKUP($A36,子基金及业绩基准周净值!$A:$AV,30))</f>
        <v/>
      </c>
      <c r="C36" s="8"/>
      <c r="D36" s="9"/>
      <c r="E36" s="12" t="str">
        <f>IF(A36="","",(MAX(B$3:B36)-B36)/MAX(B$3:B36))</f>
        <v/>
      </c>
      <c r="F36" s="12" t="str">
        <f>IF(A36="","",MAX(E$3:E36))</f>
        <v/>
      </c>
      <c r="G36" s="13"/>
      <c r="H36" s="14" t="str">
        <f t="shared" si="1"/>
        <v/>
      </c>
      <c r="I36" s="14" t="str">
        <f t="shared" si="2"/>
        <v/>
      </c>
      <c r="J36" s="15" t="str">
        <f t="shared" si="3"/>
        <v/>
      </c>
    </row>
    <row r="37" spans="1:10">
      <c r="A37" s="7"/>
      <c r="B37" s="1" t="str">
        <f>IF(A37="","",VLOOKUP($A37,子基金及业绩基准周净值!$A:$AV,30))</f>
        <v/>
      </c>
      <c r="C37" s="8"/>
      <c r="D37" s="9"/>
      <c r="E37" s="12" t="str">
        <f>IF(A37="","",(MAX(B$3:B37)-B37)/MAX(B$3:B37))</f>
        <v/>
      </c>
      <c r="F37" s="12" t="str">
        <f>IF(A37="","",MAX(E$3:E37))</f>
        <v/>
      </c>
      <c r="G37" s="13"/>
      <c r="H37" s="14" t="str">
        <f t="shared" si="1"/>
        <v/>
      </c>
      <c r="I37" s="14" t="str">
        <f t="shared" si="2"/>
        <v/>
      </c>
      <c r="J37" s="15" t="str">
        <f t="shared" si="3"/>
        <v/>
      </c>
    </row>
    <row r="38" spans="1:10">
      <c r="A38" s="7"/>
      <c r="B38" s="1" t="str">
        <f>IF(A38="","",VLOOKUP($A38,子基金及业绩基准周净值!$A:$AV,30))</f>
        <v/>
      </c>
      <c r="C38" s="8"/>
      <c r="D38" s="9"/>
      <c r="E38" s="12" t="str">
        <f>IF(A38="","",(MAX(B$3:B38)-B38)/MAX(B$3:B38))</f>
        <v/>
      </c>
      <c r="F38" s="12" t="str">
        <f>IF(A38="","",MAX(E$3:E38))</f>
        <v/>
      </c>
      <c r="G38" s="13"/>
      <c r="H38" s="14" t="str">
        <f t="shared" si="1"/>
        <v/>
      </c>
      <c r="I38" s="14" t="str">
        <f t="shared" si="2"/>
        <v/>
      </c>
      <c r="J38" s="15" t="str">
        <f t="shared" si="3"/>
        <v/>
      </c>
    </row>
    <row r="39" spans="1:10">
      <c r="A39" s="7"/>
      <c r="B39" s="1"/>
      <c r="C39" s="8"/>
      <c r="D39" s="9"/>
      <c r="E39" s="12" t="str">
        <f>IF(A39="","",(MAX(B$3:B39)-B39)/MAX(B$3:B39))</f>
        <v/>
      </c>
      <c r="F39" s="12" t="str">
        <f>IF(A39="","",MAX(E$3:E39))</f>
        <v/>
      </c>
      <c r="G39" s="13"/>
      <c r="H39" s="14" t="str">
        <f t="shared" si="1"/>
        <v/>
      </c>
      <c r="I39" s="14" t="str">
        <f t="shared" si="2"/>
        <v/>
      </c>
      <c r="J39" s="15" t="str">
        <f t="shared" si="3"/>
        <v/>
      </c>
    </row>
    <row r="40" spans="1:10">
      <c r="A40" s="7"/>
      <c r="B40" s="1"/>
      <c r="C40" s="8"/>
      <c r="D40" s="9"/>
      <c r="E40" s="12" t="str">
        <f>IF(A40="","",(MAX(B$3:B40)-B40)/MAX(B$3:B40))</f>
        <v/>
      </c>
      <c r="F40" s="12" t="str">
        <f>IF(A40="","",MAX(E$3:E40))</f>
        <v/>
      </c>
      <c r="G40" s="13"/>
      <c r="H40" s="14" t="str">
        <f t="shared" si="1"/>
        <v/>
      </c>
      <c r="I40" s="14" t="str">
        <f t="shared" si="2"/>
        <v/>
      </c>
      <c r="J40" s="15" t="str">
        <f t="shared" si="3"/>
        <v/>
      </c>
    </row>
    <row r="41" spans="1:10">
      <c r="A41" s="7"/>
      <c r="B41" s="1"/>
      <c r="C41" s="8"/>
      <c r="D41" s="9"/>
      <c r="E41" s="12" t="str">
        <f>IF(A41="","",(MAX(B$3:B41)-B41)/MAX(B$3:B41))</f>
        <v/>
      </c>
      <c r="F41" s="12" t="str">
        <f>IF(A41="","",MAX(E$3:E41))</f>
        <v/>
      </c>
      <c r="G41" s="13"/>
      <c r="H41" s="14" t="str">
        <f t="shared" si="1"/>
        <v/>
      </c>
      <c r="I41" s="14" t="str">
        <f t="shared" si="2"/>
        <v/>
      </c>
      <c r="J41" s="15" t="str">
        <f t="shared" si="3"/>
        <v/>
      </c>
    </row>
    <row r="42" spans="1:10">
      <c r="A42" s="7"/>
      <c r="B42" s="1"/>
      <c r="C42" s="8"/>
      <c r="D42" s="9"/>
      <c r="E42" s="12" t="str">
        <f>IF(A42="","",(MAX(B$3:B42)-B42)/MAX(B$3:B42))</f>
        <v/>
      </c>
      <c r="F42" s="12" t="str">
        <f>IF(A42="","",MAX(E$3:E42))</f>
        <v/>
      </c>
      <c r="G42" s="13"/>
      <c r="H42" s="14" t="str">
        <f t="shared" si="1"/>
        <v/>
      </c>
      <c r="I42" s="14" t="str">
        <f t="shared" si="2"/>
        <v/>
      </c>
      <c r="J42" s="15" t="str">
        <f t="shared" si="3"/>
        <v/>
      </c>
    </row>
    <row r="43" spans="1:10">
      <c r="A43" s="7"/>
      <c r="B43" s="1"/>
      <c r="C43" s="8"/>
      <c r="D43" s="9"/>
      <c r="E43" s="12"/>
      <c r="F43" s="12"/>
      <c r="G43" s="13"/>
      <c r="H43" s="14"/>
      <c r="I43" s="14"/>
      <c r="J43" s="15"/>
    </row>
    <row r="44" spans="1:10">
      <c r="A44" s="7"/>
      <c r="B44" s="1"/>
      <c r="C44" s="8"/>
      <c r="D44" s="9"/>
      <c r="E44" s="12"/>
      <c r="F44" s="12"/>
      <c r="G44" s="13"/>
      <c r="H44" s="14"/>
      <c r="I44" s="14"/>
      <c r="J44" s="15"/>
    </row>
    <row r="45" spans="1:10">
      <c r="A45" s="7"/>
      <c r="B45" s="1"/>
      <c r="C45" s="8"/>
      <c r="D45" s="9"/>
      <c r="E45" s="12"/>
      <c r="F45" s="12"/>
      <c r="G45" s="13"/>
      <c r="H45" s="14"/>
      <c r="I45" s="14"/>
      <c r="J45" s="15"/>
    </row>
    <row r="46" spans="1:10">
      <c r="A46" s="7"/>
      <c r="B46" s="1"/>
      <c r="C46" s="8"/>
      <c r="D46" s="9"/>
      <c r="E46" s="12"/>
      <c r="F46" s="12"/>
      <c r="G46" s="13"/>
      <c r="H46" s="14"/>
      <c r="I46" s="14"/>
      <c r="J46" s="15"/>
    </row>
    <row r="47" spans="1:10">
      <c r="A47" s="7"/>
      <c r="B47" s="1"/>
      <c r="C47" s="8"/>
      <c r="D47" s="9"/>
      <c r="E47" s="12"/>
      <c r="F47" s="12"/>
      <c r="G47" s="13"/>
      <c r="H47" s="14"/>
      <c r="I47" s="14"/>
      <c r="J47" s="15"/>
    </row>
    <row r="48" spans="1:10">
      <c r="A48" s="7"/>
      <c r="B48" s="1"/>
      <c r="C48" s="8"/>
      <c r="D48" s="9"/>
      <c r="E48" s="12"/>
      <c r="F48" s="12"/>
      <c r="G48" s="13"/>
      <c r="H48" s="14"/>
      <c r="I48" s="14"/>
      <c r="J48" s="15"/>
    </row>
    <row r="49" spans="1:10">
      <c r="A49" s="7"/>
      <c r="B49" s="1"/>
      <c r="C49" s="8"/>
      <c r="D49" s="9"/>
      <c r="E49" s="12"/>
      <c r="F49" s="12"/>
      <c r="G49" s="13"/>
      <c r="H49" s="14"/>
      <c r="I49" s="14"/>
      <c r="J49" s="15"/>
    </row>
    <row r="50" spans="1:10">
      <c r="A50" s="7"/>
      <c r="B50" s="1"/>
      <c r="C50" s="8"/>
      <c r="D50" s="9"/>
      <c r="E50" s="12"/>
      <c r="F50" s="12"/>
      <c r="G50" s="13"/>
      <c r="H50" s="14"/>
      <c r="I50" s="14"/>
      <c r="J50" s="15"/>
    </row>
    <row r="51" spans="1:10">
      <c r="A51" s="7"/>
      <c r="B51" s="1"/>
      <c r="C51" s="8"/>
      <c r="D51" s="9"/>
      <c r="E51" s="12"/>
      <c r="F51" s="12"/>
      <c r="G51" s="13"/>
      <c r="H51" s="14"/>
      <c r="I51" s="14"/>
      <c r="J51" s="15"/>
    </row>
    <row r="52" spans="1:10">
      <c r="A52" s="7"/>
      <c r="B52" s="1"/>
      <c r="C52" s="8"/>
      <c r="D52" s="9"/>
      <c r="E52" s="12"/>
      <c r="F52" s="12"/>
      <c r="G52" s="13"/>
      <c r="H52" s="14"/>
      <c r="I52" s="14"/>
      <c r="J52" s="15"/>
    </row>
    <row r="53" spans="1:10">
      <c r="A53" s="7"/>
      <c r="B53" s="1"/>
      <c r="C53" s="8"/>
      <c r="D53" s="9"/>
      <c r="E53" s="12"/>
      <c r="F53" s="12"/>
      <c r="G53" s="13"/>
      <c r="H53" s="14"/>
      <c r="I53" s="14"/>
      <c r="J53" s="15"/>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H137" s="14"/>
      <c r="I137" s="14"/>
      <c r="J137" s="15"/>
    </row>
    <row r="138" spans="1:10">
      <c r="A138" s="7"/>
      <c r="B138" s="1"/>
      <c r="C138" s="8"/>
      <c r="D138" s="9"/>
      <c r="E138" s="12"/>
      <c r="F138" s="12"/>
      <c r="H138" s="14"/>
      <c r="I138" s="14"/>
      <c r="J138" s="15"/>
    </row>
    <row r="139" spans="1:10">
      <c r="A139" s="7"/>
      <c r="B139" s="1"/>
      <c r="C139" s="8"/>
      <c r="D139" s="9"/>
      <c r="E139" s="12"/>
      <c r="F139" s="12"/>
      <c r="H139" s="14"/>
      <c r="I139" s="14"/>
      <c r="J139" s="15"/>
    </row>
    <row r="140" spans="1:10">
      <c r="A140" s="7"/>
      <c r="B140" s="1"/>
      <c r="C140" s="8"/>
      <c r="D140" s="9"/>
      <c r="E140" s="12"/>
      <c r="F140" s="12"/>
      <c r="H140" s="14"/>
      <c r="I140" s="14"/>
      <c r="J140" s="15"/>
    </row>
    <row r="141" spans="1:10">
      <c r="A141" s="7"/>
      <c r="B141" s="1"/>
      <c r="C141" s="8"/>
      <c r="D141" s="9"/>
      <c r="E141" s="12"/>
      <c r="F141" s="12"/>
      <c r="H141" s="14"/>
      <c r="I141" s="14"/>
      <c r="J141" s="15"/>
    </row>
    <row r="142" spans="1:10">
      <c r="A142" s="7"/>
      <c r="B142" s="1"/>
      <c r="C142" s="8"/>
      <c r="D142" s="9"/>
      <c r="E142" s="12"/>
      <c r="F142" s="12"/>
      <c r="H142" s="14"/>
      <c r="I142" s="14"/>
      <c r="J142" s="15"/>
    </row>
    <row r="143" spans="1:10">
      <c r="A143" s="7"/>
      <c r="B143" s="1"/>
      <c r="C143" s="8"/>
      <c r="D143" s="9"/>
      <c r="E143" s="12"/>
      <c r="F143" s="12"/>
      <c r="H143" s="14"/>
      <c r="I143" s="14"/>
      <c r="J143" s="15"/>
    </row>
    <row r="144" spans="1:10">
      <c r="A144" s="7"/>
      <c r="B144" s="1"/>
      <c r="C144" s="8"/>
      <c r="D144" s="9"/>
      <c r="E144" s="12"/>
      <c r="F144" s="12"/>
      <c r="H144" s="14"/>
      <c r="I144" s="14"/>
      <c r="J144" s="15"/>
    </row>
    <row r="145" spans="1:10">
      <c r="A145" s="7"/>
      <c r="B145" s="1"/>
      <c r="C145" s="8"/>
      <c r="D145" s="9"/>
      <c r="E145" s="12"/>
      <c r="F145" s="12"/>
      <c r="H145" s="14"/>
      <c r="I145" s="14"/>
      <c r="J145" s="15"/>
    </row>
    <row r="146" spans="1:10">
      <c r="A146" s="7"/>
      <c r="B146" s="1"/>
      <c r="C146" s="8"/>
      <c r="D146" s="9"/>
      <c r="E146" s="12"/>
      <c r="F146" s="12"/>
      <c r="H146" s="14"/>
      <c r="I146" s="14"/>
      <c r="J146" s="15"/>
    </row>
    <row r="147" spans="1:10">
      <c r="A147" s="7"/>
      <c r="B147" s="1"/>
      <c r="C147" s="8"/>
      <c r="D147" s="9"/>
      <c r="E147" s="12"/>
      <c r="F147" s="12"/>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sheetData>
  <conditionalFormatting sqref="H3">
    <cfRule type="containsText" dxfId="0" priority="3" operator="between" text="是">
      <formula>NOT(ISERROR(SEARCH("是",H3)))</formula>
    </cfRule>
  </conditionalFormatting>
  <conditionalFormatting sqref="J3">
    <cfRule type="containsText" dxfId="0" priority="4" operator="between" text="是">
      <formula>NOT(ISERROR(SEARCH("是",J3)))</formula>
    </cfRule>
  </conditionalFormatting>
  <conditionalFormatting sqref="H4:H42">
    <cfRule type="containsText" dxfId="0" priority="7" operator="between" text="是">
      <formula>NOT(ISERROR(SEARCH("是",H4)))</formula>
    </cfRule>
  </conditionalFormatting>
  <conditionalFormatting sqref="J4:J1048576">
    <cfRule type="containsText" dxfId="0" priority="8" operator="between" text="是">
      <formula>NOT(ISERROR(SEARCH("是",J4)))</formula>
    </cfRule>
  </conditionalFormatting>
  <pageMargins left="0.75" right="0.75" top="1" bottom="1" header="0.5" footer="0.5"/>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7"/>
  <sheetViews>
    <sheetView workbookViewId="0">
      <selection activeCell="F28" sqref="F28"/>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68</v>
      </c>
      <c r="C2" s="5" t="s">
        <v>310</v>
      </c>
      <c r="D2" s="6" t="s">
        <v>311</v>
      </c>
      <c r="F2" s="5" t="s">
        <v>22</v>
      </c>
      <c r="G2" s="10" t="s">
        <v>312</v>
      </c>
      <c r="H2" s="11" t="s">
        <v>313</v>
      </c>
      <c r="I2" s="11" t="s">
        <v>314</v>
      </c>
      <c r="J2" s="11" t="s">
        <v>315</v>
      </c>
      <c r="K2" s="5" t="s">
        <v>316</v>
      </c>
    </row>
    <row r="3" spans="1:10">
      <c r="A3" s="7">
        <f>IF(子基金及业绩基准周净值!A70="","",子基金及业绩基准周净值!A70)</f>
        <v>45947</v>
      </c>
      <c r="B3" s="1">
        <f>IF(A3="","",VLOOKUP($A3,子基金及业绩基准周净值!$A:$AV,31))</f>
        <v>0.9601</v>
      </c>
      <c r="C3" s="8"/>
      <c r="D3" s="9"/>
      <c r="E3" s="12"/>
      <c r="F3" s="12"/>
      <c r="G3" s="13"/>
      <c r="H3" s="14"/>
      <c r="I3" s="14"/>
      <c r="J3" s="15"/>
    </row>
    <row r="4" spans="1:10">
      <c r="A4" s="7">
        <f>IF(子基金及业绩基准周净值!A71="","",子基金及业绩基准周净值!A71)</f>
        <v>45954</v>
      </c>
      <c r="B4" s="1">
        <f>IF(A4="","",VLOOKUP($A4,子基金及业绩基准周净值!$A:$AV,31))</f>
        <v>0.959</v>
      </c>
      <c r="C4" s="8">
        <f>IF(B4="","",B4/B3-1)</f>
        <v>-0.00114571398812624</v>
      </c>
      <c r="D4" s="9">
        <f>IF(A4="","",C4-(子基金及业绩基准周净值!AM71/子基金及业绩基准周净值!AM70-1))</f>
        <v>-0.0377041952500748</v>
      </c>
      <c r="E4" s="12">
        <f>IF(A4="","",(MAX(B$3:B4)-B4)/MAX(B$3:B4))</f>
        <v>0.00114571398812623</v>
      </c>
      <c r="F4" s="12">
        <f>IF(A4="","",MAX(E$3:E4))</f>
        <v>0.00114571398812623</v>
      </c>
      <c r="G4" s="13">
        <v>0</v>
      </c>
      <c r="H4" s="14" t="str">
        <f t="shared" ref="H4:H42" si="0">IF(B4="","",IF(C4&lt;-3%,"是","否"))</f>
        <v>否</v>
      </c>
      <c r="I4" s="14" t="str">
        <f t="shared" ref="I4:I42" si="1">IF(A4="","",IF(F4&gt;5%,"是","否"))</f>
        <v>否</v>
      </c>
      <c r="J4" s="15" t="str">
        <f t="shared" ref="J4:J42" si="2">IF(A4="","",IF(G4&gt;=4,"是","否"))</f>
        <v>否</v>
      </c>
    </row>
    <row r="5" spans="1:10">
      <c r="A5" s="7">
        <f>IF(子基金及业绩基准周净值!A72="","",子基金及业绩基准周净值!A72)</f>
        <v>45961</v>
      </c>
      <c r="B5" s="1">
        <f>IF(A5="","",VLOOKUP($A5,子基金及业绩基准周净值!$A:$AV,31))</f>
        <v>0.9625</v>
      </c>
      <c r="C5" s="8">
        <f>IF(B5="","",B5/B4-1)</f>
        <v>0.00364963503649651</v>
      </c>
      <c r="D5" s="9">
        <f>IF(A5="","",C5-(子基金及业绩基准周净值!AM72/子基金及业绩基准周净值!AM71-1))</f>
        <v>-0.00651134141723952</v>
      </c>
      <c r="E5" s="12">
        <f>IF(A5="","",(MAX(B$3:B5)-B5)/MAX(B$3:B5))</f>
        <v>0</v>
      </c>
      <c r="F5" s="12">
        <f>IF(A5="","",MAX(E$3:E5))</f>
        <v>0.00114571398812623</v>
      </c>
      <c r="G5" s="13">
        <v>0</v>
      </c>
      <c r="H5" s="14" t="str">
        <f t="shared" si="0"/>
        <v>否</v>
      </c>
      <c r="I5" s="14" t="str">
        <f t="shared" si="1"/>
        <v>否</v>
      </c>
      <c r="J5" s="15" t="str">
        <f t="shared" si="2"/>
        <v>否</v>
      </c>
    </row>
    <row r="6" spans="1:10">
      <c r="A6" s="7" t="str">
        <f>IF(子基金及业绩基准周净值!A73="","",子基金及业绩基准周净值!A73)</f>
        <v/>
      </c>
      <c r="B6" s="1" t="str">
        <f>IF(A6="","",VLOOKUP($A6,子基金及业绩基准周净值!$A:$AV,31))</f>
        <v/>
      </c>
      <c r="C6" s="8" t="str">
        <f t="shared" ref="C6:C31" si="3">IF(B6="","",B6/B5-1)</f>
        <v/>
      </c>
      <c r="D6" s="9" t="str">
        <f>IF(A6="","",C6-(子基金及业绩基准周净值!AM73/子基金及业绩基准周净值!AM72-1))</f>
        <v/>
      </c>
      <c r="E6" s="12" t="str">
        <f>IF(A6="","",(MAX(B$3:B6)-B6)/MAX(B$3:B6))</f>
        <v/>
      </c>
      <c r="F6" s="12" t="str">
        <f>IF(A6="","",MAX(E$3:E6))</f>
        <v/>
      </c>
      <c r="G6" s="13">
        <v>0</v>
      </c>
      <c r="H6" s="14" t="str">
        <f t="shared" si="0"/>
        <v/>
      </c>
      <c r="I6" s="14" t="str">
        <f t="shared" si="1"/>
        <v/>
      </c>
      <c r="J6" s="15" t="str">
        <f t="shared" si="2"/>
        <v/>
      </c>
    </row>
    <row r="7" spans="1:10">
      <c r="A7" s="7" t="str">
        <f>IF(子基金及业绩基准周净值!A74="","",子基金及业绩基准周净值!A74)</f>
        <v/>
      </c>
      <c r="B7" s="1" t="str">
        <f>IF(A7="","",VLOOKUP($A7,子基金及业绩基准周净值!$A:$AV,31))</f>
        <v/>
      </c>
      <c r="C7" s="8" t="str">
        <f t="shared" si="3"/>
        <v/>
      </c>
      <c r="D7" s="9" t="str">
        <f>IF(A7="","",C7-(子基金及业绩基准周净值!AM74/子基金及业绩基准周净值!AM73-1))</f>
        <v/>
      </c>
      <c r="E7" s="12" t="str">
        <f>IF(A7="","",(MAX(B$3:B7)-B7)/MAX(B$3:B7))</f>
        <v/>
      </c>
      <c r="F7" s="12" t="str">
        <f>IF(A7="","",MAX(E$3:E7))</f>
        <v/>
      </c>
      <c r="G7" s="13"/>
      <c r="H7" s="14" t="str">
        <f t="shared" si="0"/>
        <v/>
      </c>
      <c r="I7" s="14" t="str">
        <f t="shared" si="1"/>
        <v/>
      </c>
      <c r="J7" s="15" t="str">
        <f t="shared" si="2"/>
        <v/>
      </c>
    </row>
    <row r="8" spans="1:10">
      <c r="A8" s="7" t="str">
        <f>IF(子基金及业绩基准周净值!A75="","",子基金及业绩基准周净值!A75)</f>
        <v/>
      </c>
      <c r="B8" s="1" t="str">
        <f>IF(A8="","",VLOOKUP($A8,子基金及业绩基准周净值!$A:$AV,31))</f>
        <v/>
      </c>
      <c r="C8" s="8" t="str">
        <f t="shared" si="3"/>
        <v/>
      </c>
      <c r="D8" s="9" t="str">
        <f>IF(A8="","",C8-(子基金及业绩基准周净值!AM75/子基金及业绩基准周净值!AM74-1))</f>
        <v/>
      </c>
      <c r="E8" s="12" t="str">
        <f>IF(A8="","",(MAX(B$3:B8)-B8)/MAX(B$3:B8))</f>
        <v/>
      </c>
      <c r="F8" s="12" t="str">
        <f>IF(A8="","",MAX(E$3:E8))</f>
        <v/>
      </c>
      <c r="G8" s="13"/>
      <c r="H8" s="14" t="str">
        <f t="shared" si="0"/>
        <v/>
      </c>
      <c r="I8" s="14" t="str">
        <f t="shared" si="1"/>
        <v/>
      </c>
      <c r="J8" s="15" t="str">
        <f t="shared" si="2"/>
        <v/>
      </c>
    </row>
    <row r="9" spans="1:10">
      <c r="A9" s="7" t="str">
        <f>IF(子基金及业绩基准周净值!A76="","",子基金及业绩基准周净值!A76)</f>
        <v/>
      </c>
      <c r="B9" s="1" t="str">
        <f>IF(A9="","",VLOOKUP($A9,子基金及业绩基准周净值!$A:$AV,31))</f>
        <v/>
      </c>
      <c r="C9" s="8" t="str">
        <f t="shared" si="3"/>
        <v/>
      </c>
      <c r="D9" s="9" t="str">
        <f>IF(A9="","",C9-(子基金及业绩基准周净值!AM76/子基金及业绩基准周净值!AM75-1))</f>
        <v/>
      </c>
      <c r="E9" s="12" t="str">
        <f>IF(A9="","",(MAX(B$3:B9)-B9)/MAX(B$3:B9))</f>
        <v/>
      </c>
      <c r="F9" s="12" t="str">
        <f>IF(A9="","",MAX(E$3:E9))</f>
        <v/>
      </c>
      <c r="G9" s="13"/>
      <c r="H9" s="14" t="str">
        <f t="shared" si="0"/>
        <v/>
      </c>
      <c r="I9" s="14" t="str">
        <f t="shared" si="1"/>
        <v/>
      </c>
      <c r="J9" s="15" t="str">
        <f t="shared" si="2"/>
        <v/>
      </c>
    </row>
    <row r="10" spans="1:10">
      <c r="A10" s="7" t="str">
        <f>IF(子基金及业绩基准周净值!A77="","",子基金及业绩基准周净值!A77)</f>
        <v/>
      </c>
      <c r="B10" s="1" t="str">
        <f>IF(A10="","",VLOOKUP($A10,子基金及业绩基准周净值!$A:$AV,31))</f>
        <v/>
      </c>
      <c r="C10" s="8" t="str">
        <f t="shared" si="3"/>
        <v/>
      </c>
      <c r="D10" s="9" t="str">
        <f>IF(A10="","",C10-(子基金及业绩基准周净值!AM77/子基金及业绩基准周净值!AM76-1))</f>
        <v/>
      </c>
      <c r="E10" s="12" t="str">
        <f>IF(A10="","",(MAX(B$3:B10)-B10)/MAX(B$3:B10))</f>
        <v/>
      </c>
      <c r="F10" s="12" t="str">
        <f>IF(A10="","",MAX(E$3:E10))</f>
        <v/>
      </c>
      <c r="G10" s="20"/>
      <c r="H10" s="14" t="str">
        <f t="shared" si="0"/>
        <v/>
      </c>
      <c r="I10" s="14" t="str">
        <f t="shared" si="1"/>
        <v/>
      </c>
      <c r="J10" s="15" t="str">
        <f t="shared" si="2"/>
        <v/>
      </c>
    </row>
    <row r="11" spans="1:10">
      <c r="A11" s="7" t="str">
        <f>IF(子基金及业绩基准周净值!A78="","",子基金及业绩基准周净值!A78)</f>
        <v/>
      </c>
      <c r="B11" s="1" t="str">
        <f>IF(A11="","",VLOOKUP($A11,子基金及业绩基准周净值!$A:$AV,31))</f>
        <v/>
      </c>
      <c r="C11" s="8" t="str">
        <f t="shared" si="3"/>
        <v/>
      </c>
      <c r="D11" s="9" t="str">
        <f>IF(A11="","",C11-(子基金及业绩基准周净值!AM78/子基金及业绩基准周净值!AM77-1))</f>
        <v/>
      </c>
      <c r="E11" s="12" t="str">
        <f>IF(A11="","",(MAX(B$3:B11)-B11)/MAX(B$3:B11))</f>
        <v/>
      </c>
      <c r="F11" s="12" t="str">
        <f>IF(A11="","",MAX(E$3:E11))</f>
        <v/>
      </c>
      <c r="G11" s="13"/>
      <c r="H11" s="14" t="str">
        <f t="shared" si="0"/>
        <v/>
      </c>
      <c r="I11" s="14" t="str">
        <f t="shared" si="1"/>
        <v/>
      </c>
      <c r="J11" s="15" t="str">
        <f t="shared" si="2"/>
        <v/>
      </c>
    </row>
    <row r="12" spans="1:10">
      <c r="A12" s="7" t="str">
        <f>IF(子基金及业绩基准周净值!A79="","",子基金及业绩基准周净值!A79)</f>
        <v/>
      </c>
      <c r="B12" s="1" t="str">
        <f>IF(A12="","",VLOOKUP($A12,子基金及业绩基准周净值!$A:$AV,31))</f>
        <v/>
      </c>
      <c r="C12" s="8" t="str">
        <f t="shared" si="3"/>
        <v/>
      </c>
      <c r="D12" s="9" t="str">
        <f>IF(A12="","",C12-(子基金及业绩基准周净值!AM79/子基金及业绩基准周净值!AM78-1))</f>
        <v/>
      </c>
      <c r="E12" s="12" t="str">
        <f>IF(A12="","",(MAX(B$3:B12)-B12)/MAX(B$3:B12))</f>
        <v/>
      </c>
      <c r="F12" s="12" t="str">
        <f>IF(A12="","",MAX(E$3:E12))</f>
        <v/>
      </c>
      <c r="G12" s="13"/>
      <c r="H12" s="14" t="str">
        <f t="shared" si="0"/>
        <v/>
      </c>
      <c r="I12" s="14" t="str">
        <f t="shared" si="1"/>
        <v/>
      </c>
      <c r="J12" s="15" t="str">
        <f t="shared" si="2"/>
        <v/>
      </c>
    </row>
    <row r="13" spans="1:10">
      <c r="A13" s="7" t="str">
        <f>IF(子基金及业绩基准周净值!A80="","",子基金及业绩基准周净值!A80)</f>
        <v/>
      </c>
      <c r="B13" s="1" t="str">
        <f>IF(A13="","",VLOOKUP($A13,子基金及业绩基准周净值!$A:$AV,31))</f>
        <v/>
      </c>
      <c r="C13" s="8" t="str">
        <f t="shared" si="3"/>
        <v/>
      </c>
      <c r="D13" s="9" t="str">
        <f>IF(A13="","",C13-(子基金及业绩基准周净值!AM80/子基金及业绩基准周净值!AM79-1))</f>
        <v/>
      </c>
      <c r="E13" s="12" t="str">
        <f>IF(A13="","",(MAX(B$3:B13)-B13)/MAX(B$3:B13))</f>
        <v/>
      </c>
      <c r="F13" s="12" t="str">
        <f>IF(A13="","",MAX(E$3:E13))</f>
        <v/>
      </c>
      <c r="G13" s="13"/>
      <c r="H13" s="14" t="str">
        <f t="shared" si="0"/>
        <v/>
      </c>
      <c r="I13" s="14" t="str">
        <f t="shared" si="1"/>
        <v/>
      </c>
      <c r="J13" s="15" t="str">
        <f t="shared" si="2"/>
        <v/>
      </c>
    </row>
    <row r="14" spans="1:10">
      <c r="A14" s="7" t="str">
        <f>IF(子基金及业绩基准周净值!A81="","",子基金及业绩基准周净值!A81)</f>
        <v/>
      </c>
      <c r="B14" s="1" t="str">
        <f>IF(A14="","",VLOOKUP($A14,子基金及业绩基准周净值!$A:$AV,31))</f>
        <v/>
      </c>
      <c r="C14" s="8" t="str">
        <f t="shared" si="3"/>
        <v/>
      </c>
      <c r="D14" s="9" t="str">
        <f>IF(A14="","",C14-(子基金及业绩基准周净值!AM81/子基金及业绩基准周净值!AM80-1))</f>
        <v/>
      </c>
      <c r="E14" s="12" t="str">
        <f>IF(A14="","",(MAX(B$3:B14)-B14)/MAX(B$3:B14))</f>
        <v/>
      </c>
      <c r="F14" s="12" t="str">
        <f>IF(A14="","",MAX(E$3:E14))</f>
        <v/>
      </c>
      <c r="G14" s="13"/>
      <c r="H14" s="14" t="str">
        <f t="shared" si="0"/>
        <v/>
      </c>
      <c r="I14" s="14" t="str">
        <f t="shared" si="1"/>
        <v/>
      </c>
      <c r="J14" s="15" t="str">
        <f t="shared" si="2"/>
        <v/>
      </c>
    </row>
    <row r="15" spans="1:10">
      <c r="A15" s="7" t="str">
        <f>IF(子基金及业绩基准周净值!A82="","",子基金及业绩基准周净值!A82)</f>
        <v/>
      </c>
      <c r="B15" s="1" t="str">
        <f>IF(A15="","",VLOOKUP($A15,子基金及业绩基准周净值!$A:$AV,31))</f>
        <v/>
      </c>
      <c r="C15" s="8" t="str">
        <f t="shared" si="3"/>
        <v/>
      </c>
      <c r="D15" s="9" t="str">
        <f>IF(A15="","",C15-(子基金及业绩基准周净值!AM82/子基金及业绩基准周净值!AM81-1))</f>
        <v/>
      </c>
      <c r="E15" s="12" t="str">
        <f>IF(A15="","",(MAX(B$3:B15)-B15)/MAX(B$3:B15))</f>
        <v/>
      </c>
      <c r="F15" s="12" t="str">
        <f>IF(A15="","",MAX(E$3:E15))</f>
        <v/>
      </c>
      <c r="G15" s="13"/>
      <c r="H15" s="14" t="str">
        <f t="shared" si="0"/>
        <v/>
      </c>
      <c r="I15" s="14" t="str">
        <f t="shared" si="1"/>
        <v/>
      </c>
      <c r="J15" s="15" t="str">
        <f t="shared" si="2"/>
        <v/>
      </c>
    </row>
    <row r="16" spans="1:10">
      <c r="A16" s="7" t="str">
        <f>IF(子基金及业绩基准周净值!A83="","",子基金及业绩基准周净值!A83)</f>
        <v/>
      </c>
      <c r="B16" s="1" t="str">
        <f>IF(A16="","",VLOOKUP($A16,子基金及业绩基准周净值!$A:$AV,31))</f>
        <v/>
      </c>
      <c r="C16" s="8" t="str">
        <f t="shared" si="3"/>
        <v/>
      </c>
      <c r="D16" s="9" t="str">
        <f>IF(A16="","",C16-(子基金及业绩基准周净值!AM83/子基金及业绩基准周净值!AM82-1))</f>
        <v/>
      </c>
      <c r="E16" s="12" t="str">
        <f>IF(A16="","",(MAX(B$3:B16)-B16)/MAX(B$3:B16))</f>
        <v/>
      </c>
      <c r="F16" s="12" t="str">
        <f>IF(A16="","",MAX(E$3:E16))</f>
        <v/>
      </c>
      <c r="G16" s="13"/>
      <c r="H16" s="14" t="str">
        <f t="shared" si="0"/>
        <v/>
      </c>
      <c r="I16" s="14" t="str">
        <f t="shared" si="1"/>
        <v/>
      </c>
      <c r="J16" s="15" t="str">
        <f t="shared" si="2"/>
        <v/>
      </c>
    </row>
    <row r="17" spans="1:10">
      <c r="A17" s="7" t="str">
        <f>IF(子基金及业绩基准周净值!A84="","",子基金及业绩基准周净值!A84)</f>
        <v/>
      </c>
      <c r="B17" s="1" t="str">
        <f>IF(A17="","",VLOOKUP($A17,子基金及业绩基准周净值!$A:$AV,31))</f>
        <v/>
      </c>
      <c r="C17" s="8" t="str">
        <f t="shared" si="3"/>
        <v/>
      </c>
      <c r="D17" s="9" t="str">
        <f>IF(A17="","",C17-(子基金及业绩基准周净值!AM84/子基金及业绩基准周净值!AM83-1))</f>
        <v/>
      </c>
      <c r="E17" s="12" t="str">
        <f>IF(A17="","",(MAX(B$3:B17)-B17)/MAX(B$3:B17))</f>
        <v/>
      </c>
      <c r="F17" s="12" t="str">
        <f>IF(A17="","",MAX(E$3:E17))</f>
        <v/>
      </c>
      <c r="G17" s="13"/>
      <c r="H17" s="14" t="str">
        <f t="shared" si="0"/>
        <v/>
      </c>
      <c r="I17" s="14" t="str">
        <f t="shared" si="1"/>
        <v/>
      </c>
      <c r="J17" s="15" t="str">
        <f t="shared" si="2"/>
        <v/>
      </c>
    </row>
    <row r="18" spans="1:10">
      <c r="A18" s="7" t="str">
        <f>IF(子基金及业绩基准周净值!A85="","",子基金及业绩基准周净值!A85)</f>
        <v/>
      </c>
      <c r="B18" s="1" t="str">
        <f>IF(A18="","",VLOOKUP($A18,子基金及业绩基准周净值!$A:$AV,31))</f>
        <v/>
      </c>
      <c r="C18" s="8" t="str">
        <f t="shared" si="3"/>
        <v/>
      </c>
      <c r="D18" s="9" t="str">
        <f>IF(A18="","",C18-(子基金及业绩基准周净值!AM85/子基金及业绩基准周净值!AM84-1))</f>
        <v/>
      </c>
      <c r="E18" s="12" t="str">
        <f>IF(A18="","",(MAX(B$3:B18)-B18)/MAX(B$3:B18))</f>
        <v/>
      </c>
      <c r="F18" s="12" t="str">
        <f>IF(A18="","",MAX(E$3:E18))</f>
        <v/>
      </c>
      <c r="G18" s="13"/>
      <c r="H18" s="14" t="str">
        <f t="shared" si="0"/>
        <v/>
      </c>
      <c r="I18" s="14" t="str">
        <f t="shared" si="1"/>
        <v/>
      </c>
      <c r="J18" s="15" t="str">
        <f t="shared" si="2"/>
        <v/>
      </c>
    </row>
    <row r="19" spans="1:10">
      <c r="A19" s="7" t="str">
        <f>IF(子基金及业绩基准周净值!A86="","",子基金及业绩基准周净值!A86)</f>
        <v/>
      </c>
      <c r="B19" s="1" t="str">
        <f>IF(A19="","",VLOOKUP($A19,子基金及业绩基准周净值!$A:$AV,31))</f>
        <v/>
      </c>
      <c r="C19" s="8" t="str">
        <f t="shared" si="3"/>
        <v/>
      </c>
      <c r="D19" s="9" t="str">
        <f>IF(A19="","",C19-(子基金及业绩基准周净值!AM86/子基金及业绩基准周净值!AM85-1))</f>
        <v/>
      </c>
      <c r="E19" s="12" t="str">
        <f>IF(A19="","",(MAX(B$3:B19)-B19)/MAX(B$3:B19))</f>
        <v/>
      </c>
      <c r="F19" s="12" t="str">
        <f>IF(A19="","",MAX(E$3:E19))</f>
        <v/>
      </c>
      <c r="G19" s="13"/>
      <c r="H19" s="14" t="str">
        <f t="shared" si="0"/>
        <v/>
      </c>
      <c r="I19" s="14" t="str">
        <f t="shared" si="1"/>
        <v/>
      </c>
      <c r="J19" s="15" t="str">
        <f t="shared" si="2"/>
        <v/>
      </c>
    </row>
    <row r="20" spans="1:10">
      <c r="A20" s="7" t="str">
        <f>IF(子基金及业绩基准周净值!A87="","",子基金及业绩基准周净值!A87)</f>
        <v/>
      </c>
      <c r="B20" s="1" t="str">
        <f>IF(A20="","",VLOOKUP($A20,子基金及业绩基准周净值!$A:$AV,31))</f>
        <v/>
      </c>
      <c r="C20" s="8" t="str">
        <f t="shared" si="3"/>
        <v/>
      </c>
      <c r="D20" s="9" t="str">
        <f>IF(A20="","",C20-(子基金及业绩基准周净值!AM87/子基金及业绩基准周净值!AM86-1))</f>
        <v/>
      </c>
      <c r="E20" s="12" t="str">
        <f>IF(A20="","",(MAX(B$3:B20)-B20)/MAX(B$3:B20))</f>
        <v/>
      </c>
      <c r="F20" s="12" t="str">
        <f>IF(A20="","",MAX(E$3:E20))</f>
        <v/>
      </c>
      <c r="G20" s="13"/>
      <c r="H20" s="14" t="str">
        <f t="shared" si="0"/>
        <v/>
      </c>
      <c r="I20" s="14" t="str">
        <f t="shared" si="1"/>
        <v/>
      </c>
      <c r="J20" s="15" t="str">
        <f t="shared" si="2"/>
        <v/>
      </c>
    </row>
    <row r="21" spans="1:10">
      <c r="A21" s="7" t="str">
        <f>IF(子基金及业绩基准周净值!A88="","",子基金及业绩基准周净值!A88)</f>
        <v/>
      </c>
      <c r="B21" s="1" t="str">
        <f>IF(A21="","",VLOOKUP($A21,子基金及业绩基准周净值!$A:$AV,31))</f>
        <v/>
      </c>
      <c r="C21" s="8" t="str">
        <f t="shared" si="3"/>
        <v/>
      </c>
      <c r="D21" s="9" t="str">
        <f>IF(A21="","",C21-(子基金及业绩基准周净值!AM88/子基金及业绩基准周净值!AM87-1))</f>
        <v/>
      </c>
      <c r="E21" s="12" t="str">
        <f>IF(A21="","",(MAX(B$3:B21)-B21)/MAX(B$3:B21))</f>
        <v/>
      </c>
      <c r="F21" s="12" t="str">
        <f>IF(A21="","",MAX(E$3:E21))</f>
        <v/>
      </c>
      <c r="G21" s="13"/>
      <c r="H21" s="14" t="str">
        <f t="shared" si="0"/>
        <v/>
      </c>
      <c r="I21" s="14" t="str">
        <f t="shared" si="1"/>
        <v/>
      </c>
      <c r="J21" s="15" t="str">
        <f t="shared" si="2"/>
        <v/>
      </c>
    </row>
    <row r="22" spans="1:10">
      <c r="A22" s="7" t="str">
        <f>IF(子基金及业绩基准周净值!A89="","",子基金及业绩基准周净值!A89)</f>
        <v/>
      </c>
      <c r="B22" s="1" t="str">
        <f>IF(A22="","",VLOOKUP($A22,子基金及业绩基准周净值!$A:$AV,31))</f>
        <v/>
      </c>
      <c r="C22" s="8" t="str">
        <f t="shared" si="3"/>
        <v/>
      </c>
      <c r="D22" s="9" t="str">
        <f>IF(A22="","",C22-(子基金及业绩基准周净值!AM89/子基金及业绩基准周净值!AM88-1))</f>
        <v/>
      </c>
      <c r="E22" s="12" t="str">
        <f>IF(A22="","",(MAX(B$3:B22)-B22)/MAX(B$3:B22))</f>
        <v/>
      </c>
      <c r="F22" s="12" t="str">
        <f>IF(A22="","",MAX(E$3:E22))</f>
        <v/>
      </c>
      <c r="G22" s="13"/>
      <c r="H22" s="14" t="str">
        <f t="shared" si="0"/>
        <v/>
      </c>
      <c r="I22" s="14" t="str">
        <f t="shared" si="1"/>
        <v/>
      </c>
      <c r="J22" s="15" t="str">
        <f t="shared" si="2"/>
        <v/>
      </c>
    </row>
    <row r="23" spans="1:10">
      <c r="A23" s="7" t="str">
        <f>IF(子基金及业绩基准周净值!A90="","",子基金及业绩基准周净值!A90)</f>
        <v/>
      </c>
      <c r="B23" s="1" t="str">
        <f>IF(A23="","",VLOOKUP($A23,子基金及业绩基准周净值!$A:$AV,31))</f>
        <v/>
      </c>
      <c r="C23" s="8" t="str">
        <f t="shared" si="3"/>
        <v/>
      </c>
      <c r="D23" s="9" t="str">
        <f>IF(A23="","",C23-(子基金及业绩基准周净值!AM90/子基金及业绩基准周净值!AM89-1))</f>
        <v/>
      </c>
      <c r="E23" s="12" t="str">
        <f>IF(A23="","",(MAX(B$3:B23)-B23)/MAX(B$3:B23))</f>
        <v/>
      </c>
      <c r="F23" s="12" t="str">
        <f>IF(A23="","",MAX(E$3:E23))</f>
        <v/>
      </c>
      <c r="G23" s="13"/>
      <c r="H23" s="14" t="str">
        <f t="shared" si="0"/>
        <v/>
      </c>
      <c r="I23" s="14" t="str">
        <f t="shared" si="1"/>
        <v/>
      </c>
      <c r="J23" s="15" t="str">
        <f t="shared" si="2"/>
        <v/>
      </c>
    </row>
    <row r="24" spans="1:10">
      <c r="A24" s="7" t="str">
        <f>IF(子基金及业绩基准周净值!A91="","",子基金及业绩基准周净值!A91)</f>
        <v/>
      </c>
      <c r="B24" s="1" t="str">
        <f>IF(A24="","",VLOOKUP($A24,子基金及业绩基准周净值!$A:$AV,31))</f>
        <v/>
      </c>
      <c r="C24" s="8" t="str">
        <f t="shared" si="3"/>
        <v/>
      </c>
      <c r="D24" s="9" t="str">
        <f>IF(A24="","",C24-(子基金及业绩基准周净值!AM91/子基金及业绩基准周净值!AM90-1))</f>
        <v/>
      </c>
      <c r="E24" s="12" t="str">
        <f>IF(A24="","",(MAX(B$3:B24)-B24)/MAX(B$3:B24))</f>
        <v/>
      </c>
      <c r="F24" s="12" t="str">
        <f>IF(A24="","",MAX(E$3:E24))</f>
        <v/>
      </c>
      <c r="G24" s="13"/>
      <c r="H24" s="14" t="str">
        <f t="shared" si="0"/>
        <v/>
      </c>
      <c r="I24" s="14" t="str">
        <f t="shared" si="1"/>
        <v/>
      </c>
      <c r="J24" s="15" t="str">
        <f t="shared" si="2"/>
        <v/>
      </c>
    </row>
    <row r="25" spans="1:10">
      <c r="A25" s="7" t="str">
        <f>IF(子基金及业绩基准周净值!A92="","",子基金及业绩基准周净值!A92)</f>
        <v/>
      </c>
      <c r="B25" s="1" t="str">
        <f>IF(A25="","",VLOOKUP($A25,子基金及业绩基准周净值!$A:$AV,31))</f>
        <v/>
      </c>
      <c r="C25" s="8" t="str">
        <f t="shared" si="3"/>
        <v/>
      </c>
      <c r="D25" s="9" t="str">
        <f>IF(A25="","",C25-(子基金及业绩基准周净值!AM92/子基金及业绩基准周净值!AM91-1))</f>
        <v/>
      </c>
      <c r="E25" s="12" t="str">
        <f>IF(A25="","",(MAX(B$3:B25)-B25)/MAX(B$3:B25))</f>
        <v/>
      </c>
      <c r="F25" s="12" t="str">
        <f>IF(A25="","",MAX(E$3:E25))</f>
        <v/>
      </c>
      <c r="G25" s="13"/>
      <c r="H25" s="14" t="str">
        <f t="shared" si="0"/>
        <v/>
      </c>
      <c r="I25" s="14" t="str">
        <f t="shared" si="1"/>
        <v/>
      </c>
      <c r="J25" s="15" t="str">
        <f t="shared" si="2"/>
        <v/>
      </c>
    </row>
    <row r="26" spans="1:10">
      <c r="A26" s="7" t="str">
        <f>IF(子基金及业绩基准周净值!A93="","",子基金及业绩基准周净值!A93)</f>
        <v/>
      </c>
      <c r="B26" s="1" t="str">
        <f>IF(A26="","",VLOOKUP($A26,子基金及业绩基准周净值!$A:$AV,31))</f>
        <v/>
      </c>
      <c r="C26" s="8" t="str">
        <f t="shared" si="3"/>
        <v/>
      </c>
      <c r="D26" s="9" t="str">
        <f>IF(A26="","",C26-(子基金及业绩基准周净值!AM93/子基金及业绩基准周净值!AM92-1))</f>
        <v/>
      </c>
      <c r="E26" s="12" t="str">
        <f>IF(A26="","",(MAX(B$3:B26)-B26)/MAX(B$3:B26))</f>
        <v/>
      </c>
      <c r="F26" s="12" t="str">
        <f>IF(A26="","",MAX(E$3:E26))</f>
        <v/>
      </c>
      <c r="G26" s="13"/>
      <c r="H26" s="14" t="str">
        <f t="shared" si="0"/>
        <v/>
      </c>
      <c r="I26" s="14" t="str">
        <f t="shared" si="1"/>
        <v/>
      </c>
      <c r="J26" s="15" t="str">
        <f t="shared" si="2"/>
        <v/>
      </c>
    </row>
    <row r="27" spans="1:10">
      <c r="A27" s="7" t="str">
        <f>IF(子基金及业绩基准周净值!A94="","",子基金及业绩基准周净值!A94)</f>
        <v/>
      </c>
      <c r="B27" s="1" t="str">
        <f>IF(A27="","",VLOOKUP($A27,子基金及业绩基准周净值!$A:$AV,31))</f>
        <v/>
      </c>
      <c r="C27" s="8" t="str">
        <f t="shared" si="3"/>
        <v/>
      </c>
      <c r="D27" s="9" t="str">
        <f>IF(A27="","",C27-(子基金及业绩基准周净值!AM94/子基金及业绩基准周净值!AM93-1))</f>
        <v/>
      </c>
      <c r="E27" s="12" t="str">
        <f>IF(A27="","",(MAX(B$3:B27)-B27)/MAX(B$3:B27))</f>
        <v/>
      </c>
      <c r="F27" s="12" t="str">
        <f>IF(A27="","",MAX(E$3:E27))</f>
        <v/>
      </c>
      <c r="G27" s="13"/>
      <c r="H27" s="14" t="str">
        <f t="shared" si="0"/>
        <v/>
      </c>
      <c r="I27" s="14" t="str">
        <f t="shared" si="1"/>
        <v/>
      </c>
      <c r="J27" s="15" t="str">
        <f t="shared" si="2"/>
        <v/>
      </c>
    </row>
    <row r="28" spans="1:10">
      <c r="A28" s="7" t="str">
        <f>IF(子基金及业绩基准周净值!A95="","",子基金及业绩基准周净值!A95)</f>
        <v/>
      </c>
      <c r="B28" s="1" t="str">
        <f>IF(A28="","",VLOOKUP($A28,子基金及业绩基准周净值!$A:$AV,31))</f>
        <v/>
      </c>
      <c r="C28" s="8" t="str">
        <f t="shared" si="3"/>
        <v/>
      </c>
      <c r="D28" s="9" t="str">
        <f>IF(A28="","",C28-(子基金及业绩基准周净值!AM95/子基金及业绩基准周净值!AM94-1))</f>
        <v/>
      </c>
      <c r="E28" s="12" t="str">
        <f>IF(A28="","",(MAX(B$3:B28)-B28)/MAX(B$3:B28))</f>
        <v/>
      </c>
      <c r="F28" s="12" t="str">
        <f>IF(A28="","",MAX(E$3:E28))</f>
        <v/>
      </c>
      <c r="G28" s="13"/>
      <c r="H28" s="14" t="str">
        <f t="shared" si="0"/>
        <v/>
      </c>
      <c r="I28" s="14" t="str">
        <f t="shared" si="1"/>
        <v/>
      </c>
      <c r="J28" s="15" t="str">
        <f t="shared" si="2"/>
        <v/>
      </c>
    </row>
    <row r="29" spans="1:10">
      <c r="A29" s="7" t="str">
        <f>IF(子基金及业绩基准周净值!A96="","",子基金及业绩基准周净值!A96)</f>
        <v/>
      </c>
      <c r="B29" s="1" t="str">
        <f>IF(A29="","",VLOOKUP($A29,子基金及业绩基准周净值!$A:$AV,31))</f>
        <v/>
      </c>
      <c r="C29" s="8" t="str">
        <f t="shared" si="3"/>
        <v/>
      </c>
      <c r="D29" s="9" t="str">
        <f>IF(A29="","",C29-(子基金及业绩基准周净值!AM96/子基金及业绩基准周净值!AM95-1))</f>
        <v/>
      </c>
      <c r="E29" s="12" t="str">
        <f>IF(A29="","",(MAX(B$3:B29)-B29)/MAX(B$3:B29))</f>
        <v/>
      </c>
      <c r="F29" s="12" t="str">
        <f>IF(A29="","",MAX(E$3:E29))</f>
        <v/>
      </c>
      <c r="G29" s="13"/>
      <c r="H29" s="14" t="str">
        <f t="shared" si="0"/>
        <v/>
      </c>
      <c r="I29" s="14" t="str">
        <f t="shared" si="1"/>
        <v/>
      </c>
      <c r="J29" s="15" t="str">
        <f t="shared" si="2"/>
        <v/>
      </c>
    </row>
    <row r="30" spans="1:10">
      <c r="A30" s="7" t="str">
        <f>IF(子基金及业绩基准周净值!A97="","",子基金及业绩基准周净值!A97)</f>
        <v/>
      </c>
      <c r="B30" s="1" t="str">
        <f>IF(A30="","",VLOOKUP($A30,子基金及业绩基准周净值!$A:$AV,31))</f>
        <v/>
      </c>
      <c r="C30" s="8" t="str">
        <f t="shared" si="3"/>
        <v/>
      </c>
      <c r="D30" s="9" t="str">
        <f>IF(A30="","",C30-(子基金及业绩基准周净值!AM97/子基金及业绩基准周净值!AM96-1))</f>
        <v/>
      </c>
      <c r="E30" s="12" t="str">
        <f>IF(A30="","",(MAX(B$3:B30)-B30)/MAX(B$3:B30))</f>
        <v/>
      </c>
      <c r="F30" s="12" t="str">
        <f>IF(A30="","",MAX(E$3:E30))</f>
        <v/>
      </c>
      <c r="G30" s="13"/>
      <c r="H30" s="14" t="str">
        <f t="shared" si="0"/>
        <v/>
      </c>
      <c r="I30" s="14" t="str">
        <f t="shared" si="1"/>
        <v/>
      </c>
      <c r="J30" s="15" t="str">
        <f t="shared" si="2"/>
        <v/>
      </c>
    </row>
    <row r="31" spans="1:10">
      <c r="A31" s="7"/>
      <c r="B31" s="1" t="str">
        <f>IF(A31="","",VLOOKUP($A31,子基金及业绩基准周净值!$A:$AV,31))</f>
        <v/>
      </c>
      <c r="C31" s="8" t="str">
        <f t="shared" si="3"/>
        <v/>
      </c>
      <c r="D31" s="9" t="str">
        <f>IF(A31="","",C31-(子基金及业绩基准周净值!AM98/子基金及业绩基准周净值!AM97-1))</f>
        <v/>
      </c>
      <c r="E31" s="12" t="str">
        <f>IF(A31="","",(MAX(B$3:B31)-B31)/MAX(B$3:B31))</f>
        <v/>
      </c>
      <c r="F31" s="12" t="str">
        <f>IF(A31="","",MAX(E$3:E31))</f>
        <v/>
      </c>
      <c r="G31" s="13"/>
      <c r="H31" s="14" t="str">
        <f t="shared" si="0"/>
        <v/>
      </c>
      <c r="I31" s="14" t="str">
        <f t="shared" si="1"/>
        <v/>
      </c>
      <c r="J31" s="15" t="str">
        <f t="shared" si="2"/>
        <v/>
      </c>
    </row>
    <row r="32" spans="1:10">
      <c r="A32" s="7"/>
      <c r="B32" s="1" t="str">
        <f>IF(A32="","",VLOOKUP($A32,子基金及业绩基准周净值!$A:$AV,31))</f>
        <v/>
      </c>
      <c r="C32" s="8"/>
      <c r="D32" s="9"/>
      <c r="E32" s="12" t="str">
        <f>IF(A32="","",(MAX(B$3:B32)-B32)/MAX(B$3:B32))</f>
        <v/>
      </c>
      <c r="F32" s="12" t="str">
        <f>IF(A32="","",MAX(E$3:E32))</f>
        <v/>
      </c>
      <c r="G32" s="13"/>
      <c r="H32" s="14" t="str">
        <f t="shared" si="0"/>
        <v/>
      </c>
      <c r="I32" s="14" t="str">
        <f t="shared" si="1"/>
        <v/>
      </c>
      <c r="J32" s="15" t="str">
        <f t="shared" si="2"/>
        <v/>
      </c>
    </row>
    <row r="33" spans="1:10">
      <c r="A33" s="7"/>
      <c r="B33" s="1" t="str">
        <f>IF(A33="","",VLOOKUP($A33,子基金及业绩基准周净值!$A:$AV,31))</f>
        <v/>
      </c>
      <c r="C33" s="8"/>
      <c r="D33" s="9"/>
      <c r="E33" s="12" t="str">
        <f>IF(A33="","",(MAX(B$3:B33)-B33)/MAX(B$3:B33))</f>
        <v/>
      </c>
      <c r="F33" s="12" t="str">
        <f>IF(A33="","",MAX(E$3:E33))</f>
        <v/>
      </c>
      <c r="G33" s="13"/>
      <c r="H33" s="14" t="str">
        <f t="shared" si="0"/>
        <v/>
      </c>
      <c r="I33" s="14" t="str">
        <f t="shared" si="1"/>
        <v/>
      </c>
      <c r="J33" s="15" t="str">
        <f t="shared" si="2"/>
        <v/>
      </c>
    </row>
    <row r="34" spans="1:10">
      <c r="A34" s="7"/>
      <c r="B34" s="1" t="str">
        <f>IF(A34="","",VLOOKUP($A34,子基金及业绩基准周净值!$A:$AV,31))</f>
        <v/>
      </c>
      <c r="C34" s="8"/>
      <c r="D34" s="9"/>
      <c r="E34" s="12" t="str">
        <f>IF(A34="","",(MAX(B$3:B34)-B34)/MAX(B$3:B34))</f>
        <v/>
      </c>
      <c r="F34" s="12" t="str">
        <f>IF(A34="","",MAX(E$3:E34))</f>
        <v/>
      </c>
      <c r="G34" s="13"/>
      <c r="H34" s="14" t="str">
        <f t="shared" si="0"/>
        <v/>
      </c>
      <c r="I34" s="14" t="str">
        <f t="shared" si="1"/>
        <v/>
      </c>
      <c r="J34" s="15" t="str">
        <f t="shared" si="2"/>
        <v/>
      </c>
    </row>
    <row r="35" spans="1:10">
      <c r="A35" s="7"/>
      <c r="B35" s="1" t="str">
        <f>IF(A35="","",VLOOKUP($A35,子基金及业绩基准周净值!$A:$AV,31))</f>
        <v/>
      </c>
      <c r="C35" s="8"/>
      <c r="D35" s="9"/>
      <c r="E35" s="12" t="str">
        <f>IF(A35="","",(MAX(B$3:B35)-B35)/MAX(B$3:B35))</f>
        <v/>
      </c>
      <c r="F35" s="12" t="str">
        <f>IF(A35="","",MAX(E$3:E35))</f>
        <v/>
      </c>
      <c r="G35" s="13"/>
      <c r="H35" s="14" t="str">
        <f t="shared" si="0"/>
        <v/>
      </c>
      <c r="I35" s="14" t="str">
        <f t="shared" si="1"/>
        <v/>
      </c>
      <c r="J35" s="15" t="str">
        <f t="shared" si="2"/>
        <v/>
      </c>
    </row>
    <row r="36" spans="1:10">
      <c r="A36" s="7"/>
      <c r="B36" s="1" t="str">
        <f>IF(A36="","",VLOOKUP($A36,子基金及业绩基准周净值!$A:$AV,31))</f>
        <v/>
      </c>
      <c r="C36" s="8"/>
      <c r="D36" s="9"/>
      <c r="E36" s="12" t="str">
        <f>IF(A36="","",(MAX(B$3:B36)-B36)/MAX(B$3:B36))</f>
        <v/>
      </c>
      <c r="F36" s="12" t="str">
        <f>IF(A36="","",MAX(E$3:E36))</f>
        <v/>
      </c>
      <c r="G36" s="13"/>
      <c r="H36" s="14" t="str">
        <f t="shared" si="0"/>
        <v/>
      </c>
      <c r="I36" s="14" t="str">
        <f t="shared" si="1"/>
        <v/>
      </c>
      <c r="J36" s="15" t="str">
        <f t="shared" si="2"/>
        <v/>
      </c>
    </row>
    <row r="37" spans="1:10">
      <c r="A37" s="7"/>
      <c r="B37" s="1" t="str">
        <f>IF(A37="","",VLOOKUP($A37,子基金及业绩基准周净值!$A:$AV,31))</f>
        <v/>
      </c>
      <c r="C37" s="8"/>
      <c r="D37" s="9"/>
      <c r="E37" s="12" t="str">
        <f>IF(A37="","",(MAX(B$3:B37)-B37)/MAX(B$3:B37))</f>
        <v/>
      </c>
      <c r="F37" s="12" t="str">
        <f>IF(A37="","",MAX(E$3:E37))</f>
        <v/>
      </c>
      <c r="G37" s="13"/>
      <c r="H37" s="14" t="str">
        <f t="shared" si="0"/>
        <v/>
      </c>
      <c r="I37" s="14" t="str">
        <f t="shared" si="1"/>
        <v/>
      </c>
      <c r="J37" s="15" t="str">
        <f t="shared" si="2"/>
        <v/>
      </c>
    </row>
    <row r="38" spans="1:10">
      <c r="A38" s="7"/>
      <c r="B38" s="1" t="str">
        <f>IF(A38="","",VLOOKUP($A38,子基金及业绩基准周净值!$A:$AV,31))</f>
        <v/>
      </c>
      <c r="C38" s="8"/>
      <c r="D38" s="9"/>
      <c r="E38" s="12" t="str">
        <f>IF(A38="","",(MAX(B$3:B38)-B38)/MAX(B$3:B38))</f>
        <v/>
      </c>
      <c r="F38" s="12" t="str">
        <f>IF(A38="","",MAX(E$3:E38))</f>
        <v/>
      </c>
      <c r="G38" s="13"/>
      <c r="H38" s="14" t="str">
        <f t="shared" si="0"/>
        <v/>
      </c>
      <c r="I38" s="14" t="str">
        <f t="shared" si="1"/>
        <v/>
      </c>
      <c r="J38" s="15" t="str">
        <f t="shared" si="2"/>
        <v/>
      </c>
    </row>
    <row r="39" spans="1:10">
      <c r="A39" s="7"/>
      <c r="B39" s="1"/>
      <c r="C39" s="8"/>
      <c r="D39" s="9"/>
      <c r="E39" s="12" t="str">
        <f>IF(A39="","",(MAX(B$3:B39)-B39)/MAX(B$3:B39))</f>
        <v/>
      </c>
      <c r="F39" s="12" t="str">
        <f>IF(A39="","",MAX(E$3:E39))</f>
        <v/>
      </c>
      <c r="G39" s="13"/>
      <c r="H39" s="14" t="str">
        <f t="shared" si="0"/>
        <v/>
      </c>
      <c r="I39" s="14" t="str">
        <f t="shared" si="1"/>
        <v/>
      </c>
      <c r="J39" s="15" t="str">
        <f t="shared" si="2"/>
        <v/>
      </c>
    </row>
    <row r="40" spans="1:10">
      <c r="A40" s="7"/>
      <c r="B40" s="1"/>
      <c r="C40" s="8"/>
      <c r="D40" s="9"/>
      <c r="E40" s="12" t="str">
        <f>IF(A40="","",(MAX(B$3:B40)-B40)/MAX(B$3:B40))</f>
        <v/>
      </c>
      <c r="F40" s="12" t="str">
        <f>IF(A40="","",MAX(E$3:E40))</f>
        <v/>
      </c>
      <c r="G40" s="13"/>
      <c r="H40" s="14" t="str">
        <f t="shared" si="0"/>
        <v/>
      </c>
      <c r="I40" s="14" t="str">
        <f t="shared" si="1"/>
        <v/>
      </c>
      <c r="J40" s="15" t="str">
        <f t="shared" si="2"/>
        <v/>
      </c>
    </row>
    <row r="41" spans="1:10">
      <c r="A41" s="7"/>
      <c r="B41" s="1"/>
      <c r="C41" s="8"/>
      <c r="D41" s="9"/>
      <c r="E41" s="12" t="str">
        <f>IF(A41="","",(MAX(B$3:B41)-B41)/MAX(B$3:B41))</f>
        <v/>
      </c>
      <c r="F41" s="12" t="str">
        <f>IF(A41="","",MAX(E$3:E41))</f>
        <v/>
      </c>
      <c r="G41" s="13"/>
      <c r="H41" s="14" t="str">
        <f t="shared" si="0"/>
        <v/>
      </c>
      <c r="I41" s="14" t="str">
        <f t="shared" si="1"/>
        <v/>
      </c>
      <c r="J41" s="15" t="str">
        <f t="shared" si="2"/>
        <v/>
      </c>
    </row>
    <row r="42" spans="1:10">
      <c r="A42" s="7"/>
      <c r="B42" s="1"/>
      <c r="C42" s="8"/>
      <c r="D42" s="9"/>
      <c r="E42" s="12" t="str">
        <f>IF(A42="","",(MAX(B$3:B42)-B42)/MAX(B$3:B42))</f>
        <v/>
      </c>
      <c r="F42" s="12" t="str">
        <f>IF(A42="","",MAX(E$3:E42))</f>
        <v/>
      </c>
      <c r="G42" s="13"/>
      <c r="H42" s="14" t="str">
        <f t="shared" si="0"/>
        <v/>
      </c>
      <c r="I42" s="14" t="str">
        <f t="shared" si="1"/>
        <v/>
      </c>
      <c r="J42" s="15" t="str">
        <f t="shared" si="2"/>
        <v/>
      </c>
    </row>
    <row r="43" spans="1:10">
      <c r="A43" s="7"/>
      <c r="B43" s="1"/>
      <c r="C43" s="8"/>
      <c r="D43" s="9"/>
      <c r="E43" s="12"/>
      <c r="F43" s="12"/>
      <c r="G43" s="13"/>
      <c r="H43" s="14"/>
      <c r="I43" s="14"/>
      <c r="J43" s="15"/>
    </row>
    <row r="44" spans="1:10">
      <c r="A44" s="7"/>
      <c r="B44" s="1"/>
      <c r="C44" s="8"/>
      <c r="D44" s="9"/>
      <c r="E44" s="12"/>
      <c r="F44" s="12"/>
      <c r="G44" s="13"/>
      <c r="H44" s="14"/>
      <c r="I44" s="14"/>
      <c r="J44" s="15"/>
    </row>
    <row r="45" spans="1:10">
      <c r="A45" s="7"/>
      <c r="B45" s="1"/>
      <c r="C45" s="8"/>
      <c r="D45" s="9"/>
      <c r="E45" s="12"/>
      <c r="F45" s="12"/>
      <c r="G45" s="13"/>
      <c r="H45" s="14"/>
      <c r="I45" s="14"/>
      <c r="J45" s="15"/>
    </row>
    <row r="46" spans="1:10">
      <c r="A46" s="7"/>
      <c r="B46" s="1"/>
      <c r="C46" s="8"/>
      <c r="D46" s="9"/>
      <c r="E46" s="12"/>
      <c r="F46" s="12"/>
      <c r="G46" s="13"/>
      <c r="H46" s="14"/>
      <c r="I46" s="14"/>
      <c r="J46" s="15"/>
    </row>
    <row r="47" spans="1:10">
      <c r="A47" s="7"/>
      <c r="B47" s="1"/>
      <c r="C47" s="8"/>
      <c r="D47" s="9"/>
      <c r="E47" s="12"/>
      <c r="F47" s="12"/>
      <c r="G47" s="13"/>
      <c r="H47" s="14"/>
      <c r="I47" s="14"/>
      <c r="J47" s="15"/>
    </row>
    <row r="48" spans="1:10">
      <c r="A48" s="7"/>
      <c r="B48" s="1"/>
      <c r="C48" s="8"/>
      <c r="D48" s="9"/>
      <c r="E48" s="12"/>
      <c r="F48" s="12"/>
      <c r="G48" s="13"/>
      <c r="H48" s="14"/>
      <c r="I48" s="14"/>
      <c r="J48" s="15"/>
    </row>
    <row r="49" spans="1:10">
      <c r="A49" s="7"/>
      <c r="B49" s="1"/>
      <c r="C49" s="8"/>
      <c r="D49" s="9"/>
      <c r="E49" s="12"/>
      <c r="F49" s="12"/>
      <c r="G49" s="13"/>
      <c r="H49" s="14"/>
      <c r="I49" s="14"/>
      <c r="J49" s="15"/>
    </row>
    <row r="50" spans="1:10">
      <c r="A50" s="7"/>
      <c r="B50" s="1"/>
      <c r="C50" s="8"/>
      <c r="D50" s="9"/>
      <c r="E50" s="12"/>
      <c r="F50" s="12"/>
      <c r="G50" s="13"/>
      <c r="H50" s="14"/>
      <c r="I50" s="14"/>
      <c r="J50" s="15"/>
    </row>
    <row r="51" spans="1:10">
      <c r="A51" s="7"/>
      <c r="B51" s="1"/>
      <c r="C51" s="8"/>
      <c r="D51" s="9"/>
      <c r="E51" s="12"/>
      <c r="F51" s="12"/>
      <c r="G51" s="13"/>
      <c r="H51" s="14"/>
      <c r="I51" s="14"/>
      <c r="J51" s="15"/>
    </row>
    <row r="52" spans="1:10">
      <c r="A52" s="7"/>
      <c r="B52" s="1"/>
      <c r="C52" s="8"/>
      <c r="D52" s="9"/>
      <c r="E52" s="12"/>
      <c r="F52" s="12"/>
      <c r="G52" s="13"/>
      <c r="H52" s="14"/>
      <c r="I52" s="14"/>
      <c r="J52" s="15"/>
    </row>
    <row r="53" spans="1:10">
      <c r="A53" s="7"/>
      <c r="B53" s="1"/>
      <c r="C53" s="8"/>
      <c r="D53" s="9"/>
      <c r="E53" s="12"/>
      <c r="F53" s="12"/>
      <c r="G53" s="13"/>
      <c r="H53" s="14"/>
      <c r="I53" s="14"/>
      <c r="J53" s="15"/>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H137" s="14"/>
      <c r="I137" s="14"/>
      <c r="J137" s="15"/>
    </row>
    <row r="138" spans="1:10">
      <c r="A138" s="7"/>
      <c r="B138" s="1"/>
      <c r="C138" s="8"/>
      <c r="D138" s="9"/>
      <c r="E138" s="12"/>
      <c r="F138" s="12"/>
      <c r="H138" s="14"/>
      <c r="I138" s="14"/>
      <c r="J138" s="15"/>
    </row>
    <row r="139" spans="1:10">
      <c r="A139" s="7"/>
      <c r="B139" s="1"/>
      <c r="C139" s="8"/>
      <c r="D139" s="9"/>
      <c r="E139" s="12"/>
      <c r="F139" s="12"/>
      <c r="H139" s="14"/>
      <c r="I139" s="14"/>
      <c r="J139" s="15"/>
    </row>
    <row r="140" spans="1:10">
      <c r="A140" s="7"/>
      <c r="B140" s="1"/>
      <c r="C140" s="8"/>
      <c r="D140" s="9"/>
      <c r="E140" s="12"/>
      <c r="F140" s="12"/>
      <c r="H140" s="14"/>
      <c r="I140" s="14"/>
      <c r="J140" s="15"/>
    </row>
    <row r="141" spans="1:10">
      <c r="A141" s="7"/>
      <c r="B141" s="1"/>
      <c r="C141" s="8"/>
      <c r="D141" s="9"/>
      <c r="E141" s="12"/>
      <c r="F141" s="12"/>
      <c r="H141" s="14"/>
      <c r="I141" s="14"/>
      <c r="J141" s="15"/>
    </row>
    <row r="142" spans="1:10">
      <c r="A142" s="7"/>
      <c r="B142" s="1"/>
      <c r="C142" s="8"/>
      <c r="D142" s="9"/>
      <c r="E142" s="12"/>
      <c r="F142" s="12"/>
      <c r="H142" s="14"/>
      <c r="I142" s="14"/>
      <c r="J142" s="15"/>
    </row>
    <row r="143" spans="1:10">
      <c r="A143" s="7"/>
      <c r="B143" s="1"/>
      <c r="C143" s="8"/>
      <c r="D143" s="9"/>
      <c r="E143" s="12"/>
      <c r="F143" s="12"/>
      <c r="H143" s="14"/>
      <c r="I143" s="14"/>
      <c r="J143" s="15"/>
    </row>
    <row r="144" spans="1:10">
      <c r="A144" s="7"/>
      <c r="B144" s="1"/>
      <c r="C144" s="8"/>
      <c r="D144" s="9"/>
      <c r="E144" s="12"/>
      <c r="F144" s="12"/>
      <c r="H144" s="14"/>
      <c r="I144" s="14"/>
      <c r="J144" s="15"/>
    </row>
    <row r="145" spans="1:10">
      <c r="A145" s="7"/>
      <c r="B145" s="1"/>
      <c r="C145" s="8"/>
      <c r="D145" s="9"/>
      <c r="E145" s="12"/>
      <c r="F145" s="12"/>
      <c r="H145" s="14"/>
      <c r="I145" s="14"/>
      <c r="J145" s="15"/>
    </row>
    <row r="146" spans="1:10">
      <c r="A146" s="7"/>
      <c r="B146" s="1"/>
      <c r="C146" s="8"/>
      <c r="D146" s="9"/>
      <c r="E146" s="12"/>
      <c r="F146" s="12"/>
      <c r="H146" s="14"/>
      <c r="I146" s="14"/>
      <c r="J146" s="15"/>
    </row>
    <row r="147" spans="1:10">
      <c r="A147" s="7"/>
      <c r="B147" s="1"/>
      <c r="C147" s="8"/>
      <c r="D147" s="9"/>
      <c r="E147" s="12"/>
      <c r="F147" s="12"/>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sheetData>
  <conditionalFormatting sqref="H3">
    <cfRule type="containsText" dxfId="0" priority="1" operator="between" text="是">
      <formula>NOT(ISERROR(SEARCH("是",H3)))</formula>
    </cfRule>
  </conditionalFormatting>
  <conditionalFormatting sqref="J3">
    <cfRule type="containsText" dxfId="0" priority="2" operator="between" text="是">
      <formula>NOT(ISERROR(SEARCH("是",J3)))</formula>
    </cfRule>
  </conditionalFormatting>
  <conditionalFormatting sqref="H4:H42">
    <cfRule type="containsText" dxfId="0" priority="3" operator="between" text="是">
      <formula>NOT(ISERROR(SEARCH("是",H4)))</formula>
    </cfRule>
  </conditionalFormatting>
  <conditionalFormatting sqref="J4:J1048576">
    <cfRule type="containsText" dxfId="0" priority="4" operator="between" text="是">
      <formula>NOT(ISERROR(SEARCH("是",J4)))</formula>
    </cfRule>
  </conditionalFormatting>
  <pageMargins left="0.75" right="0.75" top="1" bottom="1" header="0.5" footer="0.5"/>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7"/>
  <sheetViews>
    <sheetView workbookViewId="0">
      <selection activeCell="D5" sqref="D5"/>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6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69</v>
      </c>
      <c r="C2" s="5" t="s">
        <v>310</v>
      </c>
      <c r="D2" s="6" t="s">
        <v>311</v>
      </c>
      <c r="F2" s="5" t="s">
        <v>22</v>
      </c>
      <c r="G2" s="10" t="s">
        <v>312</v>
      </c>
      <c r="H2" s="11" t="s">
        <v>313</v>
      </c>
      <c r="I2" s="11" t="s">
        <v>314</v>
      </c>
      <c r="J2" s="11" t="s">
        <v>315</v>
      </c>
      <c r="K2" s="5" t="s">
        <v>316</v>
      </c>
    </row>
    <row r="3" spans="1:10">
      <c r="A3" s="7">
        <f>IF(子基金及业绩基准周净值!A70="","",子基金及业绩基准周净值!A70)</f>
        <v>45947</v>
      </c>
      <c r="B3" s="1">
        <f>IF(A3="","",VLOOKUP($A3,子基金及业绩基准周净值!$A:$AV,32))</f>
        <v>1.2472</v>
      </c>
      <c r="C3" s="8"/>
      <c r="D3" s="9"/>
      <c r="E3" s="12"/>
      <c r="F3" s="12"/>
      <c r="G3" s="13"/>
      <c r="H3" s="14"/>
      <c r="I3" s="14"/>
      <c r="J3" s="15"/>
    </row>
    <row r="4" spans="1:10">
      <c r="A4" s="7">
        <f>IF(子基金及业绩基准周净值!A71="","",子基金及业绩基准周净值!A71)</f>
        <v>45954</v>
      </c>
      <c r="B4" s="1">
        <f>IF(A4="","",VLOOKUP($A4,子基金及业绩基准周净值!$A:$AV,32))</f>
        <v>1.2513</v>
      </c>
      <c r="C4" s="8">
        <f>IF(B4="","",B4/B3-1)</f>
        <v>0.00328736369467597</v>
      </c>
      <c r="D4" s="9">
        <f>IF(A4="","",C4-(子基金及业绩基准周净值!AM71/子基金及业绩基准周净值!AM70-1))</f>
        <v>-0.0332711175672726</v>
      </c>
      <c r="E4" s="12">
        <f>IF(A4="","",(MAX(B$3:B4)-B4)/MAX(B$3:B4))</f>
        <v>0</v>
      </c>
      <c r="F4" s="12">
        <f>IF(A4="","",MAX(E$3:E4))</f>
        <v>0</v>
      </c>
      <c r="G4" s="13">
        <v>0</v>
      </c>
      <c r="H4" s="14" t="str">
        <f t="shared" ref="H4:H42" si="0">IF(B4="","",IF(C4&lt;-3%,"是","否"))</f>
        <v>否</v>
      </c>
      <c r="I4" s="14" t="str">
        <f t="shared" ref="I4:I42" si="1">IF(A4="","",IF(F4&gt;5%,"是","否"))</f>
        <v>否</v>
      </c>
      <c r="J4" s="15" t="str">
        <f t="shared" ref="J4:J42" si="2">IF(A4="","",IF(G4&gt;=4,"是","否"))</f>
        <v>否</v>
      </c>
    </row>
    <row r="5" spans="1:10">
      <c r="A5" s="7">
        <f>IF(子基金及业绩基准周净值!A72="","",子基金及业绩基准周净值!A72)</f>
        <v>45961</v>
      </c>
      <c r="B5" s="1">
        <f>IF(A5="","",VLOOKUP($A5,子基金及业绩基准周净值!$A:$AV,32))</f>
        <v>1.2488</v>
      </c>
      <c r="C5" s="8">
        <f t="shared" ref="C4:C31" si="3">IF(B5="","",B5/B4-1)</f>
        <v>-0.00199792216095274</v>
      </c>
      <c r="D5" s="9">
        <f>IF(A5="","",C5-(子基金及业绩基准周净值!AM72/子基金及业绩基准周净值!AM71-1))</f>
        <v>-0.0121588986146888</v>
      </c>
      <c r="E5" s="12">
        <f>IF(A5="","",(MAX(B$3:B5)-B5)/MAX(B$3:B5))</f>
        <v>0.00199792216095274</v>
      </c>
      <c r="F5" s="12">
        <f>IF(A5="","",MAX(E$3:E5))</f>
        <v>0.00199792216095274</v>
      </c>
      <c r="G5" s="13">
        <v>0</v>
      </c>
      <c r="H5" s="14" t="str">
        <f t="shared" si="0"/>
        <v>否</v>
      </c>
      <c r="I5" s="14" t="str">
        <f t="shared" si="1"/>
        <v>否</v>
      </c>
      <c r="J5" s="15" t="str">
        <f t="shared" si="2"/>
        <v>否</v>
      </c>
    </row>
    <row r="6" spans="1:10">
      <c r="A6" s="7" t="str">
        <f>IF(子基金及业绩基准周净值!A73="","",子基金及业绩基准周净值!A73)</f>
        <v/>
      </c>
      <c r="B6" s="1" t="str">
        <f>IF(A6="","",VLOOKUP($A6,子基金及业绩基准周净值!$A:$AV,32))</f>
        <v/>
      </c>
      <c r="C6" s="8" t="str">
        <f t="shared" si="3"/>
        <v/>
      </c>
      <c r="D6" s="9" t="str">
        <f>IF(A6="","",C6-(子基金及业绩基准周净值!AM73/子基金及业绩基准周净值!AM72-1))</f>
        <v/>
      </c>
      <c r="E6" s="12" t="str">
        <f>IF(A6="","",(MAX(B$3:B6)-B6)/MAX(B$3:B6))</f>
        <v/>
      </c>
      <c r="F6" s="12" t="str">
        <f>IF(A6="","",MAX(E$3:E6))</f>
        <v/>
      </c>
      <c r="G6" s="13">
        <v>0</v>
      </c>
      <c r="H6" s="14" t="str">
        <f t="shared" si="0"/>
        <v/>
      </c>
      <c r="I6" s="14" t="str">
        <f t="shared" si="1"/>
        <v/>
      </c>
      <c r="J6" s="15" t="str">
        <f t="shared" si="2"/>
        <v/>
      </c>
    </row>
    <row r="7" spans="1:10">
      <c r="A7" s="7" t="str">
        <f>IF(子基金及业绩基准周净值!A74="","",子基金及业绩基准周净值!A74)</f>
        <v/>
      </c>
      <c r="B7" s="1" t="str">
        <f>IF(A7="","",VLOOKUP($A7,子基金及业绩基准周净值!$A:$AV,32))</f>
        <v/>
      </c>
      <c r="C7" s="8" t="str">
        <f t="shared" si="3"/>
        <v/>
      </c>
      <c r="D7" s="9" t="str">
        <f>IF(A7="","",C7-(子基金及业绩基准周净值!AM74/子基金及业绩基准周净值!AM73-1))</f>
        <v/>
      </c>
      <c r="E7" s="12" t="str">
        <f>IF(A7="","",(MAX(B$3:B7)-B7)/MAX(B$3:B7))</f>
        <v/>
      </c>
      <c r="F7" s="12" t="str">
        <f>IF(A7="","",MAX(E$3:E7))</f>
        <v/>
      </c>
      <c r="G7" s="13"/>
      <c r="H7" s="14" t="str">
        <f t="shared" si="0"/>
        <v/>
      </c>
      <c r="I7" s="14" t="str">
        <f t="shared" si="1"/>
        <v/>
      </c>
      <c r="J7" s="15" t="str">
        <f t="shared" si="2"/>
        <v/>
      </c>
    </row>
    <row r="8" spans="1:10">
      <c r="A8" s="7" t="str">
        <f>IF(子基金及业绩基准周净值!A75="","",子基金及业绩基准周净值!A75)</f>
        <v/>
      </c>
      <c r="B8" s="1" t="str">
        <f>IF(A8="","",VLOOKUP($A8,子基金及业绩基准周净值!$A:$AV,32))</f>
        <v/>
      </c>
      <c r="C8" s="8" t="str">
        <f t="shared" si="3"/>
        <v/>
      </c>
      <c r="D8" s="9" t="str">
        <f>IF(A8="","",C8-(子基金及业绩基准周净值!AM75/子基金及业绩基准周净值!AM74-1))</f>
        <v/>
      </c>
      <c r="E8" s="12" t="str">
        <f>IF(A8="","",(MAX(B$3:B8)-B8)/MAX(B$3:B8))</f>
        <v/>
      </c>
      <c r="F8" s="12" t="str">
        <f>IF(A8="","",MAX(E$3:E8))</f>
        <v/>
      </c>
      <c r="G8" s="13"/>
      <c r="H8" s="14" t="str">
        <f t="shared" si="0"/>
        <v/>
      </c>
      <c r="I8" s="14" t="str">
        <f t="shared" si="1"/>
        <v/>
      </c>
      <c r="J8" s="15" t="str">
        <f t="shared" si="2"/>
        <v/>
      </c>
    </row>
    <row r="9" spans="1:10">
      <c r="A9" s="7" t="str">
        <f>IF(子基金及业绩基准周净值!A76="","",子基金及业绩基准周净值!A76)</f>
        <v/>
      </c>
      <c r="B9" s="1" t="str">
        <f>IF(A9="","",VLOOKUP($A9,子基金及业绩基准周净值!$A:$AV,32))</f>
        <v/>
      </c>
      <c r="C9" s="8" t="str">
        <f t="shared" si="3"/>
        <v/>
      </c>
      <c r="D9" s="9" t="str">
        <f>IF(A9="","",C9-(子基金及业绩基准周净值!AM76/子基金及业绩基准周净值!AM75-1))</f>
        <v/>
      </c>
      <c r="E9" s="12" t="str">
        <f>IF(A9="","",(MAX(B$3:B9)-B9)/MAX(B$3:B9))</f>
        <v/>
      </c>
      <c r="F9" s="12" t="str">
        <f>IF(A9="","",MAX(E$3:E9))</f>
        <v/>
      </c>
      <c r="G9" s="13"/>
      <c r="H9" s="14" t="str">
        <f t="shared" si="0"/>
        <v/>
      </c>
      <c r="I9" s="14" t="str">
        <f t="shared" si="1"/>
        <v/>
      </c>
      <c r="J9" s="15" t="str">
        <f t="shared" si="2"/>
        <v/>
      </c>
    </row>
    <row r="10" spans="1:10">
      <c r="A10" s="7" t="str">
        <f>IF(子基金及业绩基准周净值!A77="","",子基金及业绩基准周净值!A77)</f>
        <v/>
      </c>
      <c r="B10" s="1" t="str">
        <f>IF(A10="","",VLOOKUP($A10,子基金及业绩基准周净值!$A:$AV,32))</f>
        <v/>
      </c>
      <c r="C10" s="8" t="str">
        <f t="shared" si="3"/>
        <v/>
      </c>
      <c r="D10" s="9" t="str">
        <f>IF(A10="","",C10-(子基金及业绩基准周净值!AM77/子基金及业绩基准周净值!AM76-1))</f>
        <v/>
      </c>
      <c r="E10" s="12" t="str">
        <f>IF(A10="","",(MAX(B$3:B10)-B10)/MAX(B$3:B10))</f>
        <v/>
      </c>
      <c r="F10" s="12" t="str">
        <f>IF(A10="","",MAX(E$3:E10))</f>
        <v/>
      </c>
      <c r="G10" s="20"/>
      <c r="H10" s="14" t="str">
        <f t="shared" si="0"/>
        <v/>
      </c>
      <c r="I10" s="14" t="str">
        <f t="shared" si="1"/>
        <v/>
      </c>
      <c r="J10" s="15" t="str">
        <f t="shared" si="2"/>
        <v/>
      </c>
    </row>
    <row r="11" spans="1:10">
      <c r="A11" s="7" t="str">
        <f>IF(子基金及业绩基准周净值!A78="","",子基金及业绩基准周净值!A78)</f>
        <v/>
      </c>
      <c r="B11" s="1" t="str">
        <f>IF(A11="","",VLOOKUP($A11,子基金及业绩基准周净值!$A:$AV,32))</f>
        <v/>
      </c>
      <c r="C11" s="8" t="str">
        <f t="shared" si="3"/>
        <v/>
      </c>
      <c r="D11" s="9" t="str">
        <f>IF(A11="","",C11-(子基金及业绩基准周净值!AM78/子基金及业绩基准周净值!AM77-1))</f>
        <v/>
      </c>
      <c r="E11" s="12" t="str">
        <f>IF(A11="","",(MAX(B$3:B11)-B11)/MAX(B$3:B11))</f>
        <v/>
      </c>
      <c r="F11" s="12" t="str">
        <f>IF(A11="","",MAX(E$3:E11))</f>
        <v/>
      </c>
      <c r="G11" s="13"/>
      <c r="H11" s="14" t="str">
        <f t="shared" si="0"/>
        <v/>
      </c>
      <c r="I11" s="14" t="str">
        <f t="shared" si="1"/>
        <v/>
      </c>
      <c r="J11" s="15" t="str">
        <f t="shared" si="2"/>
        <v/>
      </c>
    </row>
    <row r="12" spans="1:10">
      <c r="A12" s="7" t="str">
        <f>IF(子基金及业绩基准周净值!A79="","",子基金及业绩基准周净值!A79)</f>
        <v/>
      </c>
      <c r="B12" s="1" t="str">
        <f>IF(A12="","",VLOOKUP($A12,子基金及业绩基准周净值!$A:$AV,32))</f>
        <v/>
      </c>
      <c r="C12" s="8" t="str">
        <f t="shared" si="3"/>
        <v/>
      </c>
      <c r="D12" s="9" t="str">
        <f>IF(A12="","",C12-(子基金及业绩基准周净值!AM79/子基金及业绩基准周净值!AM78-1))</f>
        <v/>
      </c>
      <c r="E12" s="12" t="str">
        <f>IF(A12="","",(MAX(B$3:B12)-B12)/MAX(B$3:B12))</f>
        <v/>
      </c>
      <c r="F12" s="12" t="str">
        <f>IF(A12="","",MAX(E$3:E12))</f>
        <v/>
      </c>
      <c r="G12" s="13"/>
      <c r="H12" s="14" t="str">
        <f t="shared" si="0"/>
        <v/>
      </c>
      <c r="I12" s="14" t="str">
        <f t="shared" si="1"/>
        <v/>
      </c>
      <c r="J12" s="15" t="str">
        <f t="shared" si="2"/>
        <v/>
      </c>
    </row>
    <row r="13" spans="1:10">
      <c r="A13" s="7" t="str">
        <f>IF(子基金及业绩基准周净值!A80="","",子基金及业绩基准周净值!A80)</f>
        <v/>
      </c>
      <c r="B13" s="1" t="str">
        <f>IF(A13="","",VLOOKUP($A13,子基金及业绩基准周净值!$A:$AV,32))</f>
        <v/>
      </c>
      <c r="C13" s="8" t="str">
        <f t="shared" si="3"/>
        <v/>
      </c>
      <c r="D13" s="9" t="str">
        <f>IF(A13="","",C13-(子基金及业绩基准周净值!AM80/子基金及业绩基准周净值!AM79-1))</f>
        <v/>
      </c>
      <c r="E13" s="12" t="str">
        <f>IF(A13="","",(MAX(B$3:B13)-B13)/MAX(B$3:B13))</f>
        <v/>
      </c>
      <c r="F13" s="12" t="str">
        <f>IF(A13="","",MAX(E$3:E13))</f>
        <v/>
      </c>
      <c r="G13" s="13"/>
      <c r="H13" s="14" t="str">
        <f t="shared" si="0"/>
        <v/>
      </c>
      <c r="I13" s="14" t="str">
        <f t="shared" si="1"/>
        <v/>
      </c>
      <c r="J13" s="15" t="str">
        <f t="shared" si="2"/>
        <v/>
      </c>
    </row>
    <row r="14" spans="1:10">
      <c r="A14" s="7" t="str">
        <f>IF(子基金及业绩基准周净值!A81="","",子基金及业绩基准周净值!A81)</f>
        <v/>
      </c>
      <c r="B14" s="1" t="str">
        <f>IF(A14="","",VLOOKUP($A14,子基金及业绩基准周净值!$A:$AV,32))</f>
        <v/>
      </c>
      <c r="C14" s="8" t="str">
        <f t="shared" si="3"/>
        <v/>
      </c>
      <c r="D14" s="9" t="str">
        <f>IF(A14="","",C14-(子基金及业绩基准周净值!AM81/子基金及业绩基准周净值!AM80-1))</f>
        <v/>
      </c>
      <c r="E14" s="12" t="str">
        <f>IF(A14="","",(MAX(B$3:B14)-B14)/MAX(B$3:B14))</f>
        <v/>
      </c>
      <c r="F14" s="12" t="str">
        <f>IF(A14="","",MAX(E$3:E14))</f>
        <v/>
      </c>
      <c r="G14" s="13"/>
      <c r="H14" s="14" t="str">
        <f t="shared" si="0"/>
        <v/>
      </c>
      <c r="I14" s="14" t="str">
        <f t="shared" si="1"/>
        <v/>
      </c>
      <c r="J14" s="15" t="str">
        <f t="shared" si="2"/>
        <v/>
      </c>
    </row>
    <row r="15" spans="1:10">
      <c r="A15" s="7" t="str">
        <f>IF(子基金及业绩基准周净值!A82="","",子基金及业绩基准周净值!A82)</f>
        <v/>
      </c>
      <c r="B15" s="1" t="str">
        <f>IF(A15="","",VLOOKUP($A15,子基金及业绩基准周净值!$A:$AV,32))</f>
        <v/>
      </c>
      <c r="C15" s="8" t="str">
        <f t="shared" si="3"/>
        <v/>
      </c>
      <c r="D15" s="9" t="str">
        <f>IF(A15="","",C15-(子基金及业绩基准周净值!AM82/子基金及业绩基准周净值!AM81-1))</f>
        <v/>
      </c>
      <c r="E15" s="12" t="str">
        <f>IF(A15="","",(MAX(B$3:B15)-B15)/MAX(B$3:B15))</f>
        <v/>
      </c>
      <c r="F15" s="12" t="str">
        <f>IF(A15="","",MAX(E$3:E15))</f>
        <v/>
      </c>
      <c r="G15" s="13"/>
      <c r="H15" s="14" t="str">
        <f t="shared" si="0"/>
        <v/>
      </c>
      <c r="I15" s="14" t="str">
        <f t="shared" si="1"/>
        <v/>
      </c>
      <c r="J15" s="15" t="str">
        <f t="shared" si="2"/>
        <v/>
      </c>
    </row>
    <row r="16" spans="1:10">
      <c r="A16" s="7" t="str">
        <f>IF(子基金及业绩基准周净值!A83="","",子基金及业绩基准周净值!A83)</f>
        <v/>
      </c>
      <c r="B16" s="1" t="str">
        <f>IF(A16="","",VLOOKUP($A16,子基金及业绩基准周净值!$A:$AV,32))</f>
        <v/>
      </c>
      <c r="C16" s="8" t="str">
        <f t="shared" si="3"/>
        <v/>
      </c>
      <c r="D16" s="9" t="str">
        <f>IF(A16="","",C16-(子基金及业绩基准周净值!AM83/子基金及业绩基准周净值!AM82-1))</f>
        <v/>
      </c>
      <c r="E16" s="12" t="str">
        <f>IF(A16="","",(MAX(B$3:B16)-B16)/MAX(B$3:B16))</f>
        <v/>
      </c>
      <c r="F16" s="12" t="str">
        <f>IF(A16="","",MAX(E$3:E16))</f>
        <v/>
      </c>
      <c r="G16" s="13"/>
      <c r="H16" s="14" t="str">
        <f t="shared" si="0"/>
        <v/>
      </c>
      <c r="I16" s="14" t="str">
        <f t="shared" si="1"/>
        <v/>
      </c>
      <c r="J16" s="15" t="str">
        <f t="shared" si="2"/>
        <v/>
      </c>
    </row>
    <row r="17" spans="1:10">
      <c r="A17" s="7" t="str">
        <f>IF(子基金及业绩基准周净值!A84="","",子基金及业绩基准周净值!A84)</f>
        <v/>
      </c>
      <c r="B17" s="1" t="str">
        <f>IF(A17="","",VLOOKUP($A17,子基金及业绩基准周净值!$A:$AV,32))</f>
        <v/>
      </c>
      <c r="C17" s="8" t="str">
        <f t="shared" si="3"/>
        <v/>
      </c>
      <c r="D17" s="9" t="str">
        <f>IF(A17="","",C17-(子基金及业绩基准周净值!AM84/子基金及业绩基准周净值!AM83-1))</f>
        <v/>
      </c>
      <c r="E17" s="12" t="str">
        <f>IF(A17="","",(MAX(B$3:B17)-B17)/MAX(B$3:B17))</f>
        <v/>
      </c>
      <c r="F17" s="12" t="str">
        <f>IF(A17="","",MAX(E$3:E17))</f>
        <v/>
      </c>
      <c r="G17" s="13"/>
      <c r="H17" s="14" t="str">
        <f t="shared" si="0"/>
        <v/>
      </c>
      <c r="I17" s="14" t="str">
        <f t="shared" si="1"/>
        <v/>
      </c>
      <c r="J17" s="15" t="str">
        <f t="shared" si="2"/>
        <v/>
      </c>
    </row>
    <row r="18" spans="1:10">
      <c r="A18" s="7" t="str">
        <f>IF(子基金及业绩基准周净值!A85="","",子基金及业绩基准周净值!A85)</f>
        <v/>
      </c>
      <c r="B18" s="1" t="str">
        <f>IF(A18="","",VLOOKUP($A18,子基金及业绩基准周净值!$A:$AV,32))</f>
        <v/>
      </c>
      <c r="C18" s="8" t="str">
        <f t="shared" si="3"/>
        <v/>
      </c>
      <c r="D18" s="9" t="str">
        <f>IF(A18="","",C18-(子基金及业绩基准周净值!AM85/子基金及业绩基准周净值!AM84-1))</f>
        <v/>
      </c>
      <c r="E18" s="12" t="str">
        <f>IF(A18="","",(MAX(B$3:B18)-B18)/MAX(B$3:B18))</f>
        <v/>
      </c>
      <c r="F18" s="12" t="str">
        <f>IF(A18="","",MAX(E$3:E18))</f>
        <v/>
      </c>
      <c r="G18" s="13"/>
      <c r="H18" s="14" t="str">
        <f t="shared" si="0"/>
        <v/>
      </c>
      <c r="I18" s="14" t="str">
        <f t="shared" si="1"/>
        <v/>
      </c>
      <c r="J18" s="15" t="str">
        <f t="shared" si="2"/>
        <v/>
      </c>
    </row>
    <row r="19" spans="1:10">
      <c r="A19" s="7" t="str">
        <f>IF(子基金及业绩基准周净值!A86="","",子基金及业绩基准周净值!A86)</f>
        <v/>
      </c>
      <c r="B19" s="1" t="str">
        <f>IF(A19="","",VLOOKUP($A19,子基金及业绩基准周净值!$A:$AV,32))</f>
        <v/>
      </c>
      <c r="C19" s="8" t="str">
        <f t="shared" si="3"/>
        <v/>
      </c>
      <c r="D19" s="9" t="str">
        <f>IF(A19="","",C19-(子基金及业绩基准周净值!AM86/子基金及业绩基准周净值!AM85-1))</f>
        <v/>
      </c>
      <c r="E19" s="12" t="str">
        <f>IF(A19="","",(MAX(B$3:B19)-B19)/MAX(B$3:B19))</f>
        <v/>
      </c>
      <c r="F19" s="12" t="str">
        <f>IF(A19="","",MAX(E$3:E19))</f>
        <v/>
      </c>
      <c r="G19" s="13"/>
      <c r="H19" s="14" t="str">
        <f t="shared" si="0"/>
        <v/>
      </c>
      <c r="I19" s="14" t="str">
        <f t="shared" si="1"/>
        <v/>
      </c>
      <c r="J19" s="15" t="str">
        <f t="shared" si="2"/>
        <v/>
      </c>
    </row>
    <row r="20" spans="1:10">
      <c r="A20" s="7" t="str">
        <f>IF(子基金及业绩基准周净值!A87="","",子基金及业绩基准周净值!A87)</f>
        <v/>
      </c>
      <c r="B20" s="1" t="str">
        <f>IF(A20="","",VLOOKUP($A20,子基金及业绩基准周净值!$A:$AV,32))</f>
        <v/>
      </c>
      <c r="C20" s="8" t="str">
        <f t="shared" si="3"/>
        <v/>
      </c>
      <c r="D20" s="9" t="str">
        <f>IF(A20="","",C20-(子基金及业绩基准周净值!AM87/子基金及业绩基准周净值!AM86-1))</f>
        <v/>
      </c>
      <c r="E20" s="12" t="str">
        <f>IF(A20="","",(MAX(B$3:B20)-B20)/MAX(B$3:B20))</f>
        <v/>
      </c>
      <c r="F20" s="12" t="str">
        <f>IF(A20="","",MAX(E$3:E20))</f>
        <v/>
      </c>
      <c r="G20" s="13"/>
      <c r="H20" s="14" t="str">
        <f t="shared" si="0"/>
        <v/>
      </c>
      <c r="I20" s="14" t="str">
        <f t="shared" si="1"/>
        <v/>
      </c>
      <c r="J20" s="15" t="str">
        <f t="shared" si="2"/>
        <v/>
      </c>
    </row>
    <row r="21" spans="1:10">
      <c r="A21" s="7" t="str">
        <f>IF(子基金及业绩基准周净值!A88="","",子基金及业绩基准周净值!A88)</f>
        <v/>
      </c>
      <c r="B21" s="1" t="str">
        <f>IF(A21="","",VLOOKUP($A21,子基金及业绩基准周净值!$A:$AV,32))</f>
        <v/>
      </c>
      <c r="C21" s="8" t="str">
        <f t="shared" si="3"/>
        <v/>
      </c>
      <c r="D21" s="9" t="str">
        <f>IF(A21="","",C21-(子基金及业绩基准周净值!AM88/子基金及业绩基准周净值!AM87-1))</f>
        <v/>
      </c>
      <c r="E21" s="12" t="str">
        <f>IF(A21="","",(MAX(B$3:B21)-B21)/MAX(B$3:B21))</f>
        <v/>
      </c>
      <c r="F21" s="12" t="str">
        <f>IF(A21="","",MAX(E$3:E21))</f>
        <v/>
      </c>
      <c r="G21" s="13"/>
      <c r="H21" s="14" t="str">
        <f t="shared" si="0"/>
        <v/>
      </c>
      <c r="I21" s="14" t="str">
        <f t="shared" si="1"/>
        <v/>
      </c>
      <c r="J21" s="15" t="str">
        <f t="shared" si="2"/>
        <v/>
      </c>
    </row>
    <row r="22" spans="1:10">
      <c r="A22" s="7" t="str">
        <f>IF(子基金及业绩基准周净值!A89="","",子基金及业绩基准周净值!A89)</f>
        <v/>
      </c>
      <c r="B22" s="1" t="str">
        <f>IF(A22="","",VLOOKUP($A22,子基金及业绩基准周净值!$A:$AV,32))</f>
        <v/>
      </c>
      <c r="C22" s="8" t="str">
        <f t="shared" si="3"/>
        <v/>
      </c>
      <c r="D22" s="9" t="str">
        <f>IF(A22="","",C22-(子基金及业绩基准周净值!AM89/子基金及业绩基准周净值!AM88-1))</f>
        <v/>
      </c>
      <c r="E22" s="12" t="str">
        <f>IF(A22="","",(MAX(B$3:B22)-B22)/MAX(B$3:B22))</f>
        <v/>
      </c>
      <c r="F22" s="12" t="str">
        <f>IF(A22="","",MAX(E$3:E22))</f>
        <v/>
      </c>
      <c r="G22" s="13"/>
      <c r="H22" s="14" t="str">
        <f t="shared" si="0"/>
        <v/>
      </c>
      <c r="I22" s="14" t="str">
        <f t="shared" si="1"/>
        <v/>
      </c>
      <c r="J22" s="15" t="str">
        <f t="shared" si="2"/>
        <v/>
      </c>
    </row>
    <row r="23" spans="1:10">
      <c r="A23" s="7" t="str">
        <f>IF(子基金及业绩基准周净值!A90="","",子基金及业绩基准周净值!A90)</f>
        <v/>
      </c>
      <c r="B23" s="1" t="str">
        <f>IF(A23="","",VLOOKUP($A23,子基金及业绩基准周净值!$A:$AV,32))</f>
        <v/>
      </c>
      <c r="C23" s="8" t="str">
        <f t="shared" si="3"/>
        <v/>
      </c>
      <c r="D23" s="9" t="str">
        <f>IF(A23="","",C23-(子基金及业绩基准周净值!AM90/子基金及业绩基准周净值!AM89-1))</f>
        <v/>
      </c>
      <c r="E23" s="12" t="str">
        <f>IF(A23="","",(MAX(B$3:B23)-B23)/MAX(B$3:B23))</f>
        <v/>
      </c>
      <c r="F23" s="12" t="str">
        <f>IF(A23="","",MAX(E$3:E23))</f>
        <v/>
      </c>
      <c r="G23" s="13"/>
      <c r="H23" s="14" t="str">
        <f t="shared" si="0"/>
        <v/>
      </c>
      <c r="I23" s="14" t="str">
        <f t="shared" si="1"/>
        <v/>
      </c>
      <c r="J23" s="15" t="str">
        <f t="shared" si="2"/>
        <v/>
      </c>
    </row>
    <row r="24" spans="1:10">
      <c r="A24" s="7" t="str">
        <f>IF(子基金及业绩基准周净值!A91="","",子基金及业绩基准周净值!A91)</f>
        <v/>
      </c>
      <c r="B24" s="1" t="str">
        <f>IF(A24="","",VLOOKUP($A24,子基金及业绩基准周净值!$A:$AV,32))</f>
        <v/>
      </c>
      <c r="C24" s="8" t="str">
        <f t="shared" si="3"/>
        <v/>
      </c>
      <c r="D24" s="9" t="str">
        <f>IF(A24="","",C24-(子基金及业绩基准周净值!AM91/子基金及业绩基准周净值!AM90-1))</f>
        <v/>
      </c>
      <c r="E24" s="12" t="str">
        <f>IF(A24="","",(MAX(B$3:B24)-B24)/MAX(B$3:B24))</f>
        <v/>
      </c>
      <c r="F24" s="12" t="str">
        <f>IF(A24="","",MAX(E$3:E24))</f>
        <v/>
      </c>
      <c r="G24" s="13"/>
      <c r="H24" s="14" t="str">
        <f t="shared" si="0"/>
        <v/>
      </c>
      <c r="I24" s="14" t="str">
        <f t="shared" si="1"/>
        <v/>
      </c>
      <c r="J24" s="15" t="str">
        <f t="shared" si="2"/>
        <v/>
      </c>
    </row>
    <row r="25" spans="1:10">
      <c r="A25" s="7" t="str">
        <f>IF(子基金及业绩基准周净值!A92="","",子基金及业绩基准周净值!A92)</f>
        <v/>
      </c>
      <c r="B25" s="1" t="str">
        <f>IF(A25="","",VLOOKUP($A25,子基金及业绩基准周净值!$A:$AV,32))</f>
        <v/>
      </c>
      <c r="C25" s="8" t="str">
        <f t="shared" si="3"/>
        <v/>
      </c>
      <c r="D25" s="9" t="str">
        <f>IF(A25="","",C25-(子基金及业绩基准周净值!AM92/子基金及业绩基准周净值!AM91-1))</f>
        <v/>
      </c>
      <c r="E25" s="12" t="str">
        <f>IF(A25="","",(MAX(B$3:B25)-B25)/MAX(B$3:B25))</f>
        <v/>
      </c>
      <c r="F25" s="12" t="str">
        <f>IF(A25="","",MAX(E$3:E25))</f>
        <v/>
      </c>
      <c r="G25" s="13"/>
      <c r="H25" s="14" t="str">
        <f t="shared" si="0"/>
        <v/>
      </c>
      <c r="I25" s="14" t="str">
        <f t="shared" si="1"/>
        <v/>
      </c>
      <c r="J25" s="15" t="str">
        <f t="shared" si="2"/>
        <v/>
      </c>
    </row>
    <row r="26" spans="1:10">
      <c r="A26" s="7" t="str">
        <f>IF(子基金及业绩基准周净值!A93="","",子基金及业绩基准周净值!A93)</f>
        <v/>
      </c>
      <c r="B26" s="1" t="str">
        <f>IF(A26="","",VLOOKUP($A26,子基金及业绩基准周净值!$A:$AV,32))</f>
        <v/>
      </c>
      <c r="C26" s="8" t="str">
        <f t="shared" si="3"/>
        <v/>
      </c>
      <c r="D26" s="9" t="str">
        <f>IF(A26="","",C26-(子基金及业绩基准周净值!AM93/子基金及业绩基准周净值!AM92-1))</f>
        <v/>
      </c>
      <c r="E26" s="12" t="str">
        <f>IF(A26="","",(MAX(B$3:B26)-B26)/MAX(B$3:B26))</f>
        <v/>
      </c>
      <c r="F26" s="12" t="str">
        <f>IF(A26="","",MAX(E$3:E26))</f>
        <v/>
      </c>
      <c r="G26" s="13"/>
      <c r="H26" s="14" t="str">
        <f t="shared" si="0"/>
        <v/>
      </c>
      <c r="I26" s="14" t="str">
        <f t="shared" si="1"/>
        <v/>
      </c>
      <c r="J26" s="15" t="str">
        <f t="shared" si="2"/>
        <v/>
      </c>
    </row>
    <row r="27" spans="1:10">
      <c r="A27" s="7" t="str">
        <f>IF(子基金及业绩基准周净值!A94="","",子基金及业绩基准周净值!A94)</f>
        <v/>
      </c>
      <c r="B27" s="1" t="str">
        <f>IF(A27="","",VLOOKUP($A27,子基金及业绩基准周净值!$A:$AV,32))</f>
        <v/>
      </c>
      <c r="C27" s="8" t="str">
        <f t="shared" si="3"/>
        <v/>
      </c>
      <c r="D27" s="9" t="str">
        <f>IF(A27="","",C27-(子基金及业绩基准周净值!AM94/子基金及业绩基准周净值!AM93-1))</f>
        <v/>
      </c>
      <c r="E27" s="12" t="str">
        <f>IF(A27="","",(MAX(B$3:B27)-B27)/MAX(B$3:B27))</f>
        <v/>
      </c>
      <c r="F27" s="12" t="str">
        <f>IF(A27="","",MAX(E$3:E27))</f>
        <v/>
      </c>
      <c r="G27" s="13"/>
      <c r="H27" s="14" t="str">
        <f t="shared" si="0"/>
        <v/>
      </c>
      <c r="I27" s="14" t="str">
        <f t="shared" si="1"/>
        <v/>
      </c>
      <c r="J27" s="15" t="str">
        <f t="shared" si="2"/>
        <v/>
      </c>
    </row>
    <row r="28" spans="1:10">
      <c r="A28" s="7" t="str">
        <f>IF(子基金及业绩基准周净值!A95="","",子基金及业绩基准周净值!A95)</f>
        <v/>
      </c>
      <c r="B28" s="1" t="str">
        <f>IF(A28="","",VLOOKUP($A28,子基金及业绩基准周净值!$A:$AV,32))</f>
        <v/>
      </c>
      <c r="C28" s="8" t="str">
        <f t="shared" si="3"/>
        <v/>
      </c>
      <c r="D28" s="9" t="str">
        <f>IF(A28="","",C28-(子基金及业绩基准周净值!AM95/子基金及业绩基准周净值!AM94-1))</f>
        <v/>
      </c>
      <c r="E28" s="12" t="str">
        <f>IF(A28="","",(MAX(B$3:B28)-B28)/MAX(B$3:B28))</f>
        <v/>
      </c>
      <c r="F28" s="12" t="str">
        <f>IF(A28="","",MAX(E$3:E28))</f>
        <v/>
      </c>
      <c r="G28" s="13"/>
      <c r="H28" s="14" t="str">
        <f t="shared" si="0"/>
        <v/>
      </c>
      <c r="I28" s="14" t="str">
        <f t="shared" si="1"/>
        <v/>
      </c>
      <c r="J28" s="15" t="str">
        <f t="shared" si="2"/>
        <v/>
      </c>
    </row>
    <row r="29" spans="1:10">
      <c r="A29" s="7" t="str">
        <f>IF(子基金及业绩基准周净值!A96="","",子基金及业绩基准周净值!A96)</f>
        <v/>
      </c>
      <c r="B29" s="1" t="str">
        <f>IF(A29="","",VLOOKUP($A29,子基金及业绩基准周净值!$A:$AV,32))</f>
        <v/>
      </c>
      <c r="C29" s="8" t="str">
        <f t="shared" si="3"/>
        <v/>
      </c>
      <c r="D29" s="9" t="str">
        <f>IF(A29="","",C29-(子基金及业绩基准周净值!AM96/子基金及业绩基准周净值!AM95-1))</f>
        <v/>
      </c>
      <c r="E29" s="12" t="str">
        <f>IF(A29="","",(MAX(B$3:B29)-B29)/MAX(B$3:B29))</f>
        <v/>
      </c>
      <c r="F29" s="12" t="str">
        <f>IF(A29="","",MAX(E$3:E29))</f>
        <v/>
      </c>
      <c r="G29" s="13"/>
      <c r="H29" s="14" t="str">
        <f t="shared" si="0"/>
        <v/>
      </c>
      <c r="I29" s="14" t="str">
        <f t="shared" si="1"/>
        <v/>
      </c>
      <c r="J29" s="15" t="str">
        <f t="shared" si="2"/>
        <v/>
      </c>
    </row>
    <row r="30" spans="1:10">
      <c r="A30" s="7" t="str">
        <f>IF(子基金及业绩基准周净值!A97="","",子基金及业绩基准周净值!A97)</f>
        <v/>
      </c>
      <c r="B30" s="1" t="str">
        <f>IF(A30="","",VLOOKUP($A30,子基金及业绩基准周净值!$A:$AV,32))</f>
        <v/>
      </c>
      <c r="C30" s="8" t="str">
        <f t="shared" si="3"/>
        <v/>
      </c>
      <c r="D30" s="9" t="str">
        <f>IF(A30="","",C30-(子基金及业绩基准周净值!AM97/子基金及业绩基准周净值!AM96-1))</f>
        <v/>
      </c>
      <c r="E30" s="12" t="str">
        <f>IF(A30="","",(MAX(B$3:B30)-B30)/MAX(B$3:B30))</f>
        <v/>
      </c>
      <c r="F30" s="12" t="str">
        <f>IF(A30="","",MAX(E$3:E30))</f>
        <v/>
      </c>
      <c r="G30" s="13"/>
      <c r="H30" s="14" t="str">
        <f t="shared" si="0"/>
        <v/>
      </c>
      <c r="I30" s="14" t="str">
        <f t="shared" si="1"/>
        <v/>
      </c>
      <c r="J30" s="15" t="str">
        <f t="shared" si="2"/>
        <v/>
      </c>
    </row>
    <row r="31" spans="1:10">
      <c r="A31" s="7"/>
      <c r="B31" s="1" t="str">
        <f>IF(A31="","",VLOOKUP($A31,子基金及业绩基准周净值!$A:$AV,32))</f>
        <v/>
      </c>
      <c r="C31" s="8" t="str">
        <f t="shared" si="3"/>
        <v/>
      </c>
      <c r="D31" s="9" t="str">
        <f>IF(A31="","",C31-(子基金及业绩基准周净值!AM98/子基金及业绩基准周净值!AM97-1))</f>
        <v/>
      </c>
      <c r="E31" s="12" t="str">
        <f>IF(A31="","",(MAX(B$3:B31)-B31)/MAX(B$3:B31))</f>
        <v/>
      </c>
      <c r="F31" s="12" t="str">
        <f>IF(A31="","",MAX(E$3:E31))</f>
        <v/>
      </c>
      <c r="G31" s="13"/>
      <c r="H31" s="14" t="str">
        <f t="shared" si="0"/>
        <v/>
      </c>
      <c r="I31" s="14" t="str">
        <f t="shared" si="1"/>
        <v/>
      </c>
      <c r="J31" s="15" t="str">
        <f t="shared" si="2"/>
        <v/>
      </c>
    </row>
    <row r="32" spans="1:10">
      <c r="A32" s="7"/>
      <c r="B32" s="1" t="str">
        <f>IF(A32="","",VLOOKUP($A32,子基金及业绩基准周净值!$A:$AV,32))</f>
        <v/>
      </c>
      <c r="C32" s="8"/>
      <c r="D32" s="9"/>
      <c r="E32" s="12" t="str">
        <f>IF(A32="","",(MAX(B$3:B32)-B32)/MAX(B$3:B32))</f>
        <v/>
      </c>
      <c r="F32" s="12" t="str">
        <f>IF(A32="","",MAX(E$3:E32))</f>
        <v/>
      </c>
      <c r="G32" s="13"/>
      <c r="H32" s="14" t="str">
        <f t="shared" si="0"/>
        <v/>
      </c>
      <c r="I32" s="14" t="str">
        <f t="shared" si="1"/>
        <v/>
      </c>
      <c r="J32" s="15" t="str">
        <f t="shared" si="2"/>
        <v/>
      </c>
    </row>
    <row r="33" spans="1:10">
      <c r="A33" s="7"/>
      <c r="B33" s="1" t="str">
        <f>IF(A33="","",VLOOKUP($A33,子基金及业绩基准周净值!$A:$AV,32))</f>
        <v/>
      </c>
      <c r="C33" s="8"/>
      <c r="D33" s="9"/>
      <c r="E33" s="12" t="str">
        <f>IF(A33="","",(MAX(B$3:B33)-B33)/MAX(B$3:B33))</f>
        <v/>
      </c>
      <c r="F33" s="12" t="str">
        <f>IF(A33="","",MAX(E$3:E33))</f>
        <v/>
      </c>
      <c r="G33" s="13"/>
      <c r="H33" s="14" t="str">
        <f t="shared" si="0"/>
        <v/>
      </c>
      <c r="I33" s="14" t="str">
        <f t="shared" si="1"/>
        <v/>
      </c>
      <c r="J33" s="15" t="str">
        <f t="shared" si="2"/>
        <v/>
      </c>
    </row>
    <row r="34" spans="1:10">
      <c r="A34" s="7"/>
      <c r="B34" s="1" t="str">
        <f>IF(A34="","",VLOOKUP($A34,子基金及业绩基准周净值!$A:$AV,32))</f>
        <v/>
      </c>
      <c r="C34" s="8"/>
      <c r="D34" s="9"/>
      <c r="E34" s="12" t="str">
        <f>IF(A34="","",(MAX(B$3:B34)-B34)/MAX(B$3:B34))</f>
        <v/>
      </c>
      <c r="F34" s="12" t="str">
        <f>IF(A34="","",MAX(E$3:E34))</f>
        <v/>
      </c>
      <c r="G34" s="13"/>
      <c r="H34" s="14" t="str">
        <f t="shared" si="0"/>
        <v/>
      </c>
      <c r="I34" s="14" t="str">
        <f t="shared" si="1"/>
        <v/>
      </c>
      <c r="J34" s="15" t="str">
        <f t="shared" si="2"/>
        <v/>
      </c>
    </row>
    <row r="35" spans="1:10">
      <c r="A35" s="7"/>
      <c r="B35" s="1" t="str">
        <f>IF(A35="","",VLOOKUP($A35,子基金及业绩基准周净值!$A:$AV,32))</f>
        <v/>
      </c>
      <c r="C35" s="8"/>
      <c r="D35" s="9"/>
      <c r="E35" s="12" t="str">
        <f>IF(A35="","",(MAX(B$3:B35)-B35)/MAX(B$3:B35))</f>
        <v/>
      </c>
      <c r="F35" s="12" t="str">
        <f>IF(A35="","",MAX(E$3:E35))</f>
        <v/>
      </c>
      <c r="G35" s="13"/>
      <c r="H35" s="14" t="str">
        <f t="shared" si="0"/>
        <v/>
      </c>
      <c r="I35" s="14" t="str">
        <f t="shared" si="1"/>
        <v/>
      </c>
      <c r="J35" s="15" t="str">
        <f t="shared" si="2"/>
        <v/>
      </c>
    </row>
    <row r="36" spans="1:10">
      <c r="A36" s="7"/>
      <c r="B36" s="1" t="str">
        <f>IF(A36="","",VLOOKUP($A36,子基金及业绩基准周净值!$A:$AV,32))</f>
        <v/>
      </c>
      <c r="C36" s="8"/>
      <c r="D36" s="9"/>
      <c r="E36" s="12" t="str">
        <f>IF(A36="","",(MAX(B$3:B36)-B36)/MAX(B$3:B36))</f>
        <v/>
      </c>
      <c r="F36" s="12" t="str">
        <f>IF(A36="","",MAX(E$3:E36))</f>
        <v/>
      </c>
      <c r="G36" s="13"/>
      <c r="H36" s="14" t="str">
        <f t="shared" si="0"/>
        <v/>
      </c>
      <c r="I36" s="14" t="str">
        <f t="shared" si="1"/>
        <v/>
      </c>
      <c r="J36" s="15" t="str">
        <f t="shared" si="2"/>
        <v/>
      </c>
    </row>
    <row r="37" spans="1:10">
      <c r="A37" s="7"/>
      <c r="B37" s="1" t="str">
        <f>IF(A37="","",VLOOKUP($A37,子基金及业绩基准周净值!$A:$AV,32))</f>
        <v/>
      </c>
      <c r="C37" s="8"/>
      <c r="D37" s="9"/>
      <c r="E37" s="12" t="str">
        <f>IF(A37="","",(MAX(B$3:B37)-B37)/MAX(B$3:B37))</f>
        <v/>
      </c>
      <c r="F37" s="12" t="str">
        <f>IF(A37="","",MAX(E$3:E37))</f>
        <v/>
      </c>
      <c r="G37" s="13"/>
      <c r="H37" s="14" t="str">
        <f t="shared" si="0"/>
        <v/>
      </c>
      <c r="I37" s="14" t="str">
        <f t="shared" si="1"/>
        <v/>
      </c>
      <c r="J37" s="15" t="str">
        <f t="shared" si="2"/>
        <v/>
      </c>
    </row>
    <row r="38" spans="1:10">
      <c r="A38" s="7"/>
      <c r="B38" s="1" t="str">
        <f>IF(A38="","",VLOOKUP($A38,子基金及业绩基准周净值!$A:$AV,32))</f>
        <v/>
      </c>
      <c r="C38" s="8"/>
      <c r="D38" s="9"/>
      <c r="E38" s="12" t="str">
        <f>IF(A38="","",(MAX(B$3:B38)-B38)/MAX(B$3:B38))</f>
        <v/>
      </c>
      <c r="F38" s="12" t="str">
        <f>IF(A38="","",MAX(E$3:E38))</f>
        <v/>
      </c>
      <c r="G38" s="13"/>
      <c r="H38" s="14" t="str">
        <f t="shared" si="0"/>
        <v/>
      </c>
      <c r="I38" s="14" t="str">
        <f t="shared" si="1"/>
        <v/>
      </c>
      <c r="J38" s="15" t="str">
        <f t="shared" si="2"/>
        <v/>
      </c>
    </row>
    <row r="39" spans="1:10">
      <c r="A39" s="7"/>
      <c r="B39" s="1"/>
      <c r="C39" s="8"/>
      <c r="D39" s="9"/>
      <c r="E39" s="12" t="str">
        <f>IF(A39="","",(MAX(B$3:B39)-B39)/MAX(B$3:B39))</f>
        <v/>
      </c>
      <c r="F39" s="12" t="str">
        <f>IF(A39="","",MAX(E$3:E39))</f>
        <v/>
      </c>
      <c r="G39" s="13"/>
      <c r="H39" s="14" t="str">
        <f t="shared" si="0"/>
        <v/>
      </c>
      <c r="I39" s="14" t="str">
        <f t="shared" si="1"/>
        <v/>
      </c>
      <c r="J39" s="15" t="str">
        <f t="shared" si="2"/>
        <v/>
      </c>
    </row>
    <row r="40" spans="1:10">
      <c r="A40" s="7"/>
      <c r="B40" s="1"/>
      <c r="C40" s="8"/>
      <c r="D40" s="9"/>
      <c r="E40" s="12" t="str">
        <f>IF(A40="","",(MAX(B$3:B40)-B40)/MAX(B$3:B40))</f>
        <v/>
      </c>
      <c r="F40" s="12" t="str">
        <f>IF(A40="","",MAX(E$3:E40))</f>
        <v/>
      </c>
      <c r="G40" s="13"/>
      <c r="H40" s="14" t="str">
        <f t="shared" si="0"/>
        <v/>
      </c>
      <c r="I40" s="14" t="str">
        <f t="shared" si="1"/>
        <v/>
      </c>
      <c r="J40" s="15" t="str">
        <f t="shared" si="2"/>
        <v/>
      </c>
    </row>
    <row r="41" spans="1:10">
      <c r="A41" s="7"/>
      <c r="B41" s="1"/>
      <c r="C41" s="8"/>
      <c r="D41" s="9"/>
      <c r="E41" s="12" t="str">
        <f>IF(A41="","",(MAX(B$3:B41)-B41)/MAX(B$3:B41))</f>
        <v/>
      </c>
      <c r="F41" s="12" t="str">
        <f>IF(A41="","",MAX(E$3:E41))</f>
        <v/>
      </c>
      <c r="G41" s="13"/>
      <c r="H41" s="14" t="str">
        <f t="shared" si="0"/>
        <v/>
      </c>
      <c r="I41" s="14" t="str">
        <f t="shared" si="1"/>
        <v/>
      </c>
      <c r="J41" s="15" t="str">
        <f t="shared" si="2"/>
        <v/>
      </c>
    </row>
    <row r="42" spans="1:10">
      <c r="A42" s="7"/>
      <c r="B42" s="1"/>
      <c r="C42" s="8"/>
      <c r="D42" s="9"/>
      <c r="E42" s="12" t="str">
        <f>IF(A42="","",(MAX(B$3:B42)-B42)/MAX(B$3:B42))</f>
        <v/>
      </c>
      <c r="F42" s="12" t="str">
        <f>IF(A42="","",MAX(E$3:E42))</f>
        <v/>
      </c>
      <c r="G42" s="13"/>
      <c r="H42" s="14" t="str">
        <f t="shared" si="0"/>
        <v/>
      </c>
      <c r="I42" s="14" t="str">
        <f t="shared" si="1"/>
        <v/>
      </c>
      <c r="J42" s="15" t="str">
        <f t="shared" si="2"/>
        <v/>
      </c>
    </row>
    <row r="43" spans="1:10">
      <c r="A43" s="7"/>
      <c r="B43" s="1"/>
      <c r="C43" s="8"/>
      <c r="D43" s="9"/>
      <c r="E43" s="12"/>
      <c r="F43" s="12"/>
      <c r="G43" s="13"/>
      <c r="H43" s="14"/>
      <c r="I43" s="14"/>
      <c r="J43" s="15"/>
    </row>
    <row r="44" spans="1:10">
      <c r="A44" s="7"/>
      <c r="B44" s="1"/>
      <c r="C44" s="8"/>
      <c r="D44" s="9"/>
      <c r="E44" s="12"/>
      <c r="F44" s="12"/>
      <c r="G44" s="13"/>
      <c r="H44" s="14"/>
      <c r="I44" s="14"/>
      <c r="J44" s="15"/>
    </row>
    <row r="45" spans="1:10">
      <c r="A45" s="7"/>
      <c r="B45" s="1"/>
      <c r="C45" s="8"/>
      <c r="D45" s="9"/>
      <c r="E45" s="12"/>
      <c r="F45" s="12"/>
      <c r="G45" s="13"/>
      <c r="H45" s="14"/>
      <c r="I45" s="14"/>
      <c r="J45" s="15"/>
    </row>
    <row r="46" spans="1:10">
      <c r="A46" s="7"/>
      <c r="B46" s="1"/>
      <c r="C46" s="8"/>
      <c r="D46" s="9"/>
      <c r="E46" s="12"/>
      <c r="F46" s="12"/>
      <c r="G46" s="13"/>
      <c r="H46" s="14"/>
      <c r="I46" s="14"/>
      <c r="J46" s="15"/>
    </row>
    <row r="47" spans="1:10">
      <c r="A47" s="7"/>
      <c r="B47" s="1"/>
      <c r="C47" s="8"/>
      <c r="D47" s="9"/>
      <c r="E47" s="12"/>
      <c r="F47" s="12"/>
      <c r="G47" s="13"/>
      <c r="H47" s="14"/>
      <c r="I47" s="14"/>
      <c r="J47" s="15"/>
    </row>
    <row r="48" spans="1:10">
      <c r="A48" s="7"/>
      <c r="B48" s="1"/>
      <c r="C48" s="8"/>
      <c r="D48" s="9"/>
      <c r="E48" s="12"/>
      <c r="F48" s="12"/>
      <c r="G48" s="13"/>
      <c r="H48" s="14"/>
      <c r="I48" s="14"/>
      <c r="J48" s="15"/>
    </row>
    <row r="49" spans="1:10">
      <c r="A49" s="7"/>
      <c r="B49" s="1"/>
      <c r="C49" s="8"/>
      <c r="D49" s="9"/>
      <c r="E49" s="12"/>
      <c r="F49" s="12"/>
      <c r="G49" s="13"/>
      <c r="H49" s="14"/>
      <c r="I49" s="14"/>
      <c r="J49" s="15"/>
    </row>
    <row r="50" spans="1:10">
      <c r="A50" s="7"/>
      <c r="B50" s="1"/>
      <c r="C50" s="8"/>
      <c r="D50" s="9"/>
      <c r="E50" s="12"/>
      <c r="F50" s="12"/>
      <c r="G50" s="13"/>
      <c r="H50" s="14"/>
      <c r="I50" s="14"/>
      <c r="J50" s="15"/>
    </row>
    <row r="51" spans="1:10">
      <c r="A51" s="7"/>
      <c r="B51" s="1"/>
      <c r="C51" s="8"/>
      <c r="D51" s="9"/>
      <c r="E51" s="12"/>
      <c r="F51" s="12"/>
      <c r="G51" s="13"/>
      <c r="H51" s="14"/>
      <c r="I51" s="14"/>
      <c r="J51" s="15"/>
    </row>
    <row r="52" spans="1:10">
      <c r="A52" s="7"/>
      <c r="B52" s="1"/>
      <c r="C52" s="8"/>
      <c r="D52" s="9"/>
      <c r="E52" s="12"/>
      <c r="F52" s="12"/>
      <c r="G52" s="13"/>
      <c r="H52" s="14"/>
      <c r="I52" s="14"/>
      <c r="J52" s="15"/>
    </row>
    <row r="53" spans="1:10">
      <c r="A53" s="7"/>
      <c r="B53" s="1"/>
      <c r="C53" s="8"/>
      <c r="D53" s="9"/>
      <c r="E53" s="12"/>
      <c r="F53" s="12"/>
      <c r="G53" s="13"/>
      <c r="H53" s="14"/>
      <c r="I53" s="14"/>
      <c r="J53" s="15"/>
    </row>
    <row r="54" spans="1:10">
      <c r="A54" s="7"/>
      <c r="B54" s="1"/>
      <c r="C54" s="8"/>
      <c r="D54" s="9"/>
      <c r="E54" s="12"/>
      <c r="F54" s="12"/>
      <c r="G54" s="13"/>
      <c r="H54" s="14"/>
      <c r="I54" s="14"/>
      <c r="J54" s="15"/>
    </row>
    <row r="55" spans="1:10">
      <c r="A55" s="7"/>
      <c r="B55" s="1"/>
      <c r="C55" s="8"/>
      <c r="D55" s="9"/>
      <c r="E55" s="12"/>
      <c r="F55" s="12"/>
      <c r="G55" s="13"/>
      <c r="H55" s="14"/>
      <c r="I55" s="14"/>
      <c r="J55" s="15"/>
    </row>
    <row r="56" spans="1:10">
      <c r="A56" s="7"/>
      <c r="B56" s="1"/>
      <c r="C56" s="8"/>
      <c r="D56" s="9"/>
      <c r="E56" s="12"/>
      <c r="F56" s="12"/>
      <c r="G56" s="13"/>
      <c r="H56" s="14"/>
      <c r="I56" s="14"/>
      <c r="J56" s="15"/>
    </row>
    <row r="57" spans="1:10">
      <c r="A57" s="7"/>
      <c r="B57" s="1"/>
      <c r="C57" s="8"/>
      <c r="D57" s="9"/>
      <c r="E57" s="12"/>
      <c r="F57" s="12"/>
      <c r="G57" s="13"/>
      <c r="H57" s="14"/>
      <c r="I57" s="14"/>
      <c r="J57" s="15"/>
    </row>
    <row r="58" spans="1:10">
      <c r="A58" s="7"/>
      <c r="B58" s="1"/>
      <c r="C58" s="8"/>
      <c r="D58" s="9"/>
      <c r="E58" s="12"/>
      <c r="F58" s="12"/>
      <c r="G58" s="13"/>
      <c r="H58" s="14"/>
      <c r="I58" s="14"/>
      <c r="J58" s="15"/>
    </row>
    <row r="59" spans="1:10">
      <c r="A59" s="7"/>
      <c r="B59" s="1"/>
      <c r="C59" s="8"/>
      <c r="D59" s="9"/>
      <c r="E59" s="12"/>
      <c r="F59" s="12"/>
      <c r="G59" s="13"/>
      <c r="H59" s="14"/>
      <c r="I59" s="14"/>
      <c r="J59" s="15"/>
    </row>
    <row r="60" spans="1:10">
      <c r="A60" s="7"/>
      <c r="B60" s="1"/>
      <c r="C60" s="8"/>
      <c r="D60" s="9"/>
      <c r="E60" s="12"/>
      <c r="F60" s="12"/>
      <c r="G60" s="13"/>
      <c r="H60" s="14"/>
      <c r="I60" s="14"/>
      <c r="J60" s="15"/>
    </row>
    <row r="61" spans="1:10">
      <c r="A61" s="7"/>
      <c r="B61" s="1"/>
      <c r="C61" s="8"/>
      <c r="D61" s="9"/>
      <c r="E61" s="12"/>
      <c r="F61" s="12"/>
      <c r="G61" s="13"/>
      <c r="H61" s="14"/>
      <c r="I61" s="14"/>
      <c r="J61" s="15"/>
    </row>
    <row r="62" spans="1:10">
      <c r="A62" s="7"/>
      <c r="B62" s="1"/>
      <c r="C62" s="8"/>
      <c r="D62" s="9"/>
      <c r="E62" s="12"/>
      <c r="F62" s="12"/>
      <c r="G62" s="13"/>
      <c r="H62" s="14"/>
      <c r="I62" s="14"/>
      <c r="J62" s="15"/>
    </row>
    <row r="63" spans="1:10">
      <c r="A63" s="7"/>
      <c r="B63" s="1"/>
      <c r="C63" s="8"/>
      <c r="D63" s="9"/>
      <c r="E63" s="12"/>
      <c r="F63" s="12"/>
      <c r="G63" s="13"/>
      <c r="H63" s="14"/>
      <c r="I63" s="14"/>
      <c r="J63" s="15"/>
    </row>
    <row r="64" spans="1:10">
      <c r="A64" s="7"/>
      <c r="B64" s="1"/>
      <c r="C64" s="8"/>
      <c r="D64" s="9"/>
      <c r="E64" s="12"/>
      <c r="F64" s="12"/>
      <c r="G64" s="13"/>
      <c r="H64" s="14"/>
      <c r="I64" s="14"/>
      <c r="J64" s="15"/>
    </row>
    <row r="65" spans="1:10">
      <c r="A65" s="7"/>
      <c r="B65" s="1"/>
      <c r="C65" s="8"/>
      <c r="D65" s="9"/>
      <c r="E65" s="12"/>
      <c r="F65" s="12"/>
      <c r="G65" s="13"/>
      <c r="H65" s="14"/>
      <c r="I65" s="14"/>
      <c r="J65" s="15"/>
    </row>
    <row r="66" spans="1:10">
      <c r="A66" s="7"/>
      <c r="B66" s="1"/>
      <c r="C66" s="8"/>
      <c r="D66" s="9"/>
      <c r="E66" s="12"/>
      <c r="F66" s="12"/>
      <c r="G66" s="13"/>
      <c r="H66" s="14"/>
      <c r="I66" s="14"/>
      <c r="J66" s="15"/>
    </row>
    <row r="67" spans="1:10">
      <c r="A67" s="7"/>
      <c r="B67" s="1"/>
      <c r="C67" s="8"/>
      <c r="D67" s="9"/>
      <c r="E67" s="12"/>
      <c r="F67" s="12"/>
      <c r="G67" s="13"/>
      <c r="H67" s="14"/>
      <c r="I67" s="14"/>
      <c r="J67" s="15"/>
    </row>
    <row r="68" spans="1:10">
      <c r="A68" s="7"/>
      <c r="B68" s="1"/>
      <c r="C68" s="8"/>
      <c r="D68" s="9"/>
      <c r="E68" s="12"/>
      <c r="F68" s="12"/>
      <c r="G68" s="13"/>
      <c r="H68" s="14"/>
      <c r="I68" s="14"/>
      <c r="J68" s="15"/>
    </row>
    <row r="69" spans="1:10">
      <c r="A69" s="7"/>
      <c r="B69" s="1"/>
      <c r="C69" s="8"/>
      <c r="D69" s="9"/>
      <c r="E69" s="12"/>
      <c r="F69" s="12"/>
      <c r="G69" s="13"/>
      <c r="H69" s="14"/>
      <c r="I69" s="14"/>
      <c r="J69" s="15"/>
    </row>
    <row r="70" spans="1:10">
      <c r="A70" s="7"/>
      <c r="B70" s="1"/>
      <c r="C70" s="8"/>
      <c r="D70" s="9"/>
      <c r="E70" s="12"/>
      <c r="F70" s="12"/>
      <c r="G70" s="13"/>
      <c r="H70" s="14"/>
      <c r="I70" s="14"/>
      <c r="J70" s="15"/>
    </row>
    <row r="71" spans="1:10">
      <c r="A71" s="7"/>
      <c r="B71" s="1"/>
      <c r="C71" s="8"/>
      <c r="D71" s="9"/>
      <c r="E71" s="12"/>
      <c r="F71" s="12"/>
      <c r="G71" s="13"/>
      <c r="H71" s="14"/>
      <c r="I71" s="14"/>
      <c r="J71" s="15"/>
    </row>
    <row r="72" spans="1:10">
      <c r="A72" s="7"/>
      <c r="B72" s="1"/>
      <c r="C72" s="8"/>
      <c r="D72" s="9"/>
      <c r="E72" s="12"/>
      <c r="F72" s="12"/>
      <c r="G72" s="13"/>
      <c r="H72" s="14"/>
      <c r="I72" s="14"/>
      <c r="J72" s="15"/>
    </row>
    <row r="73" spans="1:10">
      <c r="A73" s="7"/>
      <c r="B73" s="1"/>
      <c r="C73" s="8"/>
      <c r="D73" s="9"/>
      <c r="E73" s="12"/>
      <c r="F73" s="12"/>
      <c r="G73" s="13"/>
      <c r="H73" s="14"/>
      <c r="I73" s="14"/>
      <c r="J73" s="15"/>
    </row>
    <row r="74" spans="1:10">
      <c r="A74" s="7"/>
      <c r="B74" s="1"/>
      <c r="C74" s="8"/>
      <c r="D74" s="9"/>
      <c r="E74" s="12"/>
      <c r="F74" s="12"/>
      <c r="G74" s="13"/>
      <c r="H74" s="14"/>
      <c r="I74" s="14"/>
      <c r="J74" s="15"/>
    </row>
    <row r="75" spans="1:10">
      <c r="A75" s="7"/>
      <c r="B75" s="1"/>
      <c r="C75" s="8"/>
      <c r="D75" s="9"/>
      <c r="E75" s="12"/>
      <c r="F75" s="12"/>
      <c r="G75" s="13"/>
      <c r="H75" s="14"/>
      <c r="I75" s="14"/>
      <c r="J75" s="15"/>
    </row>
    <row r="76" spans="1:10">
      <c r="A76" s="7"/>
      <c r="B76" s="1"/>
      <c r="C76" s="8"/>
      <c r="D76" s="9"/>
      <c r="E76" s="12"/>
      <c r="F76" s="12"/>
      <c r="G76" s="13"/>
      <c r="H76" s="14"/>
      <c r="I76" s="14"/>
      <c r="J76" s="15"/>
    </row>
    <row r="77" spans="1:10">
      <c r="A77" s="7"/>
      <c r="B77" s="1"/>
      <c r="C77" s="8"/>
      <c r="D77" s="9"/>
      <c r="E77" s="12"/>
      <c r="F77" s="12"/>
      <c r="G77" s="13"/>
      <c r="H77" s="14"/>
      <c r="I77" s="14"/>
      <c r="J77" s="15"/>
    </row>
    <row r="78" spans="1:10">
      <c r="A78" s="7"/>
      <c r="B78" s="1"/>
      <c r="C78" s="8"/>
      <c r="D78" s="9"/>
      <c r="E78" s="12"/>
      <c r="F78" s="12"/>
      <c r="G78" s="13"/>
      <c r="H78" s="14"/>
      <c r="I78" s="14"/>
      <c r="J78" s="15"/>
    </row>
    <row r="79" spans="1:10">
      <c r="A79" s="7"/>
      <c r="B79" s="1"/>
      <c r="C79" s="8"/>
      <c r="D79" s="9"/>
      <c r="E79" s="12"/>
      <c r="F79" s="12"/>
      <c r="G79" s="13"/>
      <c r="H79" s="14"/>
      <c r="I79" s="14"/>
      <c r="J79" s="15"/>
    </row>
    <row r="80" spans="1:10">
      <c r="A80" s="7"/>
      <c r="B80" s="1"/>
      <c r="C80" s="8"/>
      <c r="D80" s="9"/>
      <c r="E80" s="12"/>
      <c r="F80" s="12"/>
      <c r="G80" s="13"/>
      <c r="H80" s="14"/>
      <c r="I80" s="14"/>
      <c r="J80" s="15"/>
    </row>
    <row r="81" spans="1:10">
      <c r="A81" s="7"/>
      <c r="B81" s="1"/>
      <c r="C81" s="8"/>
      <c r="D81" s="9"/>
      <c r="E81" s="12"/>
      <c r="F81" s="12"/>
      <c r="G81" s="13"/>
      <c r="H81" s="14"/>
      <c r="I81" s="14"/>
      <c r="J81" s="15"/>
    </row>
    <row r="82" spans="1:10">
      <c r="A82" s="7"/>
      <c r="B82" s="1"/>
      <c r="C82" s="8"/>
      <c r="D82" s="9"/>
      <c r="E82" s="12"/>
      <c r="F82" s="12"/>
      <c r="G82" s="13"/>
      <c r="H82" s="14"/>
      <c r="I82" s="14"/>
      <c r="J82" s="15"/>
    </row>
    <row r="83" spans="1:10">
      <c r="A83" s="7"/>
      <c r="B83" s="1"/>
      <c r="C83" s="8"/>
      <c r="D83" s="9"/>
      <c r="E83" s="12"/>
      <c r="F83" s="12"/>
      <c r="G83" s="13"/>
      <c r="H83" s="14"/>
      <c r="I83" s="14"/>
      <c r="J83" s="15"/>
    </row>
    <row r="84" spans="1:10">
      <c r="A84" s="7"/>
      <c r="B84" s="1"/>
      <c r="C84" s="8"/>
      <c r="D84" s="9"/>
      <c r="E84" s="12"/>
      <c r="F84" s="12"/>
      <c r="G84" s="13"/>
      <c r="H84" s="14"/>
      <c r="I84" s="14"/>
      <c r="J84" s="15"/>
    </row>
    <row r="85" spans="1:10">
      <c r="A85" s="7"/>
      <c r="B85" s="1"/>
      <c r="C85" s="8"/>
      <c r="D85" s="9"/>
      <c r="E85" s="12"/>
      <c r="F85" s="12"/>
      <c r="G85" s="13"/>
      <c r="H85" s="14"/>
      <c r="I85" s="14"/>
      <c r="J85" s="15"/>
    </row>
    <row r="86" spans="1:10">
      <c r="A86" s="7"/>
      <c r="B86" s="1"/>
      <c r="C86" s="8"/>
      <c r="D86" s="9"/>
      <c r="E86" s="12"/>
      <c r="F86" s="12"/>
      <c r="G86" s="13"/>
      <c r="H86" s="14"/>
      <c r="I86" s="14"/>
      <c r="J86" s="15"/>
    </row>
    <row r="87" spans="1:10">
      <c r="A87" s="7"/>
      <c r="B87" s="1"/>
      <c r="C87" s="8"/>
      <c r="D87" s="9"/>
      <c r="E87" s="12"/>
      <c r="F87" s="12"/>
      <c r="G87" s="13"/>
      <c r="H87" s="14"/>
      <c r="I87" s="14"/>
      <c r="J87" s="15"/>
    </row>
    <row r="88" spans="1:10">
      <c r="A88" s="7"/>
      <c r="B88" s="1"/>
      <c r="C88" s="8"/>
      <c r="D88" s="9"/>
      <c r="E88" s="12"/>
      <c r="F88" s="12"/>
      <c r="G88" s="13"/>
      <c r="H88" s="14"/>
      <c r="I88" s="14"/>
      <c r="J88" s="15"/>
    </row>
    <row r="89" spans="1:10">
      <c r="A89" s="7"/>
      <c r="B89" s="1"/>
      <c r="C89" s="8"/>
      <c r="D89" s="9"/>
      <c r="E89" s="12"/>
      <c r="F89" s="12"/>
      <c r="G89" s="13"/>
      <c r="H89" s="14"/>
      <c r="I89" s="14"/>
      <c r="J89" s="15"/>
    </row>
    <row r="90" spans="1:10">
      <c r="A90" s="7"/>
      <c r="B90" s="1"/>
      <c r="C90" s="8"/>
      <c r="D90" s="9"/>
      <c r="E90" s="12"/>
      <c r="F90" s="12"/>
      <c r="G90" s="13"/>
      <c r="H90" s="14"/>
      <c r="I90" s="14"/>
      <c r="J90" s="15"/>
    </row>
    <row r="91" spans="1:10">
      <c r="A91" s="7"/>
      <c r="B91" s="1"/>
      <c r="C91" s="8"/>
      <c r="D91" s="9"/>
      <c r="E91" s="12"/>
      <c r="F91" s="12"/>
      <c r="G91" s="13"/>
      <c r="H91" s="14"/>
      <c r="I91" s="14"/>
      <c r="J91" s="15"/>
    </row>
    <row r="92" spans="1:10">
      <c r="A92" s="7"/>
      <c r="B92" s="1"/>
      <c r="C92" s="8"/>
      <c r="D92" s="9"/>
      <c r="E92" s="12"/>
      <c r="F92" s="12"/>
      <c r="G92" s="13"/>
      <c r="H92" s="14"/>
      <c r="I92" s="14"/>
      <c r="J92" s="15"/>
    </row>
    <row r="93" spans="1:10">
      <c r="A93" s="7"/>
      <c r="B93" s="1"/>
      <c r="C93" s="8"/>
      <c r="D93" s="9"/>
      <c r="E93" s="12"/>
      <c r="F93" s="12"/>
      <c r="G93" s="13"/>
      <c r="H93" s="14"/>
      <c r="I93" s="14"/>
      <c r="J93" s="15"/>
    </row>
    <row r="94" spans="1:10">
      <c r="A94" s="7"/>
      <c r="B94" s="1"/>
      <c r="C94" s="8"/>
      <c r="D94" s="9"/>
      <c r="E94" s="12"/>
      <c r="F94" s="12"/>
      <c r="G94" s="13"/>
      <c r="H94" s="14"/>
      <c r="I94" s="14"/>
      <c r="J94" s="15"/>
    </row>
    <row r="95" spans="1:10">
      <c r="A95" s="7"/>
      <c r="B95" s="1"/>
      <c r="C95" s="8"/>
      <c r="D95" s="9"/>
      <c r="E95" s="12"/>
      <c r="F95" s="12"/>
      <c r="G95" s="13"/>
      <c r="H95" s="14"/>
      <c r="I95" s="14"/>
      <c r="J95" s="15"/>
    </row>
    <row r="96" spans="1:10">
      <c r="A96" s="7"/>
      <c r="B96" s="1"/>
      <c r="C96" s="8"/>
      <c r="D96" s="9"/>
      <c r="E96" s="12"/>
      <c r="F96" s="12"/>
      <c r="G96" s="13"/>
      <c r="H96" s="14"/>
      <c r="I96" s="14"/>
      <c r="J96" s="15"/>
    </row>
    <row r="97" spans="1:10">
      <c r="A97" s="7"/>
      <c r="B97" s="1"/>
      <c r="C97" s="8"/>
      <c r="D97" s="9"/>
      <c r="E97" s="12"/>
      <c r="F97" s="12"/>
      <c r="G97" s="13"/>
      <c r="H97" s="14"/>
      <c r="I97" s="14"/>
      <c r="J97" s="15"/>
    </row>
    <row r="98" spans="1:10">
      <c r="A98" s="7"/>
      <c r="B98" s="1"/>
      <c r="C98" s="8"/>
      <c r="D98" s="9"/>
      <c r="E98" s="12"/>
      <c r="F98" s="12"/>
      <c r="G98" s="13"/>
      <c r="H98" s="14"/>
      <c r="I98" s="14"/>
      <c r="J98" s="15"/>
    </row>
    <row r="99" spans="1:10">
      <c r="A99" s="7"/>
      <c r="B99" s="1"/>
      <c r="C99" s="8"/>
      <c r="D99" s="9"/>
      <c r="E99" s="12"/>
      <c r="F99" s="12"/>
      <c r="G99" s="13"/>
      <c r="H99" s="14"/>
      <c r="I99" s="14"/>
      <c r="J99" s="15"/>
    </row>
    <row r="100" spans="1:10">
      <c r="A100" s="7"/>
      <c r="B100" s="1"/>
      <c r="C100" s="8"/>
      <c r="D100" s="9"/>
      <c r="E100" s="12"/>
      <c r="F100" s="12"/>
      <c r="G100" s="13"/>
      <c r="H100" s="14"/>
      <c r="I100" s="14"/>
      <c r="J100" s="15"/>
    </row>
    <row r="101" spans="1:10">
      <c r="A101" s="7"/>
      <c r="B101" s="1"/>
      <c r="C101" s="8"/>
      <c r="D101" s="9"/>
      <c r="E101" s="12"/>
      <c r="F101" s="12"/>
      <c r="G101" s="13"/>
      <c r="H101" s="14"/>
      <c r="I101" s="14"/>
      <c r="J101" s="15"/>
    </row>
    <row r="102" spans="1:10">
      <c r="A102" s="7"/>
      <c r="B102" s="1"/>
      <c r="C102" s="8"/>
      <c r="D102" s="9"/>
      <c r="E102" s="12"/>
      <c r="F102" s="12"/>
      <c r="G102" s="13"/>
      <c r="H102" s="14"/>
      <c r="I102" s="14"/>
      <c r="J102" s="15"/>
    </row>
    <row r="103" spans="1:10">
      <c r="A103" s="7"/>
      <c r="B103" s="1"/>
      <c r="C103" s="8"/>
      <c r="D103" s="9"/>
      <c r="E103" s="12"/>
      <c r="F103" s="12"/>
      <c r="G103" s="13"/>
      <c r="H103" s="14"/>
      <c r="I103" s="14"/>
      <c r="J103" s="15"/>
    </row>
    <row r="104" spans="1:10">
      <c r="A104" s="7"/>
      <c r="B104" s="1"/>
      <c r="C104" s="8"/>
      <c r="D104" s="9"/>
      <c r="E104" s="12"/>
      <c r="F104" s="12"/>
      <c r="G104" s="13"/>
      <c r="H104" s="14"/>
      <c r="I104" s="14"/>
      <c r="J104" s="15"/>
    </row>
    <row r="105" spans="1:10">
      <c r="A105" s="7"/>
      <c r="B105" s="1"/>
      <c r="C105" s="8"/>
      <c r="D105" s="9"/>
      <c r="E105" s="12"/>
      <c r="F105" s="12"/>
      <c r="G105" s="13"/>
      <c r="H105" s="14"/>
      <c r="I105" s="14"/>
      <c r="J105" s="15"/>
    </row>
    <row r="106" spans="1:10">
      <c r="A106" s="7"/>
      <c r="B106" s="1"/>
      <c r="C106" s="8"/>
      <c r="D106" s="9"/>
      <c r="E106" s="12"/>
      <c r="F106" s="12"/>
      <c r="G106" s="13"/>
      <c r="H106" s="14"/>
      <c r="I106" s="14"/>
      <c r="J106" s="15"/>
    </row>
    <row r="107" spans="1:10">
      <c r="A107" s="7"/>
      <c r="B107" s="1"/>
      <c r="C107" s="8"/>
      <c r="D107" s="9"/>
      <c r="E107" s="12"/>
      <c r="F107" s="12"/>
      <c r="G107" s="13"/>
      <c r="H107" s="14"/>
      <c r="I107" s="14"/>
      <c r="J107" s="15"/>
    </row>
    <row r="108" spans="1:10">
      <c r="A108" s="7"/>
      <c r="B108" s="1"/>
      <c r="C108" s="8"/>
      <c r="D108" s="9"/>
      <c r="E108" s="12"/>
      <c r="F108" s="12"/>
      <c r="G108" s="13"/>
      <c r="H108" s="14"/>
      <c r="I108" s="14"/>
      <c r="J108" s="15"/>
    </row>
    <row r="109" spans="1:10">
      <c r="A109" s="7"/>
      <c r="B109" s="1"/>
      <c r="C109" s="8"/>
      <c r="D109" s="9"/>
      <c r="E109" s="12"/>
      <c r="F109" s="12"/>
      <c r="G109" s="13"/>
      <c r="H109" s="14"/>
      <c r="I109" s="14"/>
      <c r="J109" s="15"/>
    </row>
    <row r="110" spans="1:10">
      <c r="A110" s="7"/>
      <c r="B110" s="1"/>
      <c r="C110" s="8"/>
      <c r="D110" s="9"/>
      <c r="E110" s="12"/>
      <c r="F110" s="12"/>
      <c r="G110" s="13"/>
      <c r="H110" s="14"/>
      <c r="I110" s="14"/>
      <c r="J110" s="15"/>
    </row>
    <row r="111" spans="1:10">
      <c r="A111" s="7"/>
      <c r="B111" s="1"/>
      <c r="C111" s="8"/>
      <c r="D111" s="9"/>
      <c r="E111" s="12"/>
      <c r="F111" s="12"/>
      <c r="G111" s="13"/>
      <c r="H111" s="14"/>
      <c r="I111" s="14"/>
      <c r="J111" s="15"/>
    </row>
    <row r="112" spans="1:10">
      <c r="A112" s="7"/>
      <c r="B112" s="1"/>
      <c r="C112" s="8"/>
      <c r="D112" s="9"/>
      <c r="E112" s="12"/>
      <c r="F112" s="12"/>
      <c r="G112" s="13"/>
      <c r="H112" s="14"/>
      <c r="I112" s="14"/>
      <c r="J112" s="15"/>
    </row>
    <row r="113" spans="1:10">
      <c r="A113" s="7"/>
      <c r="B113" s="1"/>
      <c r="C113" s="8"/>
      <c r="D113" s="9"/>
      <c r="E113" s="12"/>
      <c r="F113" s="12"/>
      <c r="G113" s="13"/>
      <c r="H113" s="14"/>
      <c r="I113" s="14"/>
      <c r="J113" s="15"/>
    </row>
    <row r="114" spans="1:10">
      <c r="A114" s="7"/>
      <c r="B114" s="1"/>
      <c r="C114" s="8"/>
      <c r="D114" s="9"/>
      <c r="E114" s="12"/>
      <c r="F114" s="12"/>
      <c r="G114" s="13"/>
      <c r="H114" s="14"/>
      <c r="I114" s="14"/>
      <c r="J114" s="15"/>
    </row>
    <row r="115" spans="1:10">
      <c r="A115" s="7"/>
      <c r="B115" s="1"/>
      <c r="C115" s="8"/>
      <c r="D115" s="9"/>
      <c r="E115" s="12"/>
      <c r="F115" s="12"/>
      <c r="G115" s="13"/>
      <c r="H115" s="14"/>
      <c r="I115" s="14"/>
      <c r="J115" s="15"/>
    </row>
    <row r="116" spans="1:10">
      <c r="A116" s="7"/>
      <c r="B116" s="1"/>
      <c r="C116" s="8"/>
      <c r="D116" s="9"/>
      <c r="E116" s="12"/>
      <c r="F116" s="12"/>
      <c r="G116" s="13"/>
      <c r="H116" s="14"/>
      <c r="I116" s="14"/>
      <c r="J116" s="15"/>
    </row>
    <row r="117" spans="1:10">
      <c r="A117" s="7"/>
      <c r="B117" s="1"/>
      <c r="C117" s="8"/>
      <c r="D117" s="9"/>
      <c r="E117" s="12"/>
      <c r="F117" s="12"/>
      <c r="G117" s="13"/>
      <c r="H117" s="14"/>
      <c r="I117" s="14"/>
      <c r="J117" s="15"/>
    </row>
    <row r="118" spans="1:10">
      <c r="A118" s="7"/>
      <c r="B118" s="1"/>
      <c r="C118" s="8"/>
      <c r="D118" s="9"/>
      <c r="E118" s="12"/>
      <c r="F118" s="12"/>
      <c r="G118" s="13"/>
      <c r="H118" s="14"/>
      <c r="I118" s="14"/>
      <c r="J118" s="15"/>
    </row>
    <row r="119" spans="1:10">
      <c r="A119" s="7"/>
      <c r="B119" s="1"/>
      <c r="C119" s="8"/>
      <c r="D119" s="9"/>
      <c r="E119" s="12"/>
      <c r="F119" s="12"/>
      <c r="G119" s="13"/>
      <c r="H119" s="14"/>
      <c r="I119" s="14"/>
      <c r="J119" s="15"/>
    </row>
    <row r="120" spans="1:10">
      <c r="A120" s="7"/>
      <c r="B120" s="1"/>
      <c r="C120" s="8"/>
      <c r="D120" s="9"/>
      <c r="E120" s="12"/>
      <c r="F120" s="12"/>
      <c r="G120" s="13"/>
      <c r="H120" s="14"/>
      <c r="I120" s="14"/>
      <c r="J120" s="15"/>
    </row>
    <row r="121" spans="1:10">
      <c r="A121" s="7"/>
      <c r="B121" s="1"/>
      <c r="C121" s="8"/>
      <c r="D121" s="9"/>
      <c r="E121" s="12"/>
      <c r="F121" s="12"/>
      <c r="G121" s="13"/>
      <c r="H121" s="14"/>
      <c r="I121" s="14"/>
      <c r="J121" s="15"/>
    </row>
    <row r="122" spans="1:10">
      <c r="A122" s="7"/>
      <c r="B122" s="1"/>
      <c r="C122" s="8"/>
      <c r="D122" s="9"/>
      <c r="E122" s="12"/>
      <c r="F122" s="12"/>
      <c r="G122" s="13"/>
      <c r="H122" s="14"/>
      <c r="I122" s="14"/>
      <c r="J122" s="15"/>
    </row>
    <row r="123" spans="1:10">
      <c r="A123" s="7"/>
      <c r="B123" s="1"/>
      <c r="C123" s="8"/>
      <c r="D123" s="9"/>
      <c r="E123" s="12"/>
      <c r="F123" s="12"/>
      <c r="G123" s="13"/>
      <c r="H123" s="14"/>
      <c r="I123" s="14"/>
      <c r="J123" s="15"/>
    </row>
    <row r="124" spans="1:10">
      <c r="A124" s="7"/>
      <c r="B124" s="1"/>
      <c r="C124" s="8"/>
      <c r="D124" s="9"/>
      <c r="E124" s="12"/>
      <c r="F124" s="12"/>
      <c r="G124" s="13"/>
      <c r="H124" s="14"/>
      <c r="I124" s="14"/>
      <c r="J124" s="15"/>
    </row>
    <row r="125" spans="1:10">
      <c r="A125" s="7"/>
      <c r="B125" s="1"/>
      <c r="C125" s="8"/>
      <c r="D125" s="9"/>
      <c r="E125" s="12"/>
      <c r="F125" s="12"/>
      <c r="G125" s="13"/>
      <c r="H125" s="14"/>
      <c r="I125" s="14"/>
      <c r="J125" s="15"/>
    </row>
    <row r="126" spans="1:10">
      <c r="A126" s="7"/>
      <c r="B126" s="1"/>
      <c r="C126" s="8"/>
      <c r="D126" s="9"/>
      <c r="E126" s="12"/>
      <c r="F126" s="12"/>
      <c r="G126" s="13"/>
      <c r="H126" s="14"/>
      <c r="I126" s="14"/>
      <c r="J126" s="15"/>
    </row>
    <row r="127" spans="1:10">
      <c r="A127" s="7"/>
      <c r="B127" s="1"/>
      <c r="C127" s="8"/>
      <c r="D127" s="9"/>
      <c r="E127" s="12"/>
      <c r="F127" s="12"/>
      <c r="G127" s="13"/>
      <c r="H127" s="14"/>
      <c r="I127" s="14"/>
      <c r="J127" s="15"/>
    </row>
    <row r="128" spans="1:10">
      <c r="A128" s="7"/>
      <c r="B128" s="1"/>
      <c r="C128" s="8"/>
      <c r="D128" s="9"/>
      <c r="E128" s="12"/>
      <c r="F128" s="12"/>
      <c r="G128" s="13"/>
      <c r="H128" s="14"/>
      <c r="I128" s="14"/>
      <c r="J128" s="15"/>
    </row>
    <row r="129" spans="1:10">
      <c r="A129" s="7"/>
      <c r="B129" s="1"/>
      <c r="C129" s="8"/>
      <c r="D129" s="9"/>
      <c r="E129" s="12"/>
      <c r="F129" s="12"/>
      <c r="G129" s="13"/>
      <c r="H129" s="14"/>
      <c r="I129" s="14"/>
      <c r="J129" s="15"/>
    </row>
    <row r="130" spans="1:10">
      <c r="A130" s="7"/>
      <c r="B130" s="1"/>
      <c r="C130" s="8"/>
      <c r="D130" s="9"/>
      <c r="E130" s="12"/>
      <c r="F130" s="12"/>
      <c r="G130" s="13"/>
      <c r="H130" s="14"/>
      <c r="I130" s="14"/>
      <c r="J130" s="15"/>
    </row>
    <row r="131" spans="1:10">
      <c r="A131" s="7"/>
      <c r="B131" s="1"/>
      <c r="C131" s="8"/>
      <c r="D131" s="9"/>
      <c r="E131" s="12"/>
      <c r="F131" s="12"/>
      <c r="G131" s="13"/>
      <c r="H131" s="14"/>
      <c r="I131" s="14"/>
      <c r="J131" s="15"/>
    </row>
    <row r="132" spans="1:10">
      <c r="A132" s="7"/>
      <c r="B132" s="1"/>
      <c r="C132" s="8"/>
      <c r="D132" s="9"/>
      <c r="E132" s="12"/>
      <c r="F132" s="12"/>
      <c r="G132" s="13"/>
      <c r="H132" s="14"/>
      <c r="I132" s="14"/>
      <c r="J132" s="15"/>
    </row>
    <row r="133" spans="1:10">
      <c r="A133" s="7"/>
      <c r="B133" s="1"/>
      <c r="C133" s="8"/>
      <c r="D133" s="9"/>
      <c r="E133" s="12"/>
      <c r="F133" s="12"/>
      <c r="G133" s="13"/>
      <c r="H133" s="14"/>
      <c r="I133" s="14"/>
      <c r="J133" s="15"/>
    </row>
    <row r="134" spans="1:10">
      <c r="A134" s="7"/>
      <c r="B134" s="1"/>
      <c r="C134" s="8"/>
      <c r="D134" s="9"/>
      <c r="E134" s="12"/>
      <c r="F134" s="12"/>
      <c r="G134" s="13"/>
      <c r="H134" s="14"/>
      <c r="I134" s="14"/>
      <c r="J134" s="15"/>
    </row>
    <row r="135" spans="1:10">
      <c r="A135" s="7"/>
      <c r="B135" s="1"/>
      <c r="C135" s="8"/>
      <c r="D135" s="9"/>
      <c r="E135" s="12"/>
      <c r="F135" s="12"/>
      <c r="G135" s="13"/>
      <c r="H135" s="14"/>
      <c r="I135" s="14"/>
      <c r="J135" s="15"/>
    </row>
    <row r="136" spans="1:10">
      <c r="A136" s="7"/>
      <c r="B136" s="1"/>
      <c r="C136" s="8"/>
      <c r="D136" s="9"/>
      <c r="E136" s="12"/>
      <c r="F136" s="12"/>
      <c r="G136" s="13"/>
      <c r="H136" s="14"/>
      <c r="I136" s="14"/>
      <c r="J136" s="15"/>
    </row>
    <row r="137" spans="1:10">
      <c r="A137" s="7"/>
      <c r="B137" s="1"/>
      <c r="C137" s="8"/>
      <c r="D137" s="9"/>
      <c r="E137" s="12"/>
      <c r="F137" s="12"/>
      <c r="H137" s="14"/>
      <c r="I137" s="14"/>
      <c r="J137" s="15"/>
    </row>
    <row r="138" spans="1:10">
      <c r="A138" s="7"/>
      <c r="B138" s="1"/>
      <c r="C138" s="8"/>
      <c r="D138" s="9"/>
      <c r="E138" s="12"/>
      <c r="F138" s="12"/>
      <c r="H138" s="14"/>
      <c r="I138" s="14"/>
      <c r="J138" s="15"/>
    </row>
    <row r="139" spans="1:10">
      <c r="A139" s="7"/>
      <c r="B139" s="1"/>
      <c r="C139" s="8"/>
      <c r="D139" s="9"/>
      <c r="E139" s="12"/>
      <c r="F139" s="12"/>
      <c r="H139" s="14"/>
      <c r="I139" s="14"/>
      <c r="J139" s="15"/>
    </row>
    <row r="140" spans="1:10">
      <c r="A140" s="7"/>
      <c r="B140" s="1"/>
      <c r="C140" s="8"/>
      <c r="D140" s="9"/>
      <c r="E140" s="12"/>
      <c r="F140" s="12"/>
      <c r="H140" s="14"/>
      <c r="I140" s="14"/>
      <c r="J140" s="15"/>
    </row>
    <row r="141" spans="1:10">
      <c r="A141" s="7"/>
      <c r="B141" s="1"/>
      <c r="C141" s="8"/>
      <c r="D141" s="9"/>
      <c r="E141" s="12"/>
      <c r="F141" s="12"/>
      <c r="H141" s="14"/>
      <c r="I141" s="14"/>
      <c r="J141" s="15"/>
    </row>
    <row r="142" spans="1:10">
      <c r="A142" s="7"/>
      <c r="B142" s="1"/>
      <c r="C142" s="8"/>
      <c r="D142" s="9"/>
      <c r="E142" s="12"/>
      <c r="F142" s="12"/>
      <c r="H142" s="14"/>
      <c r="I142" s="14"/>
      <c r="J142" s="15"/>
    </row>
    <row r="143" spans="1:10">
      <c r="A143" s="7"/>
      <c r="B143" s="1"/>
      <c r="C143" s="8"/>
      <c r="D143" s="9"/>
      <c r="E143" s="12"/>
      <c r="F143" s="12"/>
      <c r="H143" s="14"/>
      <c r="I143" s="14"/>
      <c r="J143" s="15"/>
    </row>
    <row r="144" spans="1:10">
      <c r="A144" s="7"/>
      <c r="B144" s="1"/>
      <c r="C144" s="8"/>
      <c r="D144" s="9"/>
      <c r="E144" s="12"/>
      <c r="F144" s="12"/>
      <c r="H144" s="14"/>
      <c r="I144" s="14"/>
      <c r="J144" s="15"/>
    </row>
    <row r="145" spans="1:10">
      <c r="A145" s="7"/>
      <c r="B145" s="1"/>
      <c r="C145" s="8"/>
      <c r="D145" s="9"/>
      <c r="E145" s="12"/>
      <c r="F145" s="12"/>
      <c r="H145" s="14"/>
      <c r="I145" s="14"/>
      <c r="J145" s="15"/>
    </row>
    <row r="146" spans="1:10">
      <c r="A146" s="7"/>
      <c r="B146" s="1"/>
      <c r="C146" s="8"/>
      <c r="D146" s="9"/>
      <c r="E146" s="12"/>
      <c r="F146" s="12"/>
      <c r="H146" s="14"/>
      <c r="I146" s="14"/>
      <c r="J146" s="15"/>
    </row>
    <row r="147" spans="1:10">
      <c r="A147" s="7"/>
      <c r="B147" s="1"/>
      <c r="C147" s="8"/>
      <c r="D147" s="9"/>
      <c r="E147" s="12"/>
      <c r="F147" s="12"/>
      <c r="H147" s="14"/>
      <c r="I147" s="14"/>
      <c r="J147" s="15"/>
    </row>
    <row r="148" spans="1:10">
      <c r="A148" s="7"/>
      <c r="B148" s="1"/>
      <c r="C148" s="8"/>
      <c r="D148" s="9"/>
      <c r="E148" s="12"/>
      <c r="F148" s="12"/>
      <c r="H148" s="14"/>
      <c r="I148" s="14"/>
      <c r="J148" s="15"/>
    </row>
    <row r="149" spans="1:10">
      <c r="A149" s="7"/>
      <c r="B149" s="1"/>
      <c r="C149" s="8"/>
      <c r="D149" s="9"/>
      <c r="E149" s="12"/>
      <c r="F149" s="12"/>
      <c r="H149" s="14"/>
      <c r="I149" s="14"/>
      <c r="J149" s="15"/>
    </row>
    <row r="150" spans="1:10">
      <c r="A150" s="7"/>
      <c r="B150" s="1"/>
      <c r="C150" s="8"/>
      <c r="D150" s="9"/>
      <c r="E150" s="12"/>
      <c r="F150" s="12"/>
      <c r="H150" s="14"/>
      <c r="I150" s="14"/>
      <c r="J150" s="15"/>
    </row>
    <row r="151" spans="1:10">
      <c r="A151" s="7"/>
      <c r="B151" s="1"/>
      <c r="C151" s="8"/>
      <c r="D151" s="9"/>
      <c r="E151" s="12"/>
      <c r="F151" s="12"/>
      <c r="H151" s="14"/>
      <c r="I151" s="14"/>
      <c r="J151" s="15"/>
    </row>
    <row r="152" spans="1:10">
      <c r="A152" s="7"/>
      <c r="B152" s="1"/>
      <c r="C152" s="8"/>
      <c r="D152" s="9"/>
      <c r="E152" s="12"/>
      <c r="F152" s="12"/>
      <c r="H152" s="14"/>
      <c r="I152" s="14"/>
      <c r="J152" s="15"/>
    </row>
    <row r="153" spans="1:10">
      <c r="A153" s="7"/>
      <c r="B153" s="1"/>
      <c r="C153" s="8"/>
      <c r="D153" s="9"/>
      <c r="E153" s="12"/>
      <c r="F153" s="12"/>
      <c r="H153" s="14"/>
      <c r="I153" s="14"/>
      <c r="J153" s="15"/>
    </row>
    <row r="154" spans="1:10">
      <c r="A154" s="7"/>
      <c r="B154" s="1"/>
      <c r="C154" s="8"/>
      <c r="D154" s="9"/>
      <c r="E154" s="12"/>
      <c r="F154" s="12"/>
      <c r="H154" s="14"/>
      <c r="I154" s="14"/>
      <c r="J154" s="15"/>
    </row>
    <row r="155" spans="1:10">
      <c r="A155" s="7"/>
      <c r="B155" s="1"/>
      <c r="C155" s="8"/>
      <c r="D155" s="9"/>
      <c r="E155" s="12"/>
      <c r="F155" s="12"/>
      <c r="H155" s="14"/>
      <c r="I155" s="14"/>
      <c r="J155" s="15"/>
    </row>
    <row r="156" spans="1:10">
      <c r="A156" s="7"/>
      <c r="B156" s="1"/>
      <c r="C156" s="8"/>
      <c r="D156" s="9"/>
      <c r="E156" s="12"/>
      <c r="F156" s="12"/>
      <c r="H156" s="14"/>
      <c r="I156" s="14"/>
      <c r="J156" s="15"/>
    </row>
    <row r="157" spans="1:10">
      <c r="A157" s="7"/>
      <c r="B157" s="1"/>
      <c r="C157" s="8"/>
      <c r="D157" s="9"/>
      <c r="E157" s="12"/>
      <c r="F157" s="12"/>
      <c r="H157" s="14"/>
      <c r="I157" s="14"/>
      <c r="J157" s="15"/>
    </row>
    <row r="158" spans="1:10">
      <c r="A158" s="7"/>
      <c r="B158" s="1"/>
      <c r="C158" s="8"/>
      <c r="D158" s="9"/>
      <c r="E158" s="12"/>
      <c r="F158" s="12"/>
      <c r="H158" s="14"/>
      <c r="I158" s="14"/>
      <c r="J158" s="15"/>
    </row>
    <row r="159" spans="1:10">
      <c r="A159" s="7"/>
      <c r="B159" s="1"/>
      <c r="C159" s="8"/>
      <c r="D159" s="9"/>
      <c r="E159" s="12"/>
      <c r="F159" s="12"/>
      <c r="H159" s="14"/>
      <c r="I159" s="14"/>
      <c r="J159" s="15"/>
    </row>
    <row r="160" spans="1:10">
      <c r="A160" s="7"/>
      <c r="B160" s="1"/>
      <c r="C160" s="8"/>
      <c r="D160" s="9"/>
      <c r="E160" s="12"/>
      <c r="F160" s="12"/>
      <c r="H160" s="14"/>
      <c r="I160" s="14"/>
      <c r="J160" s="15"/>
    </row>
    <row r="161" spans="1:10">
      <c r="A161" s="7"/>
      <c r="B161" s="1"/>
      <c r="C161" s="8"/>
      <c r="D161" s="9"/>
      <c r="E161" s="12"/>
      <c r="F161" s="12"/>
      <c r="H161" s="14"/>
      <c r="I161" s="14"/>
      <c r="J161" s="15"/>
    </row>
    <row r="162" spans="1:10">
      <c r="A162" s="7"/>
      <c r="B162" s="1"/>
      <c r="C162" s="8"/>
      <c r="D162" s="9"/>
      <c r="E162" s="12"/>
      <c r="F162" s="12"/>
      <c r="H162" s="14"/>
      <c r="I162" s="14"/>
      <c r="J162" s="15"/>
    </row>
    <row r="163" spans="1:10">
      <c r="A163" s="7"/>
      <c r="B163" s="1"/>
      <c r="C163" s="8"/>
      <c r="D163" s="9"/>
      <c r="E163" s="12"/>
      <c r="F163" s="12"/>
      <c r="H163" s="14"/>
      <c r="I163" s="14"/>
      <c r="J163" s="15"/>
    </row>
    <row r="164" spans="1:10">
      <c r="A164" s="7"/>
      <c r="B164" s="1"/>
      <c r="C164" s="8"/>
      <c r="D164" s="9"/>
      <c r="E164" s="12"/>
      <c r="F164" s="12"/>
      <c r="H164" s="14"/>
      <c r="I164" s="14"/>
      <c r="J164" s="15"/>
    </row>
    <row r="165" spans="1:10">
      <c r="A165" s="7"/>
      <c r="B165" s="1"/>
      <c r="C165" s="8"/>
      <c r="D165" s="9"/>
      <c r="E165" s="12"/>
      <c r="F165" s="12"/>
      <c r="H165" s="14"/>
      <c r="I165" s="14"/>
      <c r="J165" s="15"/>
    </row>
    <row r="166" spans="1:10">
      <c r="A166" s="7"/>
      <c r="B166" s="1"/>
      <c r="C166" s="8"/>
      <c r="D166" s="9"/>
      <c r="E166" s="12"/>
      <c r="F166" s="12"/>
      <c r="H166" s="14"/>
      <c r="I166" s="14"/>
      <c r="J166" s="15"/>
    </row>
    <row r="167" spans="1:10">
      <c r="A167" s="7"/>
      <c r="B167" s="1"/>
      <c r="C167" s="8"/>
      <c r="D167" s="9"/>
      <c r="E167" s="12"/>
      <c r="F167" s="12"/>
      <c r="H167" s="14"/>
      <c r="I167" s="14"/>
      <c r="J167" s="15"/>
    </row>
    <row r="168" spans="1:10">
      <c r="A168" s="7"/>
      <c r="B168" s="1"/>
      <c r="C168" s="8"/>
      <c r="D168" s="9"/>
      <c r="E168" s="12"/>
      <c r="F168" s="12"/>
      <c r="H168" s="14"/>
      <c r="I168" s="14"/>
      <c r="J168" s="15"/>
    </row>
    <row r="169" spans="1:10">
      <c r="A169" s="7"/>
      <c r="B169" s="1"/>
      <c r="C169" s="8"/>
      <c r="D169" s="9"/>
      <c r="E169" s="12"/>
      <c r="F169" s="12"/>
      <c r="H169" s="14"/>
      <c r="I169" s="14"/>
      <c r="J169" s="15"/>
    </row>
    <row r="170" spans="1:10">
      <c r="A170" s="7"/>
      <c r="B170" s="1"/>
      <c r="C170" s="8"/>
      <c r="D170" s="9"/>
      <c r="E170" s="12"/>
      <c r="F170" s="12"/>
      <c r="H170" s="14"/>
      <c r="I170" s="14"/>
      <c r="J170" s="15"/>
    </row>
    <row r="171" spans="1:10">
      <c r="A171" s="7"/>
      <c r="B171" s="1"/>
      <c r="C171" s="8"/>
      <c r="D171" s="9"/>
      <c r="E171" s="12"/>
      <c r="F171" s="12"/>
      <c r="H171" s="14"/>
      <c r="I171" s="14"/>
      <c r="J171" s="15"/>
    </row>
    <row r="172" spans="1:10">
      <c r="A172" s="7"/>
      <c r="B172" s="1"/>
      <c r="C172" s="8"/>
      <c r="D172" s="9"/>
      <c r="E172" s="12"/>
      <c r="F172" s="12"/>
      <c r="H172" s="14"/>
      <c r="I172" s="14"/>
      <c r="J172" s="15"/>
    </row>
    <row r="173" spans="1:10">
      <c r="A173" s="7"/>
      <c r="B173" s="1"/>
      <c r="C173" s="8"/>
      <c r="D173" s="9"/>
      <c r="E173" s="12"/>
      <c r="F173" s="12"/>
      <c r="H173" s="14"/>
      <c r="I173" s="14"/>
      <c r="J173" s="15"/>
    </row>
    <row r="174" spans="1:10">
      <c r="A174" s="7"/>
      <c r="B174" s="1"/>
      <c r="C174" s="8"/>
      <c r="D174" s="9"/>
      <c r="E174" s="12"/>
      <c r="F174" s="12"/>
      <c r="H174" s="14"/>
      <c r="I174" s="14"/>
      <c r="J174" s="15"/>
    </row>
    <row r="175" spans="1:10">
      <c r="A175" s="7"/>
      <c r="B175" s="1"/>
      <c r="C175" s="8"/>
      <c r="D175" s="9"/>
      <c r="E175" s="12"/>
      <c r="F175" s="12"/>
      <c r="H175" s="14"/>
      <c r="I175" s="14"/>
      <c r="J175" s="15"/>
    </row>
    <row r="176" spans="1:10">
      <c r="A176" s="7"/>
      <c r="B176" s="1"/>
      <c r="C176" s="8"/>
      <c r="D176" s="9"/>
      <c r="E176" s="12"/>
      <c r="F176" s="12"/>
      <c r="H176" s="14"/>
      <c r="I176" s="14"/>
      <c r="J176" s="15"/>
    </row>
    <row r="177" spans="1:10">
      <c r="A177" s="7"/>
      <c r="B177" s="1"/>
      <c r="C177" s="8"/>
      <c r="D177" s="9"/>
      <c r="E177" s="12"/>
      <c r="F177" s="12"/>
      <c r="H177" s="14"/>
      <c r="I177" s="14"/>
      <c r="J177" s="15"/>
    </row>
    <row r="178" spans="1:10">
      <c r="A178" s="7"/>
      <c r="B178" s="1"/>
      <c r="C178" s="8"/>
      <c r="D178" s="9"/>
      <c r="E178" s="12"/>
      <c r="F178" s="12"/>
      <c r="H178" s="14"/>
      <c r="I178" s="14"/>
      <c r="J178" s="15"/>
    </row>
    <row r="179" spans="1:10">
      <c r="A179" s="7"/>
      <c r="B179" s="1"/>
      <c r="C179" s="8"/>
      <c r="D179" s="9"/>
      <c r="E179" s="12"/>
      <c r="F179" s="12"/>
      <c r="H179" s="14"/>
      <c r="I179" s="14"/>
      <c r="J179" s="15"/>
    </row>
    <row r="180" spans="1:10">
      <c r="A180" s="7"/>
      <c r="B180" s="1"/>
      <c r="C180" s="8"/>
      <c r="D180" s="9"/>
      <c r="E180" s="12"/>
      <c r="F180" s="12"/>
      <c r="H180" s="14"/>
      <c r="I180" s="14"/>
      <c r="J180" s="15"/>
    </row>
    <row r="181" spans="1:10">
      <c r="A181" s="7"/>
      <c r="B181" s="1"/>
      <c r="C181" s="8"/>
      <c r="D181" s="9"/>
      <c r="E181" s="12"/>
      <c r="F181" s="12"/>
      <c r="H181" s="14"/>
      <c r="I181" s="14"/>
      <c r="J181" s="15"/>
    </row>
    <row r="182" spans="1:10">
      <c r="A182" s="7"/>
      <c r="B182" s="1"/>
      <c r="C182" s="8"/>
      <c r="D182" s="9"/>
      <c r="E182" s="12"/>
      <c r="F182" s="12"/>
      <c r="H182" s="14"/>
      <c r="I182" s="14"/>
      <c r="J182" s="15"/>
    </row>
    <row r="183" spans="1:10">
      <c r="A183" s="7"/>
      <c r="B183" s="1"/>
      <c r="C183" s="8"/>
      <c r="D183" s="9"/>
      <c r="E183" s="12"/>
      <c r="F183" s="12"/>
      <c r="H183" s="14"/>
      <c r="I183" s="14"/>
      <c r="J183" s="15"/>
    </row>
    <row r="184" spans="1:10">
      <c r="A184" s="7"/>
      <c r="B184" s="1"/>
      <c r="C184" s="8"/>
      <c r="D184" s="9"/>
      <c r="E184" s="12"/>
      <c r="F184" s="12"/>
      <c r="H184" s="14"/>
      <c r="I184" s="14"/>
      <c r="J184" s="15"/>
    </row>
    <row r="185" spans="1:10">
      <c r="A185" s="7"/>
      <c r="B185" s="1"/>
      <c r="C185" s="8"/>
      <c r="D185" s="9"/>
      <c r="E185" s="12"/>
      <c r="F185" s="12"/>
      <c r="H185" s="14"/>
      <c r="I185" s="14"/>
      <c r="J185" s="15"/>
    </row>
    <row r="186" spans="1:10">
      <c r="A186" s="7"/>
      <c r="B186" s="1"/>
      <c r="C186" s="8"/>
      <c r="D186" s="9"/>
      <c r="E186" s="12"/>
      <c r="F186" s="12"/>
      <c r="H186" s="14"/>
      <c r="I186" s="14"/>
      <c r="J186" s="15"/>
    </row>
    <row r="187" spans="1:10">
      <c r="A187" s="7"/>
      <c r="B187" s="1"/>
      <c r="C187" s="8"/>
      <c r="D187" s="9"/>
      <c r="E187" s="12"/>
      <c r="F187" s="12"/>
      <c r="H187" s="14"/>
      <c r="I187" s="14"/>
      <c r="J187" s="15"/>
    </row>
    <row r="188" spans="1:10">
      <c r="A188" s="7"/>
      <c r="B188" s="1"/>
      <c r="C188" s="8"/>
      <c r="D188" s="9"/>
      <c r="E188" s="12"/>
      <c r="F188" s="12"/>
      <c r="H188" s="14"/>
      <c r="I188" s="14"/>
      <c r="J188" s="15"/>
    </row>
    <row r="189" spans="1:10">
      <c r="A189" s="7"/>
      <c r="B189" s="1"/>
      <c r="C189" s="8"/>
      <c r="D189" s="9"/>
      <c r="E189" s="12"/>
      <c r="F189" s="12"/>
      <c r="H189" s="14"/>
      <c r="I189" s="14"/>
      <c r="J189" s="15"/>
    </row>
    <row r="190" spans="1:10">
      <c r="A190" s="7"/>
      <c r="B190" s="1"/>
      <c r="C190" s="8"/>
      <c r="D190" s="9"/>
      <c r="E190" s="12"/>
      <c r="F190" s="12"/>
      <c r="H190" s="14"/>
      <c r="I190" s="14"/>
      <c r="J190" s="15"/>
    </row>
    <row r="191" spans="1:10">
      <c r="A191" s="7"/>
      <c r="B191" s="1"/>
      <c r="C191" s="8"/>
      <c r="D191" s="9"/>
      <c r="E191" s="12"/>
      <c r="F191" s="12"/>
      <c r="H191" s="14"/>
      <c r="I191" s="14"/>
      <c r="J191" s="15"/>
    </row>
    <row r="192" spans="1:10">
      <c r="A192" s="7"/>
      <c r="B192" s="1"/>
      <c r="C192" s="8"/>
      <c r="D192" s="9"/>
      <c r="E192" s="12"/>
      <c r="F192" s="12"/>
      <c r="H192" s="14"/>
      <c r="I192" s="14"/>
      <c r="J192" s="15"/>
    </row>
    <row r="193" spans="1:10">
      <c r="A193" s="7"/>
      <c r="B193" s="1"/>
      <c r="C193" s="8"/>
      <c r="D193" s="9"/>
      <c r="E193" s="12"/>
      <c r="F193" s="12"/>
      <c r="H193" s="14"/>
      <c r="I193" s="14"/>
      <c r="J193" s="15"/>
    </row>
    <row r="194" spans="1:10">
      <c r="A194" s="7"/>
      <c r="B194" s="1"/>
      <c r="C194" s="8"/>
      <c r="D194" s="9"/>
      <c r="E194" s="12"/>
      <c r="F194" s="12"/>
      <c r="H194" s="14"/>
      <c r="I194" s="14"/>
      <c r="J194" s="15"/>
    </row>
    <row r="195" spans="1:10">
      <c r="A195" s="7"/>
      <c r="B195" s="1"/>
      <c r="C195" s="8"/>
      <c r="D195" s="9"/>
      <c r="E195" s="12"/>
      <c r="F195" s="12"/>
      <c r="H195" s="14"/>
      <c r="I195" s="14"/>
      <c r="J195" s="15"/>
    </row>
    <row r="196" spans="1:10">
      <c r="A196" s="7"/>
      <c r="B196" s="1"/>
      <c r="C196" s="8"/>
      <c r="D196" s="9"/>
      <c r="E196" s="12"/>
      <c r="F196" s="12"/>
      <c r="H196" s="14"/>
      <c r="I196" s="14"/>
      <c r="J196" s="15"/>
    </row>
    <row r="197" spans="1:10">
      <c r="A197" s="7"/>
      <c r="B197" s="1"/>
      <c r="C197" s="8"/>
      <c r="D197" s="9"/>
      <c r="E197" s="12"/>
      <c r="F197" s="12"/>
      <c r="H197" s="14"/>
      <c r="I197" s="14"/>
      <c r="J197" s="15"/>
    </row>
    <row r="198" spans="1:10">
      <c r="A198" s="7"/>
      <c r="B198" s="1"/>
      <c r="C198" s="8"/>
      <c r="D198" s="9"/>
      <c r="E198" s="12"/>
      <c r="F198" s="12"/>
      <c r="H198" s="14"/>
      <c r="I198" s="14"/>
      <c r="J198" s="15"/>
    </row>
    <row r="199" spans="1:10">
      <c r="A199" s="7"/>
      <c r="B199" s="1"/>
      <c r="C199" s="8"/>
      <c r="D199" s="9"/>
      <c r="E199" s="12"/>
      <c r="F199" s="12"/>
      <c r="H199" s="14"/>
      <c r="I199" s="14"/>
      <c r="J199" s="15"/>
    </row>
    <row r="200" spans="1:10">
      <c r="A200" s="7"/>
      <c r="B200" s="1"/>
      <c r="C200" s="8"/>
      <c r="D200" s="9"/>
      <c r="E200" s="12"/>
      <c r="F200" s="12"/>
      <c r="H200" s="14"/>
      <c r="I200" s="14"/>
      <c r="J200" s="15"/>
    </row>
    <row r="201" spans="1:10">
      <c r="A201" s="7"/>
      <c r="B201" s="1"/>
      <c r="C201" s="8"/>
      <c r="D201" s="9"/>
      <c r="E201" s="12"/>
      <c r="F201" s="12"/>
      <c r="H201" s="14"/>
      <c r="I201" s="14"/>
      <c r="J201" s="15"/>
    </row>
    <row r="202" spans="1:10">
      <c r="A202" s="7"/>
      <c r="B202" s="1"/>
      <c r="C202" s="8"/>
      <c r="D202" s="9"/>
      <c r="E202" s="12"/>
      <c r="F202" s="12"/>
      <c r="H202" s="14"/>
      <c r="I202" s="14"/>
      <c r="J202" s="15"/>
    </row>
    <row r="203" spans="1:10">
      <c r="A203" s="7"/>
      <c r="B203" s="1"/>
      <c r="C203" s="8"/>
      <c r="D203" s="9"/>
      <c r="E203" s="12"/>
      <c r="F203" s="12"/>
      <c r="H203" s="14"/>
      <c r="I203" s="14"/>
      <c r="J203" s="15"/>
    </row>
    <row r="204" spans="1:10">
      <c r="A204" s="7"/>
      <c r="B204" s="1"/>
      <c r="C204" s="8"/>
      <c r="D204" s="9"/>
      <c r="E204" s="12"/>
      <c r="F204" s="12"/>
      <c r="H204" s="14"/>
      <c r="I204" s="14"/>
      <c r="J204" s="15"/>
    </row>
    <row r="205" spans="1:10">
      <c r="A205" s="7"/>
      <c r="B205" s="1"/>
      <c r="C205" s="8"/>
      <c r="D205" s="9"/>
      <c r="E205" s="12"/>
      <c r="F205" s="12"/>
      <c r="H205" s="14"/>
      <c r="I205" s="14"/>
      <c r="J205" s="15"/>
    </row>
    <row r="206" spans="1:10">
      <c r="A206" s="7"/>
      <c r="B206" s="1"/>
      <c r="C206" s="8"/>
      <c r="D206" s="9"/>
      <c r="E206" s="12"/>
      <c r="F206" s="12"/>
      <c r="H206" s="14"/>
      <c r="I206" s="14"/>
      <c r="J206" s="15"/>
    </row>
    <row r="207" spans="1:10">
      <c r="A207" s="7"/>
      <c r="B207" s="1"/>
      <c r="C207" s="8"/>
      <c r="D207" s="9"/>
      <c r="E207" s="12"/>
      <c r="F207" s="12"/>
      <c r="H207" s="14"/>
      <c r="I207" s="14"/>
      <c r="J207" s="15"/>
    </row>
    <row r="208" spans="1:10">
      <c r="A208" s="7"/>
      <c r="B208" s="1"/>
      <c r="C208" s="8"/>
      <c r="D208" s="9"/>
      <c r="E208" s="12"/>
      <c r="F208" s="12"/>
      <c r="H208" s="14"/>
      <c r="I208" s="14"/>
      <c r="J208" s="15"/>
    </row>
    <row r="209" spans="1:10">
      <c r="A209" s="7"/>
      <c r="B209" s="1"/>
      <c r="C209" s="8"/>
      <c r="D209" s="9"/>
      <c r="E209" s="12"/>
      <c r="F209" s="12"/>
      <c r="H209" s="14"/>
      <c r="I209" s="14"/>
      <c r="J209" s="15"/>
    </row>
    <row r="210" spans="1:10">
      <c r="A210" s="7"/>
      <c r="B210" s="1"/>
      <c r="C210" s="8"/>
      <c r="D210" s="9"/>
      <c r="E210" s="12"/>
      <c r="F210" s="12"/>
      <c r="H210" s="14"/>
      <c r="I210" s="14"/>
      <c r="J210" s="15"/>
    </row>
    <row r="211" spans="1:10">
      <c r="A211" s="7"/>
      <c r="B211" s="1"/>
      <c r="C211" s="8"/>
      <c r="D211" s="9"/>
      <c r="E211" s="12"/>
      <c r="F211" s="12"/>
      <c r="H211" s="14"/>
      <c r="I211" s="14"/>
      <c r="J211" s="15"/>
    </row>
    <row r="212" spans="1:10">
      <c r="A212" s="7"/>
      <c r="B212" s="1"/>
      <c r="C212" s="8"/>
      <c r="D212" s="9"/>
      <c r="E212" s="12"/>
      <c r="F212" s="12"/>
      <c r="H212" s="14"/>
      <c r="I212" s="14"/>
      <c r="J212" s="15"/>
    </row>
    <row r="213" spans="1:10">
      <c r="A213" s="7"/>
      <c r="B213" s="1"/>
      <c r="C213" s="8"/>
      <c r="D213" s="9"/>
      <c r="E213" s="12"/>
      <c r="F213" s="12"/>
      <c r="H213" s="14"/>
      <c r="I213" s="14"/>
      <c r="J213" s="15"/>
    </row>
    <row r="214" spans="1:10">
      <c r="A214" s="7"/>
      <c r="B214" s="1"/>
      <c r="C214" s="8"/>
      <c r="D214" s="9"/>
      <c r="E214" s="12"/>
      <c r="F214" s="12"/>
      <c r="H214" s="14"/>
      <c r="I214" s="14"/>
      <c r="J214" s="15"/>
    </row>
    <row r="215" spans="1:10">
      <c r="A215" s="7"/>
      <c r="B215" s="1"/>
      <c r="C215" s="8"/>
      <c r="D215" s="9"/>
      <c r="E215" s="12"/>
      <c r="F215" s="12"/>
      <c r="H215" s="14"/>
      <c r="I215" s="14"/>
      <c r="J215" s="15"/>
    </row>
    <row r="216" spans="1:10">
      <c r="A216" s="7"/>
      <c r="B216" s="1"/>
      <c r="C216" s="8"/>
      <c r="D216" s="9"/>
      <c r="E216" s="12"/>
      <c r="F216" s="12"/>
      <c r="H216" s="14"/>
      <c r="I216" s="14"/>
      <c r="J216" s="15"/>
    </row>
    <row r="217" spans="1:10">
      <c r="A217" s="7"/>
      <c r="B217" s="1"/>
      <c r="C217" s="8"/>
      <c r="D217" s="9"/>
      <c r="E217" s="12"/>
      <c r="F217" s="12"/>
      <c r="H217" s="14"/>
      <c r="I217" s="14"/>
      <c r="J217" s="15"/>
    </row>
    <row r="218" spans="1:10">
      <c r="A218" s="7"/>
      <c r="B218" s="1"/>
      <c r="C218" s="8"/>
      <c r="D218" s="9"/>
      <c r="E218" s="12"/>
      <c r="F218" s="12"/>
      <c r="H218" s="14"/>
      <c r="I218" s="14"/>
      <c r="J218" s="15"/>
    </row>
    <row r="219" spans="1:10">
      <c r="A219" s="7"/>
      <c r="B219" s="1"/>
      <c r="C219" s="8"/>
      <c r="D219" s="9"/>
      <c r="E219" s="12"/>
      <c r="F219" s="12"/>
      <c r="H219" s="14"/>
      <c r="I219" s="14"/>
      <c r="J219" s="15"/>
    </row>
    <row r="220" spans="1:10">
      <c r="A220" s="7"/>
      <c r="B220" s="1"/>
      <c r="C220" s="8"/>
      <c r="D220" s="9"/>
      <c r="E220" s="12"/>
      <c r="F220" s="12"/>
      <c r="H220" s="14"/>
      <c r="I220" s="14"/>
      <c r="J220" s="15"/>
    </row>
    <row r="221" spans="1:10">
      <c r="A221" s="7"/>
      <c r="B221" s="1"/>
      <c r="C221" s="8"/>
      <c r="D221" s="9"/>
      <c r="E221" s="12"/>
      <c r="F221" s="12"/>
      <c r="H221" s="14"/>
      <c r="I221" s="14"/>
      <c r="J221" s="15"/>
    </row>
    <row r="222" spans="1:10">
      <c r="A222" s="7"/>
      <c r="B222" s="1"/>
      <c r="C222" s="8"/>
      <c r="D222" s="9"/>
      <c r="E222" s="12"/>
      <c r="F222" s="12"/>
      <c r="H222" s="14"/>
      <c r="I222" s="14"/>
      <c r="J222" s="15"/>
    </row>
    <row r="223" spans="1:10">
      <c r="A223" s="7"/>
      <c r="B223" s="1"/>
      <c r="C223" s="8"/>
      <c r="D223" s="9"/>
      <c r="E223" s="12"/>
      <c r="F223" s="12"/>
      <c r="H223" s="14"/>
      <c r="I223" s="14"/>
      <c r="J223" s="15"/>
    </row>
    <row r="224" spans="1:10">
      <c r="A224" s="7"/>
      <c r="B224" s="1"/>
      <c r="C224" s="8"/>
      <c r="D224" s="9"/>
      <c r="E224" s="12"/>
      <c r="F224" s="12"/>
      <c r="H224" s="14"/>
      <c r="I224" s="14"/>
      <c r="J224" s="15"/>
    </row>
    <row r="225" spans="1:10">
      <c r="A225" s="7"/>
      <c r="B225" s="1"/>
      <c r="C225" s="8"/>
      <c r="D225" s="9"/>
      <c r="E225" s="12"/>
      <c r="F225" s="12"/>
      <c r="H225" s="14"/>
      <c r="I225" s="14"/>
      <c r="J225" s="15"/>
    </row>
    <row r="226" spans="1:10">
      <c r="A226" s="7"/>
      <c r="B226" s="1"/>
      <c r="C226" s="8"/>
      <c r="D226" s="9"/>
      <c r="E226" s="12"/>
      <c r="F226" s="12"/>
      <c r="H226" s="14"/>
      <c r="I226" s="14"/>
      <c r="J226" s="15"/>
    </row>
    <row r="227" spans="1:10">
      <c r="A227" s="7"/>
      <c r="B227" s="1"/>
      <c r="C227" s="8"/>
      <c r="D227" s="9"/>
      <c r="E227" s="12"/>
      <c r="F227" s="12"/>
      <c r="H227" s="14"/>
      <c r="I227" s="14"/>
      <c r="J227" s="15"/>
    </row>
    <row r="228" spans="1:10">
      <c r="A228" s="7"/>
      <c r="B228" s="1"/>
      <c r="C228" s="8"/>
      <c r="D228" s="9"/>
      <c r="E228" s="12"/>
      <c r="F228" s="12"/>
      <c r="H228" s="14"/>
      <c r="I228" s="14"/>
      <c r="J228" s="15"/>
    </row>
    <row r="229" spans="1:10">
      <c r="A229" s="7"/>
      <c r="B229" s="1"/>
      <c r="C229" s="8"/>
      <c r="D229" s="9"/>
      <c r="E229" s="12"/>
      <c r="F229" s="12"/>
      <c r="H229" s="14"/>
      <c r="I229" s="14"/>
      <c r="J229" s="15"/>
    </row>
    <row r="230" spans="1:10">
      <c r="A230" s="7"/>
      <c r="B230" s="1"/>
      <c r="C230" s="8"/>
      <c r="D230" s="9"/>
      <c r="E230" s="12"/>
      <c r="F230" s="12"/>
      <c r="H230" s="14"/>
      <c r="I230" s="14"/>
      <c r="J230" s="15"/>
    </row>
    <row r="231" spans="1:10">
      <c r="A231" s="7"/>
      <c r="B231" s="1"/>
      <c r="C231" s="8"/>
      <c r="D231" s="9"/>
      <c r="E231" s="12"/>
      <c r="F231" s="12"/>
      <c r="H231" s="14"/>
      <c r="I231" s="14"/>
      <c r="J231" s="15"/>
    </row>
    <row r="232" spans="1:10">
      <c r="A232" s="7"/>
      <c r="B232" s="1"/>
      <c r="C232" s="8"/>
      <c r="D232" s="9"/>
      <c r="E232" s="12"/>
      <c r="F232" s="12"/>
      <c r="H232" s="14"/>
      <c r="I232" s="14"/>
      <c r="J232" s="15"/>
    </row>
    <row r="233" spans="1:10">
      <c r="A233" s="7"/>
      <c r="B233" s="1"/>
      <c r="C233" s="8"/>
      <c r="D233" s="9"/>
      <c r="E233" s="12"/>
      <c r="F233" s="12"/>
      <c r="H233" s="14"/>
      <c r="I233" s="14"/>
      <c r="J233" s="15"/>
    </row>
    <row r="234" spans="1:10">
      <c r="A234" s="7"/>
      <c r="B234" s="1"/>
      <c r="C234" s="8"/>
      <c r="D234" s="9"/>
      <c r="E234" s="12"/>
      <c r="F234" s="12"/>
      <c r="H234" s="14"/>
      <c r="I234" s="14"/>
      <c r="J234" s="15"/>
    </row>
    <row r="235" spans="1:10">
      <c r="A235" s="7"/>
      <c r="B235" s="1"/>
      <c r="C235" s="8"/>
      <c r="D235" s="9"/>
      <c r="E235" s="12"/>
      <c r="F235" s="12"/>
      <c r="H235" s="14"/>
      <c r="I235" s="14"/>
      <c r="J235" s="15"/>
    </row>
    <row r="236" spans="1:10">
      <c r="A236" s="7"/>
      <c r="B236" s="1"/>
      <c r="C236" s="8"/>
      <c r="D236" s="9"/>
      <c r="E236" s="12"/>
      <c r="F236" s="12"/>
      <c r="H236" s="14"/>
      <c r="I236" s="14"/>
      <c r="J236" s="15"/>
    </row>
    <row r="237" spans="1:10">
      <c r="A237" s="7"/>
      <c r="B237" s="1"/>
      <c r="C237" s="8"/>
      <c r="D237" s="9"/>
      <c r="E237" s="12"/>
      <c r="F237" s="12"/>
      <c r="H237" s="14"/>
      <c r="I237" s="14"/>
      <c r="J237" s="15"/>
    </row>
    <row r="238" spans="1:10">
      <c r="A238" s="7"/>
      <c r="B238" s="1"/>
      <c r="C238" s="8"/>
      <c r="D238" s="9"/>
      <c r="E238" s="12"/>
      <c r="F238" s="12"/>
      <c r="H238" s="14"/>
      <c r="I238" s="14"/>
      <c r="J238" s="15"/>
    </row>
    <row r="239" spans="1:10">
      <c r="A239" s="7"/>
      <c r="B239" s="1"/>
      <c r="C239" s="8"/>
      <c r="D239" s="9"/>
      <c r="E239" s="12"/>
      <c r="F239" s="12"/>
      <c r="H239" s="14"/>
      <c r="I239" s="14"/>
      <c r="J239" s="15"/>
    </row>
    <row r="240" spans="1:10">
      <c r="A240" s="7"/>
      <c r="B240" s="1"/>
      <c r="C240" s="8"/>
      <c r="D240" s="9"/>
      <c r="E240" s="12"/>
      <c r="F240" s="12"/>
      <c r="H240" s="14"/>
      <c r="I240" s="14"/>
      <c r="J240" s="15"/>
    </row>
    <row r="241" spans="1:10">
      <c r="A241" s="7"/>
      <c r="B241" s="1"/>
      <c r="C241" s="8"/>
      <c r="D241" s="9"/>
      <c r="E241" s="12"/>
      <c r="F241" s="12"/>
      <c r="H241" s="14"/>
      <c r="I241" s="14"/>
      <c r="J241" s="15"/>
    </row>
    <row r="242" spans="1:10">
      <c r="A242" s="7"/>
      <c r="B242" s="1"/>
      <c r="C242" s="8"/>
      <c r="D242" s="9"/>
      <c r="E242" s="12"/>
      <c r="F242" s="12"/>
      <c r="H242" s="14"/>
      <c r="I242" s="14"/>
      <c r="J242" s="15"/>
    </row>
    <row r="243" spans="1:10">
      <c r="A243" s="7"/>
      <c r="B243" s="1"/>
      <c r="C243" s="8"/>
      <c r="D243" s="9"/>
      <c r="E243" s="12"/>
      <c r="F243" s="12"/>
      <c r="H243" s="14"/>
      <c r="I243" s="14"/>
      <c r="J243" s="15"/>
    </row>
    <row r="244" spans="1:10">
      <c r="A244" s="7"/>
      <c r="B244" s="1"/>
      <c r="C244" s="8"/>
      <c r="D244" s="9"/>
      <c r="E244" s="12"/>
      <c r="F244" s="12"/>
      <c r="H244" s="14"/>
      <c r="I244" s="14"/>
      <c r="J244" s="15"/>
    </row>
    <row r="245" spans="1:10">
      <c r="A245" s="7"/>
      <c r="B245" s="1"/>
      <c r="C245" s="8"/>
      <c r="D245" s="9"/>
      <c r="E245" s="12"/>
      <c r="F245" s="12"/>
      <c r="H245" s="14"/>
      <c r="I245" s="14"/>
      <c r="J245" s="15"/>
    </row>
    <row r="246" spans="1:10">
      <c r="A246" s="7"/>
      <c r="B246" s="1"/>
      <c r="C246" s="8"/>
      <c r="D246" s="9"/>
      <c r="E246" s="12"/>
      <c r="F246" s="12"/>
      <c r="H246" s="14"/>
      <c r="I246" s="14"/>
      <c r="J246" s="15"/>
    </row>
    <row r="247" spans="1:10">
      <c r="A247" s="7"/>
      <c r="B247" s="1"/>
      <c r="C247" s="8"/>
      <c r="D247" s="9"/>
      <c r="E247" s="12"/>
      <c r="F247" s="12"/>
      <c r="H247" s="14"/>
      <c r="I247" s="14"/>
      <c r="J247" s="15"/>
    </row>
    <row r="248" spans="1:10">
      <c r="A248" s="7"/>
      <c r="B248" s="1"/>
      <c r="C248" s="8"/>
      <c r="D248" s="9"/>
      <c r="E248" s="12"/>
      <c r="F248" s="12"/>
      <c r="H248" s="14"/>
      <c r="I248" s="14"/>
      <c r="J248" s="15"/>
    </row>
    <row r="249" spans="1:10">
      <c r="A249" s="7"/>
      <c r="B249" s="1"/>
      <c r="C249" s="8"/>
      <c r="D249" s="9"/>
      <c r="E249" s="12"/>
      <c r="F249" s="12"/>
      <c r="H249" s="14"/>
      <c r="I249" s="14"/>
      <c r="J249" s="15"/>
    </row>
    <row r="250" spans="1:10">
      <c r="A250" s="7"/>
      <c r="B250" s="1"/>
      <c r="C250" s="8"/>
      <c r="D250" s="9"/>
      <c r="E250" s="12"/>
      <c r="F250" s="12"/>
      <c r="H250" s="14"/>
      <c r="I250" s="14"/>
      <c r="J250" s="15"/>
    </row>
    <row r="251" spans="1:10">
      <c r="A251" s="7"/>
      <c r="B251" s="1"/>
      <c r="C251" s="8"/>
      <c r="D251" s="9"/>
      <c r="E251" s="12"/>
      <c r="F251" s="12"/>
      <c r="H251" s="14"/>
      <c r="I251" s="14"/>
      <c r="J251" s="15"/>
    </row>
    <row r="252" spans="1:10">
      <c r="A252" s="7"/>
      <c r="B252" s="1"/>
      <c r="C252" s="8"/>
      <c r="D252" s="9"/>
      <c r="E252" s="12"/>
      <c r="F252" s="12"/>
      <c r="H252" s="14"/>
      <c r="I252" s="14"/>
      <c r="J252" s="15"/>
    </row>
    <row r="253" spans="1:10">
      <c r="A253" s="7"/>
      <c r="B253" s="1"/>
      <c r="C253" s="8"/>
      <c r="D253" s="9"/>
      <c r="E253" s="12"/>
      <c r="F253" s="12"/>
      <c r="H253" s="14"/>
      <c r="I253" s="14"/>
      <c r="J253" s="15"/>
    </row>
    <row r="254" spans="1:10">
      <c r="A254" s="7"/>
      <c r="B254" s="1"/>
      <c r="C254" s="8"/>
      <c r="D254" s="9"/>
      <c r="E254" s="12"/>
      <c r="F254" s="12"/>
      <c r="H254" s="14"/>
      <c r="I254" s="14"/>
      <c r="J254" s="15"/>
    </row>
    <row r="255" spans="1:10">
      <c r="A255" s="7"/>
      <c r="B255" s="1"/>
      <c r="C255" s="8"/>
      <c r="D255" s="9"/>
      <c r="E255" s="12"/>
      <c r="F255" s="12"/>
      <c r="H255" s="14"/>
      <c r="I255" s="14"/>
      <c r="J255" s="15"/>
    </row>
    <row r="256" spans="1:10">
      <c r="A256" s="7"/>
      <c r="B256" s="1"/>
      <c r="C256" s="8"/>
      <c r="D256" s="9"/>
      <c r="E256" s="12"/>
      <c r="F256" s="12"/>
      <c r="H256" s="14"/>
      <c r="I256" s="14"/>
      <c r="J256" s="15"/>
    </row>
    <row r="257" spans="1:10">
      <c r="A257" s="7"/>
      <c r="B257" s="1"/>
      <c r="C257" s="8"/>
      <c r="D257" s="9"/>
      <c r="E257" s="12"/>
      <c r="F257" s="12"/>
      <c r="H257" s="14"/>
      <c r="I257" s="14"/>
      <c r="J257" s="15"/>
    </row>
    <row r="258" spans="1:10">
      <c r="A258" s="7"/>
      <c r="B258" s="1"/>
      <c r="C258" s="8"/>
      <c r="D258" s="9"/>
      <c r="E258" s="12"/>
      <c r="F258" s="12"/>
      <c r="H258" s="14"/>
      <c r="I258" s="14"/>
      <c r="J258" s="15"/>
    </row>
    <row r="259" spans="1:10">
      <c r="A259" s="7"/>
      <c r="B259" s="1"/>
      <c r="C259" s="8"/>
      <c r="D259" s="9"/>
      <c r="E259" s="12"/>
      <c r="F259" s="12"/>
      <c r="H259" s="14"/>
      <c r="I259" s="14"/>
      <c r="J259" s="15"/>
    </row>
    <row r="260" spans="1:10">
      <c r="A260" s="7"/>
      <c r="B260" s="1"/>
      <c r="C260" s="8"/>
      <c r="D260" s="9"/>
      <c r="E260" s="12"/>
      <c r="F260" s="12"/>
      <c r="H260" s="14"/>
      <c r="I260" s="14"/>
      <c r="J260" s="15"/>
    </row>
    <row r="261" spans="1:10">
      <c r="A261" s="7"/>
      <c r="B261" s="1"/>
      <c r="C261" s="8"/>
      <c r="D261" s="9"/>
      <c r="E261" s="12"/>
      <c r="F261" s="12"/>
      <c r="H261" s="14"/>
      <c r="I261" s="14"/>
      <c r="J261" s="15"/>
    </row>
    <row r="262" spans="1:10">
      <c r="A262" s="7"/>
      <c r="B262" s="1"/>
      <c r="C262" s="8"/>
      <c r="D262" s="9"/>
      <c r="E262" s="12"/>
      <c r="F262" s="12"/>
      <c r="H262" s="14"/>
      <c r="I262" s="14"/>
      <c r="J262" s="15"/>
    </row>
    <row r="263" spans="1:10">
      <c r="A263" s="7"/>
      <c r="B263" s="1"/>
      <c r="C263" s="8"/>
      <c r="D263" s="9"/>
      <c r="E263" s="12"/>
      <c r="F263" s="12"/>
      <c r="H263" s="14"/>
      <c r="I263" s="14"/>
      <c r="J263" s="15"/>
    </row>
    <row r="264" spans="1:10">
      <c r="A264" s="7"/>
      <c r="B264" s="1"/>
      <c r="C264" s="8"/>
      <c r="D264" s="9"/>
      <c r="E264" s="12"/>
      <c r="F264" s="12"/>
      <c r="H264" s="14"/>
      <c r="I264" s="14"/>
      <c r="J264" s="15"/>
    </row>
    <row r="265" spans="1:10">
      <c r="A265" s="7"/>
      <c r="B265" s="1"/>
      <c r="C265" s="8"/>
      <c r="D265" s="9"/>
      <c r="E265" s="12"/>
      <c r="F265" s="12"/>
      <c r="H265" s="14"/>
      <c r="I265" s="14"/>
      <c r="J265" s="15"/>
    </row>
    <row r="266" spans="1:10">
      <c r="A266" s="7"/>
      <c r="B266" s="1"/>
      <c r="C266" s="8"/>
      <c r="D266" s="9"/>
      <c r="E266" s="12"/>
      <c r="F266" s="12"/>
      <c r="H266" s="14"/>
      <c r="I266" s="14"/>
      <c r="J266" s="15"/>
    </row>
    <row r="267" spans="1:10">
      <c r="A267" s="7"/>
      <c r="B267" s="1"/>
      <c r="C267" s="8"/>
      <c r="D267" s="9"/>
      <c r="E267" s="12"/>
      <c r="F267" s="12"/>
      <c r="H267" s="14"/>
      <c r="I267" s="14"/>
      <c r="J267" s="15"/>
    </row>
    <row r="268" spans="1:10">
      <c r="A268" s="7"/>
      <c r="B268" s="1"/>
      <c r="C268" s="8"/>
      <c r="D268" s="9"/>
      <c r="E268" s="12"/>
      <c r="F268" s="12"/>
      <c r="H268" s="14"/>
      <c r="I268" s="14"/>
      <c r="J268" s="15"/>
    </row>
    <row r="269" spans="1:10">
      <c r="A269" s="7"/>
      <c r="B269" s="1"/>
      <c r="C269" s="8"/>
      <c r="D269" s="9"/>
      <c r="E269" s="12"/>
      <c r="F269" s="12"/>
      <c r="H269" s="14"/>
      <c r="I269" s="14"/>
      <c r="J269" s="15"/>
    </row>
    <row r="270" spans="1:10">
      <c r="A270" s="7"/>
      <c r="B270" s="1"/>
      <c r="C270" s="8"/>
      <c r="D270" s="9"/>
      <c r="E270" s="12"/>
      <c r="F270" s="12"/>
      <c r="H270" s="14"/>
      <c r="I270" s="14"/>
      <c r="J270" s="15"/>
    </row>
    <row r="271" spans="1:10">
      <c r="A271" s="7"/>
      <c r="B271" s="1"/>
      <c r="C271" s="8"/>
      <c r="D271" s="9"/>
      <c r="E271" s="12"/>
      <c r="F271" s="12"/>
      <c r="H271" s="14"/>
      <c r="I271" s="14"/>
      <c r="J271" s="15"/>
    </row>
    <row r="272" spans="1:10">
      <c r="A272" s="7"/>
      <c r="B272" s="1"/>
      <c r="C272" s="8"/>
      <c r="D272" s="9"/>
      <c r="E272" s="12"/>
      <c r="F272" s="12"/>
      <c r="H272" s="14"/>
      <c r="I272" s="14"/>
      <c r="J272" s="15"/>
    </row>
    <row r="273" spans="1:10">
      <c r="A273" s="7"/>
      <c r="B273" s="1"/>
      <c r="C273" s="8"/>
      <c r="D273" s="9"/>
      <c r="E273" s="12"/>
      <c r="F273" s="12"/>
      <c r="H273" s="14"/>
      <c r="I273" s="14"/>
      <c r="J273" s="15"/>
    </row>
    <row r="274" spans="1:10">
      <c r="A274" s="7"/>
      <c r="B274" s="1"/>
      <c r="C274" s="8"/>
      <c r="D274" s="9"/>
      <c r="E274" s="12"/>
      <c r="F274" s="12"/>
      <c r="H274" s="14"/>
      <c r="I274" s="14"/>
      <c r="J274" s="15"/>
    </row>
    <row r="275" spans="1:10">
      <c r="A275" s="7"/>
      <c r="B275" s="1"/>
      <c r="C275" s="8"/>
      <c r="D275" s="9"/>
      <c r="E275" s="12"/>
      <c r="F275" s="12"/>
      <c r="H275" s="14"/>
      <c r="I275" s="14"/>
      <c r="J275" s="15"/>
    </row>
    <row r="276" spans="1:10">
      <c r="A276" s="7"/>
      <c r="B276" s="1"/>
      <c r="C276" s="8"/>
      <c r="D276" s="9"/>
      <c r="E276" s="12"/>
      <c r="F276" s="12"/>
      <c r="H276" s="14"/>
      <c r="I276" s="14"/>
      <c r="J276" s="15"/>
    </row>
    <row r="277" spans="1:10">
      <c r="A277" s="7"/>
      <c r="B277" s="1"/>
      <c r="C277" s="8"/>
      <c r="D277" s="9"/>
      <c r="E277" s="12"/>
      <c r="F277" s="12"/>
      <c r="H277" s="14"/>
      <c r="I277" s="14"/>
      <c r="J277" s="15"/>
    </row>
    <row r="278" spans="1:10">
      <c r="A278" s="7"/>
      <c r="B278" s="1"/>
      <c r="C278" s="8"/>
      <c r="D278" s="9"/>
      <c r="E278" s="12"/>
      <c r="F278" s="12"/>
      <c r="H278" s="14"/>
      <c r="I278" s="14"/>
      <c r="J278" s="15"/>
    </row>
    <row r="279" spans="1:10">
      <c r="A279" s="7"/>
      <c r="B279" s="1"/>
      <c r="C279" s="8"/>
      <c r="D279" s="9"/>
      <c r="E279" s="12"/>
      <c r="F279" s="12"/>
      <c r="H279" s="14"/>
      <c r="I279" s="14"/>
      <c r="J279" s="15"/>
    </row>
    <row r="280" spans="1:10">
      <c r="A280" s="7"/>
      <c r="B280" s="1"/>
      <c r="C280" s="8"/>
      <c r="D280" s="9"/>
      <c r="E280" s="12"/>
      <c r="F280" s="12"/>
      <c r="H280" s="14"/>
      <c r="I280" s="14"/>
      <c r="J280" s="15"/>
    </row>
    <row r="281" spans="1:10">
      <c r="A281" s="7"/>
      <c r="B281" s="1"/>
      <c r="C281" s="8"/>
      <c r="D281" s="9"/>
      <c r="E281" s="12"/>
      <c r="F281" s="12"/>
      <c r="H281" s="14"/>
      <c r="I281" s="14"/>
      <c r="J281" s="15"/>
    </row>
    <row r="282" spans="1:10">
      <c r="A282" s="7"/>
      <c r="B282" s="1"/>
      <c r="C282" s="8"/>
      <c r="D282" s="9"/>
      <c r="E282" s="12"/>
      <c r="F282" s="12"/>
      <c r="H282" s="14"/>
      <c r="I282" s="14"/>
      <c r="J282" s="15"/>
    </row>
    <row r="283" spans="1:10">
      <c r="A283" s="7"/>
      <c r="B283" s="1"/>
      <c r="C283" s="8"/>
      <c r="D283" s="9"/>
      <c r="E283" s="12"/>
      <c r="F283" s="12"/>
      <c r="H283" s="14"/>
      <c r="I283" s="14"/>
      <c r="J283" s="15"/>
    </row>
    <row r="284" spans="1:10">
      <c r="A284" s="7"/>
      <c r="B284" s="1"/>
      <c r="C284" s="8"/>
      <c r="D284" s="9"/>
      <c r="E284" s="12"/>
      <c r="F284" s="12"/>
      <c r="H284" s="14"/>
      <c r="I284" s="14"/>
      <c r="J284" s="15"/>
    </row>
    <row r="285" spans="1:10">
      <c r="A285" s="7"/>
      <c r="B285" s="1"/>
      <c r="C285" s="8"/>
      <c r="D285" s="9"/>
      <c r="E285" s="12"/>
      <c r="F285" s="12"/>
      <c r="H285" s="14"/>
      <c r="I285" s="14"/>
      <c r="J285" s="15"/>
    </row>
    <row r="286" spans="1:10">
      <c r="A286" s="7"/>
      <c r="B286" s="1"/>
      <c r="C286" s="8"/>
      <c r="D286" s="9"/>
      <c r="E286" s="12"/>
      <c r="F286" s="12"/>
      <c r="H286" s="14"/>
      <c r="I286" s="14"/>
      <c r="J286" s="15"/>
    </row>
    <row r="287" spans="1:10">
      <c r="A287" s="7"/>
      <c r="B287" s="1"/>
      <c r="C287" s="8"/>
      <c r="D287" s="9"/>
      <c r="E287" s="12"/>
      <c r="F287" s="12"/>
      <c r="H287" s="14"/>
      <c r="I287" s="14"/>
      <c r="J287" s="15"/>
    </row>
    <row r="288" spans="1:10">
      <c r="A288" s="7"/>
      <c r="B288" s="1"/>
      <c r="C288" s="8"/>
      <c r="D288" s="9"/>
      <c r="E288" s="12"/>
      <c r="F288" s="12"/>
      <c r="H288" s="14"/>
      <c r="I288" s="14"/>
      <c r="J288" s="15"/>
    </row>
    <row r="289" spans="1:10">
      <c r="A289" s="7"/>
      <c r="B289" s="1"/>
      <c r="C289" s="8"/>
      <c r="D289" s="9"/>
      <c r="E289" s="12"/>
      <c r="F289" s="12"/>
      <c r="H289" s="14"/>
      <c r="I289" s="14"/>
      <c r="J289" s="15"/>
    </row>
    <row r="290" spans="1:10">
      <c r="A290" s="7"/>
      <c r="B290" s="1"/>
      <c r="C290" s="8"/>
      <c r="D290" s="9"/>
      <c r="E290" s="12"/>
      <c r="F290" s="12"/>
      <c r="H290" s="14"/>
      <c r="I290" s="14"/>
      <c r="J290" s="15"/>
    </row>
    <row r="291" spans="1:10">
      <c r="A291" s="7"/>
      <c r="B291" s="1"/>
      <c r="C291" s="8"/>
      <c r="D291" s="9"/>
      <c r="E291" s="12"/>
      <c r="F291" s="12"/>
      <c r="H291" s="14"/>
      <c r="I291" s="14"/>
      <c r="J291" s="15"/>
    </row>
    <row r="292" spans="1:10">
      <c r="A292" s="7"/>
      <c r="B292" s="1"/>
      <c r="C292" s="8"/>
      <c r="D292" s="9"/>
      <c r="E292" s="12"/>
      <c r="F292" s="12"/>
      <c r="H292" s="14"/>
      <c r="I292" s="14"/>
      <c r="J292" s="15"/>
    </row>
    <row r="293" spans="1:10">
      <c r="A293" s="7"/>
      <c r="B293" s="1"/>
      <c r="C293" s="8"/>
      <c r="D293" s="9"/>
      <c r="E293" s="12"/>
      <c r="F293" s="12"/>
      <c r="H293" s="14"/>
      <c r="I293" s="14"/>
      <c r="J293" s="15"/>
    </row>
    <row r="294" spans="1:10">
      <c r="A294" s="7"/>
      <c r="B294" s="1"/>
      <c r="C294" s="8"/>
      <c r="D294" s="9"/>
      <c r="E294" s="12"/>
      <c r="F294" s="12"/>
      <c r="H294" s="14"/>
      <c r="I294" s="14"/>
      <c r="J294" s="15"/>
    </row>
    <row r="295" spans="1:10">
      <c r="A295" s="7"/>
      <c r="B295" s="1"/>
      <c r="C295" s="8"/>
      <c r="D295" s="9"/>
      <c r="E295" s="12"/>
      <c r="F295" s="12"/>
      <c r="H295" s="14"/>
      <c r="I295" s="14"/>
      <c r="J295" s="15"/>
    </row>
    <row r="296" spans="1:10">
      <c r="A296" s="7"/>
      <c r="B296" s="1"/>
      <c r="C296" s="8"/>
      <c r="D296" s="9"/>
      <c r="E296" s="12"/>
      <c r="F296" s="12"/>
      <c r="H296" s="14"/>
      <c r="I296" s="14"/>
      <c r="J296" s="15"/>
    </row>
    <row r="297" spans="1:10">
      <c r="A297" s="7"/>
      <c r="B297" s="1"/>
      <c r="C297" s="8"/>
      <c r="D297" s="9"/>
      <c r="E297" s="12"/>
      <c r="F297" s="12"/>
      <c r="H297" s="14"/>
      <c r="I297" s="14"/>
      <c r="J297" s="15"/>
    </row>
  </sheetData>
  <conditionalFormatting sqref="H3">
    <cfRule type="containsText" dxfId="0" priority="1" operator="between" text="是">
      <formula>NOT(ISERROR(SEARCH("是",H3)))</formula>
    </cfRule>
  </conditionalFormatting>
  <conditionalFormatting sqref="J3">
    <cfRule type="containsText" dxfId="0" priority="2" operator="between" text="是">
      <formula>NOT(ISERROR(SEARCH("是",J3)))</formula>
    </cfRule>
  </conditionalFormatting>
  <conditionalFormatting sqref="H4:H42">
    <cfRule type="containsText" dxfId="0" priority="3" operator="between" text="是">
      <formula>NOT(ISERROR(SEARCH("是",H4)))</formula>
    </cfRule>
  </conditionalFormatting>
  <conditionalFormatting sqref="J4:J1048576">
    <cfRule type="containsText" dxfId="0" priority="4" operator="between" text="是">
      <formula>NOT(ISERROR(SEARCH("是",J4)))</formula>
    </cfRule>
  </conditionalFormatting>
  <pageMargins left="0.75" right="0.75" top="1" bottom="1" header="0.5" footer="0.5"/>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L308"/>
  <sheetViews>
    <sheetView workbookViewId="0">
      <selection activeCell="K24" sqref="K24"/>
    </sheetView>
  </sheetViews>
  <sheetFormatPr defaultColWidth="9" defaultRowHeight="16.8"/>
  <cols>
    <col min="1" max="1" width="11.125" customWidth="1"/>
    <col min="2" max="2" width="20.375" customWidth="1"/>
    <col min="3" max="3" width="9.375" customWidth="1"/>
    <col min="4" max="4" width="9.375" style="2" customWidth="1"/>
    <col min="5" max="5" width="9.375" style="21" customWidth="1"/>
    <col min="6" max="6" width="7.25" customWidth="1"/>
    <col min="7" max="7" width="9.375" customWidth="1"/>
    <col min="8" max="8" width="15.875" customWidth="1"/>
    <col min="9" max="10" width="20.375" customWidth="1"/>
    <col min="11" max="11" width="14.75" customWidth="1"/>
    <col min="12" max="12" width="5.625" customWidth="1"/>
  </cols>
  <sheetData>
    <row r="1" s="1" customFormat="1" spans="1:12">
      <c r="A1" s="1">
        <v>1</v>
      </c>
      <c r="B1" s="1">
        <v>2</v>
      </c>
      <c r="C1" s="1">
        <v>3</v>
      </c>
      <c r="D1" s="3">
        <v>4</v>
      </c>
      <c r="E1" s="1">
        <v>5</v>
      </c>
      <c r="G1" s="1">
        <v>6</v>
      </c>
      <c r="H1" s="14">
        <v>7</v>
      </c>
      <c r="I1" s="1">
        <v>8</v>
      </c>
      <c r="J1" s="1">
        <v>9</v>
      </c>
      <c r="K1" s="18">
        <v>10</v>
      </c>
      <c r="L1" s="1">
        <v>11</v>
      </c>
    </row>
    <row r="2" s="1" customFormat="1" ht="16.5" customHeight="1" spans="1:12">
      <c r="A2" s="4" t="s">
        <v>2</v>
      </c>
      <c r="B2" s="4" t="s">
        <v>64</v>
      </c>
      <c r="C2" s="5" t="s">
        <v>310</v>
      </c>
      <c r="D2" s="6" t="s">
        <v>311</v>
      </c>
      <c r="E2" s="5" t="s">
        <v>33</v>
      </c>
      <c r="G2" s="5" t="s">
        <v>22</v>
      </c>
      <c r="H2" s="10" t="s">
        <v>312</v>
      </c>
      <c r="I2" s="11" t="s">
        <v>313</v>
      </c>
      <c r="J2" s="11" t="s">
        <v>314</v>
      </c>
      <c r="K2" s="11" t="s">
        <v>315</v>
      </c>
      <c r="L2" s="5" t="s">
        <v>316</v>
      </c>
    </row>
    <row r="3" spans="1:2">
      <c r="A3" s="7">
        <f>IF(子基金及业绩基准周净值!A58="","",子基金及业绩基准周净值!A58)</f>
        <v>45856</v>
      </c>
      <c r="B3" s="1">
        <f>IF(A3="","",VLOOKUP($A3,子基金及业绩基准周净值!$A:$AV,27))</f>
        <v>1.0604</v>
      </c>
    </row>
    <row r="4" spans="1:11">
      <c r="A4" s="7">
        <f>IF(子基金及业绩基准周净值!A59="","",子基金及业绩基准周净值!A59)</f>
        <v>45863</v>
      </c>
      <c r="B4" s="1">
        <f>IF(A4="","",VLOOKUP($A4,子基金及业绩基准周净值!$A:$AV,27))</f>
        <v>1.0707</v>
      </c>
      <c r="C4" s="8">
        <f>IF(B4="","",B4/B3-1)</f>
        <v>0.00971331572991319</v>
      </c>
      <c r="D4" s="9">
        <f>IF(A4="","",C4-(子基金及业绩基准周净值!AG59/子基金及业绩基准周净值!AG58-1))</f>
        <v>0.00818875908844952</v>
      </c>
      <c r="E4" s="22">
        <f>IF(C4&gt;0,0,-C4)</f>
        <v>0</v>
      </c>
      <c r="F4" s="12">
        <f>IF(A4="","",(MAX(B$3:B4)-B4)/MAX(B$3:B4))</f>
        <v>0</v>
      </c>
      <c r="G4" s="12">
        <f>IF(A4="","",MAX(F$4:F4))</f>
        <v>0</v>
      </c>
      <c r="H4" s="13">
        <v>0</v>
      </c>
      <c r="I4" s="14" t="str">
        <f t="shared" ref="I4:I53" si="0">IF(A4="","",IF(F4&lt;3%,"否","是"))</f>
        <v>否</v>
      </c>
      <c r="J4" s="14" t="str">
        <f t="shared" ref="J4:J53" si="1">IF(A4="","",IF(G4&gt;5%,"是","否"))</f>
        <v>否</v>
      </c>
      <c r="K4" s="15" t="str">
        <f t="shared" ref="K4:K53" si="2">IF(A4="","",IF(H4&gt;=4,"是","否"))</f>
        <v>否</v>
      </c>
    </row>
    <row r="5" spans="1:11">
      <c r="A5" s="7">
        <f>IF(子基金及业绩基准周净值!A60="","",子基金及业绩基准周净值!A60)</f>
        <v>45870</v>
      </c>
      <c r="B5" s="1">
        <f>IF(A5="","",VLOOKUP($A5,子基金及业绩基准周净值!$A:$AV,27))</f>
        <v>1.0793</v>
      </c>
      <c r="C5" s="8">
        <f t="shared" ref="C5:C42" si="3">IF(B5="","",B5/B4-1)</f>
        <v>0.0080321285140561</v>
      </c>
      <c r="D5" s="9">
        <f>IF(A5="","",C5-(子基金及业绩基准周净值!AG60/子基金及业绩基准周净值!AG59-1))</f>
        <v>0.00507614992232908</v>
      </c>
      <c r="E5" s="22">
        <f t="shared" ref="E5:E13" si="4">IF(C5&gt;0,0,-C5)</f>
        <v>0</v>
      </c>
      <c r="F5" s="12">
        <f>IF(A5="","",(MAX(B$3:B5)-B5)/MAX(B$3:B5))</f>
        <v>0</v>
      </c>
      <c r="G5" s="12">
        <f>IF(A5="","",MAX(F$4:F5))</f>
        <v>0</v>
      </c>
      <c r="H5" s="13">
        <v>0</v>
      </c>
      <c r="I5" s="14" t="str">
        <f t="shared" si="0"/>
        <v>否</v>
      </c>
      <c r="J5" s="14" t="str">
        <f t="shared" si="1"/>
        <v>否</v>
      </c>
      <c r="K5" s="15" t="str">
        <f t="shared" si="2"/>
        <v>否</v>
      </c>
    </row>
    <row r="6" spans="1:11">
      <c r="A6" s="7">
        <f>IF(子基金及业绩基准周净值!A61="","",子基金及业绩基准周净值!A61)</f>
        <v>45877</v>
      </c>
      <c r="B6" s="1">
        <f>IF(A6="","",VLOOKUP($A6,子基金及业绩基准周净值!$A:$AV,27))</f>
        <v>1.092</v>
      </c>
      <c r="C6" s="8">
        <f t="shared" si="3"/>
        <v>0.0117668859445939</v>
      </c>
      <c r="D6" s="9">
        <f>IF(A6="","",C6-(子基金及业绩基准周净值!AG61/子基金及业绩基准周净值!AG60-1))</f>
        <v>0.00650344043014073</v>
      </c>
      <c r="E6" s="22">
        <f t="shared" si="4"/>
        <v>0</v>
      </c>
      <c r="F6" s="12">
        <f>IF(A6="","",(MAX(B$3:B6)-B6)/MAX(B$3:B6))</f>
        <v>0</v>
      </c>
      <c r="G6" s="12">
        <f>IF(A6="","",MAX(F$4:F6))</f>
        <v>0</v>
      </c>
      <c r="H6" s="13">
        <v>0</v>
      </c>
      <c r="I6" s="14" t="str">
        <f t="shared" si="0"/>
        <v>否</v>
      </c>
      <c r="J6" s="14" t="str">
        <f t="shared" si="1"/>
        <v>否</v>
      </c>
      <c r="K6" s="15" t="str">
        <f t="shared" si="2"/>
        <v>否</v>
      </c>
    </row>
    <row r="7" spans="1:11">
      <c r="A7" s="7">
        <f>IF(子基金及业绩基准周净值!A62="","",子基金及业绩基准周净值!A62)</f>
        <v>45884</v>
      </c>
      <c r="B7" s="1">
        <f>IF(A7="","",VLOOKUP($A7,子基金及业绩基准周净值!$A:$AV,27))</f>
        <v>1.0506</v>
      </c>
      <c r="C7" s="8">
        <f t="shared" si="3"/>
        <v>-0.037912087912088</v>
      </c>
      <c r="D7" s="9">
        <f>IF(A7="","",C7-(子基金及业绩基准周净值!AG62/子基金及业绩基准周净值!AG61-1))</f>
        <v>-0.032356215024673</v>
      </c>
      <c r="E7" s="22">
        <f t="shared" si="4"/>
        <v>0.037912087912088</v>
      </c>
      <c r="F7" s="12">
        <f>IF(A7="","",(MAX(B$3:B7)-B7)/MAX(B$3:B7))</f>
        <v>0.037912087912088</v>
      </c>
      <c r="G7" s="12">
        <f>IF(A7="","",MAX(F$4:F7))</f>
        <v>0.037912087912088</v>
      </c>
      <c r="H7" s="13">
        <v>1</v>
      </c>
      <c r="I7" s="14" t="str">
        <f t="shared" si="0"/>
        <v>是</v>
      </c>
      <c r="J7" s="14" t="str">
        <f t="shared" si="1"/>
        <v>否</v>
      </c>
      <c r="K7" s="15" t="str">
        <f t="shared" si="2"/>
        <v>否</v>
      </c>
    </row>
    <row r="8" spans="1:11">
      <c r="A8" s="7">
        <f>IF(子基金及业绩基准周净值!A63="","",子基金及业绩基准周净值!A63)</f>
        <v>45891</v>
      </c>
      <c r="B8" s="1">
        <f>IF(A8="","",VLOOKUP($A8,子基金及业绩基准周净值!$A:$AV,27))</f>
        <v>1.0437</v>
      </c>
      <c r="C8" s="8">
        <f t="shared" si="3"/>
        <v>-0.00656767561393479</v>
      </c>
      <c r="D8" s="9">
        <f>IF(A8="","",C8-(子基金及业绩基准周净值!AG63/子基金及业绩基准周净值!AG62-1))</f>
        <v>-0.00972524708650546</v>
      </c>
      <c r="E8" s="22">
        <f t="shared" si="4"/>
        <v>0.00656767561393479</v>
      </c>
      <c r="F8" s="12">
        <f>IF(A8="","",(MAX(B$3:B8)-B8)/MAX(B$3:B8))</f>
        <v>0.0442307692307692</v>
      </c>
      <c r="G8" s="12">
        <f>IF(A8="","",MAX(F$4:F8))</f>
        <v>0.0442307692307692</v>
      </c>
      <c r="H8" s="13">
        <v>2</v>
      </c>
      <c r="I8" s="14" t="str">
        <f t="shared" si="0"/>
        <v>是</v>
      </c>
      <c r="J8" s="14" t="str">
        <f t="shared" si="1"/>
        <v>否</v>
      </c>
      <c r="K8" s="15" t="str">
        <f t="shared" si="2"/>
        <v>否</v>
      </c>
    </row>
    <row r="9" spans="1:11">
      <c r="A9" s="7">
        <f>IF(子基金及业绩基准周净值!A64="","",子基金及业绩基准周净值!A64)</f>
        <v>45898</v>
      </c>
      <c r="B9" s="1">
        <f>IF(A9="","",VLOOKUP($A9,子基金及业绩基准周净值!$A:$AV,27))</f>
        <v>1.0005</v>
      </c>
      <c r="C9" s="8">
        <f t="shared" si="3"/>
        <v>-0.0413912043690717</v>
      </c>
      <c r="D9" s="9">
        <f>IF(A9="","",C9-(子基金及业绩基准周净值!AG64/子基金及业绩基准周净值!AG63-1))</f>
        <v>-0.0393479299393001</v>
      </c>
      <c r="E9" s="22">
        <f t="shared" si="4"/>
        <v>0.0413912043690717</v>
      </c>
      <c r="F9" s="12">
        <f>IF(A9="","",(MAX(B$3:B9)-B9)/MAX(B$3:B9))</f>
        <v>0.0837912087912089</v>
      </c>
      <c r="G9" s="12">
        <f>IF(A9="","",MAX(F$4:F9))</f>
        <v>0.0837912087912089</v>
      </c>
      <c r="H9" s="13">
        <v>3</v>
      </c>
      <c r="I9" s="14" t="str">
        <f t="shared" si="0"/>
        <v>是</v>
      </c>
      <c r="J9" s="14" t="str">
        <f t="shared" si="1"/>
        <v>是</v>
      </c>
      <c r="K9" s="15" t="str">
        <f t="shared" si="2"/>
        <v>否</v>
      </c>
    </row>
    <row r="10" spans="1:11">
      <c r="A10" s="7">
        <f>IF(子基金及业绩基准周净值!A65="","",子基金及业绩基准周净值!A65)</f>
        <v>45905</v>
      </c>
      <c r="B10" s="1">
        <f>IF(A10="","",VLOOKUP($A10,子基金及业绩基准周净值!$A:$AV,27))</f>
        <v>0.9948</v>
      </c>
      <c r="C10" s="8">
        <f t="shared" si="3"/>
        <v>-0.00569715142428784</v>
      </c>
      <c r="D10" s="9">
        <f>IF(A10="","",C10-(子基金及业绩基准周净值!AG65/子基金及业绩基准周净值!AG64-1))</f>
        <v>-0.00602871270704575</v>
      </c>
      <c r="E10" s="22">
        <f t="shared" si="4"/>
        <v>0.00569715142428784</v>
      </c>
      <c r="F10" s="12">
        <f>IF(A10="","",(MAX(B$3:B10)-B10)/MAX(B$3:B10))</f>
        <v>0.0890109890109891</v>
      </c>
      <c r="G10" s="12">
        <f>IF(A10="","",MAX(F$4:F10))</f>
        <v>0.0890109890109891</v>
      </c>
      <c r="H10" s="13">
        <v>4</v>
      </c>
      <c r="I10" s="14" t="str">
        <f t="shared" si="0"/>
        <v>是</v>
      </c>
      <c r="J10" s="14" t="str">
        <f t="shared" si="1"/>
        <v>是</v>
      </c>
      <c r="K10" s="15" t="str">
        <f t="shared" si="2"/>
        <v>是</v>
      </c>
    </row>
    <row r="11" spans="1:11">
      <c r="A11" s="7">
        <f>IF(子基金及业绩基准周净值!A66="","",子基金及业绩基准周净值!A66)</f>
        <v>45912</v>
      </c>
      <c r="B11" s="1">
        <f>IF(A11="","",VLOOKUP($A11,子基金及业绩基准周净值!$A:$AV,27))</f>
        <v>0.9859</v>
      </c>
      <c r="C11" s="8">
        <f t="shared" si="3"/>
        <v>-0.00894652191395262</v>
      </c>
      <c r="D11" s="9">
        <f>IF(A11="","",C11-(子基金及业绩基准周净值!AG66/子基金及业绩基准周净值!AG65-1))</f>
        <v>-0.0109839205298079</v>
      </c>
      <c r="E11" s="22">
        <f t="shared" si="4"/>
        <v>0.00894652191395262</v>
      </c>
      <c r="F11" s="12">
        <f>IF(A11="","",(MAX(B$3:B11)-B11)/MAX(B$3:B11))</f>
        <v>0.0971611721611722</v>
      </c>
      <c r="G11" s="12">
        <f>IF(A11="","",MAX(F$4:F11))</f>
        <v>0.0971611721611722</v>
      </c>
      <c r="H11" s="13">
        <v>5</v>
      </c>
      <c r="I11" s="14" t="str">
        <f t="shared" si="0"/>
        <v>是</v>
      </c>
      <c r="J11" s="14" t="str">
        <f t="shared" si="1"/>
        <v>是</v>
      </c>
      <c r="K11" s="15" t="str">
        <f t="shared" si="2"/>
        <v>是</v>
      </c>
    </row>
    <row r="12" spans="1:11">
      <c r="A12" s="7">
        <f>IF(子基金及业绩基准周净值!A67="","",子基金及业绩基准周净值!A67)</f>
        <v>45919</v>
      </c>
      <c r="B12" s="1">
        <f>IF(A12="","",VLOOKUP($A12,子基金及业绩基准周净值!$A:$AV,27))</f>
        <v>0.9695</v>
      </c>
      <c r="C12" s="8">
        <f t="shared" si="3"/>
        <v>-0.0166345471143118</v>
      </c>
      <c r="D12" s="9">
        <f>IF(A12="","",C12-(子基金及业绩基准周净值!AG67/子基金及业绩基准周净值!AG66-1))</f>
        <v>-0.0169158416934846</v>
      </c>
      <c r="E12" s="22">
        <f t="shared" si="4"/>
        <v>0.0166345471143118</v>
      </c>
      <c r="F12" s="12">
        <f>IF(A12="","",(MAX(B$3:B12)-B12)/MAX(B$3:B12))</f>
        <v>0.112179487179487</v>
      </c>
      <c r="G12" s="12">
        <f>IF(A12="","",MAX(F$4:F12))</f>
        <v>0.112179487179487</v>
      </c>
      <c r="H12" s="13">
        <v>6</v>
      </c>
      <c r="I12" s="14" t="str">
        <f t="shared" si="0"/>
        <v>是</v>
      </c>
      <c r="J12" s="14" t="str">
        <f t="shared" si="1"/>
        <v>是</v>
      </c>
      <c r="K12" s="15" t="str">
        <f t="shared" si="2"/>
        <v>是</v>
      </c>
    </row>
    <row r="13" spans="1:11">
      <c r="A13" s="7">
        <f>IF(子基金及业绩基准周净值!A68="","",子基金及业绩基准周净值!A68)</f>
        <v>45926</v>
      </c>
      <c r="B13" s="1">
        <f>IF(A13="","",VLOOKUP($A13,子基金及业绩基准周净值!$A:$AV,27))</f>
        <v>0.9788</v>
      </c>
      <c r="C13" s="8">
        <f t="shared" si="3"/>
        <v>0.00959257349149034</v>
      </c>
      <c r="D13" s="9">
        <f>IF(A13="","",C13-(子基金及业绩基准周净值!AG68/子基金及业绩基准周净值!AG67-1))</f>
        <v>0.0123983997769817</v>
      </c>
      <c r="E13" s="22">
        <f t="shared" si="4"/>
        <v>0</v>
      </c>
      <c r="F13" s="12">
        <f>IF(A13="","",(MAX(B$3:B13)-B13)/MAX(B$3:B13))</f>
        <v>0.103663003663004</v>
      </c>
      <c r="G13" s="12">
        <f>IF(A13="","",MAX(F$4:F13))</f>
        <v>0.112179487179487</v>
      </c>
      <c r="H13" s="13"/>
      <c r="I13" s="14" t="str">
        <f t="shared" si="0"/>
        <v>是</v>
      </c>
      <c r="J13" s="14" t="str">
        <f t="shared" si="1"/>
        <v>是</v>
      </c>
      <c r="K13" s="15" t="str">
        <f t="shared" si="2"/>
        <v>否</v>
      </c>
    </row>
    <row r="14" spans="1:11">
      <c r="A14" s="7">
        <f>IF(子基金及业绩基准周净值!A69="","",子基金及业绩基准周净值!A69)</f>
        <v>45940</v>
      </c>
      <c r="B14" s="1">
        <f>IF(A14="","",VLOOKUP($A14,子基金及业绩基准周净值!$A:$AV,27))</f>
        <v>0</v>
      </c>
      <c r="C14" s="8">
        <f t="shared" si="3"/>
        <v>-1</v>
      </c>
      <c r="D14" s="9">
        <f>IF(A14="","",C14-(子基金及业绩基准周净值!AG69/子基金及业绩基准周净值!AG68-1))</f>
        <v>-1.0020128398427</v>
      </c>
      <c r="E14" s="22"/>
      <c r="F14" s="12">
        <f>IF(A14="","",(MAX(B$3:B14)-B14)/MAX(B$3:B14))</f>
        <v>1</v>
      </c>
      <c r="G14" s="12">
        <f>IF(A14="","",MAX(F$4:F14))</f>
        <v>1</v>
      </c>
      <c r="H14" s="13"/>
      <c r="I14" s="14" t="str">
        <f t="shared" si="0"/>
        <v>是</v>
      </c>
      <c r="J14" s="14" t="str">
        <f t="shared" si="1"/>
        <v>是</v>
      </c>
      <c r="K14" s="15" t="str">
        <f t="shared" si="2"/>
        <v>否</v>
      </c>
    </row>
    <row r="15" spans="1:11">
      <c r="A15" s="7">
        <f>IF(子基金及业绩基准周净值!A70="","",子基金及业绩基准周净值!A70)</f>
        <v>45947</v>
      </c>
      <c r="B15" s="1">
        <f>IF(A15="","",VLOOKUP($A15,子基金及业绩基准周净值!$A:$AV,27))</f>
        <v>0</v>
      </c>
      <c r="C15" s="8" t="e">
        <f t="shared" si="3"/>
        <v>#DIV/0!</v>
      </c>
      <c r="D15" s="9" t="e">
        <f>IF(A15="","",C15-(子基金及业绩基准周净值!AG70/子基金及业绩基准周净值!AG69-1))</f>
        <v>#DIV/0!</v>
      </c>
      <c r="E15" s="22"/>
      <c r="F15" s="12">
        <f>IF(A15="","",(MAX(B$3:B15)-B15)/MAX(B$3:B15))</f>
        <v>1</v>
      </c>
      <c r="G15" s="12">
        <f>IF(A15="","",MAX(F$4:F15))</f>
        <v>1</v>
      </c>
      <c r="H15" s="13"/>
      <c r="I15" s="14" t="str">
        <f t="shared" si="0"/>
        <v>是</v>
      </c>
      <c r="J15" s="14" t="str">
        <f t="shared" si="1"/>
        <v>是</v>
      </c>
      <c r="K15" s="15" t="str">
        <f t="shared" si="2"/>
        <v>否</v>
      </c>
    </row>
    <row r="16" spans="1:11">
      <c r="A16" s="7">
        <f>IF(子基金及业绩基准周净值!A71="","",子基金及业绩基准周净值!A71)</f>
        <v>45954</v>
      </c>
      <c r="B16" s="1">
        <f>IF(A16="","",VLOOKUP($A16,子基金及业绩基准周净值!$A:$AV,27))</f>
        <v>0</v>
      </c>
      <c r="C16" s="8" t="e">
        <f t="shared" si="3"/>
        <v>#DIV/0!</v>
      </c>
      <c r="D16" s="9" t="e">
        <f>IF(A16="","",C16-(子基金及业绩基准周净值!AG71/子基金及业绩基准周净值!AG70-1))</f>
        <v>#DIV/0!</v>
      </c>
      <c r="E16" s="22"/>
      <c r="F16" s="12">
        <f>IF(A16="","",(MAX(B$3:B16)-B16)/MAX(B$3:B16))</f>
        <v>1</v>
      </c>
      <c r="G16" s="12">
        <f>IF(A16="","",MAX(F$4:F16))</f>
        <v>1</v>
      </c>
      <c r="H16" s="13"/>
      <c r="I16" s="14" t="str">
        <f t="shared" si="0"/>
        <v>是</v>
      </c>
      <c r="J16" s="14" t="str">
        <f t="shared" si="1"/>
        <v>是</v>
      </c>
      <c r="K16" s="15" t="str">
        <f t="shared" si="2"/>
        <v>否</v>
      </c>
    </row>
    <row r="17" spans="1:11">
      <c r="A17" s="7">
        <f>IF(子基金及业绩基准周净值!A72="","",子基金及业绩基准周净值!A72)</f>
        <v>45961</v>
      </c>
      <c r="B17" s="1">
        <f>IF(A17="","",VLOOKUP($A17,子基金及业绩基准周净值!$A:$AV,27))</f>
        <v>0</v>
      </c>
      <c r="C17" s="8" t="e">
        <f t="shared" si="3"/>
        <v>#DIV/0!</v>
      </c>
      <c r="D17" s="9" t="e">
        <f>IF(A17="","",C17-(子基金及业绩基准周净值!AG72/子基金及业绩基准周净值!AG71-1))</f>
        <v>#DIV/0!</v>
      </c>
      <c r="E17" s="22"/>
      <c r="F17" s="12">
        <f>IF(A17="","",(MAX(B$3:B17)-B17)/MAX(B$3:B17))</f>
        <v>1</v>
      </c>
      <c r="G17" s="12">
        <f>IF(A17="","",MAX(F$4:F17))</f>
        <v>1</v>
      </c>
      <c r="H17" s="13"/>
      <c r="I17" s="14" t="str">
        <f t="shared" si="0"/>
        <v>是</v>
      </c>
      <c r="J17" s="14" t="str">
        <f t="shared" si="1"/>
        <v>是</v>
      </c>
      <c r="K17" s="15" t="str">
        <f t="shared" si="2"/>
        <v>否</v>
      </c>
    </row>
    <row r="18" spans="1:11">
      <c r="A18" s="7" t="str">
        <f>IF(子基金及业绩基准周净值!A73="","",子基金及业绩基准周净值!A73)</f>
        <v/>
      </c>
      <c r="B18" s="1" t="str">
        <f>IF(A18="","",VLOOKUP($A18,子基金及业绩基准周净值!$A:$AV,27))</f>
        <v/>
      </c>
      <c r="C18" s="8" t="str">
        <f t="shared" si="3"/>
        <v/>
      </c>
      <c r="D18" s="9" t="str">
        <f>IF(A18="","",C18-(子基金及业绩基准周净值!AG73/子基金及业绩基准周净值!AG72-1))</f>
        <v/>
      </c>
      <c r="E18" s="22"/>
      <c r="F18" s="12" t="str">
        <f>IF(A18="","",(MAX(B$3:B18)-B18)/MAX(B$3:B18))</f>
        <v/>
      </c>
      <c r="G18" s="12" t="str">
        <f>IF(A18="","",MAX(F$4:F18))</f>
        <v/>
      </c>
      <c r="H18" s="13"/>
      <c r="I18" s="14" t="str">
        <f t="shared" si="0"/>
        <v/>
      </c>
      <c r="J18" s="14" t="str">
        <f t="shared" si="1"/>
        <v/>
      </c>
      <c r="K18" s="15" t="str">
        <f t="shared" si="2"/>
        <v/>
      </c>
    </row>
    <row r="19" spans="1:11">
      <c r="A19" s="7" t="str">
        <f>IF(子基金及业绩基准周净值!A74="","",子基金及业绩基准周净值!A74)</f>
        <v/>
      </c>
      <c r="B19" s="1" t="str">
        <f>IF(A19="","",VLOOKUP($A19,子基金及业绩基准周净值!$A:$AV,27))</f>
        <v/>
      </c>
      <c r="C19" s="8" t="str">
        <f t="shared" si="3"/>
        <v/>
      </c>
      <c r="D19" s="9" t="str">
        <f>IF(A19="","",C19-(子基金及业绩基准周净值!AG74/子基金及业绩基准周净值!AG73-1))</f>
        <v/>
      </c>
      <c r="E19" s="22"/>
      <c r="F19" s="12" t="str">
        <f>IF(A19="","",(MAX(B$3:B19)-B19)/MAX(B$3:B19))</f>
        <v/>
      </c>
      <c r="G19" s="12" t="str">
        <f>IF(A19="","",MAX(F$4:F19))</f>
        <v/>
      </c>
      <c r="H19" s="13"/>
      <c r="I19" s="14" t="str">
        <f t="shared" si="0"/>
        <v/>
      </c>
      <c r="J19" s="14" t="str">
        <f t="shared" si="1"/>
        <v/>
      </c>
      <c r="K19" s="15" t="str">
        <f t="shared" si="2"/>
        <v/>
      </c>
    </row>
    <row r="20" spans="1:11">
      <c r="A20" s="7" t="str">
        <f>IF(子基金及业绩基准周净值!A75="","",子基金及业绩基准周净值!A75)</f>
        <v/>
      </c>
      <c r="B20" s="1" t="str">
        <f>IF(A20="","",VLOOKUP($A20,子基金及业绩基准周净值!$A:$AV,27))</f>
        <v/>
      </c>
      <c r="C20" s="8" t="str">
        <f t="shared" si="3"/>
        <v/>
      </c>
      <c r="D20" s="9" t="str">
        <f>IF(A20="","",C20-(子基金及业绩基准周净值!AG75/子基金及业绩基准周净值!AG74-1))</f>
        <v/>
      </c>
      <c r="E20" s="22"/>
      <c r="F20" s="12" t="str">
        <f>IF(A20="","",(MAX(B$3:B20)-B20)/MAX(B$3:B20))</f>
        <v/>
      </c>
      <c r="G20" s="12" t="str">
        <f>IF(A20="","",MAX(F$4:F20))</f>
        <v/>
      </c>
      <c r="H20" s="13"/>
      <c r="I20" s="14" t="str">
        <f t="shared" si="0"/>
        <v/>
      </c>
      <c r="J20" s="14" t="str">
        <f t="shared" si="1"/>
        <v/>
      </c>
      <c r="K20" s="15" t="str">
        <f t="shared" si="2"/>
        <v/>
      </c>
    </row>
    <row r="21" spans="1:11">
      <c r="A21" s="7" t="str">
        <f>IF(子基金及业绩基准周净值!A76="","",子基金及业绩基准周净值!A76)</f>
        <v/>
      </c>
      <c r="B21" s="1" t="str">
        <f>IF(A21="","",VLOOKUP($A21,子基金及业绩基准周净值!$A:$AV,27))</f>
        <v/>
      </c>
      <c r="C21" s="8" t="str">
        <f t="shared" si="3"/>
        <v/>
      </c>
      <c r="D21" s="9" t="str">
        <f>IF(A21="","",C21-(子基金及业绩基准周净值!AG76/子基金及业绩基准周净值!AG75-1))</f>
        <v/>
      </c>
      <c r="E21" s="22"/>
      <c r="F21" s="12" t="str">
        <f>IF(A21="","",(MAX(B$3:B21)-B21)/MAX(B$3:B21))</f>
        <v/>
      </c>
      <c r="G21" s="12" t="str">
        <f>IF(A21="","",MAX(F$4:F21))</f>
        <v/>
      </c>
      <c r="H21" s="20"/>
      <c r="I21" s="14" t="str">
        <f t="shared" si="0"/>
        <v/>
      </c>
      <c r="J21" s="14" t="str">
        <f t="shared" si="1"/>
        <v/>
      </c>
      <c r="K21" s="15" t="str">
        <f t="shared" si="2"/>
        <v/>
      </c>
    </row>
    <row r="22" spans="1:11">
      <c r="A22" s="7" t="str">
        <f>IF(子基金及业绩基准周净值!A77="","",子基金及业绩基准周净值!A77)</f>
        <v/>
      </c>
      <c r="B22" s="1" t="str">
        <f>IF(A22="","",VLOOKUP($A22,子基金及业绩基准周净值!$A:$AV,27))</f>
        <v/>
      </c>
      <c r="C22" s="8" t="str">
        <f t="shared" si="3"/>
        <v/>
      </c>
      <c r="D22" s="9" t="str">
        <f>IF(A22="","",C22-(子基金及业绩基准周净值!AG77/子基金及业绩基准周净值!AG76-1))</f>
        <v/>
      </c>
      <c r="E22" s="22"/>
      <c r="F22" s="12" t="str">
        <f>IF(A22="","",(MAX(B$3:B22)-B22)/MAX(B$3:B22))</f>
        <v/>
      </c>
      <c r="G22" s="12" t="str">
        <f>IF(A22="","",MAX(F$4:F22))</f>
        <v/>
      </c>
      <c r="H22" s="13"/>
      <c r="I22" s="14" t="str">
        <f t="shared" si="0"/>
        <v/>
      </c>
      <c r="J22" s="14" t="str">
        <f t="shared" si="1"/>
        <v/>
      </c>
      <c r="K22" s="15" t="str">
        <f t="shared" si="2"/>
        <v/>
      </c>
    </row>
    <row r="23" spans="1:11">
      <c r="A23" s="7" t="str">
        <f>IF(子基金及业绩基准周净值!A78="","",子基金及业绩基准周净值!A78)</f>
        <v/>
      </c>
      <c r="B23" s="1" t="str">
        <f>IF(A23="","",VLOOKUP($A23,子基金及业绩基准周净值!$A:$AV,27))</f>
        <v/>
      </c>
      <c r="C23" s="8" t="str">
        <f t="shared" si="3"/>
        <v/>
      </c>
      <c r="D23" s="9" t="str">
        <f>IF(A23="","",C23-(子基金及业绩基准周净值!AG78/子基金及业绩基准周净值!AG77-1))</f>
        <v/>
      </c>
      <c r="E23" s="22"/>
      <c r="F23" s="12" t="str">
        <f>IF(A23="","",(MAX(B$3:B23)-B23)/MAX(B$3:B23))</f>
        <v/>
      </c>
      <c r="G23" s="12" t="str">
        <f>IF(A23="","",MAX(F$4:F23))</f>
        <v/>
      </c>
      <c r="H23" s="13"/>
      <c r="I23" s="14" t="str">
        <f t="shared" si="0"/>
        <v/>
      </c>
      <c r="J23" s="14" t="str">
        <f t="shared" si="1"/>
        <v/>
      </c>
      <c r="K23" s="15" t="str">
        <f t="shared" si="2"/>
        <v/>
      </c>
    </row>
    <row r="24" spans="1:11">
      <c r="A24" s="7" t="str">
        <f>IF(子基金及业绩基准周净值!A79="","",子基金及业绩基准周净值!A79)</f>
        <v/>
      </c>
      <c r="B24" s="1" t="str">
        <f>IF(A24="","",VLOOKUP($A24,子基金及业绩基准周净值!$A:$AV,27))</f>
        <v/>
      </c>
      <c r="C24" s="8" t="str">
        <f t="shared" si="3"/>
        <v/>
      </c>
      <c r="D24" s="9" t="str">
        <f>IF(A24="","",C24-(子基金及业绩基准周净值!AG79/子基金及业绩基准周净值!AG78-1))</f>
        <v/>
      </c>
      <c r="E24" s="22"/>
      <c r="F24" s="12" t="str">
        <f>IF(A24="","",(MAX(B$3:B24)-B24)/MAX(B$3:B24))</f>
        <v/>
      </c>
      <c r="G24" s="12" t="str">
        <f>IF(A24="","",MAX(F$4:F24))</f>
        <v/>
      </c>
      <c r="H24" s="13"/>
      <c r="I24" s="14" t="str">
        <f t="shared" si="0"/>
        <v/>
      </c>
      <c r="J24" s="14" t="str">
        <f t="shared" si="1"/>
        <v/>
      </c>
      <c r="K24" s="15" t="str">
        <f t="shared" si="2"/>
        <v/>
      </c>
    </row>
    <row r="25" spans="1:11">
      <c r="A25" s="7" t="str">
        <f>IF(子基金及业绩基准周净值!A80="","",子基金及业绩基准周净值!A80)</f>
        <v/>
      </c>
      <c r="B25" s="1" t="str">
        <f>IF(A25="","",VLOOKUP($A25,子基金及业绩基准周净值!$A:$AV,27))</f>
        <v/>
      </c>
      <c r="C25" s="8" t="str">
        <f t="shared" si="3"/>
        <v/>
      </c>
      <c r="D25" s="9" t="str">
        <f>IF(A25="","",C25-(子基金及业绩基准周净值!AG80/子基金及业绩基准周净值!AG79-1))</f>
        <v/>
      </c>
      <c r="E25" s="22"/>
      <c r="F25" s="12" t="str">
        <f>IF(A25="","",(MAX(B$3:B25)-B25)/MAX(B$3:B25))</f>
        <v/>
      </c>
      <c r="G25" s="12" t="str">
        <f>IF(A25="","",MAX(F$4:F25))</f>
        <v/>
      </c>
      <c r="H25" s="13"/>
      <c r="I25" s="14" t="str">
        <f t="shared" si="0"/>
        <v/>
      </c>
      <c r="J25" s="14" t="str">
        <f t="shared" si="1"/>
        <v/>
      </c>
      <c r="K25" s="15" t="str">
        <f t="shared" si="2"/>
        <v/>
      </c>
    </row>
    <row r="26" spans="1:11">
      <c r="A26" s="7" t="str">
        <f>IF(子基金及业绩基准周净值!A81="","",子基金及业绩基准周净值!A81)</f>
        <v/>
      </c>
      <c r="B26" s="1" t="str">
        <f>IF(A26="","",VLOOKUP($A26,子基金及业绩基准周净值!$A:$AV,27))</f>
        <v/>
      </c>
      <c r="C26" s="8" t="str">
        <f t="shared" si="3"/>
        <v/>
      </c>
      <c r="D26" s="9" t="str">
        <f>IF(A26="","",C26-(子基金及业绩基准周净值!AG81/子基金及业绩基准周净值!AG80-1))</f>
        <v/>
      </c>
      <c r="E26" s="22"/>
      <c r="F26" s="12" t="str">
        <f>IF(A26="","",(MAX(B$3:B26)-B26)/MAX(B$3:B26))</f>
        <v/>
      </c>
      <c r="G26" s="12" t="str">
        <f>IF(A26="","",MAX(F$4:F26))</f>
        <v/>
      </c>
      <c r="H26" s="13"/>
      <c r="I26" s="14" t="str">
        <f t="shared" si="0"/>
        <v/>
      </c>
      <c r="J26" s="14" t="str">
        <f t="shared" si="1"/>
        <v/>
      </c>
      <c r="K26" s="15" t="str">
        <f t="shared" si="2"/>
        <v/>
      </c>
    </row>
    <row r="27" spans="1:11">
      <c r="A27" s="7" t="str">
        <f>IF(子基金及业绩基准周净值!A82="","",子基金及业绩基准周净值!A82)</f>
        <v/>
      </c>
      <c r="B27" s="1" t="str">
        <f>IF(A27="","",VLOOKUP($A27,子基金及业绩基准周净值!$A:$AV,27))</f>
        <v/>
      </c>
      <c r="C27" s="8" t="str">
        <f t="shared" si="3"/>
        <v/>
      </c>
      <c r="D27" s="9" t="str">
        <f>IF(A27="","",C27-(子基金及业绩基准周净值!AG82/子基金及业绩基准周净值!AG81-1))</f>
        <v/>
      </c>
      <c r="E27" s="22"/>
      <c r="F27" s="12" t="str">
        <f>IF(A27="","",(MAX(B$3:B27)-B27)/MAX(B$3:B27))</f>
        <v/>
      </c>
      <c r="G27" s="12" t="str">
        <f>IF(A27="","",MAX(F$4:F27))</f>
        <v/>
      </c>
      <c r="H27" s="13"/>
      <c r="I27" s="14" t="str">
        <f t="shared" si="0"/>
        <v/>
      </c>
      <c r="J27" s="14" t="str">
        <f t="shared" si="1"/>
        <v/>
      </c>
      <c r="K27" s="15" t="str">
        <f t="shared" si="2"/>
        <v/>
      </c>
    </row>
    <row r="28" spans="1:11">
      <c r="A28" s="7" t="str">
        <f>IF(子基金及业绩基准周净值!A83="","",子基金及业绩基准周净值!A83)</f>
        <v/>
      </c>
      <c r="B28" s="1" t="str">
        <f>IF(A28="","",VLOOKUP($A28,子基金及业绩基准周净值!$A:$AV,27))</f>
        <v/>
      </c>
      <c r="C28" s="8" t="str">
        <f t="shared" si="3"/>
        <v/>
      </c>
      <c r="D28" s="9" t="str">
        <f>IF(A28="","",C28-(子基金及业绩基准周净值!AG83/子基金及业绩基准周净值!AG82-1))</f>
        <v/>
      </c>
      <c r="E28" s="22"/>
      <c r="F28" s="12" t="str">
        <f>IF(A28="","",(MAX(B$3:B28)-B28)/MAX(B$3:B28))</f>
        <v/>
      </c>
      <c r="G28" s="12" t="str">
        <f>IF(A28="","",MAX(F$4:F28))</f>
        <v/>
      </c>
      <c r="H28" s="13"/>
      <c r="I28" s="14" t="str">
        <f t="shared" si="0"/>
        <v/>
      </c>
      <c r="J28" s="14" t="str">
        <f t="shared" si="1"/>
        <v/>
      </c>
      <c r="K28" s="15" t="str">
        <f t="shared" si="2"/>
        <v/>
      </c>
    </row>
    <row r="29" spans="1:11">
      <c r="A29" s="7" t="str">
        <f>IF(子基金及业绩基准周净值!A84="","",子基金及业绩基准周净值!A84)</f>
        <v/>
      </c>
      <c r="B29" s="1" t="str">
        <f>IF(A29="","",VLOOKUP($A29,子基金及业绩基准周净值!$A:$AV,27))</f>
        <v/>
      </c>
      <c r="C29" s="8" t="str">
        <f t="shared" si="3"/>
        <v/>
      </c>
      <c r="D29" s="9" t="str">
        <f>IF(A29="","",C29-(子基金及业绩基准周净值!AG84/子基金及业绩基准周净值!AG83-1))</f>
        <v/>
      </c>
      <c r="E29" s="22"/>
      <c r="F29" s="12" t="str">
        <f>IF(A29="","",(MAX(B$3:B29)-B29)/MAX(B$3:B29))</f>
        <v/>
      </c>
      <c r="G29" s="12" t="str">
        <f>IF(A29="","",MAX(F$4:F29))</f>
        <v/>
      </c>
      <c r="H29" s="13"/>
      <c r="I29" s="14" t="str">
        <f t="shared" si="0"/>
        <v/>
      </c>
      <c r="J29" s="14" t="str">
        <f t="shared" si="1"/>
        <v/>
      </c>
      <c r="K29" s="15" t="str">
        <f t="shared" si="2"/>
        <v/>
      </c>
    </row>
    <row r="30" spans="1:11">
      <c r="A30" s="7" t="str">
        <f>IF(子基金及业绩基准周净值!A85="","",子基金及业绩基准周净值!A85)</f>
        <v/>
      </c>
      <c r="B30" s="1" t="str">
        <f>IF(A30="","",VLOOKUP($A30,子基金及业绩基准周净值!$A:$AV,27))</f>
        <v/>
      </c>
      <c r="C30" s="8" t="str">
        <f t="shared" si="3"/>
        <v/>
      </c>
      <c r="D30" s="9" t="str">
        <f>IF(A30="","",C30-(子基金及业绩基准周净值!AG85/子基金及业绩基准周净值!AG84-1))</f>
        <v/>
      </c>
      <c r="E30" s="22"/>
      <c r="F30" s="12" t="str">
        <f>IF(A30="","",(MAX(B$3:B30)-B30)/MAX(B$3:B30))</f>
        <v/>
      </c>
      <c r="G30" s="12" t="str">
        <f>IF(A30="","",MAX(F$4:F30))</f>
        <v/>
      </c>
      <c r="H30" s="13"/>
      <c r="I30" s="14" t="str">
        <f t="shared" si="0"/>
        <v/>
      </c>
      <c r="J30" s="14" t="str">
        <f t="shared" si="1"/>
        <v/>
      </c>
      <c r="K30" s="15" t="str">
        <f t="shared" si="2"/>
        <v/>
      </c>
    </row>
    <row r="31" spans="1:11">
      <c r="A31" s="7" t="str">
        <f>IF(子基金及业绩基准周净值!A86="","",子基金及业绩基准周净值!A86)</f>
        <v/>
      </c>
      <c r="B31" s="1" t="str">
        <f>IF(A31="","",VLOOKUP($A31,子基金及业绩基准周净值!$A:$AV,27))</f>
        <v/>
      </c>
      <c r="C31" s="8" t="str">
        <f t="shared" si="3"/>
        <v/>
      </c>
      <c r="D31" s="9" t="str">
        <f>IF(A31="","",C31-(子基金及业绩基准周净值!AG86/子基金及业绩基准周净值!AG85-1))</f>
        <v/>
      </c>
      <c r="E31" s="22"/>
      <c r="F31" s="12" t="str">
        <f>IF(A31="","",(MAX(B$3:B31)-B31)/MAX(B$3:B31))</f>
        <v/>
      </c>
      <c r="G31" s="12" t="str">
        <f>IF(A31="","",MAX(F$4:F31))</f>
        <v/>
      </c>
      <c r="H31" s="13"/>
      <c r="I31" s="14" t="str">
        <f t="shared" si="0"/>
        <v/>
      </c>
      <c r="J31" s="14" t="str">
        <f t="shared" si="1"/>
        <v/>
      </c>
      <c r="K31" s="15" t="str">
        <f t="shared" si="2"/>
        <v/>
      </c>
    </row>
    <row r="32" spans="1:11">
      <c r="A32" s="7" t="str">
        <f>IF(子基金及业绩基准周净值!A87="","",子基金及业绩基准周净值!A87)</f>
        <v/>
      </c>
      <c r="B32" s="1" t="str">
        <f>IF(A32="","",VLOOKUP($A32,子基金及业绩基准周净值!$A:$AV,27))</f>
        <v/>
      </c>
      <c r="C32" s="8" t="str">
        <f t="shared" si="3"/>
        <v/>
      </c>
      <c r="D32" s="9" t="str">
        <f>IF(A32="","",C32-(子基金及业绩基准周净值!AG87/子基金及业绩基准周净值!AG86-1))</f>
        <v/>
      </c>
      <c r="E32" s="22"/>
      <c r="F32" s="12" t="str">
        <f>IF(A32="","",(MAX(B$3:B32)-B32)/MAX(B$3:B32))</f>
        <v/>
      </c>
      <c r="G32" s="12" t="str">
        <f>IF(A32="","",MAX(F$4:F32))</f>
        <v/>
      </c>
      <c r="H32" s="13"/>
      <c r="I32" s="14" t="str">
        <f t="shared" si="0"/>
        <v/>
      </c>
      <c r="J32" s="14" t="str">
        <f t="shared" si="1"/>
        <v/>
      </c>
      <c r="K32" s="15" t="str">
        <f t="shared" si="2"/>
        <v/>
      </c>
    </row>
    <row r="33" spans="1:11">
      <c r="A33" s="7" t="str">
        <f>IF(子基金及业绩基准周净值!A88="","",子基金及业绩基准周净值!A88)</f>
        <v/>
      </c>
      <c r="B33" s="1" t="str">
        <f>IF(A33="","",VLOOKUP($A33,子基金及业绩基准周净值!$A:$AV,27))</f>
        <v/>
      </c>
      <c r="C33" s="8" t="str">
        <f t="shared" si="3"/>
        <v/>
      </c>
      <c r="D33" s="9" t="str">
        <f>IF(A33="","",C33-(子基金及业绩基准周净值!AG88/子基金及业绩基准周净值!AG87-1))</f>
        <v/>
      </c>
      <c r="E33" s="22"/>
      <c r="F33" s="12" t="str">
        <f>IF(A33="","",(MAX(B$3:B33)-B33)/MAX(B$3:B33))</f>
        <v/>
      </c>
      <c r="G33" s="12" t="str">
        <f>IF(A33="","",MAX(F$4:F33))</f>
        <v/>
      </c>
      <c r="H33" s="13"/>
      <c r="I33" s="14" t="str">
        <f t="shared" si="0"/>
        <v/>
      </c>
      <c r="J33" s="14" t="str">
        <f t="shared" si="1"/>
        <v/>
      </c>
      <c r="K33" s="15" t="str">
        <f t="shared" si="2"/>
        <v/>
      </c>
    </row>
    <row r="34" spans="1:11">
      <c r="A34" s="7" t="str">
        <f>IF(子基金及业绩基准周净值!A89="","",子基金及业绩基准周净值!A89)</f>
        <v/>
      </c>
      <c r="B34" s="1" t="str">
        <f>IF(A34="","",VLOOKUP($A34,子基金及业绩基准周净值!$A:$AV,27))</f>
        <v/>
      </c>
      <c r="C34" s="8" t="str">
        <f t="shared" si="3"/>
        <v/>
      </c>
      <c r="D34" s="9" t="str">
        <f>IF(A34="","",C34-(子基金及业绩基准周净值!AG89/子基金及业绩基准周净值!AG88-1))</f>
        <v/>
      </c>
      <c r="E34" s="22"/>
      <c r="F34" s="12" t="str">
        <f>IF(A34="","",(MAX(B$3:B34)-B34)/MAX(B$3:B34))</f>
        <v/>
      </c>
      <c r="G34" s="12" t="str">
        <f>IF(A34="","",MAX(F$4:F34))</f>
        <v/>
      </c>
      <c r="H34" s="13"/>
      <c r="I34" s="14" t="str">
        <f t="shared" si="0"/>
        <v/>
      </c>
      <c r="J34" s="14" t="str">
        <f t="shared" si="1"/>
        <v/>
      </c>
      <c r="K34" s="15" t="str">
        <f t="shared" si="2"/>
        <v/>
      </c>
    </row>
    <row r="35" spans="1:11">
      <c r="A35" s="7" t="str">
        <f>IF(子基金及业绩基准周净值!A90="","",子基金及业绩基准周净值!A90)</f>
        <v/>
      </c>
      <c r="B35" s="1" t="str">
        <f>IF(A35="","",VLOOKUP($A35,子基金及业绩基准周净值!$A:$AV,27))</f>
        <v/>
      </c>
      <c r="C35" s="8" t="str">
        <f t="shared" si="3"/>
        <v/>
      </c>
      <c r="D35" s="9" t="str">
        <f>IF(A35="","",C35-(子基金及业绩基准周净值!AG90/子基金及业绩基准周净值!AG89-1))</f>
        <v/>
      </c>
      <c r="E35" s="22"/>
      <c r="F35" s="12" t="str">
        <f>IF(A35="","",(MAX(B$3:B35)-B35)/MAX(B$3:B35))</f>
        <v/>
      </c>
      <c r="G35" s="12" t="str">
        <f>IF(A35="","",MAX(F$4:F35))</f>
        <v/>
      </c>
      <c r="H35" s="13"/>
      <c r="I35" s="14" t="str">
        <f t="shared" si="0"/>
        <v/>
      </c>
      <c r="J35" s="14" t="str">
        <f t="shared" si="1"/>
        <v/>
      </c>
      <c r="K35" s="15" t="str">
        <f t="shared" si="2"/>
        <v/>
      </c>
    </row>
    <row r="36" spans="1:11">
      <c r="A36" s="7" t="str">
        <f>IF(子基金及业绩基准周净值!A91="","",子基金及业绩基准周净值!A91)</f>
        <v/>
      </c>
      <c r="B36" s="1" t="str">
        <f>IF(A36="","",VLOOKUP($A36,子基金及业绩基准周净值!$A:$AV,27))</f>
        <v/>
      </c>
      <c r="C36" s="8" t="str">
        <f t="shared" si="3"/>
        <v/>
      </c>
      <c r="D36" s="9" t="str">
        <f>IF(A36="","",C36-(子基金及业绩基准周净值!AG91/子基金及业绩基准周净值!AG90-1))</f>
        <v/>
      </c>
      <c r="E36" s="22"/>
      <c r="F36" s="12" t="str">
        <f>IF(A36="","",(MAX(B$3:B36)-B36)/MAX(B$3:B36))</f>
        <v/>
      </c>
      <c r="G36" s="12" t="str">
        <f>IF(A36="","",MAX(F$4:F36))</f>
        <v/>
      </c>
      <c r="H36" s="13"/>
      <c r="I36" s="14" t="str">
        <f t="shared" si="0"/>
        <v/>
      </c>
      <c r="J36" s="14" t="str">
        <f t="shared" si="1"/>
        <v/>
      </c>
      <c r="K36" s="15" t="str">
        <f t="shared" si="2"/>
        <v/>
      </c>
    </row>
    <row r="37" spans="1:11">
      <c r="A37" s="7" t="str">
        <f>IF(子基金及业绩基准周净值!A92="","",子基金及业绩基准周净值!A92)</f>
        <v/>
      </c>
      <c r="B37" s="1" t="str">
        <f>IF(A37="","",VLOOKUP($A37,子基金及业绩基准周净值!$A:$AV,27))</f>
        <v/>
      </c>
      <c r="C37" s="8" t="str">
        <f t="shared" si="3"/>
        <v/>
      </c>
      <c r="D37" s="9" t="str">
        <f>IF(A37="","",C37-(子基金及业绩基准周净值!AG92/子基金及业绩基准周净值!AG91-1))</f>
        <v/>
      </c>
      <c r="E37" s="22"/>
      <c r="F37" s="12" t="str">
        <f>IF(A37="","",(MAX(B$3:B37)-B37)/MAX(B$3:B37))</f>
        <v/>
      </c>
      <c r="G37" s="12" t="str">
        <f>IF(A37="","",MAX(F$4:F37))</f>
        <v/>
      </c>
      <c r="H37" s="13"/>
      <c r="I37" s="14" t="str">
        <f t="shared" si="0"/>
        <v/>
      </c>
      <c r="J37" s="14" t="str">
        <f t="shared" si="1"/>
        <v/>
      </c>
      <c r="K37" s="15" t="str">
        <f t="shared" si="2"/>
        <v/>
      </c>
    </row>
    <row r="38" spans="1:11">
      <c r="A38" s="7" t="str">
        <f>IF(子基金及业绩基准周净值!A93="","",子基金及业绩基准周净值!A93)</f>
        <v/>
      </c>
      <c r="B38" s="1" t="str">
        <f>IF(A38="","",VLOOKUP($A38,子基金及业绩基准周净值!$A:$AV,27))</f>
        <v/>
      </c>
      <c r="C38" s="8" t="str">
        <f t="shared" si="3"/>
        <v/>
      </c>
      <c r="D38" s="9" t="str">
        <f>IF(A38="","",C38-(子基金及业绩基准周净值!AG93/子基金及业绩基准周净值!AG92-1))</f>
        <v/>
      </c>
      <c r="E38" s="22"/>
      <c r="F38" s="12" t="str">
        <f>IF(A38="","",(MAX(B$3:B38)-B38)/MAX(B$3:B38))</f>
        <v/>
      </c>
      <c r="G38" s="12" t="str">
        <f>IF(A38="","",MAX(F$4:F38))</f>
        <v/>
      </c>
      <c r="H38" s="13"/>
      <c r="I38" s="14" t="str">
        <f t="shared" si="0"/>
        <v/>
      </c>
      <c r="J38" s="14" t="str">
        <f t="shared" si="1"/>
        <v/>
      </c>
      <c r="K38" s="15" t="str">
        <f t="shared" si="2"/>
        <v/>
      </c>
    </row>
    <row r="39" spans="1:11">
      <c r="A39" s="7" t="str">
        <f>IF(子基金及业绩基准周净值!A94="","",子基金及业绩基准周净值!A94)</f>
        <v/>
      </c>
      <c r="B39" s="1" t="str">
        <f>IF(A39="","",VLOOKUP($A39,子基金及业绩基准周净值!$A:$AV,27))</f>
        <v/>
      </c>
      <c r="C39" s="8" t="str">
        <f t="shared" si="3"/>
        <v/>
      </c>
      <c r="D39" s="9" t="str">
        <f>IF(A39="","",C39-(子基金及业绩基准周净值!AG94/子基金及业绩基准周净值!AG93-1))</f>
        <v/>
      </c>
      <c r="E39" s="22"/>
      <c r="F39" s="12" t="str">
        <f>IF(A39="","",(MAX(B$3:B39)-B39)/MAX(B$3:B39))</f>
        <v/>
      </c>
      <c r="G39" s="12" t="str">
        <f>IF(A39="","",MAX(F$4:F39))</f>
        <v/>
      </c>
      <c r="H39" s="13"/>
      <c r="I39" s="14" t="str">
        <f t="shared" si="0"/>
        <v/>
      </c>
      <c r="J39" s="14" t="str">
        <f t="shared" si="1"/>
        <v/>
      </c>
      <c r="K39" s="15" t="str">
        <f t="shared" si="2"/>
        <v/>
      </c>
    </row>
    <row r="40" spans="1:11">
      <c r="A40" s="7" t="str">
        <f>IF(子基金及业绩基准周净值!A95="","",子基金及业绩基准周净值!A95)</f>
        <v/>
      </c>
      <c r="B40" s="1" t="str">
        <f>IF(A40="","",VLOOKUP($A40,子基金及业绩基准周净值!$A:$AV,27))</f>
        <v/>
      </c>
      <c r="C40" s="8" t="str">
        <f t="shared" si="3"/>
        <v/>
      </c>
      <c r="D40" s="9" t="str">
        <f>IF(A40="","",C40-(子基金及业绩基准周净值!AG95/子基金及业绩基准周净值!AG94-1))</f>
        <v/>
      </c>
      <c r="E40" s="22"/>
      <c r="F40" s="12" t="str">
        <f>IF(A40="","",(MAX(B$3:B40)-B40)/MAX(B$3:B40))</f>
        <v/>
      </c>
      <c r="G40" s="12" t="str">
        <f>IF(A40="","",MAX(F$4:F40))</f>
        <v/>
      </c>
      <c r="H40" s="13"/>
      <c r="I40" s="14" t="str">
        <f t="shared" si="0"/>
        <v/>
      </c>
      <c r="J40" s="14" t="str">
        <f t="shared" si="1"/>
        <v/>
      </c>
      <c r="K40" s="15" t="str">
        <f t="shared" si="2"/>
        <v/>
      </c>
    </row>
    <row r="41" spans="1:11">
      <c r="A41" s="7" t="str">
        <f>IF(子基金及业绩基准周净值!A96="","",子基金及业绩基准周净值!A96)</f>
        <v/>
      </c>
      <c r="B41" s="1" t="str">
        <f>IF(A41="","",VLOOKUP($A41,子基金及业绩基准周净值!$A:$AV,27))</f>
        <v/>
      </c>
      <c r="C41" s="8" t="str">
        <f t="shared" si="3"/>
        <v/>
      </c>
      <c r="D41" s="9" t="str">
        <f>IF(A41="","",C41-(子基金及业绩基准周净值!AG96/子基金及业绩基准周净值!AG95-1))</f>
        <v/>
      </c>
      <c r="E41" s="22"/>
      <c r="F41" s="12" t="str">
        <f>IF(A41="","",(MAX(B$3:B41)-B41)/MAX(B$3:B41))</f>
        <v/>
      </c>
      <c r="G41" s="12" t="str">
        <f>IF(A41="","",MAX(F$4:F41))</f>
        <v/>
      </c>
      <c r="H41" s="13"/>
      <c r="I41" s="14" t="str">
        <f t="shared" si="0"/>
        <v/>
      </c>
      <c r="J41" s="14" t="str">
        <f t="shared" si="1"/>
        <v/>
      </c>
      <c r="K41" s="15" t="str">
        <f t="shared" si="2"/>
        <v/>
      </c>
    </row>
    <row r="42" spans="1:11">
      <c r="A42" s="7"/>
      <c r="B42" s="1" t="str">
        <f>IF(A42="","",VLOOKUP($A42,子基金及业绩基准周净值!$A:$AV,27))</f>
        <v/>
      </c>
      <c r="C42" s="8" t="str">
        <f t="shared" si="3"/>
        <v/>
      </c>
      <c r="D42" s="9" t="str">
        <f>IF(A42="","",C42-(子基金及业绩基准周净值!AG97/子基金及业绩基准周净值!AG96-1))</f>
        <v/>
      </c>
      <c r="E42" s="22"/>
      <c r="F42" s="12" t="str">
        <f>IF(A42="","",(MAX(B$3:B42)-B42)/MAX(B$3:B42))</f>
        <v/>
      </c>
      <c r="G42" s="12" t="str">
        <f>IF(A42="","",MAX(F$4:F42))</f>
        <v/>
      </c>
      <c r="H42" s="13"/>
      <c r="I42" s="14" t="str">
        <f t="shared" si="0"/>
        <v/>
      </c>
      <c r="J42" s="14" t="str">
        <f t="shared" si="1"/>
        <v/>
      </c>
      <c r="K42" s="15" t="str">
        <f t="shared" si="2"/>
        <v/>
      </c>
    </row>
    <row r="43" spans="1:11">
      <c r="A43" s="7"/>
      <c r="B43" s="1"/>
      <c r="C43" s="8"/>
      <c r="D43" s="9"/>
      <c r="E43" s="22"/>
      <c r="F43" s="12" t="str">
        <f>IF(A43="","",(MAX(B$3:B43)-B43)/MAX(B$3:B43))</f>
        <v/>
      </c>
      <c r="G43" s="12" t="str">
        <f>IF(A43="","",MAX(F$4:F43))</f>
        <v/>
      </c>
      <c r="H43" s="13"/>
      <c r="I43" s="14" t="str">
        <f t="shared" si="0"/>
        <v/>
      </c>
      <c r="J43" s="14" t="str">
        <f t="shared" si="1"/>
        <v/>
      </c>
      <c r="K43" s="15" t="str">
        <f t="shared" si="2"/>
        <v/>
      </c>
    </row>
    <row r="44" spans="1:11">
      <c r="A44" s="7"/>
      <c r="B44" s="1"/>
      <c r="C44" s="8"/>
      <c r="D44" s="9"/>
      <c r="E44" s="22"/>
      <c r="F44" s="12" t="str">
        <f>IF(A44="","",(MAX(B$3:B44)-B44)/MAX(B$3:B44))</f>
        <v/>
      </c>
      <c r="G44" s="12" t="str">
        <f>IF(A44="","",MAX(F$4:F44))</f>
        <v/>
      </c>
      <c r="H44" s="13"/>
      <c r="I44" s="14" t="str">
        <f t="shared" si="0"/>
        <v/>
      </c>
      <c r="J44" s="14" t="str">
        <f t="shared" si="1"/>
        <v/>
      </c>
      <c r="K44" s="15" t="str">
        <f t="shared" si="2"/>
        <v/>
      </c>
    </row>
    <row r="45" spans="1:11">
      <c r="A45" s="7"/>
      <c r="B45" s="1"/>
      <c r="C45" s="8"/>
      <c r="D45" s="9"/>
      <c r="E45" s="22"/>
      <c r="F45" s="12" t="str">
        <f>IF(A45="","",(MAX(B$3:B45)-B45)/MAX(B$3:B45))</f>
        <v/>
      </c>
      <c r="G45" s="12" t="str">
        <f>IF(A45="","",MAX(F$4:F45))</f>
        <v/>
      </c>
      <c r="H45" s="13"/>
      <c r="I45" s="14" t="str">
        <f t="shared" si="0"/>
        <v/>
      </c>
      <c r="J45" s="14" t="str">
        <f t="shared" si="1"/>
        <v/>
      </c>
      <c r="K45" s="15" t="str">
        <f t="shared" si="2"/>
        <v/>
      </c>
    </row>
    <row r="46" spans="1:11">
      <c r="A46" s="7"/>
      <c r="B46" s="1"/>
      <c r="C46" s="8"/>
      <c r="D46" s="9"/>
      <c r="E46" s="22"/>
      <c r="F46" s="12" t="str">
        <f>IF(A46="","",(MAX(B$3:B46)-B46)/MAX(B$3:B46))</f>
        <v/>
      </c>
      <c r="G46" s="12" t="str">
        <f>IF(A46="","",MAX(F$4:F46))</f>
        <v/>
      </c>
      <c r="H46" s="13"/>
      <c r="I46" s="14" t="str">
        <f t="shared" si="0"/>
        <v/>
      </c>
      <c r="J46" s="14" t="str">
        <f t="shared" si="1"/>
        <v/>
      </c>
      <c r="K46" s="15" t="str">
        <f t="shared" si="2"/>
        <v/>
      </c>
    </row>
    <row r="47" spans="1:11">
      <c r="A47" s="7"/>
      <c r="B47" s="1"/>
      <c r="C47" s="8"/>
      <c r="D47" s="9"/>
      <c r="E47" s="22"/>
      <c r="F47" s="12" t="str">
        <f>IF(A47="","",(MAX(B$3:B47)-B47)/MAX(B$3:B47))</f>
        <v/>
      </c>
      <c r="G47" s="12" t="str">
        <f>IF(A47="","",MAX(F$4:F47))</f>
        <v/>
      </c>
      <c r="H47" s="13"/>
      <c r="I47" s="14" t="str">
        <f t="shared" si="0"/>
        <v/>
      </c>
      <c r="J47" s="14" t="str">
        <f t="shared" si="1"/>
        <v/>
      </c>
      <c r="K47" s="15" t="str">
        <f t="shared" si="2"/>
        <v/>
      </c>
    </row>
    <row r="48" spans="1:11">
      <c r="A48" s="7"/>
      <c r="B48" s="1"/>
      <c r="C48" s="8"/>
      <c r="D48" s="9"/>
      <c r="E48" s="22"/>
      <c r="F48" s="12" t="str">
        <f>IF(A48="","",(MAX(B$3:B48)-B48)/MAX(B$3:B48))</f>
        <v/>
      </c>
      <c r="G48" s="12" t="str">
        <f>IF(A48="","",MAX(F$4:F48))</f>
        <v/>
      </c>
      <c r="H48" s="13"/>
      <c r="I48" s="14" t="str">
        <f t="shared" si="0"/>
        <v/>
      </c>
      <c r="J48" s="14" t="str">
        <f t="shared" si="1"/>
        <v/>
      </c>
      <c r="K48" s="15" t="str">
        <f t="shared" si="2"/>
        <v/>
      </c>
    </row>
    <row r="49" spans="1:11">
      <c r="A49" s="7"/>
      <c r="B49" s="1"/>
      <c r="C49" s="8"/>
      <c r="D49" s="9"/>
      <c r="E49" s="22"/>
      <c r="F49" s="12" t="str">
        <f>IF(A49="","",(MAX(B$3:B49)-B49)/MAX(B$3:B49))</f>
        <v/>
      </c>
      <c r="G49" s="12" t="str">
        <f>IF(A49="","",MAX(F$4:F49))</f>
        <v/>
      </c>
      <c r="H49" s="13"/>
      <c r="I49" s="14" t="str">
        <f t="shared" si="0"/>
        <v/>
      </c>
      <c r="J49" s="14" t="str">
        <f t="shared" si="1"/>
        <v/>
      </c>
      <c r="K49" s="15" t="str">
        <f t="shared" si="2"/>
        <v/>
      </c>
    </row>
    <row r="50" spans="1:11">
      <c r="A50" s="7"/>
      <c r="B50" s="1"/>
      <c r="C50" s="8"/>
      <c r="D50" s="9"/>
      <c r="E50" s="22"/>
      <c r="F50" s="12" t="str">
        <f>IF(A50="","",(MAX(B$3:B50)-B50)/MAX(B$3:B50))</f>
        <v/>
      </c>
      <c r="G50" s="12" t="str">
        <f>IF(A50="","",MAX(F$4:F50))</f>
        <v/>
      </c>
      <c r="H50" s="13"/>
      <c r="I50" s="14" t="str">
        <f t="shared" si="0"/>
        <v/>
      </c>
      <c r="J50" s="14" t="str">
        <f t="shared" si="1"/>
        <v/>
      </c>
      <c r="K50" s="15" t="str">
        <f t="shared" si="2"/>
        <v/>
      </c>
    </row>
    <row r="51" spans="1:11">
      <c r="A51" s="7"/>
      <c r="B51" s="1"/>
      <c r="C51" s="8"/>
      <c r="D51" s="9"/>
      <c r="E51" s="22"/>
      <c r="F51" s="12" t="str">
        <f>IF(A51="","",(MAX(B$3:B51)-B51)/MAX(B$3:B51))</f>
        <v/>
      </c>
      <c r="G51" s="12" t="str">
        <f>IF(A51="","",MAX(F$4:F51))</f>
        <v/>
      </c>
      <c r="H51" s="13"/>
      <c r="I51" s="14" t="str">
        <f t="shared" si="0"/>
        <v/>
      </c>
      <c r="J51" s="14" t="str">
        <f t="shared" si="1"/>
        <v/>
      </c>
      <c r="K51" s="15" t="str">
        <f t="shared" si="2"/>
        <v/>
      </c>
    </row>
    <row r="52" spans="1:11">
      <c r="A52" s="7"/>
      <c r="B52" s="1"/>
      <c r="C52" s="8"/>
      <c r="D52" s="9"/>
      <c r="E52" s="22"/>
      <c r="F52" s="12" t="str">
        <f>IF(A52="","",(MAX(B$3:B52)-B52)/MAX(B$3:B52))</f>
        <v/>
      </c>
      <c r="G52" s="12" t="str">
        <f>IF(A52="","",MAX(F$4:F52))</f>
        <v/>
      </c>
      <c r="H52" s="13"/>
      <c r="I52" s="14" t="str">
        <f t="shared" si="0"/>
        <v/>
      </c>
      <c r="J52" s="14" t="str">
        <f t="shared" si="1"/>
        <v/>
      </c>
      <c r="K52" s="15" t="str">
        <f t="shared" si="2"/>
        <v/>
      </c>
    </row>
    <row r="53" spans="1:11">
      <c r="A53" s="7"/>
      <c r="B53" s="1"/>
      <c r="C53" s="8"/>
      <c r="D53" s="9"/>
      <c r="E53" s="22"/>
      <c r="F53" s="12" t="str">
        <f>IF(A53="","",(MAX(B$3:B53)-B53)/MAX(B$3:B53))</f>
        <v/>
      </c>
      <c r="G53" s="12" t="str">
        <f>IF(A53="","",MAX(F$4:F53))</f>
        <v/>
      </c>
      <c r="H53" s="13"/>
      <c r="I53" s="14" t="str">
        <f t="shared" si="0"/>
        <v/>
      </c>
      <c r="J53" s="14" t="str">
        <f t="shared" si="1"/>
        <v/>
      </c>
      <c r="K53" s="15" t="str">
        <f t="shared" si="2"/>
        <v/>
      </c>
    </row>
    <row r="54" spans="1:11">
      <c r="A54" s="7"/>
      <c r="B54" s="1"/>
      <c r="C54" s="8"/>
      <c r="D54" s="9"/>
      <c r="E54" s="22"/>
      <c r="F54" s="12"/>
      <c r="G54" s="12"/>
      <c r="H54" s="13"/>
      <c r="I54" s="14"/>
      <c r="J54" s="14"/>
      <c r="K54" s="15"/>
    </row>
    <row r="55" spans="1:11">
      <c r="A55" s="7"/>
      <c r="B55" s="1"/>
      <c r="C55" s="8"/>
      <c r="D55" s="9"/>
      <c r="E55" s="22"/>
      <c r="F55" s="12"/>
      <c r="G55" s="12"/>
      <c r="H55" s="13"/>
      <c r="I55" s="14"/>
      <c r="J55" s="14"/>
      <c r="K55" s="15"/>
    </row>
    <row r="56" spans="1:11">
      <c r="A56" s="7"/>
      <c r="B56" s="1"/>
      <c r="C56" s="8"/>
      <c r="D56" s="9"/>
      <c r="E56" s="22"/>
      <c r="F56" s="12"/>
      <c r="G56" s="12"/>
      <c r="H56" s="13"/>
      <c r="I56" s="14"/>
      <c r="J56" s="14"/>
      <c r="K56" s="15"/>
    </row>
    <row r="57" spans="1:11">
      <c r="A57" s="7"/>
      <c r="B57" s="1"/>
      <c r="C57" s="8"/>
      <c r="D57" s="9"/>
      <c r="E57" s="22"/>
      <c r="F57" s="12"/>
      <c r="G57" s="12"/>
      <c r="H57" s="13"/>
      <c r="I57" s="14"/>
      <c r="J57" s="14"/>
      <c r="K57" s="15"/>
    </row>
    <row r="58" spans="1:11">
      <c r="A58" s="7"/>
      <c r="B58" s="1"/>
      <c r="C58" s="8"/>
      <c r="D58" s="9"/>
      <c r="E58" s="22"/>
      <c r="F58" s="12"/>
      <c r="G58" s="12"/>
      <c r="H58" s="13"/>
      <c r="I58" s="14"/>
      <c r="J58" s="14"/>
      <c r="K58" s="15"/>
    </row>
    <row r="59" spans="1:11">
      <c r="A59" s="7"/>
      <c r="B59" s="1"/>
      <c r="C59" s="8"/>
      <c r="D59" s="9"/>
      <c r="E59" s="22"/>
      <c r="F59" s="12"/>
      <c r="G59" s="12"/>
      <c r="H59" s="13"/>
      <c r="I59" s="14"/>
      <c r="J59" s="14"/>
      <c r="K59" s="15"/>
    </row>
    <row r="60" spans="1:11">
      <c r="A60" s="7"/>
      <c r="B60" s="1"/>
      <c r="C60" s="8"/>
      <c r="D60" s="9"/>
      <c r="E60" s="22"/>
      <c r="F60" s="12"/>
      <c r="G60" s="12"/>
      <c r="H60" s="13"/>
      <c r="I60" s="14"/>
      <c r="J60" s="14"/>
      <c r="K60" s="15"/>
    </row>
    <row r="61" spans="1:11">
      <c r="A61" s="7"/>
      <c r="B61" s="1"/>
      <c r="C61" s="8"/>
      <c r="D61" s="9"/>
      <c r="E61" s="22"/>
      <c r="F61" s="12"/>
      <c r="G61" s="12"/>
      <c r="H61" s="13"/>
      <c r="I61" s="14"/>
      <c r="J61" s="14"/>
      <c r="K61" s="15"/>
    </row>
    <row r="62" spans="1:11">
      <c r="A62" s="7"/>
      <c r="B62" s="1"/>
      <c r="C62" s="8"/>
      <c r="D62" s="9"/>
      <c r="E62" s="22"/>
      <c r="F62" s="12"/>
      <c r="G62" s="12"/>
      <c r="H62" s="13"/>
      <c r="I62" s="14"/>
      <c r="J62" s="14"/>
      <c r="K62" s="15"/>
    </row>
    <row r="63" spans="1:11">
      <c r="A63" s="7"/>
      <c r="B63" s="1"/>
      <c r="C63" s="8"/>
      <c r="D63" s="9"/>
      <c r="E63" s="22"/>
      <c r="F63" s="12"/>
      <c r="G63" s="12"/>
      <c r="H63" s="13"/>
      <c r="I63" s="14"/>
      <c r="J63" s="14"/>
      <c r="K63" s="15"/>
    </row>
    <row r="64" spans="1:11">
      <c r="A64" s="7"/>
      <c r="B64" s="1"/>
      <c r="C64" s="8"/>
      <c r="D64" s="9"/>
      <c r="E64" s="22"/>
      <c r="F64" s="12"/>
      <c r="G64" s="12"/>
      <c r="H64" s="13"/>
      <c r="I64" s="14"/>
      <c r="J64" s="14"/>
      <c r="K64" s="15"/>
    </row>
    <row r="65" spans="1:11">
      <c r="A65" s="7"/>
      <c r="B65" s="1"/>
      <c r="C65" s="8"/>
      <c r="D65" s="9"/>
      <c r="E65" s="22"/>
      <c r="F65" s="12"/>
      <c r="G65" s="12"/>
      <c r="H65" s="13"/>
      <c r="I65" s="14"/>
      <c r="J65" s="14"/>
      <c r="K65" s="15"/>
    </row>
    <row r="66" spans="1:11">
      <c r="A66" s="7"/>
      <c r="B66" s="1"/>
      <c r="C66" s="8"/>
      <c r="D66" s="9"/>
      <c r="E66" s="22"/>
      <c r="F66" s="12"/>
      <c r="G66" s="12"/>
      <c r="H66" s="13"/>
      <c r="I66" s="14"/>
      <c r="J66" s="14"/>
      <c r="K66" s="15"/>
    </row>
    <row r="67" spans="1:11">
      <c r="A67" s="7"/>
      <c r="B67" s="1"/>
      <c r="C67" s="8"/>
      <c r="D67" s="9"/>
      <c r="E67" s="22"/>
      <c r="F67" s="12"/>
      <c r="G67" s="12"/>
      <c r="H67" s="13"/>
      <c r="I67" s="14"/>
      <c r="J67" s="14"/>
      <c r="K67" s="15"/>
    </row>
    <row r="68" spans="1:11">
      <c r="A68" s="7"/>
      <c r="B68" s="1"/>
      <c r="C68" s="8"/>
      <c r="D68" s="9"/>
      <c r="E68" s="22"/>
      <c r="F68" s="12"/>
      <c r="G68" s="12"/>
      <c r="H68" s="13"/>
      <c r="I68" s="14"/>
      <c r="J68" s="14"/>
      <c r="K68" s="15"/>
    </row>
    <row r="69" spans="1:11">
      <c r="A69" s="7"/>
      <c r="B69" s="1"/>
      <c r="C69" s="8"/>
      <c r="D69" s="9"/>
      <c r="E69" s="22"/>
      <c r="F69" s="12"/>
      <c r="G69" s="12"/>
      <c r="H69" s="13"/>
      <c r="I69" s="14"/>
      <c r="J69" s="14"/>
      <c r="K69" s="15"/>
    </row>
    <row r="70" spans="1:11">
      <c r="A70" s="7"/>
      <c r="B70" s="1"/>
      <c r="C70" s="8"/>
      <c r="D70" s="9"/>
      <c r="E70" s="22"/>
      <c r="F70" s="12"/>
      <c r="G70" s="12"/>
      <c r="H70" s="13"/>
      <c r="I70" s="14"/>
      <c r="J70" s="14"/>
      <c r="K70" s="15"/>
    </row>
    <row r="71" spans="1:11">
      <c r="A71" s="7"/>
      <c r="B71" s="1"/>
      <c r="C71" s="8"/>
      <c r="D71" s="9"/>
      <c r="E71" s="22"/>
      <c r="F71" s="12"/>
      <c r="G71" s="12"/>
      <c r="H71" s="13"/>
      <c r="I71" s="14"/>
      <c r="J71" s="14"/>
      <c r="K71" s="15"/>
    </row>
    <row r="72" spans="1:11">
      <c r="A72" s="7"/>
      <c r="B72" s="1"/>
      <c r="C72" s="8"/>
      <c r="D72" s="9"/>
      <c r="E72" s="22"/>
      <c r="F72" s="12"/>
      <c r="G72" s="12"/>
      <c r="H72" s="13"/>
      <c r="I72" s="14"/>
      <c r="J72" s="14"/>
      <c r="K72" s="15"/>
    </row>
    <row r="73" spans="1:11">
      <c r="A73" s="7"/>
      <c r="B73" s="1"/>
      <c r="C73" s="8"/>
      <c r="D73" s="9"/>
      <c r="E73" s="22"/>
      <c r="F73" s="12"/>
      <c r="G73" s="12"/>
      <c r="H73" s="13"/>
      <c r="I73" s="14"/>
      <c r="J73" s="14"/>
      <c r="K73" s="15"/>
    </row>
    <row r="74" spans="1:11">
      <c r="A74" s="7"/>
      <c r="B74" s="1"/>
      <c r="C74" s="8"/>
      <c r="D74" s="9"/>
      <c r="E74" s="22"/>
      <c r="F74" s="12"/>
      <c r="G74" s="12"/>
      <c r="H74" s="13"/>
      <c r="I74" s="14"/>
      <c r="J74" s="14"/>
      <c r="K74" s="15"/>
    </row>
    <row r="75" spans="1:11">
      <c r="A75" s="7"/>
      <c r="B75" s="1"/>
      <c r="C75" s="8"/>
      <c r="D75" s="9"/>
      <c r="E75" s="22"/>
      <c r="F75" s="12"/>
      <c r="G75" s="12"/>
      <c r="H75" s="13"/>
      <c r="I75" s="14"/>
      <c r="J75" s="14"/>
      <c r="K75" s="15"/>
    </row>
    <row r="76" spans="1:11">
      <c r="A76" s="7"/>
      <c r="B76" s="1"/>
      <c r="C76" s="8"/>
      <c r="D76" s="9"/>
      <c r="E76" s="22"/>
      <c r="F76" s="12"/>
      <c r="G76" s="12"/>
      <c r="H76" s="13"/>
      <c r="I76" s="14"/>
      <c r="J76" s="14"/>
      <c r="K76" s="15"/>
    </row>
    <row r="77" spans="1:11">
      <c r="A77" s="7"/>
      <c r="B77" s="1"/>
      <c r="C77" s="8"/>
      <c r="D77" s="9"/>
      <c r="E77" s="22"/>
      <c r="F77" s="12"/>
      <c r="G77" s="12"/>
      <c r="H77" s="13"/>
      <c r="I77" s="14"/>
      <c r="J77" s="14"/>
      <c r="K77" s="15"/>
    </row>
    <row r="78" spans="1:11">
      <c r="A78" s="7"/>
      <c r="B78" s="1"/>
      <c r="C78" s="8"/>
      <c r="D78" s="9"/>
      <c r="E78" s="22"/>
      <c r="F78" s="12"/>
      <c r="G78" s="12"/>
      <c r="H78" s="13"/>
      <c r="I78" s="14"/>
      <c r="J78" s="14"/>
      <c r="K78" s="15"/>
    </row>
    <row r="79" spans="1:11">
      <c r="A79" s="7"/>
      <c r="B79" s="1"/>
      <c r="C79" s="8"/>
      <c r="D79" s="9"/>
      <c r="E79" s="22"/>
      <c r="F79" s="12"/>
      <c r="G79" s="12"/>
      <c r="H79" s="13"/>
      <c r="I79" s="14"/>
      <c r="J79" s="14"/>
      <c r="K79" s="15"/>
    </row>
    <row r="80" spans="1:11">
      <c r="A80" s="7"/>
      <c r="B80" s="1"/>
      <c r="C80" s="8"/>
      <c r="D80" s="9"/>
      <c r="E80" s="22"/>
      <c r="F80" s="12"/>
      <c r="G80" s="12"/>
      <c r="H80" s="13"/>
      <c r="I80" s="14"/>
      <c r="J80" s="14"/>
      <c r="K80" s="15"/>
    </row>
    <row r="81" spans="1:11">
      <c r="A81" s="7"/>
      <c r="B81" s="1"/>
      <c r="C81" s="8"/>
      <c r="D81" s="9"/>
      <c r="E81" s="22"/>
      <c r="F81" s="12"/>
      <c r="G81" s="12"/>
      <c r="H81" s="13"/>
      <c r="I81" s="14"/>
      <c r="J81" s="14"/>
      <c r="K81" s="15"/>
    </row>
    <row r="82" spans="1:11">
      <c r="A82" s="7"/>
      <c r="B82" s="1"/>
      <c r="C82" s="8"/>
      <c r="D82" s="9"/>
      <c r="E82" s="22"/>
      <c r="F82" s="12"/>
      <c r="G82" s="12"/>
      <c r="H82" s="13"/>
      <c r="I82" s="14"/>
      <c r="J82" s="14"/>
      <c r="K82" s="15"/>
    </row>
    <row r="83" spans="1:11">
      <c r="A83" s="7"/>
      <c r="B83" s="1"/>
      <c r="C83" s="8"/>
      <c r="D83" s="9"/>
      <c r="E83" s="22"/>
      <c r="F83" s="12"/>
      <c r="G83" s="12"/>
      <c r="H83" s="13"/>
      <c r="I83" s="14"/>
      <c r="J83" s="14"/>
      <c r="K83" s="15"/>
    </row>
    <row r="84" spans="1:11">
      <c r="A84" s="7"/>
      <c r="B84" s="1"/>
      <c r="C84" s="8"/>
      <c r="D84" s="9"/>
      <c r="E84" s="22"/>
      <c r="F84" s="12"/>
      <c r="G84" s="12"/>
      <c r="H84" s="13"/>
      <c r="I84" s="14"/>
      <c r="J84" s="14"/>
      <c r="K84" s="15"/>
    </row>
    <row r="85" spans="1:11">
      <c r="A85" s="7"/>
      <c r="B85" s="1"/>
      <c r="C85" s="8"/>
      <c r="D85" s="9"/>
      <c r="E85" s="22"/>
      <c r="F85" s="12"/>
      <c r="G85" s="12"/>
      <c r="H85" s="13"/>
      <c r="I85" s="14"/>
      <c r="J85" s="14"/>
      <c r="K85" s="15"/>
    </row>
    <row r="86" spans="1:11">
      <c r="A86" s="7"/>
      <c r="B86" s="1"/>
      <c r="C86" s="8"/>
      <c r="D86" s="9"/>
      <c r="E86" s="22"/>
      <c r="F86" s="12"/>
      <c r="G86" s="12"/>
      <c r="H86" s="13"/>
      <c r="I86" s="14"/>
      <c r="J86" s="14"/>
      <c r="K86" s="15"/>
    </row>
    <row r="87" spans="1:11">
      <c r="A87" s="7"/>
      <c r="B87" s="1"/>
      <c r="C87" s="8"/>
      <c r="D87" s="9"/>
      <c r="E87" s="22"/>
      <c r="F87" s="12"/>
      <c r="G87" s="12"/>
      <c r="H87" s="13"/>
      <c r="I87" s="14"/>
      <c r="J87" s="14"/>
      <c r="K87" s="15"/>
    </row>
    <row r="88" spans="1:11">
      <c r="A88" s="7"/>
      <c r="B88" s="1"/>
      <c r="C88" s="8"/>
      <c r="D88" s="9"/>
      <c r="E88" s="22"/>
      <c r="F88" s="12"/>
      <c r="G88" s="12"/>
      <c r="H88" s="13"/>
      <c r="I88" s="14"/>
      <c r="J88" s="14"/>
      <c r="K88" s="15"/>
    </row>
    <row r="89" spans="1:11">
      <c r="A89" s="7"/>
      <c r="B89" s="1"/>
      <c r="C89" s="8"/>
      <c r="D89" s="9"/>
      <c r="E89" s="22"/>
      <c r="F89" s="12"/>
      <c r="G89" s="12"/>
      <c r="H89" s="13"/>
      <c r="I89" s="14"/>
      <c r="J89" s="14"/>
      <c r="K89" s="15"/>
    </row>
    <row r="90" spans="1:11">
      <c r="A90" s="7"/>
      <c r="B90" s="1"/>
      <c r="C90" s="8"/>
      <c r="D90" s="9"/>
      <c r="E90" s="22"/>
      <c r="F90" s="12"/>
      <c r="G90" s="12"/>
      <c r="H90" s="13"/>
      <c r="I90" s="14"/>
      <c r="J90" s="14"/>
      <c r="K90" s="15"/>
    </row>
    <row r="91" spans="1:11">
      <c r="A91" s="7"/>
      <c r="B91" s="1"/>
      <c r="C91" s="8"/>
      <c r="D91" s="9"/>
      <c r="E91" s="22"/>
      <c r="F91" s="12"/>
      <c r="G91" s="12"/>
      <c r="H91" s="13"/>
      <c r="I91" s="14"/>
      <c r="J91" s="14"/>
      <c r="K91" s="15"/>
    </row>
    <row r="92" spans="1:11">
      <c r="A92" s="7"/>
      <c r="B92" s="1"/>
      <c r="C92" s="8"/>
      <c r="D92" s="9"/>
      <c r="E92" s="22"/>
      <c r="F92" s="12"/>
      <c r="G92" s="12"/>
      <c r="H92" s="13"/>
      <c r="I92" s="14"/>
      <c r="J92" s="14"/>
      <c r="K92" s="15"/>
    </row>
    <row r="93" spans="1:11">
      <c r="A93" s="7"/>
      <c r="B93" s="1"/>
      <c r="C93" s="8"/>
      <c r="D93" s="9"/>
      <c r="E93" s="22"/>
      <c r="F93" s="12"/>
      <c r="G93" s="12"/>
      <c r="H93" s="13"/>
      <c r="I93" s="14"/>
      <c r="J93" s="14"/>
      <c r="K93" s="15"/>
    </row>
    <row r="94" spans="1:11">
      <c r="A94" s="7"/>
      <c r="B94" s="1"/>
      <c r="C94" s="8"/>
      <c r="D94" s="9"/>
      <c r="E94" s="22"/>
      <c r="F94" s="12"/>
      <c r="G94" s="12"/>
      <c r="H94" s="13"/>
      <c r="I94" s="14"/>
      <c r="J94" s="14"/>
      <c r="K94" s="15"/>
    </row>
    <row r="95" spans="1:11">
      <c r="A95" s="7"/>
      <c r="B95" s="1"/>
      <c r="C95" s="8"/>
      <c r="D95" s="9"/>
      <c r="E95" s="22"/>
      <c r="F95" s="12"/>
      <c r="G95" s="12"/>
      <c r="H95" s="13"/>
      <c r="I95" s="14"/>
      <c r="J95" s="14"/>
      <c r="K95" s="15"/>
    </row>
    <row r="96" spans="1:11">
      <c r="A96" s="7"/>
      <c r="B96" s="1"/>
      <c r="C96" s="8"/>
      <c r="D96" s="9"/>
      <c r="E96" s="22"/>
      <c r="F96" s="12"/>
      <c r="G96" s="12"/>
      <c r="H96" s="13"/>
      <c r="I96" s="14"/>
      <c r="J96" s="14"/>
      <c r="K96" s="15"/>
    </row>
    <row r="97" spans="1:11">
      <c r="A97" s="7"/>
      <c r="B97" s="1"/>
      <c r="C97" s="8"/>
      <c r="D97" s="9"/>
      <c r="E97" s="22"/>
      <c r="F97" s="12"/>
      <c r="G97" s="12"/>
      <c r="H97" s="13"/>
      <c r="I97" s="14"/>
      <c r="J97" s="14"/>
      <c r="K97" s="15"/>
    </row>
    <row r="98" spans="1:11">
      <c r="A98" s="7"/>
      <c r="B98" s="1"/>
      <c r="C98" s="8"/>
      <c r="D98" s="9"/>
      <c r="E98" s="22"/>
      <c r="F98" s="12"/>
      <c r="G98" s="12"/>
      <c r="H98" s="13"/>
      <c r="I98" s="14"/>
      <c r="J98" s="14"/>
      <c r="K98" s="15"/>
    </row>
    <row r="99" spans="1:11">
      <c r="A99" s="7"/>
      <c r="B99" s="1"/>
      <c r="C99" s="8"/>
      <c r="D99" s="9"/>
      <c r="E99" s="22"/>
      <c r="F99" s="12"/>
      <c r="G99" s="12"/>
      <c r="H99" s="13"/>
      <c r="I99" s="14"/>
      <c r="J99" s="14"/>
      <c r="K99" s="15"/>
    </row>
    <row r="100" spans="1:11">
      <c r="A100" s="7"/>
      <c r="B100" s="1"/>
      <c r="C100" s="8"/>
      <c r="D100" s="9"/>
      <c r="E100" s="22"/>
      <c r="F100" s="12"/>
      <c r="G100" s="12"/>
      <c r="H100" s="13"/>
      <c r="I100" s="14"/>
      <c r="J100" s="14"/>
      <c r="K100" s="15"/>
    </row>
    <row r="101" spans="1:11">
      <c r="A101" s="7"/>
      <c r="B101" s="1"/>
      <c r="C101" s="8"/>
      <c r="D101" s="9"/>
      <c r="E101" s="22"/>
      <c r="F101" s="12"/>
      <c r="G101" s="12"/>
      <c r="H101" s="13"/>
      <c r="I101" s="14"/>
      <c r="J101" s="14"/>
      <c r="K101" s="15"/>
    </row>
    <row r="102" spans="1:11">
      <c r="A102" s="7"/>
      <c r="B102" s="1"/>
      <c r="C102" s="8"/>
      <c r="D102" s="9"/>
      <c r="E102" s="22"/>
      <c r="F102" s="12"/>
      <c r="G102" s="12"/>
      <c r="H102" s="13"/>
      <c r="I102" s="14"/>
      <c r="J102" s="14"/>
      <c r="K102" s="15"/>
    </row>
    <row r="103" spans="1:11">
      <c r="A103" s="7"/>
      <c r="B103" s="1"/>
      <c r="C103" s="8"/>
      <c r="D103" s="9"/>
      <c r="E103" s="22"/>
      <c r="F103" s="12"/>
      <c r="G103" s="12"/>
      <c r="H103" s="13"/>
      <c r="I103" s="14"/>
      <c r="J103" s="14"/>
      <c r="K103" s="15"/>
    </row>
    <row r="104" spans="1:11">
      <c r="A104" s="7"/>
      <c r="B104" s="1"/>
      <c r="C104" s="8"/>
      <c r="D104" s="9"/>
      <c r="E104" s="22"/>
      <c r="F104" s="12"/>
      <c r="G104" s="12"/>
      <c r="H104" s="13"/>
      <c r="I104" s="14"/>
      <c r="J104" s="14"/>
      <c r="K104" s="15"/>
    </row>
    <row r="105" spans="1:11">
      <c r="A105" s="7"/>
      <c r="B105" s="1"/>
      <c r="C105" s="8"/>
      <c r="D105" s="9"/>
      <c r="E105" s="22"/>
      <c r="F105" s="12"/>
      <c r="G105" s="12"/>
      <c r="H105" s="13"/>
      <c r="I105" s="14"/>
      <c r="J105" s="14"/>
      <c r="K105" s="15"/>
    </row>
    <row r="106" spans="1:11">
      <c r="A106" s="7"/>
      <c r="B106" s="1"/>
      <c r="C106" s="8"/>
      <c r="D106" s="9"/>
      <c r="E106" s="22"/>
      <c r="F106" s="12"/>
      <c r="G106" s="12"/>
      <c r="H106" s="13"/>
      <c r="I106" s="14"/>
      <c r="J106" s="14"/>
      <c r="K106" s="15"/>
    </row>
    <row r="107" spans="1:11">
      <c r="A107" s="7"/>
      <c r="B107" s="1"/>
      <c r="C107" s="8"/>
      <c r="D107" s="9"/>
      <c r="E107" s="22"/>
      <c r="F107" s="12"/>
      <c r="G107" s="12"/>
      <c r="H107" s="13"/>
      <c r="I107" s="14"/>
      <c r="J107" s="14"/>
      <c r="K107" s="15"/>
    </row>
    <row r="108" spans="1:11">
      <c r="A108" s="7"/>
      <c r="B108" s="1"/>
      <c r="C108" s="8"/>
      <c r="D108" s="9"/>
      <c r="E108" s="22"/>
      <c r="F108" s="12"/>
      <c r="G108" s="12"/>
      <c r="H108" s="13"/>
      <c r="I108" s="14"/>
      <c r="J108" s="14"/>
      <c r="K108" s="15"/>
    </row>
    <row r="109" spans="1:11">
      <c r="A109" s="7"/>
      <c r="B109" s="1"/>
      <c r="C109" s="8"/>
      <c r="D109" s="9"/>
      <c r="E109" s="22"/>
      <c r="F109" s="12"/>
      <c r="G109" s="12"/>
      <c r="H109" s="13"/>
      <c r="I109" s="14"/>
      <c r="J109" s="14"/>
      <c r="K109" s="15"/>
    </row>
    <row r="110" spans="1:11">
      <c r="A110" s="7"/>
      <c r="B110" s="1"/>
      <c r="C110" s="8"/>
      <c r="D110" s="9"/>
      <c r="E110" s="22"/>
      <c r="F110" s="12"/>
      <c r="G110" s="12"/>
      <c r="H110" s="13"/>
      <c r="I110" s="14"/>
      <c r="J110" s="14"/>
      <c r="K110" s="15"/>
    </row>
    <row r="111" spans="1:11">
      <c r="A111" s="7"/>
      <c r="B111" s="1"/>
      <c r="C111" s="8"/>
      <c r="D111" s="9"/>
      <c r="E111" s="22"/>
      <c r="F111" s="12"/>
      <c r="G111" s="12"/>
      <c r="H111" s="13"/>
      <c r="I111" s="14"/>
      <c r="J111" s="14"/>
      <c r="K111" s="15"/>
    </row>
    <row r="112" spans="1:11">
      <c r="A112" s="7"/>
      <c r="B112" s="1"/>
      <c r="C112" s="8"/>
      <c r="D112" s="9"/>
      <c r="E112" s="22"/>
      <c r="F112" s="12"/>
      <c r="G112" s="12"/>
      <c r="H112" s="13"/>
      <c r="I112" s="14"/>
      <c r="J112" s="14"/>
      <c r="K112" s="15"/>
    </row>
    <row r="113" spans="1:11">
      <c r="A113" s="7"/>
      <c r="B113" s="1"/>
      <c r="C113" s="8"/>
      <c r="D113" s="9"/>
      <c r="E113" s="22"/>
      <c r="F113" s="12"/>
      <c r="G113" s="12"/>
      <c r="H113" s="13"/>
      <c r="I113" s="14"/>
      <c r="J113" s="14"/>
      <c r="K113" s="15"/>
    </row>
    <row r="114" spans="1:11">
      <c r="A114" s="7"/>
      <c r="B114" s="1"/>
      <c r="C114" s="8"/>
      <c r="D114" s="9"/>
      <c r="E114" s="22"/>
      <c r="F114" s="12"/>
      <c r="G114" s="12"/>
      <c r="H114" s="13"/>
      <c r="I114" s="14"/>
      <c r="J114" s="14"/>
      <c r="K114" s="15"/>
    </row>
    <row r="115" spans="1:11">
      <c r="A115" s="7"/>
      <c r="B115" s="1"/>
      <c r="C115" s="8"/>
      <c r="D115" s="9"/>
      <c r="E115" s="22"/>
      <c r="F115" s="12"/>
      <c r="G115" s="12"/>
      <c r="H115" s="13"/>
      <c r="I115" s="14"/>
      <c r="J115" s="14"/>
      <c r="K115" s="15"/>
    </row>
    <row r="116" spans="1:11">
      <c r="A116" s="7"/>
      <c r="B116" s="1"/>
      <c r="C116" s="8"/>
      <c r="D116" s="9"/>
      <c r="E116" s="22"/>
      <c r="F116" s="12"/>
      <c r="G116" s="12"/>
      <c r="H116" s="13"/>
      <c r="I116" s="14"/>
      <c r="J116" s="14"/>
      <c r="K116" s="15"/>
    </row>
    <row r="117" spans="1:11">
      <c r="A117" s="7"/>
      <c r="B117" s="1"/>
      <c r="C117" s="8"/>
      <c r="D117" s="9"/>
      <c r="E117" s="22"/>
      <c r="F117" s="12"/>
      <c r="G117" s="12"/>
      <c r="H117" s="13"/>
      <c r="I117" s="14"/>
      <c r="J117" s="14"/>
      <c r="K117" s="15"/>
    </row>
    <row r="118" spans="1:11">
      <c r="A118" s="7"/>
      <c r="B118" s="1"/>
      <c r="C118" s="8"/>
      <c r="D118" s="9"/>
      <c r="E118" s="22"/>
      <c r="F118" s="12"/>
      <c r="G118" s="12"/>
      <c r="H118" s="13"/>
      <c r="I118" s="14"/>
      <c r="J118" s="14"/>
      <c r="K118" s="15"/>
    </row>
    <row r="119" spans="1:11">
      <c r="A119" s="7"/>
      <c r="B119" s="1"/>
      <c r="C119" s="8"/>
      <c r="D119" s="9"/>
      <c r="E119" s="22"/>
      <c r="F119" s="12"/>
      <c r="G119" s="12"/>
      <c r="H119" s="13"/>
      <c r="I119" s="14"/>
      <c r="J119" s="14"/>
      <c r="K119" s="15"/>
    </row>
    <row r="120" spans="1:11">
      <c r="A120" s="7"/>
      <c r="B120" s="1"/>
      <c r="C120" s="8"/>
      <c r="D120" s="9"/>
      <c r="E120" s="22"/>
      <c r="F120" s="12"/>
      <c r="G120" s="12"/>
      <c r="H120" s="13"/>
      <c r="I120" s="14"/>
      <c r="J120" s="14"/>
      <c r="K120" s="15"/>
    </row>
    <row r="121" spans="1:11">
      <c r="A121" s="7"/>
      <c r="B121" s="1"/>
      <c r="C121" s="8"/>
      <c r="D121" s="9"/>
      <c r="E121" s="22"/>
      <c r="F121" s="12"/>
      <c r="G121" s="12"/>
      <c r="H121" s="13"/>
      <c r="I121" s="14"/>
      <c r="J121" s="14"/>
      <c r="K121" s="15"/>
    </row>
    <row r="122" spans="1:11">
      <c r="A122" s="7"/>
      <c r="B122" s="1"/>
      <c r="C122" s="8"/>
      <c r="D122" s="9"/>
      <c r="E122" s="22"/>
      <c r="F122" s="12"/>
      <c r="G122" s="12"/>
      <c r="H122" s="13"/>
      <c r="I122" s="14"/>
      <c r="J122" s="14"/>
      <c r="K122" s="15"/>
    </row>
    <row r="123" spans="1:11">
      <c r="A123" s="7"/>
      <c r="B123" s="1"/>
      <c r="C123" s="8"/>
      <c r="D123" s="9"/>
      <c r="E123" s="22"/>
      <c r="F123" s="12"/>
      <c r="G123" s="12"/>
      <c r="H123" s="13"/>
      <c r="I123" s="14"/>
      <c r="J123" s="14"/>
      <c r="K123" s="15"/>
    </row>
    <row r="124" spans="1:11">
      <c r="A124" s="7"/>
      <c r="B124" s="1"/>
      <c r="C124" s="8"/>
      <c r="D124" s="9"/>
      <c r="E124" s="22"/>
      <c r="F124" s="12"/>
      <c r="G124" s="12"/>
      <c r="H124" s="13"/>
      <c r="I124" s="14"/>
      <c r="J124" s="14"/>
      <c r="K124" s="15"/>
    </row>
    <row r="125" spans="1:11">
      <c r="A125" s="7"/>
      <c r="B125" s="1"/>
      <c r="C125" s="8"/>
      <c r="D125" s="9"/>
      <c r="E125" s="22"/>
      <c r="F125" s="12"/>
      <c r="G125" s="12"/>
      <c r="H125" s="13"/>
      <c r="I125" s="14"/>
      <c r="J125" s="14"/>
      <c r="K125" s="15"/>
    </row>
    <row r="126" spans="1:11">
      <c r="A126" s="7"/>
      <c r="B126" s="1"/>
      <c r="C126" s="8"/>
      <c r="D126" s="9"/>
      <c r="E126" s="22"/>
      <c r="F126" s="12"/>
      <c r="G126" s="12"/>
      <c r="H126" s="13"/>
      <c r="I126" s="14"/>
      <c r="J126" s="14"/>
      <c r="K126" s="15"/>
    </row>
    <row r="127" spans="1:11">
      <c r="A127" s="7"/>
      <c r="B127" s="1"/>
      <c r="C127" s="8"/>
      <c r="D127" s="9"/>
      <c r="E127" s="22"/>
      <c r="F127" s="12"/>
      <c r="G127" s="12"/>
      <c r="H127" s="13"/>
      <c r="I127" s="14"/>
      <c r="J127" s="14"/>
      <c r="K127" s="15"/>
    </row>
    <row r="128" spans="1:11">
      <c r="A128" s="7"/>
      <c r="B128" s="1"/>
      <c r="C128" s="8"/>
      <c r="D128" s="9"/>
      <c r="E128" s="22"/>
      <c r="F128" s="12"/>
      <c r="G128" s="12"/>
      <c r="H128" s="13"/>
      <c r="I128" s="14"/>
      <c r="J128" s="14"/>
      <c r="K128" s="15"/>
    </row>
    <row r="129" spans="1:11">
      <c r="A129" s="7"/>
      <c r="B129" s="1"/>
      <c r="C129" s="8"/>
      <c r="D129" s="9"/>
      <c r="E129" s="22"/>
      <c r="F129" s="12"/>
      <c r="G129" s="12"/>
      <c r="H129" s="13"/>
      <c r="I129" s="14"/>
      <c r="J129" s="14"/>
      <c r="K129" s="15"/>
    </row>
    <row r="130" spans="1:11">
      <c r="A130" s="7"/>
      <c r="B130" s="1"/>
      <c r="C130" s="8"/>
      <c r="D130" s="9"/>
      <c r="E130" s="22"/>
      <c r="F130" s="12"/>
      <c r="G130" s="12"/>
      <c r="H130" s="13"/>
      <c r="I130" s="14"/>
      <c r="J130" s="14"/>
      <c r="K130" s="15"/>
    </row>
    <row r="131" spans="1:11">
      <c r="A131" s="7"/>
      <c r="B131" s="1"/>
      <c r="C131" s="8"/>
      <c r="D131" s="9"/>
      <c r="E131" s="22"/>
      <c r="F131" s="12"/>
      <c r="G131" s="12"/>
      <c r="H131" s="13"/>
      <c r="I131" s="14"/>
      <c r="J131" s="14"/>
      <c r="K131" s="15"/>
    </row>
    <row r="132" spans="1:11">
      <c r="A132" s="7"/>
      <c r="B132" s="1"/>
      <c r="C132" s="8"/>
      <c r="D132" s="9"/>
      <c r="E132" s="22"/>
      <c r="F132" s="12"/>
      <c r="G132" s="12"/>
      <c r="H132" s="13"/>
      <c r="I132" s="14"/>
      <c r="J132" s="14"/>
      <c r="K132" s="15"/>
    </row>
    <row r="133" spans="1:11">
      <c r="A133" s="7"/>
      <c r="B133" s="1"/>
      <c r="C133" s="8"/>
      <c r="D133" s="9"/>
      <c r="E133" s="22"/>
      <c r="F133" s="12"/>
      <c r="G133" s="12"/>
      <c r="H133" s="13"/>
      <c r="I133" s="14"/>
      <c r="J133" s="14"/>
      <c r="K133" s="15"/>
    </row>
    <row r="134" spans="1:11">
      <c r="A134" s="7"/>
      <c r="B134" s="1"/>
      <c r="C134" s="8"/>
      <c r="D134" s="9"/>
      <c r="E134" s="22"/>
      <c r="F134" s="12"/>
      <c r="G134" s="12"/>
      <c r="H134" s="13"/>
      <c r="I134" s="14"/>
      <c r="J134" s="14"/>
      <c r="K134" s="15"/>
    </row>
    <row r="135" spans="1:11">
      <c r="A135" s="7"/>
      <c r="B135" s="1"/>
      <c r="C135" s="8"/>
      <c r="D135" s="9"/>
      <c r="E135" s="22"/>
      <c r="F135" s="12"/>
      <c r="G135" s="12"/>
      <c r="H135" s="13"/>
      <c r="I135" s="14"/>
      <c r="J135" s="14"/>
      <c r="K135" s="15"/>
    </row>
    <row r="136" spans="1:11">
      <c r="A136" s="7"/>
      <c r="B136" s="1"/>
      <c r="C136" s="8"/>
      <c r="D136" s="9"/>
      <c r="E136" s="22"/>
      <c r="F136" s="12"/>
      <c r="G136" s="12"/>
      <c r="H136" s="13"/>
      <c r="I136" s="14"/>
      <c r="J136" s="14"/>
      <c r="K136" s="15"/>
    </row>
    <row r="137" spans="1:11">
      <c r="A137" s="7"/>
      <c r="B137" s="1"/>
      <c r="C137" s="8"/>
      <c r="D137" s="9"/>
      <c r="E137" s="22"/>
      <c r="F137" s="12"/>
      <c r="G137" s="12"/>
      <c r="H137" s="13"/>
      <c r="I137" s="14"/>
      <c r="J137" s="14"/>
      <c r="K137" s="15"/>
    </row>
    <row r="138" spans="1:11">
      <c r="A138" s="7"/>
      <c r="B138" s="1"/>
      <c r="C138" s="8"/>
      <c r="D138" s="9"/>
      <c r="E138" s="22"/>
      <c r="F138" s="12"/>
      <c r="G138" s="12"/>
      <c r="H138" s="13"/>
      <c r="I138" s="14"/>
      <c r="J138" s="14"/>
      <c r="K138" s="15"/>
    </row>
    <row r="139" spans="1:11">
      <c r="A139" s="7"/>
      <c r="B139" s="1"/>
      <c r="C139" s="8"/>
      <c r="D139" s="9"/>
      <c r="E139" s="22"/>
      <c r="F139" s="12"/>
      <c r="G139" s="12"/>
      <c r="H139" s="13"/>
      <c r="I139" s="14"/>
      <c r="J139" s="14"/>
      <c r="K139" s="15"/>
    </row>
    <row r="140" spans="1:11">
      <c r="A140" s="7"/>
      <c r="B140" s="1"/>
      <c r="C140" s="8"/>
      <c r="D140" s="9"/>
      <c r="E140" s="22"/>
      <c r="F140" s="12"/>
      <c r="G140" s="12"/>
      <c r="H140" s="13"/>
      <c r="I140" s="14"/>
      <c r="J140" s="14"/>
      <c r="K140" s="15"/>
    </row>
    <row r="141" spans="1:11">
      <c r="A141" s="7"/>
      <c r="B141" s="1"/>
      <c r="C141" s="8"/>
      <c r="D141" s="9"/>
      <c r="E141" s="22"/>
      <c r="F141" s="12"/>
      <c r="G141" s="12"/>
      <c r="H141" s="13"/>
      <c r="I141" s="14"/>
      <c r="J141" s="14"/>
      <c r="K141" s="15"/>
    </row>
    <row r="142" spans="1:11">
      <c r="A142" s="7"/>
      <c r="B142" s="1"/>
      <c r="C142" s="8"/>
      <c r="D142" s="9"/>
      <c r="E142" s="22"/>
      <c r="F142" s="12"/>
      <c r="G142" s="12"/>
      <c r="H142" s="13"/>
      <c r="I142" s="14"/>
      <c r="J142" s="14"/>
      <c r="K142" s="15"/>
    </row>
    <row r="143" spans="1:11">
      <c r="A143" s="7"/>
      <c r="B143" s="1"/>
      <c r="C143" s="8"/>
      <c r="D143" s="9"/>
      <c r="E143" s="22"/>
      <c r="F143" s="12"/>
      <c r="G143" s="12"/>
      <c r="H143" s="13"/>
      <c r="I143" s="14"/>
      <c r="J143" s="14"/>
      <c r="K143" s="15"/>
    </row>
    <row r="144" spans="1:11">
      <c r="A144" s="7"/>
      <c r="B144" s="1"/>
      <c r="C144" s="8"/>
      <c r="D144" s="9"/>
      <c r="E144" s="22"/>
      <c r="F144" s="12"/>
      <c r="G144" s="12"/>
      <c r="H144" s="13"/>
      <c r="I144" s="14"/>
      <c r="J144" s="14"/>
      <c r="K144" s="15"/>
    </row>
    <row r="145" spans="1:11">
      <c r="A145" s="7"/>
      <c r="B145" s="1"/>
      <c r="C145" s="8"/>
      <c r="D145" s="9"/>
      <c r="E145" s="22"/>
      <c r="F145" s="12"/>
      <c r="G145" s="12"/>
      <c r="H145" s="13"/>
      <c r="I145" s="14"/>
      <c r="J145" s="14"/>
      <c r="K145" s="15"/>
    </row>
    <row r="146" spans="1:11">
      <c r="A146" s="7"/>
      <c r="B146" s="1"/>
      <c r="C146" s="8"/>
      <c r="D146" s="9"/>
      <c r="E146" s="22"/>
      <c r="F146" s="12"/>
      <c r="G146" s="12"/>
      <c r="H146" s="13"/>
      <c r="I146" s="14"/>
      <c r="J146" s="14"/>
      <c r="K146" s="15"/>
    </row>
    <row r="147" spans="1:11">
      <c r="A147" s="7"/>
      <c r="B147" s="1"/>
      <c r="C147" s="8"/>
      <c r="D147" s="9"/>
      <c r="E147" s="22"/>
      <c r="F147" s="12"/>
      <c r="G147" s="12"/>
      <c r="H147" s="13"/>
      <c r="I147" s="14"/>
      <c r="J147" s="14"/>
      <c r="K147" s="15"/>
    </row>
    <row r="148" spans="1:11">
      <c r="A148" s="7"/>
      <c r="B148" s="1"/>
      <c r="C148" s="8"/>
      <c r="D148" s="9"/>
      <c r="E148" s="22"/>
      <c r="F148" s="12"/>
      <c r="G148" s="12"/>
      <c r="I148" s="14"/>
      <c r="J148" s="14"/>
      <c r="K148" s="15"/>
    </row>
    <row r="149" spans="1:11">
      <c r="A149" s="7"/>
      <c r="B149" s="1"/>
      <c r="C149" s="8"/>
      <c r="D149" s="9"/>
      <c r="E149" s="22"/>
      <c r="F149" s="12"/>
      <c r="G149" s="12"/>
      <c r="I149" s="14"/>
      <c r="J149" s="14"/>
      <c r="K149" s="15"/>
    </row>
    <row r="150" spans="1:11">
      <c r="A150" s="7"/>
      <c r="B150" s="1"/>
      <c r="C150" s="8"/>
      <c r="D150" s="9"/>
      <c r="E150" s="22"/>
      <c r="F150" s="12"/>
      <c r="G150" s="12"/>
      <c r="I150" s="14"/>
      <c r="J150" s="14"/>
      <c r="K150" s="15"/>
    </row>
    <row r="151" spans="1:11">
      <c r="A151" s="7"/>
      <c r="B151" s="1"/>
      <c r="C151" s="8"/>
      <c r="D151" s="9"/>
      <c r="E151" s="22"/>
      <c r="F151" s="12"/>
      <c r="G151" s="12"/>
      <c r="I151" s="14"/>
      <c r="J151" s="14"/>
      <c r="K151" s="15"/>
    </row>
    <row r="152" spans="1:11">
      <c r="A152" s="7"/>
      <c r="B152" s="1"/>
      <c r="C152" s="8"/>
      <c r="D152" s="9"/>
      <c r="E152" s="22"/>
      <c r="F152" s="12"/>
      <c r="G152" s="12"/>
      <c r="I152" s="14"/>
      <c r="J152" s="14"/>
      <c r="K152" s="15"/>
    </row>
    <row r="153" spans="1:11">
      <c r="A153" s="7"/>
      <c r="B153" s="1"/>
      <c r="C153" s="8"/>
      <c r="D153" s="9"/>
      <c r="E153" s="22"/>
      <c r="F153" s="12"/>
      <c r="G153" s="12"/>
      <c r="I153" s="14"/>
      <c r="J153" s="14"/>
      <c r="K153" s="15"/>
    </row>
    <row r="154" spans="1:11">
      <c r="A154" s="7"/>
      <c r="B154" s="1"/>
      <c r="C154" s="8"/>
      <c r="D154" s="9"/>
      <c r="E154" s="22"/>
      <c r="F154" s="12"/>
      <c r="G154" s="12"/>
      <c r="I154" s="14"/>
      <c r="J154" s="14"/>
      <c r="K154" s="15"/>
    </row>
    <row r="155" spans="1:11">
      <c r="A155" s="7"/>
      <c r="B155" s="1"/>
      <c r="C155" s="8"/>
      <c r="D155" s="9"/>
      <c r="E155" s="22"/>
      <c r="F155" s="12"/>
      <c r="G155" s="12"/>
      <c r="I155" s="14"/>
      <c r="J155" s="14"/>
      <c r="K155" s="15"/>
    </row>
    <row r="156" spans="1:11">
      <c r="A156" s="7"/>
      <c r="B156" s="1"/>
      <c r="C156" s="8"/>
      <c r="D156" s="9"/>
      <c r="E156" s="22"/>
      <c r="F156" s="12"/>
      <c r="G156" s="12"/>
      <c r="I156" s="14"/>
      <c r="J156" s="14"/>
      <c r="K156" s="15"/>
    </row>
    <row r="157" spans="1:11">
      <c r="A157" s="7"/>
      <c r="B157" s="1"/>
      <c r="C157" s="8"/>
      <c r="D157" s="9"/>
      <c r="E157" s="22"/>
      <c r="F157" s="12"/>
      <c r="G157" s="12"/>
      <c r="I157" s="14"/>
      <c r="J157" s="14"/>
      <c r="K157" s="15"/>
    </row>
    <row r="158" spans="1:11">
      <c r="A158" s="7"/>
      <c r="B158" s="1"/>
      <c r="C158" s="8"/>
      <c r="D158" s="9"/>
      <c r="E158" s="22"/>
      <c r="F158" s="12"/>
      <c r="G158" s="12"/>
      <c r="I158" s="14"/>
      <c r="J158" s="14"/>
      <c r="K158" s="15"/>
    </row>
    <row r="159" spans="1:11">
      <c r="A159" s="7"/>
      <c r="B159" s="1"/>
      <c r="C159" s="8"/>
      <c r="D159" s="9"/>
      <c r="E159" s="22"/>
      <c r="F159" s="12"/>
      <c r="G159" s="12"/>
      <c r="I159" s="14"/>
      <c r="J159" s="14"/>
      <c r="K159" s="15"/>
    </row>
    <row r="160" spans="1:11">
      <c r="A160" s="7"/>
      <c r="B160" s="1"/>
      <c r="C160" s="8"/>
      <c r="D160" s="9"/>
      <c r="E160" s="22"/>
      <c r="F160" s="12"/>
      <c r="G160" s="12"/>
      <c r="I160" s="14"/>
      <c r="J160" s="14"/>
      <c r="K160" s="15"/>
    </row>
    <row r="161" spans="1:11">
      <c r="A161" s="7"/>
      <c r="B161" s="1"/>
      <c r="C161" s="8"/>
      <c r="D161" s="9"/>
      <c r="E161" s="22"/>
      <c r="F161" s="12"/>
      <c r="G161" s="12"/>
      <c r="I161" s="14"/>
      <c r="J161" s="14"/>
      <c r="K161" s="15"/>
    </row>
    <row r="162" spans="1:11">
      <c r="A162" s="7"/>
      <c r="B162" s="1"/>
      <c r="C162" s="8"/>
      <c r="D162" s="9"/>
      <c r="E162" s="22"/>
      <c r="F162" s="12"/>
      <c r="G162" s="12"/>
      <c r="I162" s="14"/>
      <c r="J162" s="14"/>
      <c r="K162" s="15"/>
    </row>
    <row r="163" spans="1:11">
      <c r="A163" s="7"/>
      <c r="B163" s="1"/>
      <c r="C163" s="8"/>
      <c r="D163" s="9"/>
      <c r="E163" s="22"/>
      <c r="F163" s="12"/>
      <c r="G163" s="12"/>
      <c r="I163" s="14"/>
      <c r="J163" s="14"/>
      <c r="K163" s="15"/>
    </row>
    <row r="164" spans="1:11">
      <c r="A164" s="7"/>
      <c r="B164" s="1"/>
      <c r="C164" s="8"/>
      <c r="D164" s="9"/>
      <c r="E164" s="22"/>
      <c r="F164" s="12"/>
      <c r="G164" s="12"/>
      <c r="I164" s="14"/>
      <c r="J164" s="14"/>
      <c r="K164" s="15"/>
    </row>
    <row r="165" spans="1:11">
      <c r="A165" s="7"/>
      <c r="B165" s="1"/>
      <c r="C165" s="8"/>
      <c r="D165" s="9"/>
      <c r="E165" s="22"/>
      <c r="F165" s="12"/>
      <c r="G165" s="12"/>
      <c r="I165" s="14"/>
      <c r="J165" s="14"/>
      <c r="K165" s="15"/>
    </row>
    <row r="166" spans="1:11">
      <c r="A166" s="7"/>
      <c r="B166" s="1"/>
      <c r="C166" s="8"/>
      <c r="D166" s="9"/>
      <c r="E166" s="22"/>
      <c r="F166" s="12"/>
      <c r="G166" s="12"/>
      <c r="I166" s="14"/>
      <c r="J166" s="14"/>
      <c r="K166" s="15"/>
    </row>
    <row r="167" spans="1:11">
      <c r="A167" s="7"/>
      <c r="B167" s="1"/>
      <c r="C167" s="8"/>
      <c r="D167" s="9"/>
      <c r="E167" s="22"/>
      <c r="F167" s="12"/>
      <c r="G167" s="12"/>
      <c r="I167" s="14"/>
      <c r="J167" s="14"/>
      <c r="K167" s="15"/>
    </row>
    <row r="168" spans="1:11">
      <c r="A168" s="7"/>
      <c r="B168" s="1"/>
      <c r="C168" s="8"/>
      <c r="D168" s="9"/>
      <c r="E168" s="22"/>
      <c r="F168" s="12"/>
      <c r="G168" s="12"/>
      <c r="I168" s="14"/>
      <c r="J168" s="14"/>
      <c r="K168" s="15"/>
    </row>
    <row r="169" spans="1:11">
      <c r="A169" s="7"/>
      <c r="B169" s="1"/>
      <c r="C169" s="8"/>
      <c r="D169" s="9"/>
      <c r="E169" s="22"/>
      <c r="F169" s="12"/>
      <c r="G169" s="12"/>
      <c r="I169" s="14"/>
      <c r="J169" s="14"/>
      <c r="K169" s="15"/>
    </row>
    <row r="170" spans="1:11">
      <c r="A170" s="7"/>
      <c r="B170" s="1"/>
      <c r="C170" s="8"/>
      <c r="D170" s="9"/>
      <c r="E170" s="22"/>
      <c r="F170" s="12"/>
      <c r="G170" s="12"/>
      <c r="I170" s="14"/>
      <c r="J170" s="14"/>
      <c r="K170" s="15"/>
    </row>
    <row r="171" spans="1:11">
      <c r="A171" s="7"/>
      <c r="B171" s="1"/>
      <c r="C171" s="8"/>
      <c r="D171" s="9"/>
      <c r="E171" s="22"/>
      <c r="F171" s="12"/>
      <c r="G171" s="12"/>
      <c r="I171" s="14"/>
      <c r="J171" s="14"/>
      <c r="K171" s="15"/>
    </row>
    <row r="172" spans="1:11">
      <c r="A172" s="7"/>
      <c r="B172" s="1"/>
      <c r="C172" s="8"/>
      <c r="D172" s="9"/>
      <c r="E172" s="22"/>
      <c r="F172" s="12"/>
      <c r="G172" s="12"/>
      <c r="I172" s="14"/>
      <c r="J172" s="14"/>
      <c r="K172" s="15"/>
    </row>
    <row r="173" spans="1:11">
      <c r="A173" s="7"/>
      <c r="B173" s="1"/>
      <c r="C173" s="8"/>
      <c r="D173" s="9"/>
      <c r="E173" s="22"/>
      <c r="F173" s="12"/>
      <c r="G173" s="12"/>
      <c r="I173" s="14"/>
      <c r="J173" s="14"/>
      <c r="K173" s="15"/>
    </row>
    <row r="174" spans="1:11">
      <c r="A174" s="7"/>
      <c r="B174" s="1"/>
      <c r="C174" s="8"/>
      <c r="D174" s="9"/>
      <c r="E174" s="22"/>
      <c r="F174" s="12"/>
      <c r="G174" s="12"/>
      <c r="I174" s="14"/>
      <c r="J174" s="14"/>
      <c r="K174" s="15"/>
    </row>
    <row r="175" spans="1:11">
      <c r="A175" s="7"/>
      <c r="B175" s="1"/>
      <c r="C175" s="8"/>
      <c r="D175" s="9"/>
      <c r="E175" s="22"/>
      <c r="F175" s="12"/>
      <c r="G175" s="12"/>
      <c r="I175" s="14"/>
      <c r="J175" s="14"/>
      <c r="K175" s="15"/>
    </row>
    <row r="176" spans="1:11">
      <c r="A176" s="7"/>
      <c r="B176" s="1"/>
      <c r="C176" s="8"/>
      <c r="D176" s="9"/>
      <c r="E176" s="22"/>
      <c r="F176" s="12"/>
      <c r="G176" s="12"/>
      <c r="I176" s="14"/>
      <c r="J176" s="14"/>
      <c r="K176" s="15"/>
    </row>
    <row r="177" spans="1:11">
      <c r="A177" s="7"/>
      <c r="B177" s="1"/>
      <c r="C177" s="8"/>
      <c r="D177" s="9"/>
      <c r="E177" s="22"/>
      <c r="F177" s="12"/>
      <c r="G177" s="12"/>
      <c r="I177" s="14"/>
      <c r="J177" s="14"/>
      <c r="K177" s="15"/>
    </row>
    <row r="178" spans="1:11">
      <c r="A178" s="7"/>
      <c r="B178" s="1"/>
      <c r="C178" s="8"/>
      <c r="D178" s="9"/>
      <c r="E178" s="22"/>
      <c r="F178" s="12"/>
      <c r="G178" s="12"/>
      <c r="I178" s="14"/>
      <c r="J178" s="14"/>
      <c r="K178" s="15"/>
    </row>
    <row r="179" spans="1:11">
      <c r="A179" s="7"/>
      <c r="B179" s="1"/>
      <c r="C179" s="8"/>
      <c r="D179" s="9"/>
      <c r="E179" s="22"/>
      <c r="F179" s="12"/>
      <c r="G179" s="12"/>
      <c r="I179" s="14"/>
      <c r="J179" s="14"/>
      <c r="K179" s="15"/>
    </row>
    <row r="180" spans="1:11">
      <c r="A180" s="7"/>
      <c r="B180" s="1"/>
      <c r="C180" s="8"/>
      <c r="D180" s="9"/>
      <c r="E180" s="22"/>
      <c r="F180" s="12"/>
      <c r="G180" s="12"/>
      <c r="I180" s="14"/>
      <c r="J180" s="14"/>
      <c r="K180" s="15"/>
    </row>
    <row r="181" spans="1:11">
      <c r="A181" s="7"/>
      <c r="B181" s="1"/>
      <c r="C181" s="8"/>
      <c r="D181" s="9"/>
      <c r="E181" s="22"/>
      <c r="F181" s="12"/>
      <c r="G181" s="12"/>
      <c r="I181" s="14"/>
      <c r="J181" s="14"/>
      <c r="K181" s="15"/>
    </row>
    <row r="182" spans="1:11">
      <c r="A182" s="7"/>
      <c r="B182" s="1"/>
      <c r="C182" s="8"/>
      <c r="D182" s="9"/>
      <c r="E182" s="22"/>
      <c r="F182" s="12"/>
      <c r="G182" s="12"/>
      <c r="I182" s="14"/>
      <c r="J182" s="14"/>
      <c r="K182" s="15"/>
    </row>
    <row r="183" spans="1:11">
      <c r="A183" s="7"/>
      <c r="B183" s="1"/>
      <c r="C183" s="8"/>
      <c r="D183" s="9"/>
      <c r="E183" s="22"/>
      <c r="F183" s="12"/>
      <c r="G183" s="12"/>
      <c r="I183" s="14"/>
      <c r="J183" s="14"/>
      <c r="K183" s="15"/>
    </row>
    <row r="184" spans="1:11">
      <c r="A184" s="7"/>
      <c r="B184" s="1"/>
      <c r="C184" s="8"/>
      <c r="D184" s="9"/>
      <c r="E184" s="22"/>
      <c r="F184" s="12"/>
      <c r="G184" s="12"/>
      <c r="I184" s="14"/>
      <c r="J184" s="14"/>
      <c r="K184" s="15"/>
    </row>
    <row r="185" spans="1:11">
      <c r="A185" s="7"/>
      <c r="B185" s="1"/>
      <c r="C185" s="8"/>
      <c r="D185" s="9"/>
      <c r="E185" s="22"/>
      <c r="F185" s="12"/>
      <c r="G185" s="12"/>
      <c r="I185" s="14"/>
      <c r="J185" s="14"/>
      <c r="K185" s="15"/>
    </row>
    <row r="186" spans="1:11">
      <c r="A186" s="7"/>
      <c r="B186" s="1"/>
      <c r="C186" s="8"/>
      <c r="D186" s="9"/>
      <c r="E186" s="22"/>
      <c r="F186" s="12"/>
      <c r="G186" s="12"/>
      <c r="I186" s="14"/>
      <c r="J186" s="14"/>
      <c r="K186" s="15"/>
    </row>
    <row r="187" spans="1:11">
      <c r="A187" s="7"/>
      <c r="B187" s="1"/>
      <c r="C187" s="8"/>
      <c r="D187" s="9"/>
      <c r="E187" s="22"/>
      <c r="F187" s="12"/>
      <c r="G187" s="12"/>
      <c r="I187" s="14"/>
      <c r="J187" s="14"/>
      <c r="K187" s="15"/>
    </row>
    <row r="188" spans="1:11">
      <c r="A188" s="7"/>
      <c r="B188" s="1"/>
      <c r="C188" s="8"/>
      <c r="D188" s="9"/>
      <c r="E188" s="22"/>
      <c r="F188" s="12"/>
      <c r="G188" s="12"/>
      <c r="I188" s="14"/>
      <c r="J188" s="14"/>
      <c r="K188" s="15"/>
    </row>
    <row r="189" spans="1:11">
      <c r="A189" s="7"/>
      <c r="B189" s="1"/>
      <c r="C189" s="8"/>
      <c r="D189" s="9"/>
      <c r="E189" s="22"/>
      <c r="F189" s="12"/>
      <c r="G189" s="12"/>
      <c r="I189" s="14"/>
      <c r="J189" s="14"/>
      <c r="K189" s="15"/>
    </row>
    <row r="190" spans="1:11">
      <c r="A190" s="7"/>
      <c r="B190" s="1"/>
      <c r="C190" s="8"/>
      <c r="D190" s="9"/>
      <c r="E190" s="22"/>
      <c r="F190" s="12"/>
      <c r="G190" s="12"/>
      <c r="I190" s="14"/>
      <c r="J190" s="14"/>
      <c r="K190" s="15"/>
    </row>
    <row r="191" spans="1:11">
      <c r="A191" s="7"/>
      <c r="B191" s="1"/>
      <c r="C191" s="8"/>
      <c r="D191" s="9"/>
      <c r="E191" s="22"/>
      <c r="F191" s="12"/>
      <c r="G191" s="12"/>
      <c r="I191" s="14"/>
      <c r="J191" s="14"/>
      <c r="K191" s="15"/>
    </row>
    <row r="192" spans="1:11">
      <c r="A192" s="7"/>
      <c r="B192" s="1"/>
      <c r="C192" s="8"/>
      <c r="D192" s="9"/>
      <c r="E192" s="22"/>
      <c r="F192" s="12"/>
      <c r="G192" s="12"/>
      <c r="I192" s="14"/>
      <c r="J192" s="14"/>
      <c r="K192" s="15"/>
    </row>
    <row r="193" spans="1:11">
      <c r="A193" s="7"/>
      <c r="B193" s="1"/>
      <c r="C193" s="8"/>
      <c r="D193" s="9"/>
      <c r="E193" s="22"/>
      <c r="F193" s="12"/>
      <c r="G193" s="12"/>
      <c r="I193" s="14"/>
      <c r="J193" s="14"/>
      <c r="K193" s="15"/>
    </row>
    <row r="194" spans="1:11">
      <c r="A194" s="7"/>
      <c r="B194" s="1"/>
      <c r="C194" s="8"/>
      <c r="D194" s="9"/>
      <c r="E194" s="22"/>
      <c r="F194" s="12"/>
      <c r="G194" s="12"/>
      <c r="I194" s="14"/>
      <c r="J194" s="14"/>
      <c r="K194" s="15"/>
    </row>
    <row r="195" spans="1:11">
      <c r="A195" s="7"/>
      <c r="B195" s="1"/>
      <c r="C195" s="8"/>
      <c r="D195" s="9"/>
      <c r="E195" s="22"/>
      <c r="F195" s="12"/>
      <c r="G195" s="12"/>
      <c r="I195" s="14"/>
      <c r="J195" s="14"/>
      <c r="K195" s="15"/>
    </row>
    <row r="196" spans="1:11">
      <c r="A196" s="7"/>
      <c r="B196" s="1"/>
      <c r="C196" s="8"/>
      <c r="D196" s="9"/>
      <c r="E196" s="22"/>
      <c r="F196" s="12"/>
      <c r="G196" s="12"/>
      <c r="I196" s="14"/>
      <c r="J196" s="14"/>
      <c r="K196" s="15"/>
    </row>
    <row r="197" spans="1:11">
      <c r="A197" s="7"/>
      <c r="B197" s="1"/>
      <c r="C197" s="8"/>
      <c r="D197" s="9"/>
      <c r="E197" s="22"/>
      <c r="F197" s="12"/>
      <c r="G197" s="12"/>
      <c r="I197" s="14"/>
      <c r="J197" s="14"/>
      <c r="K197" s="15"/>
    </row>
    <row r="198" spans="1:11">
      <c r="A198" s="7"/>
      <c r="B198" s="1"/>
      <c r="C198" s="8"/>
      <c r="D198" s="9"/>
      <c r="E198" s="22"/>
      <c r="F198" s="12"/>
      <c r="G198" s="12"/>
      <c r="I198" s="14"/>
      <c r="J198" s="14"/>
      <c r="K198" s="15"/>
    </row>
    <row r="199" spans="1:11">
      <c r="A199" s="7"/>
      <c r="B199" s="1"/>
      <c r="C199" s="8"/>
      <c r="D199" s="9"/>
      <c r="E199" s="22"/>
      <c r="F199" s="12"/>
      <c r="G199" s="12"/>
      <c r="I199" s="14"/>
      <c r="J199" s="14"/>
      <c r="K199" s="15"/>
    </row>
    <row r="200" spans="1:11">
      <c r="A200" s="7"/>
      <c r="B200" s="1"/>
      <c r="C200" s="8"/>
      <c r="D200" s="9"/>
      <c r="E200" s="22"/>
      <c r="F200" s="12"/>
      <c r="G200" s="12"/>
      <c r="I200" s="14"/>
      <c r="J200" s="14"/>
      <c r="K200" s="15"/>
    </row>
    <row r="201" spans="1:11">
      <c r="A201" s="7"/>
      <c r="B201" s="1"/>
      <c r="C201" s="8"/>
      <c r="D201" s="9"/>
      <c r="E201" s="22"/>
      <c r="F201" s="12"/>
      <c r="G201" s="12"/>
      <c r="I201" s="14"/>
      <c r="J201" s="14"/>
      <c r="K201" s="15"/>
    </row>
    <row r="202" spans="1:11">
      <c r="A202" s="7"/>
      <c r="B202" s="1"/>
      <c r="C202" s="8"/>
      <c r="D202" s="9"/>
      <c r="E202" s="22"/>
      <c r="F202" s="12"/>
      <c r="G202" s="12"/>
      <c r="I202" s="14"/>
      <c r="J202" s="14"/>
      <c r="K202" s="15"/>
    </row>
    <row r="203" spans="1:11">
      <c r="A203" s="7"/>
      <c r="B203" s="1"/>
      <c r="C203" s="8"/>
      <c r="D203" s="9"/>
      <c r="E203" s="22"/>
      <c r="F203" s="12"/>
      <c r="G203" s="12"/>
      <c r="I203" s="14"/>
      <c r="J203" s="14"/>
      <c r="K203" s="15"/>
    </row>
    <row r="204" spans="1:11">
      <c r="A204" s="7"/>
      <c r="B204" s="1"/>
      <c r="C204" s="8"/>
      <c r="D204" s="9"/>
      <c r="E204" s="22"/>
      <c r="F204" s="12"/>
      <c r="G204" s="12"/>
      <c r="I204" s="14"/>
      <c r="J204" s="14"/>
      <c r="K204" s="15"/>
    </row>
    <row r="205" spans="1:11">
      <c r="A205" s="7"/>
      <c r="B205" s="1"/>
      <c r="C205" s="8"/>
      <c r="D205" s="9"/>
      <c r="E205" s="22"/>
      <c r="F205" s="12"/>
      <c r="G205" s="12"/>
      <c r="I205" s="14"/>
      <c r="J205" s="14"/>
      <c r="K205" s="15"/>
    </row>
    <row r="206" spans="1:11">
      <c r="A206" s="7"/>
      <c r="B206" s="1"/>
      <c r="C206" s="8"/>
      <c r="D206" s="9"/>
      <c r="E206" s="22"/>
      <c r="F206" s="12"/>
      <c r="G206" s="12"/>
      <c r="I206" s="14"/>
      <c r="J206" s="14"/>
      <c r="K206" s="15"/>
    </row>
    <row r="207" spans="1:11">
      <c r="A207" s="7"/>
      <c r="B207" s="1"/>
      <c r="C207" s="8"/>
      <c r="D207" s="9"/>
      <c r="E207" s="22"/>
      <c r="F207" s="12"/>
      <c r="G207" s="12"/>
      <c r="I207" s="14"/>
      <c r="J207" s="14"/>
      <c r="K207" s="15"/>
    </row>
    <row r="208" spans="1:11">
      <c r="A208" s="7"/>
      <c r="B208" s="1"/>
      <c r="C208" s="8"/>
      <c r="D208" s="9"/>
      <c r="E208" s="22"/>
      <c r="F208" s="12"/>
      <c r="G208" s="12"/>
      <c r="I208" s="14"/>
      <c r="J208" s="14"/>
      <c r="K208" s="15"/>
    </row>
    <row r="209" spans="1:11">
      <c r="A209" s="7"/>
      <c r="B209" s="1"/>
      <c r="C209" s="8"/>
      <c r="D209" s="9"/>
      <c r="E209" s="22"/>
      <c r="F209" s="12"/>
      <c r="G209" s="12"/>
      <c r="I209" s="14"/>
      <c r="J209" s="14"/>
      <c r="K209" s="15"/>
    </row>
    <row r="210" spans="1:11">
      <c r="A210" s="7"/>
      <c r="B210" s="1"/>
      <c r="C210" s="8"/>
      <c r="D210" s="9"/>
      <c r="E210" s="22"/>
      <c r="F210" s="12"/>
      <c r="G210" s="12"/>
      <c r="I210" s="14"/>
      <c r="J210" s="14"/>
      <c r="K210" s="15"/>
    </row>
    <row r="211" spans="1:11">
      <c r="A211" s="7"/>
      <c r="B211" s="1"/>
      <c r="C211" s="8"/>
      <c r="D211" s="9"/>
      <c r="E211" s="22"/>
      <c r="F211" s="12"/>
      <c r="G211" s="12"/>
      <c r="I211" s="14"/>
      <c r="J211" s="14"/>
      <c r="K211" s="15"/>
    </row>
    <row r="212" spans="1:11">
      <c r="A212" s="7"/>
      <c r="B212" s="1"/>
      <c r="C212" s="8"/>
      <c r="D212" s="9"/>
      <c r="E212" s="22"/>
      <c r="F212" s="12"/>
      <c r="G212" s="12"/>
      <c r="I212" s="14"/>
      <c r="J212" s="14"/>
      <c r="K212" s="15"/>
    </row>
    <row r="213" spans="1:11">
      <c r="A213" s="7"/>
      <c r="B213" s="1"/>
      <c r="C213" s="8"/>
      <c r="D213" s="9"/>
      <c r="E213" s="22"/>
      <c r="F213" s="12"/>
      <c r="G213" s="12"/>
      <c r="I213" s="14"/>
      <c r="J213" s="14"/>
      <c r="K213" s="15"/>
    </row>
    <row r="214" spans="1:11">
      <c r="A214" s="7"/>
      <c r="B214" s="1"/>
      <c r="C214" s="8"/>
      <c r="D214" s="9"/>
      <c r="E214" s="22"/>
      <c r="F214" s="12"/>
      <c r="G214" s="12"/>
      <c r="I214" s="14"/>
      <c r="J214" s="14"/>
      <c r="K214" s="15"/>
    </row>
    <row r="215" spans="1:11">
      <c r="A215" s="7"/>
      <c r="B215" s="1"/>
      <c r="C215" s="8"/>
      <c r="D215" s="9"/>
      <c r="E215" s="22"/>
      <c r="F215" s="12"/>
      <c r="G215" s="12"/>
      <c r="I215" s="14"/>
      <c r="J215" s="14"/>
      <c r="K215" s="15"/>
    </row>
    <row r="216" spans="1:11">
      <c r="A216" s="7"/>
      <c r="B216" s="1"/>
      <c r="C216" s="8"/>
      <c r="D216" s="9"/>
      <c r="E216" s="22"/>
      <c r="F216" s="12"/>
      <c r="G216" s="12"/>
      <c r="I216" s="14"/>
      <c r="J216" s="14"/>
      <c r="K216" s="15"/>
    </row>
    <row r="217" spans="1:11">
      <c r="A217" s="7"/>
      <c r="B217" s="1"/>
      <c r="C217" s="8"/>
      <c r="D217" s="9"/>
      <c r="E217" s="22"/>
      <c r="F217" s="12"/>
      <c r="G217" s="12"/>
      <c r="I217" s="14"/>
      <c r="J217" s="14"/>
      <c r="K217" s="15"/>
    </row>
    <row r="218" spans="1:11">
      <c r="A218" s="7"/>
      <c r="B218" s="1"/>
      <c r="C218" s="8"/>
      <c r="D218" s="9"/>
      <c r="E218" s="22"/>
      <c r="F218" s="12"/>
      <c r="G218" s="12"/>
      <c r="I218" s="14"/>
      <c r="J218" s="14"/>
      <c r="K218" s="15"/>
    </row>
    <row r="219" spans="1:11">
      <c r="A219" s="7"/>
      <c r="B219" s="1"/>
      <c r="C219" s="8"/>
      <c r="D219" s="9"/>
      <c r="E219" s="22"/>
      <c r="F219" s="12"/>
      <c r="G219" s="12"/>
      <c r="I219" s="14"/>
      <c r="J219" s="14"/>
      <c r="K219" s="15"/>
    </row>
    <row r="220" spans="1:11">
      <c r="A220" s="7"/>
      <c r="B220" s="1"/>
      <c r="C220" s="8"/>
      <c r="D220" s="9"/>
      <c r="E220" s="22"/>
      <c r="F220" s="12"/>
      <c r="G220" s="12"/>
      <c r="I220" s="14"/>
      <c r="J220" s="14"/>
      <c r="K220" s="15"/>
    </row>
    <row r="221" spans="1:11">
      <c r="A221" s="7"/>
      <c r="B221" s="1"/>
      <c r="C221" s="8"/>
      <c r="D221" s="9"/>
      <c r="E221" s="22"/>
      <c r="F221" s="12"/>
      <c r="G221" s="12"/>
      <c r="I221" s="14"/>
      <c r="J221" s="14"/>
      <c r="K221" s="15"/>
    </row>
    <row r="222" spans="1:11">
      <c r="A222" s="7"/>
      <c r="B222" s="1"/>
      <c r="C222" s="8"/>
      <c r="D222" s="9"/>
      <c r="E222" s="22"/>
      <c r="F222" s="12"/>
      <c r="G222" s="12"/>
      <c r="I222" s="14"/>
      <c r="J222" s="14"/>
      <c r="K222" s="15"/>
    </row>
    <row r="223" spans="1:11">
      <c r="A223" s="7"/>
      <c r="B223" s="1"/>
      <c r="C223" s="8"/>
      <c r="D223" s="9"/>
      <c r="E223" s="22"/>
      <c r="F223" s="12"/>
      <c r="G223" s="12"/>
      <c r="I223" s="14"/>
      <c r="J223" s="14"/>
      <c r="K223" s="15"/>
    </row>
    <row r="224" spans="1:11">
      <c r="A224" s="7"/>
      <c r="B224" s="1"/>
      <c r="C224" s="8"/>
      <c r="D224" s="9"/>
      <c r="E224" s="22"/>
      <c r="F224" s="12"/>
      <c r="G224" s="12"/>
      <c r="I224" s="14"/>
      <c r="J224" s="14"/>
      <c r="K224" s="15"/>
    </row>
    <row r="225" spans="1:11">
      <c r="A225" s="7"/>
      <c r="B225" s="1"/>
      <c r="C225" s="8"/>
      <c r="D225" s="9"/>
      <c r="E225" s="22"/>
      <c r="F225" s="12"/>
      <c r="G225" s="12"/>
      <c r="I225" s="14"/>
      <c r="J225" s="14"/>
      <c r="K225" s="15"/>
    </row>
    <row r="226" spans="1:11">
      <c r="A226" s="7"/>
      <c r="B226" s="1"/>
      <c r="C226" s="8"/>
      <c r="D226" s="9"/>
      <c r="E226" s="22"/>
      <c r="F226" s="12"/>
      <c r="G226" s="12"/>
      <c r="I226" s="14"/>
      <c r="J226" s="14"/>
      <c r="K226" s="15"/>
    </row>
    <row r="227" spans="1:11">
      <c r="A227" s="7"/>
      <c r="B227" s="1"/>
      <c r="C227" s="8"/>
      <c r="D227" s="9"/>
      <c r="E227" s="22"/>
      <c r="F227" s="12"/>
      <c r="G227" s="12"/>
      <c r="I227" s="14"/>
      <c r="J227" s="14"/>
      <c r="K227" s="15"/>
    </row>
    <row r="228" spans="1:11">
      <c r="A228" s="7"/>
      <c r="B228" s="1"/>
      <c r="C228" s="8"/>
      <c r="D228" s="9"/>
      <c r="E228" s="22"/>
      <c r="F228" s="12"/>
      <c r="G228" s="12"/>
      <c r="I228" s="14"/>
      <c r="J228" s="14"/>
      <c r="K228" s="15"/>
    </row>
    <row r="229" spans="1:11">
      <c r="A229" s="7"/>
      <c r="B229" s="1"/>
      <c r="C229" s="8"/>
      <c r="D229" s="9"/>
      <c r="E229" s="22"/>
      <c r="F229" s="12"/>
      <c r="G229" s="12"/>
      <c r="I229" s="14"/>
      <c r="J229" s="14"/>
      <c r="K229" s="15"/>
    </row>
    <row r="230" spans="1:11">
      <c r="A230" s="7"/>
      <c r="B230" s="1"/>
      <c r="C230" s="8"/>
      <c r="D230" s="9"/>
      <c r="E230" s="22"/>
      <c r="F230" s="12"/>
      <c r="G230" s="12"/>
      <c r="I230" s="14"/>
      <c r="J230" s="14"/>
      <c r="K230" s="15"/>
    </row>
    <row r="231" spans="1:11">
      <c r="A231" s="7"/>
      <c r="B231" s="1"/>
      <c r="C231" s="8"/>
      <c r="D231" s="9"/>
      <c r="E231" s="22"/>
      <c r="F231" s="12"/>
      <c r="G231" s="12"/>
      <c r="I231" s="14"/>
      <c r="J231" s="14"/>
      <c r="K231" s="15"/>
    </row>
    <row r="232" spans="1:11">
      <c r="A232" s="7"/>
      <c r="B232" s="1"/>
      <c r="C232" s="8"/>
      <c r="D232" s="9"/>
      <c r="E232" s="22"/>
      <c r="F232" s="12"/>
      <c r="G232" s="12"/>
      <c r="I232" s="14"/>
      <c r="J232" s="14"/>
      <c r="K232" s="15"/>
    </row>
    <row r="233" spans="1:11">
      <c r="A233" s="7"/>
      <c r="B233" s="1"/>
      <c r="C233" s="8"/>
      <c r="D233" s="9"/>
      <c r="E233" s="22"/>
      <c r="F233" s="12"/>
      <c r="G233" s="12"/>
      <c r="I233" s="14"/>
      <c r="J233" s="14"/>
      <c r="K233" s="15"/>
    </row>
    <row r="234" spans="1:11">
      <c r="A234" s="7"/>
      <c r="B234" s="1"/>
      <c r="C234" s="8"/>
      <c r="D234" s="9"/>
      <c r="E234" s="22"/>
      <c r="F234" s="12"/>
      <c r="G234" s="12"/>
      <c r="I234" s="14"/>
      <c r="J234" s="14"/>
      <c r="K234" s="15"/>
    </row>
    <row r="235" spans="1:11">
      <c r="A235" s="7"/>
      <c r="B235" s="1"/>
      <c r="C235" s="8"/>
      <c r="D235" s="9"/>
      <c r="E235" s="22"/>
      <c r="F235" s="12"/>
      <c r="G235" s="12"/>
      <c r="I235" s="14"/>
      <c r="J235" s="14"/>
      <c r="K235" s="15"/>
    </row>
    <row r="236" spans="1:11">
      <c r="A236" s="7"/>
      <c r="B236" s="1"/>
      <c r="C236" s="8"/>
      <c r="D236" s="9"/>
      <c r="E236" s="22"/>
      <c r="F236" s="12"/>
      <c r="G236" s="12"/>
      <c r="I236" s="14"/>
      <c r="J236" s="14"/>
      <c r="K236" s="15"/>
    </row>
    <row r="237" spans="1:11">
      <c r="A237" s="7"/>
      <c r="B237" s="1"/>
      <c r="C237" s="8"/>
      <c r="D237" s="9"/>
      <c r="E237" s="22"/>
      <c r="F237" s="12"/>
      <c r="G237" s="12"/>
      <c r="I237" s="14"/>
      <c r="J237" s="14"/>
      <c r="K237" s="15"/>
    </row>
    <row r="238" spans="1:11">
      <c r="A238" s="7"/>
      <c r="B238" s="1"/>
      <c r="C238" s="8"/>
      <c r="D238" s="9"/>
      <c r="E238" s="22"/>
      <c r="F238" s="12"/>
      <c r="G238" s="12"/>
      <c r="I238" s="14"/>
      <c r="J238" s="14"/>
      <c r="K238" s="15"/>
    </row>
    <row r="239" spans="1:11">
      <c r="A239" s="7"/>
      <c r="B239" s="1"/>
      <c r="C239" s="8"/>
      <c r="D239" s="9"/>
      <c r="E239" s="22"/>
      <c r="F239" s="12"/>
      <c r="G239" s="12"/>
      <c r="I239" s="14"/>
      <c r="J239" s="14"/>
      <c r="K239" s="15"/>
    </row>
    <row r="240" spans="1:11">
      <c r="A240" s="7"/>
      <c r="B240" s="1"/>
      <c r="C240" s="8"/>
      <c r="D240" s="9"/>
      <c r="E240" s="22"/>
      <c r="F240" s="12"/>
      <c r="G240" s="12"/>
      <c r="I240" s="14"/>
      <c r="J240" s="14"/>
      <c r="K240" s="15"/>
    </row>
    <row r="241" spans="1:11">
      <c r="A241" s="7"/>
      <c r="B241" s="1"/>
      <c r="C241" s="8"/>
      <c r="D241" s="9"/>
      <c r="E241" s="22"/>
      <c r="F241" s="12"/>
      <c r="G241" s="12"/>
      <c r="I241" s="14"/>
      <c r="J241" s="14"/>
      <c r="K241" s="15"/>
    </row>
    <row r="242" spans="1:11">
      <c r="A242" s="7"/>
      <c r="B242" s="1"/>
      <c r="C242" s="8"/>
      <c r="D242" s="9"/>
      <c r="E242" s="22"/>
      <c r="F242" s="12"/>
      <c r="G242" s="12"/>
      <c r="I242" s="14"/>
      <c r="J242" s="14"/>
      <c r="K242" s="15"/>
    </row>
    <row r="243" spans="1:11">
      <c r="A243" s="7"/>
      <c r="B243" s="1"/>
      <c r="C243" s="8"/>
      <c r="D243" s="9"/>
      <c r="E243" s="22"/>
      <c r="F243" s="12"/>
      <c r="G243" s="12"/>
      <c r="I243" s="14"/>
      <c r="J243" s="14"/>
      <c r="K243" s="15"/>
    </row>
    <row r="244" spans="1:11">
      <c r="A244" s="7"/>
      <c r="B244" s="1"/>
      <c r="C244" s="8"/>
      <c r="D244" s="9"/>
      <c r="E244" s="22"/>
      <c r="F244" s="12"/>
      <c r="G244" s="12"/>
      <c r="I244" s="14"/>
      <c r="J244" s="14"/>
      <c r="K244" s="15"/>
    </row>
    <row r="245" spans="1:11">
      <c r="A245" s="7"/>
      <c r="B245" s="1"/>
      <c r="C245" s="8"/>
      <c r="D245" s="9"/>
      <c r="E245" s="22"/>
      <c r="F245" s="12"/>
      <c r="G245" s="12"/>
      <c r="I245" s="14"/>
      <c r="J245" s="14"/>
      <c r="K245" s="15"/>
    </row>
    <row r="246" spans="1:11">
      <c r="A246" s="7"/>
      <c r="B246" s="1"/>
      <c r="C246" s="8"/>
      <c r="D246" s="9"/>
      <c r="E246" s="22"/>
      <c r="F246" s="12"/>
      <c r="G246" s="12"/>
      <c r="I246" s="14"/>
      <c r="J246" s="14"/>
      <c r="K246" s="15"/>
    </row>
    <row r="247" spans="1:11">
      <c r="A247" s="7"/>
      <c r="B247" s="1"/>
      <c r="C247" s="8"/>
      <c r="D247" s="9"/>
      <c r="E247" s="22"/>
      <c r="F247" s="12"/>
      <c r="G247" s="12"/>
      <c r="I247" s="14"/>
      <c r="J247" s="14"/>
      <c r="K247" s="15"/>
    </row>
    <row r="248" spans="1:11">
      <c r="A248" s="7"/>
      <c r="B248" s="1"/>
      <c r="C248" s="8"/>
      <c r="D248" s="9"/>
      <c r="E248" s="22"/>
      <c r="F248" s="12"/>
      <c r="G248" s="12"/>
      <c r="I248" s="14"/>
      <c r="J248" s="14"/>
      <c r="K248" s="15"/>
    </row>
    <row r="249" spans="1:11">
      <c r="A249" s="7"/>
      <c r="B249" s="1"/>
      <c r="C249" s="8"/>
      <c r="D249" s="9"/>
      <c r="E249" s="22"/>
      <c r="F249" s="12"/>
      <c r="G249" s="12"/>
      <c r="I249" s="14"/>
      <c r="J249" s="14"/>
      <c r="K249" s="15"/>
    </row>
    <row r="250" spans="1:11">
      <c r="A250" s="7"/>
      <c r="B250" s="1"/>
      <c r="C250" s="8"/>
      <c r="D250" s="9"/>
      <c r="E250" s="22"/>
      <c r="F250" s="12"/>
      <c r="G250" s="12"/>
      <c r="I250" s="14"/>
      <c r="J250" s="14"/>
      <c r="K250" s="15"/>
    </row>
    <row r="251" spans="1:11">
      <c r="A251" s="7"/>
      <c r="B251" s="1"/>
      <c r="C251" s="8"/>
      <c r="D251" s="9"/>
      <c r="E251" s="22"/>
      <c r="F251" s="12"/>
      <c r="G251" s="12"/>
      <c r="I251" s="14"/>
      <c r="J251" s="14"/>
      <c r="K251" s="15"/>
    </row>
    <row r="252" spans="1:11">
      <c r="A252" s="7"/>
      <c r="B252" s="1"/>
      <c r="C252" s="8"/>
      <c r="D252" s="9"/>
      <c r="E252" s="22"/>
      <c r="F252" s="12"/>
      <c r="G252" s="12"/>
      <c r="I252" s="14"/>
      <c r="J252" s="14"/>
      <c r="K252" s="15"/>
    </row>
    <row r="253" spans="1:11">
      <c r="A253" s="7"/>
      <c r="B253" s="1"/>
      <c r="C253" s="8"/>
      <c r="D253" s="9"/>
      <c r="E253" s="22"/>
      <c r="F253" s="12"/>
      <c r="G253" s="12"/>
      <c r="I253" s="14"/>
      <c r="J253" s="14"/>
      <c r="K253" s="15"/>
    </row>
    <row r="254" spans="1:11">
      <c r="A254" s="7"/>
      <c r="B254" s="1"/>
      <c r="C254" s="8"/>
      <c r="D254" s="9"/>
      <c r="E254" s="22"/>
      <c r="F254" s="12"/>
      <c r="G254" s="12"/>
      <c r="I254" s="14"/>
      <c r="J254" s="14"/>
      <c r="K254" s="15"/>
    </row>
    <row r="255" spans="1:11">
      <c r="A255" s="7"/>
      <c r="B255" s="1"/>
      <c r="C255" s="8"/>
      <c r="D255" s="9"/>
      <c r="E255" s="22"/>
      <c r="F255" s="12"/>
      <c r="G255" s="12"/>
      <c r="I255" s="14"/>
      <c r="J255" s="14"/>
      <c r="K255" s="15"/>
    </row>
    <row r="256" spans="1:11">
      <c r="A256" s="7"/>
      <c r="B256" s="1"/>
      <c r="C256" s="8"/>
      <c r="D256" s="9"/>
      <c r="E256" s="22"/>
      <c r="F256" s="12"/>
      <c r="G256" s="12"/>
      <c r="I256" s="14"/>
      <c r="J256" s="14"/>
      <c r="K256" s="15"/>
    </row>
    <row r="257" spans="1:11">
      <c r="A257" s="7"/>
      <c r="B257" s="1"/>
      <c r="C257" s="8"/>
      <c r="D257" s="9"/>
      <c r="E257" s="22"/>
      <c r="F257" s="12"/>
      <c r="G257" s="12"/>
      <c r="I257" s="14"/>
      <c r="J257" s="14"/>
      <c r="K257" s="15"/>
    </row>
    <row r="258" spans="1:11">
      <c r="A258" s="7"/>
      <c r="B258" s="1"/>
      <c r="C258" s="8"/>
      <c r="D258" s="9"/>
      <c r="E258" s="22"/>
      <c r="F258" s="12"/>
      <c r="G258" s="12"/>
      <c r="I258" s="14"/>
      <c r="J258" s="14"/>
      <c r="K258" s="15"/>
    </row>
    <row r="259" spans="1:11">
      <c r="A259" s="7"/>
      <c r="B259" s="1"/>
      <c r="C259" s="8"/>
      <c r="D259" s="9"/>
      <c r="E259" s="22"/>
      <c r="F259" s="12"/>
      <c r="G259" s="12"/>
      <c r="I259" s="14"/>
      <c r="J259" s="14"/>
      <c r="K259" s="15"/>
    </row>
    <row r="260" spans="1:11">
      <c r="A260" s="7"/>
      <c r="B260" s="1"/>
      <c r="C260" s="8"/>
      <c r="D260" s="9"/>
      <c r="E260" s="22"/>
      <c r="F260" s="12"/>
      <c r="G260" s="12"/>
      <c r="I260" s="14"/>
      <c r="J260" s="14"/>
      <c r="K260" s="15"/>
    </row>
    <row r="261" spans="1:11">
      <c r="A261" s="7"/>
      <c r="B261" s="1"/>
      <c r="C261" s="8"/>
      <c r="D261" s="9"/>
      <c r="E261" s="22"/>
      <c r="F261" s="12"/>
      <c r="G261" s="12"/>
      <c r="I261" s="14"/>
      <c r="J261" s="14"/>
      <c r="K261" s="15"/>
    </row>
    <row r="262" spans="1:11">
      <c r="A262" s="7"/>
      <c r="B262" s="1"/>
      <c r="C262" s="8"/>
      <c r="D262" s="9"/>
      <c r="E262" s="22"/>
      <c r="F262" s="12"/>
      <c r="G262" s="12"/>
      <c r="I262" s="14"/>
      <c r="J262" s="14"/>
      <c r="K262" s="15"/>
    </row>
    <row r="263" spans="1:11">
      <c r="A263" s="7"/>
      <c r="B263" s="1"/>
      <c r="C263" s="8"/>
      <c r="D263" s="9"/>
      <c r="E263" s="22"/>
      <c r="F263" s="12"/>
      <c r="G263" s="12"/>
      <c r="I263" s="14"/>
      <c r="J263" s="14"/>
      <c r="K263" s="15"/>
    </row>
    <row r="264" spans="1:11">
      <c r="A264" s="7"/>
      <c r="B264" s="1"/>
      <c r="C264" s="8"/>
      <c r="D264" s="9"/>
      <c r="E264" s="22"/>
      <c r="F264" s="12"/>
      <c r="G264" s="12"/>
      <c r="I264" s="14"/>
      <c r="J264" s="14"/>
      <c r="K264" s="15"/>
    </row>
    <row r="265" spans="1:11">
      <c r="A265" s="7"/>
      <c r="B265" s="1"/>
      <c r="C265" s="8"/>
      <c r="D265" s="9"/>
      <c r="E265" s="22"/>
      <c r="F265" s="12"/>
      <c r="G265" s="12"/>
      <c r="I265" s="14"/>
      <c r="J265" s="14"/>
      <c r="K265" s="15"/>
    </row>
    <row r="266" spans="1:11">
      <c r="A266" s="7"/>
      <c r="B266" s="1"/>
      <c r="C266" s="8"/>
      <c r="D266" s="9"/>
      <c r="E266" s="22"/>
      <c r="F266" s="12"/>
      <c r="G266" s="12"/>
      <c r="I266" s="14"/>
      <c r="J266" s="14"/>
      <c r="K266" s="15"/>
    </row>
    <row r="267" spans="1:11">
      <c r="A267" s="7"/>
      <c r="B267" s="1"/>
      <c r="C267" s="8"/>
      <c r="D267" s="9"/>
      <c r="E267" s="22"/>
      <c r="F267" s="12"/>
      <c r="G267" s="12"/>
      <c r="I267" s="14"/>
      <c r="J267" s="14"/>
      <c r="K267" s="15"/>
    </row>
    <row r="268" spans="1:11">
      <c r="A268" s="7"/>
      <c r="B268" s="1"/>
      <c r="C268" s="8"/>
      <c r="D268" s="9"/>
      <c r="E268" s="22"/>
      <c r="F268" s="12"/>
      <c r="G268" s="12"/>
      <c r="I268" s="14"/>
      <c r="J268" s="14"/>
      <c r="K268" s="15"/>
    </row>
    <row r="269" spans="1:11">
      <c r="A269" s="7"/>
      <c r="B269" s="1"/>
      <c r="C269" s="8"/>
      <c r="D269" s="9"/>
      <c r="E269" s="22"/>
      <c r="F269" s="12"/>
      <c r="G269" s="12"/>
      <c r="I269" s="14"/>
      <c r="J269" s="14"/>
      <c r="K269" s="15"/>
    </row>
    <row r="270" spans="1:11">
      <c r="A270" s="7"/>
      <c r="B270" s="1"/>
      <c r="C270" s="8"/>
      <c r="D270" s="9"/>
      <c r="E270" s="22"/>
      <c r="F270" s="12"/>
      <c r="G270" s="12"/>
      <c r="I270" s="14"/>
      <c r="J270" s="14"/>
      <c r="K270" s="15"/>
    </row>
    <row r="271" spans="1:11">
      <c r="A271" s="7"/>
      <c r="B271" s="1"/>
      <c r="C271" s="8"/>
      <c r="D271" s="9"/>
      <c r="E271" s="22"/>
      <c r="F271" s="12"/>
      <c r="G271" s="12"/>
      <c r="I271" s="14"/>
      <c r="J271" s="14"/>
      <c r="K271" s="15"/>
    </row>
    <row r="272" spans="1:11">
      <c r="A272" s="7"/>
      <c r="B272" s="1"/>
      <c r="C272" s="8"/>
      <c r="D272" s="9"/>
      <c r="E272" s="22"/>
      <c r="F272" s="12"/>
      <c r="G272" s="12"/>
      <c r="I272" s="14"/>
      <c r="J272" s="14"/>
      <c r="K272" s="15"/>
    </row>
    <row r="273" spans="1:11">
      <c r="A273" s="7"/>
      <c r="B273" s="1"/>
      <c r="C273" s="8"/>
      <c r="D273" s="9"/>
      <c r="E273" s="22"/>
      <c r="F273" s="12"/>
      <c r="G273" s="12"/>
      <c r="I273" s="14"/>
      <c r="J273" s="14"/>
      <c r="K273" s="15"/>
    </row>
    <row r="274" spans="1:11">
      <c r="A274" s="7"/>
      <c r="B274" s="1"/>
      <c r="C274" s="8"/>
      <c r="D274" s="9"/>
      <c r="E274" s="22"/>
      <c r="F274" s="12"/>
      <c r="G274" s="12"/>
      <c r="I274" s="14"/>
      <c r="J274" s="14"/>
      <c r="K274" s="15"/>
    </row>
    <row r="275" spans="1:11">
      <c r="A275" s="7"/>
      <c r="B275" s="1"/>
      <c r="C275" s="8"/>
      <c r="D275" s="9"/>
      <c r="E275" s="22"/>
      <c r="F275" s="12"/>
      <c r="G275" s="12"/>
      <c r="I275" s="14"/>
      <c r="J275" s="14"/>
      <c r="K275" s="15"/>
    </row>
    <row r="276" spans="1:11">
      <c r="A276" s="7"/>
      <c r="B276" s="1"/>
      <c r="C276" s="8"/>
      <c r="D276" s="9"/>
      <c r="E276" s="22"/>
      <c r="F276" s="12"/>
      <c r="G276" s="12"/>
      <c r="I276" s="14"/>
      <c r="J276" s="14"/>
      <c r="K276" s="15"/>
    </row>
    <row r="277" spans="1:11">
      <c r="A277" s="7"/>
      <c r="B277" s="1"/>
      <c r="C277" s="8"/>
      <c r="D277" s="9"/>
      <c r="E277" s="22"/>
      <c r="F277" s="12"/>
      <c r="G277" s="12"/>
      <c r="I277" s="14"/>
      <c r="J277" s="14"/>
      <c r="K277" s="15"/>
    </row>
    <row r="278" spans="1:11">
      <c r="A278" s="7"/>
      <c r="B278" s="1"/>
      <c r="C278" s="8"/>
      <c r="D278" s="9"/>
      <c r="E278" s="22"/>
      <c r="F278" s="12"/>
      <c r="G278" s="12"/>
      <c r="I278" s="14"/>
      <c r="J278" s="14"/>
      <c r="K278" s="15"/>
    </row>
    <row r="279" spans="1:11">
      <c r="A279" s="7"/>
      <c r="B279" s="1"/>
      <c r="C279" s="8"/>
      <c r="D279" s="9"/>
      <c r="E279" s="22"/>
      <c r="F279" s="12"/>
      <c r="G279" s="12"/>
      <c r="I279" s="14"/>
      <c r="J279" s="14"/>
      <c r="K279" s="15"/>
    </row>
    <row r="280" spans="1:11">
      <c r="A280" s="7"/>
      <c r="B280" s="1"/>
      <c r="C280" s="8"/>
      <c r="D280" s="9"/>
      <c r="E280" s="22"/>
      <c r="F280" s="12"/>
      <c r="G280" s="12"/>
      <c r="I280" s="14"/>
      <c r="J280" s="14"/>
      <c r="K280" s="15"/>
    </row>
    <row r="281" spans="1:11">
      <c r="A281" s="7"/>
      <c r="B281" s="1"/>
      <c r="C281" s="8"/>
      <c r="D281" s="9"/>
      <c r="E281" s="22"/>
      <c r="F281" s="12"/>
      <c r="G281" s="12"/>
      <c r="I281" s="14"/>
      <c r="J281" s="14"/>
      <c r="K281" s="15"/>
    </row>
    <row r="282" spans="1:11">
      <c r="A282" s="7"/>
      <c r="B282" s="1"/>
      <c r="C282" s="8"/>
      <c r="D282" s="9"/>
      <c r="E282" s="22"/>
      <c r="F282" s="12"/>
      <c r="G282" s="12"/>
      <c r="I282" s="14"/>
      <c r="J282" s="14"/>
      <c r="K282" s="15"/>
    </row>
    <row r="283" spans="1:11">
      <c r="A283" s="7"/>
      <c r="B283" s="1"/>
      <c r="C283" s="8"/>
      <c r="D283" s="9"/>
      <c r="E283" s="22"/>
      <c r="F283" s="12"/>
      <c r="G283" s="12"/>
      <c r="I283" s="14"/>
      <c r="J283" s="14"/>
      <c r="K283" s="15"/>
    </row>
    <row r="284" spans="1:11">
      <c r="A284" s="7"/>
      <c r="B284" s="1"/>
      <c r="C284" s="8"/>
      <c r="D284" s="9"/>
      <c r="E284" s="22"/>
      <c r="F284" s="12"/>
      <c r="G284" s="12"/>
      <c r="I284" s="14"/>
      <c r="J284" s="14"/>
      <c r="K284" s="15"/>
    </row>
    <row r="285" spans="1:11">
      <c r="A285" s="7"/>
      <c r="B285" s="1"/>
      <c r="C285" s="8"/>
      <c r="D285" s="9"/>
      <c r="E285" s="22"/>
      <c r="F285" s="12"/>
      <c r="G285" s="12"/>
      <c r="I285" s="14"/>
      <c r="J285" s="14"/>
      <c r="K285" s="15"/>
    </row>
    <row r="286" spans="1:11">
      <c r="A286" s="7"/>
      <c r="B286" s="1"/>
      <c r="C286" s="8"/>
      <c r="D286" s="9"/>
      <c r="E286" s="22"/>
      <c r="F286" s="12"/>
      <c r="G286" s="12"/>
      <c r="I286" s="14"/>
      <c r="J286" s="14"/>
      <c r="K286" s="15"/>
    </row>
    <row r="287" spans="1:11">
      <c r="A287" s="7"/>
      <c r="B287" s="1"/>
      <c r="C287" s="8"/>
      <c r="D287" s="9"/>
      <c r="E287" s="22"/>
      <c r="F287" s="12"/>
      <c r="G287" s="12"/>
      <c r="I287" s="14"/>
      <c r="J287" s="14"/>
      <c r="K287" s="15"/>
    </row>
    <row r="288" spans="1:11">
      <c r="A288" s="7"/>
      <c r="B288" s="1"/>
      <c r="C288" s="8"/>
      <c r="D288" s="9"/>
      <c r="E288" s="22"/>
      <c r="F288" s="12"/>
      <c r="G288" s="12"/>
      <c r="I288" s="14"/>
      <c r="J288" s="14"/>
      <c r="K288" s="15"/>
    </row>
    <row r="289" spans="1:11">
      <c r="A289" s="7"/>
      <c r="B289" s="1"/>
      <c r="C289" s="8"/>
      <c r="D289" s="9"/>
      <c r="E289" s="22"/>
      <c r="F289" s="12"/>
      <c r="G289" s="12"/>
      <c r="I289" s="14"/>
      <c r="J289" s="14"/>
      <c r="K289" s="15"/>
    </row>
    <row r="290" spans="1:11">
      <c r="A290" s="7"/>
      <c r="B290" s="1"/>
      <c r="C290" s="8"/>
      <c r="D290" s="9"/>
      <c r="E290" s="22"/>
      <c r="F290" s="12"/>
      <c r="G290" s="12"/>
      <c r="I290" s="14"/>
      <c r="J290" s="14"/>
      <c r="K290" s="15"/>
    </row>
    <row r="291" spans="1:11">
      <c r="A291" s="7"/>
      <c r="B291" s="1"/>
      <c r="C291" s="8"/>
      <c r="D291" s="9"/>
      <c r="E291" s="22"/>
      <c r="F291" s="12"/>
      <c r="G291" s="12"/>
      <c r="I291" s="14"/>
      <c r="J291" s="14"/>
      <c r="K291" s="15"/>
    </row>
    <row r="292" spans="1:11">
      <c r="A292" s="7"/>
      <c r="B292" s="1"/>
      <c r="C292" s="8"/>
      <c r="D292" s="9"/>
      <c r="E292" s="22"/>
      <c r="F292" s="12"/>
      <c r="G292" s="12"/>
      <c r="I292" s="14"/>
      <c r="J292" s="14"/>
      <c r="K292" s="15"/>
    </row>
    <row r="293" spans="1:11">
      <c r="A293" s="7"/>
      <c r="B293" s="1"/>
      <c r="C293" s="8"/>
      <c r="D293" s="9"/>
      <c r="E293" s="22"/>
      <c r="F293" s="12"/>
      <c r="G293" s="12"/>
      <c r="I293" s="14"/>
      <c r="J293" s="14"/>
      <c r="K293" s="15"/>
    </row>
    <row r="294" spans="1:11">
      <c r="A294" s="7"/>
      <c r="B294" s="1"/>
      <c r="C294" s="8"/>
      <c r="D294" s="9"/>
      <c r="E294" s="22"/>
      <c r="F294" s="12"/>
      <c r="G294" s="12"/>
      <c r="I294" s="14"/>
      <c r="J294" s="14"/>
      <c r="K294" s="15"/>
    </row>
    <row r="295" spans="1:11">
      <c r="A295" s="7"/>
      <c r="B295" s="1"/>
      <c r="C295" s="8"/>
      <c r="D295" s="9"/>
      <c r="E295" s="22"/>
      <c r="F295" s="12"/>
      <c r="G295" s="12"/>
      <c r="I295" s="14"/>
      <c r="J295" s="14"/>
      <c r="K295" s="15"/>
    </row>
    <row r="296" spans="1:11">
      <c r="A296" s="7"/>
      <c r="B296" s="1"/>
      <c r="C296" s="8"/>
      <c r="D296" s="9"/>
      <c r="E296" s="22"/>
      <c r="F296" s="12"/>
      <c r="G296" s="12"/>
      <c r="I296" s="14"/>
      <c r="J296" s="14"/>
      <c r="K296" s="15"/>
    </row>
    <row r="297" spans="1:11">
      <c r="A297" s="7"/>
      <c r="B297" s="1"/>
      <c r="C297" s="8"/>
      <c r="D297" s="9"/>
      <c r="E297" s="22"/>
      <c r="F297" s="12"/>
      <c r="G297" s="12"/>
      <c r="I297" s="14"/>
      <c r="J297" s="14"/>
      <c r="K297" s="15"/>
    </row>
    <row r="298" spans="1:11">
      <c r="A298" s="7"/>
      <c r="B298" s="1"/>
      <c r="C298" s="8"/>
      <c r="D298" s="9"/>
      <c r="E298" s="22"/>
      <c r="F298" s="12"/>
      <c r="G298" s="12"/>
      <c r="I298" s="14"/>
      <c r="J298" s="14"/>
      <c r="K298" s="15"/>
    </row>
    <row r="299" spans="1:11">
      <c r="A299" s="7"/>
      <c r="B299" s="1"/>
      <c r="C299" s="8"/>
      <c r="D299" s="9"/>
      <c r="E299" s="22"/>
      <c r="F299" s="12"/>
      <c r="G299" s="12"/>
      <c r="I299" s="14"/>
      <c r="J299" s="14"/>
      <c r="K299" s="15"/>
    </row>
    <row r="300" spans="1:11">
      <c r="A300" s="7"/>
      <c r="B300" s="1"/>
      <c r="C300" s="8"/>
      <c r="D300" s="9"/>
      <c r="E300" s="22"/>
      <c r="F300" s="12"/>
      <c r="G300" s="12"/>
      <c r="I300" s="14"/>
      <c r="J300" s="14"/>
      <c r="K300" s="15"/>
    </row>
    <row r="301" spans="1:11">
      <c r="A301" s="7"/>
      <c r="B301" s="1"/>
      <c r="C301" s="8"/>
      <c r="D301" s="9"/>
      <c r="E301" s="22"/>
      <c r="F301" s="12"/>
      <c r="G301" s="12"/>
      <c r="I301" s="14"/>
      <c r="J301" s="14"/>
      <c r="K301" s="15"/>
    </row>
    <row r="302" spans="1:11">
      <c r="A302" s="7"/>
      <c r="B302" s="1"/>
      <c r="C302" s="8"/>
      <c r="D302" s="9"/>
      <c r="E302" s="22"/>
      <c r="F302" s="12"/>
      <c r="G302" s="12"/>
      <c r="I302" s="14"/>
      <c r="J302" s="14"/>
      <c r="K302" s="15"/>
    </row>
    <row r="303" spans="1:11">
      <c r="A303" s="7"/>
      <c r="B303" s="1"/>
      <c r="C303" s="8"/>
      <c r="D303" s="9"/>
      <c r="E303" s="22"/>
      <c r="F303" s="12"/>
      <c r="G303" s="12"/>
      <c r="I303" s="14"/>
      <c r="J303" s="14"/>
      <c r="K303" s="15"/>
    </row>
    <row r="304" spans="1:11">
      <c r="A304" s="7"/>
      <c r="B304" s="1"/>
      <c r="C304" s="8"/>
      <c r="D304" s="9"/>
      <c r="E304" s="22"/>
      <c r="F304" s="12"/>
      <c r="G304" s="12"/>
      <c r="I304" s="14"/>
      <c r="J304" s="14"/>
      <c r="K304" s="15"/>
    </row>
    <row r="305" spans="1:11">
      <c r="A305" s="7"/>
      <c r="B305" s="1"/>
      <c r="C305" s="8"/>
      <c r="D305" s="9"/>
      <c r="E305" s="22"/>
      <c r="F305" s="12"/>
      <c r="G305" s="12"/>
      <c r="I305" s="14"/>
      <c r="J305" s="14"/>
      <c r="K305" s="15"/>
    </row>
    <row r="306" spans="1:11">
      <c r="A306" s="7"/>
      <c r="B306" s="1"/>
      <c r="C306" s="8"/>
      <c r="D306" s="9"/>
      <c r="E306" s="22"/>
      <c r="F306" s="12"/>
      <c r="G306" s="12"/>
      <c r="I306" s="14"/>
      <c r="J306" s="14"/>
      <c r="K306" s="15"/>
    </row>
    <row r="307" spans="1:11">
      <c r="A307" s="7"/>
      <c r="B307" s="1"/>
      <c r="C307" s="8"/>
      <c r="D307" s="9"/>
      <c r="E307" s="22"/>
      <c r="F307" s="12"/>
      <c r="G307" s="12"/>
      <c r="I307" s="14"/>
      <c r="J307" s="14"/>
      <c r="K307" s="15"/>
    </row>
    <row r="308" spans="1:11">
      <c r="A308" s="7"/>
      <c r="B308" s="1"/>
      <c r="C308" s="8"/>
      <c r="D308" s="9"/>
      <c r="E308" s="22"/>
      <c r="F308" s="12"/>
      <c r="G308" s="12"/>
      <c r="I308" s="14"/>
      <c r="J308" s="14"/>
      <c r="K308" s="15"/>
    </row>
  </sheetData>
  <conditionalFormatting sqref="K3:K1048576">
    <cfRule type="containsText" dxfId="0" priority="1" operator="between" text="是">
      <formula>NOT(ISERROR(SEARCH("是",K3)))</formula>
    </cfRule>
  </conditionalFormatting>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308"/>
  <sheetViews>
    <sheetView topLeftCell="A25" workbookViewId="0">
      <selection activeCell="T41" sqref="R41:T41"/>
    </sheetView>
  </sheetViews>
  <sheetFormatPr defaultColWidth="9" defaultRowHeight="16.8"/>
  <cols>
    <col min="1" max="1" width="11.125" customWidth="1"/>
    <col min="2" max="2" width="12.62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E1" s="1">
        <v>5</v>
      </c>
      <c r="F1" s="1">
        <v>6</v>
      </c>
      <c r="G1" s="14">
        <v>7</v>
      </c>
      <c r="H1" s="1">
        <v>8</v>
      </c>
      <c r="I1" s="1">
        <v>9</v>
      </c>
      <c r="J1" s="18">
        <v>10</v>
      </c>
      <c r="K1" s="1">
        <v>11</v>
      </c>
    </row>
    <row r="2" s="1" customFormat="1" ht="16.5" customHeight="1" spans="1:11">
      <c r="A2" s="4" t="s">
        <v>2</v>
      </c>
      <c r="B2" s="4" t="s">
        <v>264</v>
      </c>
      <c r="C2" s="5" t="s">
        <v>310</v>
      </c>
      <c r="D2" s="6" t="s">
        <v>311</v>
      </c>
      <c r="E2" s="5" t="s">
        <v>33</v>
      </c>
      <c r="F2" s="5" t="s">
        <v>22</v>
      </c>
      <c r="G2" s="10" t="s">
        <v>312</v>
      </c>
      <c r="H2" s="11" t="s">
        <v>313</v>
      </c>
      <c r="I2" s="11" t="s">
        <v>314</v>
      </c>
      <c r="J2" s="11" t="s">
        <v>315</v>
      </c>
      <c r="K2" s="5" t="s">
        <v>316</v>
      </c>
    </row>
    <row r="3" spans="1:2">
      <c r="A3" s="7">
        <f>IF(子基金及业绩基准周净值!A31="","",子基金及业绩基准周净值!A31)</f>
        <v>45660</v>
      </c>
      <c r="B3" s="1">
        <f>IF(A3="","",VLOOKUP($A3,子基金及业绩基准周净值!$A:$AV,12))</f>
        <v>1.0052</v>
      </c>
    </row>
    <row r="4" spans="1:10">
      <c r="A4" s="7">
        <f>IF(子基金及业绩基准周净值!A32="","",子基金及业绩基准周净值!A32)</f>
        <v>45667</v>
      </c>
      <c r="B4" s="1">
        <f>IF(A4="","",VLOOKUP($A4,子基金及业绩基准周净值!$A:$AV,12))</f>
        <v>0.9989</v>
      </c>
      <c r="C4" s="8">
        <f>IF(A4="","",(B4-B3)/B3)</f>
        <v>-0.00626740947075217</v>
      </c>
      <c r="D4" s="9">
        <f>IF(A4="","",C4-子基金及业绩基准周净值!AI32)</f>
        <v>-0.0106674094707522</v>
      </c>
      <c r="E4" s="12">
        <f>IF(A4="","",(MAX(B$3:B4)-B4)/MAX(B$3:B4))</f>
        <v>0.00626740947075217</v>
      </c>
      <c r="F4" s="12">
        <f>IF(A4="","",MAX(E$4:E4))</f>
        <v>0.00626740947075217</v>
      </c>
      <c r="G4" s="13">
        <v>1</v>
      </c>
      <c r="H4" s="14" t="str">
        <f>IF(A4="","",IF(E4&lt;3%,"否","是"))</f>
        <v>否</v>
      </c>
      <c r="I4" s="14" t="str">
        <f>IF(A4="","",IF(F4&gt;5%,"是","否"))</f>
        <v>否</v>
      </c>
      <c r="J4" s="15" t="str">
        <f>IF(A4="","",IF(G4&gt;=4,"是","否"))</f>
        <v>否</v>
      </c>
    </row>
    <row r="5" spans="1:10">
      <c r="A5" s="7">
        <f>IF(子基金及业绩基准周净值!A33="","",子基金及业绩基准周净值!A33)</f>
        <v>45674</v>
      </c>
      <c r="B5" s="1">
        <f>IF(A5="","",VLOOKUP($A5,子基金及业绩基准周净值!$A:$AV,12))</f>
        <v>1.0015</v>
      </c>
      <c r="C5" s="8">
        <f t="shared" ref="C5:C68" si="0">IF(A5="","",(B5-B4)/B4)</f>
        <v>0.00260286314946446</v>
      </c>
      <c r="D5" s="9">
        <f>IF(A5="","",C5-子基金及业绩基准周净值!AI33)</f>
        <v>-0.00499713685053554</v>
      </c>
      <c r="E5" s="12">
        <f>IF(A5="","",(MAX(B$3:B5)-B5)/MAX(B$3:B5))</f>
        <v>0.00368085953044174</v>
      </c>
      <c r="F5" s="12">
        <f>IF(A5="","",MAX(E$4:E5))</f>
        <v>0.00626740947075217</v>
      </c>
      <c r="G5" s="13">
        <v>2</v>
      </c>
      <c r="H5" s="14" t="str">
        <f t="shared" ref="H5:H68" si="1">IF(A5="","",IF(E5&lt;3%,"否","是"))</f>
        <v>否</v>
      </c>
      <c r="I5" s="14" t="str">
        <f t="shared" ref="I5:I68" si="2">IF(A5="","",IF(F5&gt;5%,"是","否"))</f>
        <v>否</v>
      </c>
      <c r="J5" s="15" t="str">
        <f t="shared" ref="J5:J68" si="3">IF(A5="","",IF(G5&gt;=4,"是","否"))</f>
        <v>否</v>
      </c>
    </row>
    <row r="6" spans="1:10">
      <c r="A6" s="7">
        <f>IF(子基金及业绩基准周净值!A34="","",子基金及业绩基准周净值!A34)</f>
        <v>45681</v>
      </c>
      <c r="B6" s="1">
        <f>IF(A6="","",VLOOKUP($A6,子基金及业绩基准周净值!$A:$AV,12))</f>
        <v>1.0011</v>
      </c>
      <c r="C6" s="8">
        <f t="shared" si="0"/>
        <v>-0.000399400898651978</v>
      </c>
      <c r="D6" s="9">
        <f>IF(A6="","",C6-子基金及业绩基准周净值!AI34)</f>
        <v>0.00200059910134802</v>
      </c>
      <c r="E6" s="12">
        <f>IF(A6="","",(MAX(B$3:B6)-B6)/MAX(B$3:B6))</f>
        <v>0.00407879029048945</v>
      </c>
      <c r="F6" s="12">
        <f>IF(A6="","",MAX(E$4:E6))</f>
        <v>0.00626740947075217</v>
      </c>
      <c r="G6" s="13">
        <v>0</v>
      </c>
      <c r="H6" s="14" t="str">
        <f t="shared" si="1"/>
        <v>否</v>
      </c>
      <c r="I6" s="14" t="str">
        <f t="shared" si="2"/>
        <v>否</v>
      </c>
      <c r="J6" s="15" t="str">
        <f t="shared" si="3"/>
        <v>否</v>
      </c>
    </row>
    <row r="7" spans="1:10">
      <c r="A7" s="7">
        <f>IF(子基金及业绩基准周净值!A35="","",子基金及业绩基准周净值!A35)</f>
        <v>45684</v>
      </c>
      <c r="B7" s="1">
        <f>IF(A7="","",VLOOKUP($A7,子基金及业绩基准周净值!$A:$AV,12))</f>
        <v>0.9958</v>
      </c>
      <c r="C7" s="8">
        <f t="shared" si="0"/>
        <v>-0.00529417640595353</v>
      </c>
      <c r="D7" s="9">
        <f>IF(A7="","",C7-子基金及业绩基准周净值!AI35)</f>
        <v>-0.000594176405953533</v>
      </c>
      <c r="E7" s="12">
        <f>IF(A7="","",(MAX(B$3:B7)-B7)/MAX(B$3:B7))</f>
        <v>0.00935137286112224</v>
      </c>
      <c r="F7" s="12">
        <f>IF(A7="","",MAX(E$4:E7))</f>
        <v>0.00935137286112224</v>
      </c>
      <c r="G7" s="13">
        <v>1</v>
      </c>
      <c r="H7" s="14" t="str">
        <f t="shared" si="1"/>
        <v>否</v>
      </c>
      <c r="I7" s="14" t="str">
        <f t="shared" si="2"/>
        <v>否</v>
      </c>
      <c r="J7" s="15" t="str">
        <f t="shared" si="3"/>
        <v>否</v>
      </c>
    </row>
    <row r="8" spans="1:10">
      <c r="A8" s="7">
        <f>IF(子基金及业绩基准周净值!A36="","",子基金及业绩基准周净值!A36)</f>
        <v>45695</v>
      </c>
      <c r="B8" s="1">
        <f>IF(A8="","",VLOOKUP($A8,子基金及业绩基准周净值!$A:$AV,12))</f>
        <v>0.9993</v>
      </c>
      <c r="C8" s="8">
        <f t="shared" si="0"/>
        <v>0.00351476200040163</v>
      </c>
      <c r="D8" s="9">
        <f>IF(A8="","",C8-子基金及业绩基准周净值!AI36)</f>
        <v>-0.0137852379995984</v>
      </c>
      <c r="E8" s="12">
        <f>IF(A8="","",(MAX(B$3:B8)-B8)/MAX(B$3:B8))</f>
        <v>0.00586947871070446</v>
      </c>
      <c r="F8" s="12">
        <f>IF(A8="","",MAX(E$4:E8))</f>
        <v>0.00935137286112224</v>
      </c>
      <c r="G8" s="13">
        <v>2</v>
      </c>
      <c r="H8" s="14" t="str">
        <f t="shared" si="1"/>
        <v>否</v>
      </c>
      <c r="I8" s="14" t="str">
        <f t="shared" si="2"/>
        <v>否</v>
      </c>
      <c r="J8" s="15" t="str">
        <f t="shared" si="3"/>
        <v>否</v>
      </c>
    </row>
    <row r="9" spans="1:10">
      <c r="A9" s="7">
        <f>IF(子基金及业绩基准周净值!A37="","",子基金及业绩基准周净值!A37)</f>
        <v>45702</v>
      </c>
      <c r="B9" s="1">
        <f>IF(A9="","",VLOOKUP($A9,子基金及业绩基准周净值!$A:$AV,12))</f>
        <v>1.01087</v>
      </c>
      <c r="C9" s="8">
        <f t="shared" si="0"/>
        <v>0.0115781046732713</v>
      </c>
      <c r="D9" s="9">
        <f>IF(A9="","",C9-子基金及业绩基准周净值!AI37)</f>
        <v>-0.00292189532672874</v>
      </c>
      <c r="E9" s="12">
        <f>IF(A9="","",(MAX(B$3:B9)-B9)/MAX(B$3:B9))</f>
        <v>0</v>
      </c>
      <c r="F9" s="12">
        <f>IF(A9="","",MAX(E$4:E9))</f>
        <v>0.00935137286112224</v>
      </c>
      <c r="G9" s="13">
        <v>3</v>
      </c>
      <c r="H9" s="14" t="str">
        <f t="shared" si="1"/>
        <v>否</v>
      </c>
      <c r="I9" s="14" t="str">
        <f t="shared" si="2"/>
        <v>否</v>
      </c>
      <c r="J9" s="15" t="str">
        <f t="shared" si="3"/>
        <v>否</v>
      </c>
    </row>
    <row r="10" spans="1:10">
      <c r="A10" s="7">
        <f>IF(子基金及业绩基准周净值!A38="","",子基金及业绩基准周净值!A38)</f>
        <v>45709</v>
      </c>
      <c r="B10" s="1">
        <f>IF(A10="","",VLOOKUP($A10,子基金及业绩基准周净值!$A:$AV,12))</f>
        <v>1.01976786</v>
      </c>
      <c r="C10" s="8">
        <f t="shared" si="0"/>
        <v>0.00880218030013754</v>
      </c>
      <c r="D10" s="9">
        <f>IF(A10="","",C10-子基金及业绩基准周净值!AI38)</f>
        <v>-0.0105978196998625</v>
      </c>
      <c r="E10" s="12">
        <f>IF(A10="","",(MAX(B$3:B10)-B10)/MAX(B$3:B10))</f>
        <v>0</v>
      </c>
      <c r="F10" s="12">
        <f>IF(A10="","",MAX(E$4:E10))</f>
        <v>0.00935137286112224</v>
      </c>
      <c r="G10" s="13">
        <v>4</v>
      </c>
      <c r="H10" s="14" t="str">
        <f t="shared" si="1"/>
        <v>否</v>
      </c>
      <c r="I10" s="14" t="str">
        <f t="shared" si="2"/>
        <v>否</v>
      </c>
      <c r="J10" s="15" t="str">
        <f t="shared" si="3"/>
        <v>是</v>
      </c>
    </row>
    <row r="11" spans="1:10">
      <c r="A11" s="7">
        <f>IF(子基金及业绩基准周净值!A39="","",子基金及业绩基准周净值!A39)</f>
        <v>45716</v>
      </c>
      <c r="B11" s="1">
        <f>IF(A11="","",VLOOKUP($A11,子基金及业绩基准周净值!$A:$AV,12))</f>
        <v>1.0205462</v>
      </c>
      <c r="C11" s="8">
        <f t="shared" si="0"/>
        <v>0.00076325213857995</v>
      </c>
      <c r="D11" s="9">
        <f>IF(A11="","",C11-子基金及业绩基准周净值!AI39)</f>
        <v>-0.00283674786142005</v>
      </c>
      <c r="E11" s="12">
        <f>IF(A11="","",(MAX(B$3:B11)-B11)/MAX(B$3:B11))</f>
        <v>0</v>
      </c>
      <c r="F11" s="12">
        <f>IF(A11="","",MAX(E$4:E11))</f>
        <v>0.00935137286112224</v>
      </c>
      <c r="G11" s="13">
        <v>5</v>
      </c>
      <c r="H11" s="14" t="str">
        <f t="shared" si="1"/>
        <v>否</v>
      </c>
      <c r="I11" s="14" t="str">
        <f t="shared" si="2"/>
        <v>否</v>
      </c>
      <c r="J11" s="15" t="str">
        <f t="shared" si="3"/>
        <v>是</v>
      </c>
    </row>
    <row r="12" spans="1:10">
      <c r="A12" s="7">
        <f>IF(子基金及业绩基准周净值!A40="","",子基金及业绩基准周净值!A40)</f>
        <v>45723</v>
      </c>
      <c r="B12" s="1">
        <f>IF(A12="","",VLOOKUP($A12,子基金及业绩基准周净值!$A:$AV,12))</f>
        <v>1.02822453</v>
      </c>
      <c r="C12" s="8">
        <f t="shared" si="0"/>
        <v>0.00752374561778766</v>
      </c>
      <c r="D12" s="9">
        <f>IF(A12="","",C12-子基金及业绩基准周净值!AI40)</f>
        <v>-0.00237625438221235</v>
      </c>
      <c r="E12" s="12">
        <f>IF(A12="","",(MAX(B$3:B12)-B12)/MAX(B$3:B12))</f>
        <v>0</v>
      </c>
      <c r="F12" s="12">
        <f>IF(A12="","",MAX(E$4:E12))</f>
        <v>0.00935137286112224</v>
      </c>
      <c r="G12" s="13">
        <v>6</v>
      </c>
      <c r="H12" s="14" t="str">
        <f t="shared" si="1"/>
        <v>否</v>
      </c>
      <c r="I12" s="14" t="str">
        <f t="shared" si="2"/>
        <v>否</v>
      </c>
      <c r="J12" s="15" t="str">
        <f t="shared" si="3"/>
        <v>是</v>
      </c>
    </row>
    <row r="13" spans="1:10">
      <c r="A13" s="7">
        <f>IF(子基金及业绩基准周净值!A41="","",子基金及业绩基准周净值!A41)</f>
        <v>45730</v>
      </c>
      <c r="B13" s="1">
        <f>IF(A13="","",VLOOKUP($A13,子基金及业绩基准周净值!$A:$AV,12))</f>
        <v>1.03050287</v>
      </c>
      <c r="C13" s="8">
        <f t="shared" si="0"/>
        <v>0.00221580008405378</v>
      </c>
      <c r="D13" s="9">
        <f>IF(A13="","",C13-子基金及业绩基准周净值!AI41)</f>
        <v>-0.00368419991594622</v>
      </c>
      <c r="E13" s="12">
        <f>IF(A13="","",(MAX(B$3:B13)-B13)/MAX(B$3:B13))</f>
        <v>0</v>
      </c>
      <c r="F13" s="12">
        <f>IF(A13="","",MAX(E$4:E13))</f>
        <v>0.00935137286112224</v>
      </c>
      <c r="G13" s="13">
        <v>7</v>
      </c>
      <c r="H13" s="14" t="str">
        <f t="shared" si="1"/>
        <v>否</v>
      </c>
      <c r="I13" s="14" t="str">
        <f t="shared" si="2"/>
        <v>否</v>
      </c>
      <c r="J13" s="15" t="str">
        <f t="shared" si="3"/>
        <v>是</v>
      </c>
    </row>
    <row r="14" spans="1:10">
      <c r="A14" s="7">
        <f>IF(子基金及业绩基准周净值!A42="","",子基金及业绩基准周净值!A42)</f>
        <v>45737</v>
      </c>
      <c r="B14" s="1">
        <f>IF(A14="","",VLOOKUP($A14,子基金及业绩基准周净值!$A:$AV,12))</f>
        <v>1.0345812</v>
      </c>
      <c r="C14" s="8">
        <f t="shared" si="0"/>
        <v>0.00395761149117423</v>
      </c>
      <c r="D14" s="9">
        <f>IF(A14="","",C14-子基金及业绩基准周净值!AI42)</f>
        <v>0.00385761149117423</v>
      </c>
      <c r="E14" s="12">
        <f>IF(A14="","",(MAX(B$3:B14)-B14)/MAX(B$3:B14))</f>
        <v>0</v>
      </c>
      <c r="F14" s="12">
        <f>IF(A14="","",MAX(E$4:E14))</f>
        <v>0.00935137286112224</v>
      </c>
      <c r="G14" s="13">
        <v>0</v>
      </c>
      <c r="H14" s="14" t="str">
        <f t="shared" si="1"/>
        <v>否</v>
      </c>
      <c r="I14" s="14" t="str">
        <f t="shared" si="2"/>
        <v>否</v>
      </c>
      <c r="J14" s="15" t="str">
        <f t="shared" si="3"/>
        <v>否</v>
      </c>
    </row>
    <row r="15" spans="1:10">
      <c r="A15" s="7">
        <f>IF(子基金及业绩基准周净值!A43="","",子基金及业绩基准周净值!A43)</f>
        <v>45744</v>
      </c>
      <c r="B15" s="1">
        <f>IF(A15="","",VLOOKUP($A15,子基金及业绩基准周净值!$A:$AV,12))</f>
        <v>1.03655953</v>
      </c>
      <c r="C15" s="8">
        <f t="shared" si="0"/>
        <v>0.00191220370136226</v>
      </c>
      <c r="D15" s="9">
        <f>IF(A15="","",C15-子基金及业绩基准周净值!AI43)</f>
        <v>0.0120122037013623</v>
      </c>
      <c r="E15" s="12">
        <f>IF(A15="","",(MAX(B$3:B15)-B15)/MAX(B$3:B15))</f>
        <v>0</v>
      </c>
      <c r="F15" s="12">
        <f>IF(A15="","",MAX(E$4:E15))</f>
        <v>0.00935137286112224</v>
      </c>
      <c r="G15" s="13">
        <v>0</v>
      </c>
      <c r="H15" s="14" t="str">
        <f t="shared" si="1"/>
        <v>否</v>
      </c>
      <c r="I15" s="14" t="str">
        <f t="shared" si="2"/>
        <v>否</v>
      </c>
      <c r="J15" s="15" t="str">
        <f t="shared" si="3"/>
        <v>否</v>
      </c>
    </row>
    <row r="16" spans="1:10">
      <c r="A16" s="7">
        <f>IF(子基金及业绩基准周净值!A44="","",子基金及业绩基准周净值!A44)</f>
        <v>45750</v>
      </c>
      <c r="B16" s="1">
        <f>IF(A16="","",VLOOKUP($A16,子基金及业绩基准周净值!$A:$AV,12))</f>
        <v>1.03585525</v>
      </c>
      <c r="C16" s="8">
        <f t="shared" si="0"/>
        <v>-0.000679439993185814</v>
      </c>
      <c r="D16" s="9">
        <f>IF(A16="","",C16-子基金及业绩基准周净值!AI44)</f>
        <v>-0.00217943999318581</v>
      </c>
      <c r="E16" s="12">
        <f>IF(A16="","",(MAX(B$3:B16)-B16)/MAX(B$3:B16))</f>
        <v>0.000679439993185814</v>
      </c>
      <c r="F16" s="12">
        <f>IF(A16="","",MAX(E$4:E16))</f>
        <v>0.00935137286112224</v>
      </c>
      <c r="G16" s="13">
        <v>1</v>
      </c>
      <c r="H16" s="14" t="str">
        <f t="shared" si="1"/>
        <v>否</v>
      </c>
      <c r="I16" s="14" t="str">
        <f t="shared" si="2"/>
        <v>否</v>
      </c>
      <c r="J16" s="15" t="str">
        <f t="shared" si="3"/>
        <v>否</v>
      </c>
    </row>
    <row r="17" spans="1:10">
      <c r="A17" s="7">
        <f>IF(子基金及业绩基准周净值!A45="","",子基金及业绩基准周净值!A45)</f>
        <v>45758</v>
      </c>
      <c r="B17" s="1">
        <f>IF(A17="","",VLOOKUP($A17,子基金及业绩基准周净值!$A:$AV,12))</f>
        <v>1.0389162</v>
      </c>
      <c r="C17" s="8">
        <f t="shared" si="0"/>
        <v>0.00295499781460784</v>
      </c>
      <c r="D17" s="9">
        <f>IF(A17="","",C17-子基金及业绩基准周净值!AI45)</f>
        <v>-0.0267450021853922</v>
      </c>
      <c r="E17" s="12">
        <f>IF(A17="","",(MAX(B$3:B17)-B17)/MAX(B$3:B17))</f>
        <v>0</v>
      </c>
      <c r="F17" s="12">
        <f>IF(A17="","",MAX(E$4:E17))</f>
        <v>0.00935137286112224</v>
      </c>
      <c r="G17" s="13">
        <v>2</v>
      </c>
      <c r="H17" s="14" t="str">
        <f t="shared" si="1"/>
        <v>否</v>
      </c>
      <c r="I17" s="14" t="str">
        <f t="shared" si="2"/>
        <v>否</v>
      </c>
      <c r="J17" s="15" t="str">
        <f t="shared" si="3"/>
        <v>否</v>
      </c>
    </row>
    <row r="18" spans="1:10">
      <c r="A18" s="7">
        <f>IF(子基金及业绩基准周净值!A46="","",子基金及业绩基准周净值!A46)</f>
        <v>45765</v>
      </c>
      <c r="B18" s="1">
        <f>IF(A18="","",VLOOKUP($A18,子基金及业绩基准周净值!$A:$AV,12))</f>
        <v>1.04234454</v>
      </c>
      <c r="C18" s="8">
        <f t="shared" si="0"/>
        <v>0.00329991966628292</v>
      </c>
      <c r="D18" s="9">
        <f>IF(A18="","",C18-子基金及业绩基准周净值!AI46)</f>
        <v>0.000599919666282919</v>
      </c>
      <c r="E18" s="12">
        <f>IF(A18="","",(MAX(B$3:B18)-B18)/MAX(B$3:B18))</f>
        <v>0</v>
      </c>
      <c r="F18" s="12">
        <f>IF(A18="","",MAX(E$4:E18))</f>
        <v>0.00935137286112224</v>
      </c>
      <c r="G18" s="13">
        <v>0</v>
      </c>
      <c r="H18" s="14" t="str">
        <f t="shared" si="1"/>
        <v>否</v>
      </c>
      <c r="I18" s="14" t="str">
        <f t="shared" si="2"/>
        <v>否</v>
      </c>
      <c r="J18" s="15" t="str">
        <f t="shared" si="3"/>
        <v>否</v>
      </c>
    </row>
    <row r="19" spans="1:10">
      <c r="A19" s="7">
        <f>IF(子基金及业绩基准周净值!A47="","",子基金及业绩基准周净值!A47)</f>
        <v>45772</v>
      </c>
      <c r="B19" s="1">
        <f>IF(A19="","",VLOOKUP($A19,子基金及业绩基准周净值!$A:$AV,12))</f>
        <v>1.04352287</v>
      </c>
      <c r="C19" s="8">
        <f t="shared" si="0"/>
        <v>0.00113046114291549</v>
      </c>
      <c r="D19" s="9">
        <f>IF(A19="","",C19-子基金及业绩基准周净值!AI47)</f>
        <v>0.00823046114291549</v>
      </c>
      <c r="E19" s="12">
        <f>IF(A19="","",(MAX(B$3:B19)-B19)/MAX(B$3:B19))</f>
        <v>0</v>
      </c>
      <c r="F19" s="12">
        <f>IF(A19="","",MAX(E$4:E19))</f>
        <v>0.00935137286112224</v>
      </c>
      <c r="G19" s="13">
        <v>0</v>
      </c>
      <c r="H19" s="14" t="str">
        <f t="shared" si="1"/>
        <v>否</v>
      </c>
      <c r="I19" s="14" t="str">
        <f t="shared" si="2"/>
        <v>否</v>
      </c>
      <c r="J19" s="15" t="str">
        <f t="shared" si="3"/>
        <v>否</v>
      </c>
    </row>
    <row r="20" spans="1:10">
      <c r="A20" s="7">
        <f>IF(子基金及业绩基准周净值!A48="","",子基金及业绩基准周净值!A48)</f>
        <v>45786</v>
      </c>
      <c r="B20" s="1">
        <f>IF(A20="","",VLOOKUP($A20,子基金及业绩基准周净值!$A:$AV,12))</f>
        <v>1.05557954</v>
      </c>
      <c r="C20" s="8">
        <f t="shared" si="0"/>
        <v>0.0115538148196024</v>
      </c>
      <c r="D20" s="9">
        <f>IF(A20="","",C20-子基金及业绩基准周净值!AI48)</f>
        <v>-0.00504618518039764</v>
      </c>
      <c r="E20" s="12">
        <f>IF(A20="","",(MAX(B$3:B20)-B20)/MAX(B$3:B20))</f>
        <v>0</v>
      </c>
      <c r="F20" s="12">
        <f>IF(A20="","",MAX(E$4:E20))</f>
        <v>0.00935137286112224</v>
      </c>
      <c r="G20" s="13">
        <v>1</v>
      </c>
      <c r="H20" s="14" t="str">
        <f t="shared" si="1"/>
        <v>否</v>
      </c>
      <c r="I20" s="14" t="str">
        <f t="shared" si="2"/>
        <v>否</v>
      </c>
      <c r="J20" s="15" t="str">
        <f t="shared" si="3"/>
        <v>否</v>
      </c>
    </row>
    <row r="21" spans="1:10">
      <c r="A21" s="7">
        <f>IF(子基金及业绩基准周净值!A49="","",子基金及业绩基准周净值!A49)</f>
        <v>45793</v>
      </c>
      <c r="B21" s="1">
        <f>IF(A21="","",VLOOKUP($A21,子基金及业绩基准周净值!$A:$AV,12))</f>
        <v>1.06190787</v>
      </c>
      <c r="C21" s="8">
        <f t="shared" si="0"/>
        <v>0.00599512377816633</v>
      </c>
      <c r="D21" s="9">
        <f>IF(A21="","",C21-子基金及业绩基准周净值!AI49)</f>
        <v>-0.00350487622183366</v>
      </c>
      <c r="E21" s="12">
        <f>IF(A21="","",(MAX(B$3:B21)-B21)/MAX(B$3:B21))</f>
        <v>0</v>
      </c>
      <c r="F21" s="12">
        <f>IF(A21="","",MAX(E$4:E21))</f>
        <v>0.00935137286112224</v>
      </c>
      <c r="G21" s="13">
        <v>2</v>
      </c>
      <c r="H21" s="14" t="str">
        <f t="shared" si="1"/>
        <v>否</v>
      </c>
      <c r="I21" s="14" t="str">
        <f t="shared" si="2"/>
        <v>否</v>
      </c>
      <c r="J21" s="15" t="str">
        <f t="shared" si="3"/>
        <v>否</v>
      </c>
    </row>
    <row r="22" spans="1:10">
      <c r="A22" s="7">
        <f>IF(子基金及业绩基准周净值!A50="","",子基金及业绩基准周净值!A50)</f>
        <v>45800</v>
      </c>
      <c r="B22" s="1">
        <f>IF(A22="","",VLOOKUP($A22,子基金及业绩基准周净值!$A:$AV,12))</f>
        <v>1.06658621</v>
      </c>
      <c r="C22" s="8">
        <f t="shared" si="0"/>
        <v>0.00440559876442023</v>
      </c>
      <c r="D22" s="9">
        <f>IF(A22="","",C22-子基金及业绩基准周净值!AI50)</f>
        <v>0.00170559876442023</v>
      </c>
      <c r="E22" s="12">
        <f>IF(A22="","",(MAX(B$3:B22)-B22)/MAX(B$3:B22))</f>
        <v>0</v>
      </c>
      <c r="F22" s="12">
        <f>IF(A22="","",MAX(E$4:E22))</f>
        <v>0.00935137286112224</v>
      </c>
      <c r="G22" s="13">
        <v>0</v>
      </c>
      <c r="H22" s="14" t="str">
        <f t="shared" si="1"/>
        <v>否</v>
      </c>
      <c r="I22" s="14" t="str">
        <f t="shared" si="2"/>
        <v>否</v>
      </c>
      <c r="J22" s="15" t="str">
        <f t="shared" si="3"/>
        <v>否</v>
      </c>
    </row>
    <row r="23" spans="1:10">
      <c r="A23" s="7">
        <f>IF(子基金及业绩基准周净值!A51="","",子基金及业绩基准周净值!A51)</f>
        <v>45807</v>
      </c>
      <c r="B23" s="1">
        <f>IF(A23="","",VLOOKUP($A23,子基金及业绩基准周净值!$A:$AV,12))</f>
        <v>1.07051454</v>
      </c>
      <c r="C23" s="8">
        <f t="shared" si="0"/>
        <v>0.00368308718336038</v>
      </c>
      <c r="D23" s="9">
        <f>IF(A23="","",C23-子基金及业绩基准周净值!AI51)</f>
        <v>-0.0103169128166396</v>
      </c>
      <c r="E23" s="12">
        <f>IF(A23="","",(MAX(B$3:B23)-B23)/MAX(B$3:B23))</f>
        <v>0</v>
      </c>
      <c r="F23" s="12">
        <f>IF(A23="","",MAX(E$4:E23))</f>
        <v>0.00935137286112224</v>
      </c>
      <c r="G23" s="13">
        <v>1</v>
      </c>
      <c r="H23" s="14" t="str">
        <f t="shared" si="1"/>
        <v>否</v>
      </c>
      <c r="I23" s="14" t="str">
        <f t="shared" si="2"/>
        <v>否</v>
      </c>
      <c r="J23" s="15" t="str">
        <f t="shared" si="3"/>
        <v>否</v>
      </c>
    </row>
    <row r="24" spans="1:10">
      <c r="A24" s="7">
        <f>IF(子基金及业绩基准周净值!A52="","",子基金及业绩基准周净值!A52)</f>
        <v>45814</v>
      </c>
      <c r="B24" s="1">
        <f>IF(A24="","",VLOOKUP($A24,子基金及业绩基准周净值!$A:$AV,12))</f>
        <v>1.07279288</v>
      </c>
      <c r="C24" s="8">
        <f t="shared" si="0"/>
        <v>0.00212826628211882</v>
      </c>
      <c r="D24" s="9">
        <f>IF(A24="","",C24-子基金及业绩基准周净值!AI52)</f>
        <v>-0.00237173371788118</v>
      </c>
      <c r="E24" s="12">
        <f>IF(A24="","",(MAX(B$3:B24)-B24)/MAX(B$3:B24))</f>
        <v>0</v>
      </c>
      <c r="F24" s="12">
        <f>IF(A24="","",MAX(E$4:E24))</f>
        <v>0.00935137286112224</v>
      </c>
      <c r="G24" s="13">
        <v>2</v>
      </c>
      <c r="H24" s="14" t="str">
        <f t="shared" si="1"/>
        <v>否</v>
      </c>
      <c r="I24" s="14" t="str">
        <f t="shared" si="2"/>
        <v>否</v>
      </c>
      <c r="J24" s="15" t="str">
        <f t="shared" si="3"/>
        <v>否</v>
      </c>
    </row>
    <row r="25" spans="1:10">
      <c r="A25" s="7">
        <f>IF(子基金及业绩基准周净值!A53="","",子基金及业绩基准周净值!A53)</f>
        <v>45821</v>
      </c>
      <c r="B25" s="1">
        <f>IF(A25="","",VLOOKUP($A25,子基金及业绩基准周净值!$A:$AV,12))</f>
        <v>1.06957121</v>
      </c>
      <c r="C25" s="8">
        <f t="shared" si="0"/>
        <v>-0.00300306802931041</v>
      </c>
      <c r="D25" s="9">
        <f>IF(A25="","",C25-子基金及业绩基准周净值!AI53)</f>
        <v>-0.00670306802931041</v>
      </c>
      <c r="E25" s="12">
        <f>IF(A25="","",(MAX(B$3:B25)-B25)/MAX(B$3:B25))</f>
        <v>0.00300306802931041</v>
      </c>
      <c r="F25" s="12">
        <f>IF(A25="","",MAX(E$4:E25))</f>
        <v>0.00935137286112224</v>
      </c>
      <c r="G25" s="13">
        <v>3</v>
      </c>
      <c r="H25" s="14" t="str">
        <f t="shared" si="1"/>
        <v>否</v>
      </c>
      <c r="I25" s="14" t="str">
        <f t="shared" si="2"/>
        <v>否</v>
      </c>
      <c r="J25" s="15" t="str">
        <f t="shared" si="3"/>
        <v>否</v>
      </c>
    </row>
    <row r="26" spans="1:10">
      <c r="A26" s="7">
        <f>IF(子基金及业绩基准周净值!A54="","",子基金及业绩基准周净值!A54)</f>
        <v>45828</v>
      </c>
      <c r="B26" s="1">
        <f>IF(A26="","",VLOOKUP($A26,子基金及业绩基准周净值!$A:$AV,12))</f>
        <v>1.06949954</v>
      </c>
      <c r="C26" s="8">
        <f t="shared" si="0"/>
        <v>-6.70081611490638e-5</v>
      </c>
      <c r="D26" s="9">
        <f>IF(A26="","",C26-子基金及业绩基准周净值!AI54)</f>
        <v>-0.00476700816114906</v>
      </c>
      <c r="E26" s="12">
        <f>IF(A26="","",(MAX(B$3:B26)-B26)/MAX(B$3:B26))</f>
        <v>0.00306987496039303</v>
      </c>
      <c r="F26" s="12">
        <f>IF(A26="","",MAX(E$4:E26))</f>
        <v>0.00935137286112224</v>
      </c>
      <c r="G26" s="13">
        <v>4</v>
      </c>
      <c r="H26" s="14" t="str">
        <f t="shared" si="1"/>
        <v>否</v>
      </c>
      <c r="I26" s="14" t="str">
        <f t="shared" si="2"/>
        <v>否</v>
      </c>
      <c r="J26" s="15" t="str">
        <f t="shared" si="3"/>
        <v>是</v>
      </c>
    </row>
    <row r="27" spans="1:10">
      <c r="A27" s="7">
        <f>IF(子基金及业绩基准周净值!A55="","",子基金及业绩基准周净值!A55)</f>
        <v>45835</v>
      </c>
      <c r="B27" s="1">
        <f>IF(A27="","",VLOOKUP($A27,子基金及业绩基准周净值!$A:$AV,12))</f>
        <v>1.07282788</v>
      </c>
      <c r="C27" s="8">
        <f t="shared" si="0"/>
        <v>0.00311205369943397</v>
      </c>
      <c r="D27" s="9">
        <f>IF(A27="","",C27-子基金及业绩基准周净值!AI55)</f>
        <v>-0.013887946300566</v>
      </c>
      <c r="E27" s="12">
        <f>IF(A27="","",(MAX(B$3:B27)-B27)/MAX(B$3:B27))</f>
        <v>0</v>
      </c>
      <c r="F27" s="12">
        <f>IF(A27="","",MAX(E$4:E27))</f>
        <v>0.00935137286112224</v>
      </c>
      <c r="G27" s="13">
        <v>5</v>
      </c>
      <c r="H27" s="14" t="str">
        <f t="shared" si="1"/>
        <v>否</v>
      </c>
      <c r="I27" s="14" t="str">
        <f t="shared" si="2"/>
        <v>否</v>
      </c>
      <c r="J27" s="15" t="str">
        <f t="shared" si="3"/>
        <v>是</v>
      </c>
    </row>
    <row r="28" spans="1:10">
      <c r="A28" s="7">
        <f>IF(子基金及业绩基准周净值!A56="","",子基金及业绩基准周净值!A56)</f>
        <v>45842</v>
      </c>
      <c r="B28" s="1">
        <f>IF(A28="","",VLOOKUP($A28,子基金及业绩基准周净值!$A:$AV,12))</f>
        <v>1.07225621</v>
      </c>
      <c r="C28" s="8">
        <f t="shared" si="0"/>
        <v>-0.000532862736564997</v>
      </c>
      <c r="D28" s="9">
        <f>IF(A28="","",C28-子基金及业绩基准周净值!AI56)</f>
        <v>-0.002632862736565</v>
      </c>
      <c r="E28" s="12">
        <f>IF(A28="","",(MAX(B$3:B28)-B28)/MAX(B$3:B28))</f>
        <v>0.000532862736564997</v>
      </c>
      <c r="F28" s="12">
        <f>IF(A28="","",MAX(E$4:E28))</f>
        <v>0.00935137286112224</v>
      </c>
      <c r="G28" s="13">
        <v>6</v>
      </c>
      <c r="H28" s="14" t="str">
        <f t="shared" si="1"/>
        <v>否</v>
      </c>
      <c r="I28" s="14" t="str">
        <f t="shared" si="2"/>
        <v>否</v>
      </c>
      <c r="J28" s="15" t="str">
        <f t="shared" si="3"/>
        <v>是</v>
      </c>
    </row>
    <row r="29" spans="1:10">
      <c r="A29" s="7">
        <f>IF(子基金及业绩基准周净值!A57="","",子基金及业绩基准周净值!A57)</f>
        <v>45849</v>
      </c>
      <c r="B29" s="1">
        <f>IF(A29="","",VLOOKUP($A29,子基金及业绩基准周净值!$A:$AV,12))</f>
        <v>1.07283455</v>
      </c>
      <c r="C29" s="8">
        <f t="shared" si="0"/>
        <v>0.000539367358851782</v>
      </c>
      <c r="D29" s="9">
        <f>IF(A29="","",C29-子基金及业绩基准周净值!AI57)</f>
        <v>-0.0115606326411482</v>
      </c>
      <c r="E29" s="12">
        <f>IF(A29="","",(MAX(B$3:B29)-B29)/MAX(B$3:B29))</f>
        <v>0</v>
      </c>
      <c r="F29" s="12">
        <f>IF(A29="","",MAX(E$4:E29))</f>
        <v>0.00935137286112224</v>
      </c>
      <c r="G29" s="13">
        <v>7</v>
      </c>
      <c r="H29" s="14" t="str">
        <f t="shared" si="1"/>
        <v>否</v>
      </c>
      <c r="I29" s="14" t="str">
        <f t="shared" si="2"/>
        <v>否</v>
      </c>
      <c r="J29" s="15" t="str">
        <f t="shared" si="3"/>
        <v>是</v>
      </c>
    </row>
    <row r="30" spans="1:10">
      <c r="A30" s="7">
        <f>IF(子基金及业绩基准周净值!A58="","",子基金及业绩基准周净值!A58)</f>
        <v>45856</v>
      </c>
      <c r="B30" s="1">
        <f>IF(A30="","",VLOOKUP($A30,子基金及业绩基准周净值!$A:$AV,12))</f>
        <v>1.07276503</v>
      </c>
      <c r="C30" s="8">
        <f t="shared" si="0"/>
        <v>-6.48002993565458e-5</v>
      </c>
      <c r="D30" s="9">
        <f>IF(A30="","",C30-子基金及业绩基准周净值!AI58)</f>
        <v>-0.00546480029935655</v>
      </c>
      <c r="E30" s="12">
        <f>IF(A30="","",(MAX(B$3:B30)-B30)/MAX(B$3:B30))</f>
        <v>6.48002993565458e-5</v>
      </c>
      <c r="F30" s="12">
        <f>IF(A30="","",MAX(E$4:E30))</f>
        <v>0.00935137286112224</v>
      </c>
      <c r="G30" s="13">
        <v>8</v>
      </c>
      <c r="H30" s="14" t="str">
        <f t="shared" si="1"/>
        <v>否</v>
      </c>
      <c r="I30" s="14" t="str">
        <f t="shared" si="2"/>
        <v>否</v>
      </c>
      <c r="J30" s="15" t="str">
        <f t="shared" si="3"/>
        <v>是</v>
      </c>
    </row>
    <row r="31" spans="1:10">
      <c r="A31" s="7">
        <f>IF(子基金及业绩基准周净值!A59="","",子基金及业绩基准周净值!A59)</f>
        <v>45863</v>
      </c>
      <c r="B31" s="1">
        <f>IF(A31="","",VLOOKUP($A31,子基金及业绩基准周净值!$A:$AV,12))</f>
        <v>1.07276503</v>
      </c>
      <c r="C31" s="8">
        <f t="shared" si="0"/>
        <v>0</v>
      </c>
      <c r="D31" s="9">
        <f>IF(A31="","",C31-子基金及业绩基准周净值!AI59)</f>
        <v>-0.0066</v>
      </c>
      <c r="E31" s="12">
        <f>IF(A31="","",(MAX(B$3:B31)-B31)/MAX(B$3:B31))</f>
        <v>6.48002993565458e-5</v>
      </c>
      <c r="F31" s="12">
        <f>IF(A31="","",MAX(E$4:E31))</f>
        <v>0.00935137286112224</v>
      </c>
      <c r="G31" s="13"/>
      <c r="H31" s="14" t="str">
        <f t="shared" si="1"/>
        <v>否</v>
      </c>
      <c r="I31" s="14" t="str">
        <f t="shared" si="2"/>
        <v>否</v>
      </c>
      <c r="J31" s="15" t="str">
        <f t="shared" si="3"/>
        <v>否</v>
      </c>
    </row>
    <row r="32" spans="1:10">
      <c r="A32" s="7">
        <f>IF(子基金及业绩基准周净值!A60="","",子基金及业绩基准周净值!A60)</f>
        <v>45870</v>
      </c>
      <c r="B32" s="1">
        <f>IF(A32="","",VLOOKUP($A32,子基金及业绩基准周净值!$A:$AV,12))</f>
        <v>0</v>
      </c>
      <c r="C32" s="8">
        <f t="shared" si="0"/>
        <v>-1</v>
      </c>
      <c r="D32" s="9">
        <f>IF(A32="","",C32-子基金及业绩基准周净值!AI60)</f>
        <v>-1.007</v>
      </c>
      <c r="E32" s="12">
        <f>IF(A32="","",(MAX(B$3:B32)-B32)/MAX(B$3:B32))</f>
        <v>1</v>
      </c>
      <c r="F32" s="12">
        <f>IF(A32="","",MAX(E$4:E32))</f>
        <v>1</v>
      </c>
      <c r="G32" s="13"/>
      <c r="H32" s="14" t="str">
        <f t="shared" si="1"/>
        <v>是</v>
      </c>
      <c r="I32" s="14" t="str">
        <f t="shared" si="2"/>
        <v>是</v>
      </c>
      <c r="J32" s="15" t="str">
        <f t="shared" si="3"/>
        <v>否</v>
      </c>
    </row>
    <row r="33" spans="1:10">
      <c r="A33" s="7">
        <f>IF(子基金及业绩基准周净值!A61="","",子基金及业绩基准周净值!A61)</f>
        <v>45877</v>
      </c>
      <c r="B33" s="1">
        <f>IF(A33="","",VLOOKUP($A33,子基金及业绩基准周净值!$A:$AV,12))</f>
        <v>0</v>
      </c>
      <c r="C33" s="8" t="e">
        <f t="shared" si="0"/>
        <v>#DIV/0!</v>
      </c>
      <c r="D33" s="9" t="e">
        <f>IF(A33="","",C33-子基金及业绩基准周净值!AI61)</f>
        <v>#DIV/0!</v>
      </c>
      <c r="E33" s="12">
        <f>IF(A33="","",(MAX(B$3:B33)-B33)/MAX(B$3:B33))</f>
        <v>1</v>
      </c>
      <c r="F33" s="12">
        <f>IF(A33="","",MAX(E$4:E33))</f>
        <v>1</v>
      </c>
      <c r="G33" s="13"/>
      <c r="H33" s="14" t="str">
        <f t="shared" si="1"/>
        <v>是</v>
      </c>
      <c r="I33" s="14" t="str">
        <f t="shared" si="2"/>
        <v>是</v>
      </c>
      <c r="J33" s="15" t="str">
        <f t="shared" si="3"/>
        <v>否</v>
      </c>
    </row>
    <row r="34" spans="1:10">
      <c r="A34" s="7">
        <f>IF(子基金及业绩基准周净值!A62="","",子基金及业绩基准周净值!A62)</f>
        <v>45884</v>
      </c>
      <c r="B34" s="1">
        <f>IF(A34="","",VLOOKUP($A34,子基金及业绩基准周净值!$A:$AV,12))</f>
        <v>0</v>
      </c>
      <c r="C34" s="8" t="e">
        <f t="shared" si="0"/>
        <v>#DIV/0!</v>
      </c>
      <c r="D34" s="9" t="e">
        <f>IF(A34="","",C34-子基金及业绩基准周净值!AI62)</f>
        <v>#DIV/0!</v>
      </c>
      <c r="E34" s="12">
        <f>IF(A34="","",(MAX(B$3:B34)-B34)/MAX(B$3:B34))</f>
        <v>1</v>
      </c>
      <c r="F34" s="12">
        <f>IF(A34="","",MAX(E$4:E34))</f>
        <v>1</v>
      </c>
      <c r="G34" s="13"/>
      <c r="H34" s="14" t="str">
        <f t="shared" si="1"/>
        <v>是</v>
      </c>
      <c r="I34" s="14" t="str">
        <f t="shared" si="2"/>
        <v>是</v>
      </c>
      <c r="J34" s="15" t="str">
        <f t="shared" si="3"/>
        <v>否</v>
      </c>
    </row>
    <row r="35" spans="1:10">
      <c r="A35" s="7">
        <f>IF(子基金及业绩基准周净值!A63="","",子基金及业绩基准周净值!A63)</f>
        <v>45891</v>
      </c>
      <c r="B35" s="1">
        <f>IF(A35="","",VLOOKUP($A35,子基金及业绩基准周净值!$A:$AV,12))</f>
        <v>0</v>
      </c>
      <c r="C35" s="8" t="e">
        <f t="shared" si="0"/>
        <v>#DIV/0!</v>
      </c>
      <c r="D35" s="9" t="e">
        <f>IF(A35="","",C35-子基金及业绩基准周净值!AI63)</f>
        <v>#DIV/0!</v>
      </c>
      <c r="E35" s="12">
        <f>IF(A35="","",(MAX(B$3:B35)-B35)/MAX(B$3:B35))</f>
        <v>1</v>
      </c>
      <c r="F35" s="12">
        <f>IF(A35="","",MAX(E$4:E35))</f>
        <v>1</v>
      </c>
      <c r="G35" s="13"/>
      <c r="H35" s="14" t="str">
        <f t="shared" si="1"/>
        <v>是</v>
      </c>
      <c r="I35" s="14" t="str">
        <f t="shared" si="2"/>
        <v>是</v>
      </c>
      <c r="J35" s="15" t="str">
        <f t="shared" si="3"/>
        <v>否</v>
      </c>
    </row>
    <row r="36" spans="1:10">
      <c r="A36" s="7">
        <f>IF(子基金及业绩基准周净值!A64="","",子基金及业绩基准周净值!A64)</f>
        <v>45898</v>
      </c>
      <c r="B36" s="1">
        <f>IF(A36="","",VLOOKUP($A36,子基金及业绩基准周净值!$A:$AV,12))</f>
        <v>0</v>
      </c>
      <c r="C36" s="8" t="e">
        <f t="shared" si="0"/>
        <v>#DIV/0!</v>
      </c>
      <c r="D36" s="9" t="e">
        <f>IF(A36="","",C36-子基金及业绩基准周净值!AI64)</f>
        <v>#DIV/0!</v>
      </c>
      <c r="E36" s="12">
        <f>IF(A36="","",(MAX(B$3:B36)-B36)/MAX(B$3:B36))</f>
        <v>1</v>
      </c>
      <c r="F36" s="12">
        <f>IF(A36="","",MAX(E$4:E36))</f>
        <v>1</v>
      </c>
      <c r="G36" s="13"/>
      <c r="H36" s="14" t="str">
        <f t="shared" si="1"/>
        <v>是</v>
      </c>
      <c r="I36" s="14" t="str">
        <f t="shared" si="2"/>
        <v>是</v>
      </c>
      <c r="J36" s="15" t="str">
        <f t="shared" si="3"/>
        <v>否</v>
      </c>
    </row>
    <row r="37" spans="1:10">
      <c r="A37" s="7">
        <f>IF(子基金及业绩基准周净值!A65="","",子基金及业绩基准周净值!A65)</f>
        <v>45905</v>
      </c>
      <c r="B37" s="1">
        <f>IF(A37="","",VLOOKUP($A37,子基金及业绩基准周净值!$A:$AV,12))</f>
        <v>0</v>
      </c>
      <c r="C37" s="8" t="e">
        <f t="shared" si="0"/>
        <v>#DIV/0!</v>
      </c>
      <c r="D37" s="9" t="e">
        <f>IF(A37="","",C37-子基金及业绩基准周净值!AI65)</f>
        <v>#DIV/0!</v>
      </c>
      <c r="E37" s="12">
        <f>IF(A37="","",(MAX(B$3:B37)-B37)/MAX(B$3:B37))</f>
        <v>1</v>
      </c>
      <c r="F37" s="12">
        <f>IF(A37="","",MAX(E$4:E37))</f>
        <v>1</v>
      </c>
      <c r="G37" s="13"/>
      <c r="H37" s="14" t="str">
        <f t="shared" si="1"/>
        <v>是</v>
      </c>
      <c r="I37" s="14" t="str">
        <f t="shared" si="2"/>
        <v>是</v>
      </c>
      <c r="J37" s="15" t="str">
        <f t="shared" si="3"/>
        <v>否</v>
      </c>
    </row>
    <row r="38" spans="1:10">
      <c r="A38" s="7">
        <f>IF(子基金及业绩基准周净值!A66="","",子基金及业绩基准周净值!A66)</f>
        <v>45912</v>
      </c>
      <c r="B38" s="1">
        <f>IF(A38="","",VLOOKUP($A38,子基金及业绩基准周净值!$A:$AV,12))</f>
        <v>0</v>
      </c>
      <c r="C38" s="8" t="e">
        <f t="shared" si="0"/>
        <v>#DIV/0!</v>
      </c>
      <c r="D38" s="9" t="e">
        <f>IF(A38="","",C38-子基金及业绩基准周净值!AI66)</f>
        <v>#DIV/0!</v>
      </c>
      <c r="E38" s="12">
        <f>IF(A38="","",(MAX(B$3:B38)-B38)/MAX(B$3:B38))</f>
        <v>1</v>
      </c>
      <c r="F38" s="12">
        <f>IF(A38="","",MAX(E$4:E38))</f>
        <v>1</v>
      </c>
      <c r="G38" s="13"/>
      <c r="H38" s="14" t="str">
        <f t="shared" si="1"/>
        <v>是</v>
      </c>
      <c r="I38" s="14" t="str">
        <f t="shared" si="2"/>
        <v>是</v>
      </c>
      <c r="J38" s="15" t="str">
        <f t="shared" si="3"/>
        <v>否</v>
      </c>
    </row>
    <row r="39" spans="1:10">
      <c r="A39" s="7">
        <f>IF(子基金及业绩基准周净值!A67="","",子基金及业绩基准周净值!A67)</f>
        <v>45919</v>
      </c>
      <c r="B39" s="1">
        <f>IF(A39="","",VLOOKUP($A39,子基金及业绩基准周净值!$A:$AV,12))</f>
        <v>0</v>
      </c>
      <c r="C39" s="8" t="e">
        <f t="shared" si="0"/>
        <v>#DIV/0!</v>
      </c>
      <c r="D39" s="9" t="e">
        <f>IF(A39="","",C39-子基金及业绩基准周净值!AI67)</f>
        <v>#DIV/0!</v>
      </c>
      <c r="E39" s="12">
        <f>IF(A39="","",(MAX(B$3:B39)-B39)/MAX(B$3:B39))</f>
        <v>1</v>
      </c>
      <c r="F39" s="12">
        <f>IF(A39="","",MAX(E$4:E39))</f>
        <v>1</v>
      </c>
      <c r="G39" s="13"/>
      <c r="H39" s="14" t="str">
        <f t="shared" si="1"/>
        <v>是</v>
      </c>
      <c r="I39" s="14" t="str">
        <f t="shared" si="2"/>
        <v>是</v>
      </c>
      <c r="J39" s="15" t="str">
        <f t="shared" si="3"/>
        <v>否</v>
      </c>
    </row>
    <row r="40" spans="1:10">
      <c r="A40" s="7">
        <f>IF(子基金及业绩基准周净值!A68="","",子基金及业绩基准周净值!A68)</f>
        <v>45926</v>
      </c>
      <c r="B40" s="1">
        <f>IF(A40="","",VLOOKUP($A40,子基金及业绩基准周净值!$A:$AV,12))</f>
        <v>0</v>
      </c>
      <c r="C40" s="8" t="e">
        <f t="shared" si="0"/>
        <v>#DIV/0!</v>
      </c>
      <c r="D40" s="9" t="e">
        <f>IF(A40="","",C40-子基金及业绩基准周净值!AI68)</f>
        <v>#DIV/0!</v>
      </c>
      <c r="E40" s="12">
        <f>IF(A40="","",(MAX(B$3:B40)-B40)/MAX(B$3:B40))</f>
        <v>1</v>
      </c>
      <c r="F40" s="12">
        <f>IF(A40="","",MAX(E$4:E40))</f>
        <v>1</v>
      </c>
      <c r="G40" s="13"/>
      <c r="H40" s="14" t="str">
        <f t="shared" si="1"/>
        <v>是</v>
      </c>
      <c r="I40" s="14" t="str">
        <f t="shared" si="2"/>
        <v>是</v>
      </c>
      <c r="J40" s="15" t="str">
        <f t="shared" si="3"/>
        <v>否</v>
      </c>
    </row>
    <row r="41" spans="1:10">
      <c r="A41" s="7">
        <f>IF(子基金及业绩基准周净值!A69="","",子基金及业绩基准周净值!A69)</f>
        <v>45940</v>
      </c>
      <c r="B41" s="1">
        <f>IF(A41="","",VLOOKUP($A41,子基金及业绩基准周净值!$A:$AV,12))</f>
        <v>0</v>
      </c>
      <c r="C41" s="8" t="e">
        <f t="shared" si="0"/>
        <v>#DIV/0!</v>
      </c>
      <c r="D41" s="9" t="e">
        <f>IF(A41="","",C41-子基金及业绩基准周净值!AI69)</f>
        <v>#DIV/0!</v>
      </c>
      <c r="E41" s="12">
        <f>IF(A41="","",(MAX(B$3:B41)-B41)/MAX(B$3:B41))</f>
        <v>1</v>
      </c>
      <c r="F41" s="12">
        <f>IF(A41="","",MAX(E$4:E41))</f>
        <v>1</v>
      </c>
      <c r="G41" s="13"/>
      <c r="H41" s="14" t="str">
        <f t="shared" si="1"/>
        <v>是</v>
      </c>
      <c r="I41" s="14" t="str">
        <f t="shared" si="2"/>
        <v>是</v>
      </c>
      <c r="J41" s="15" t="str">
        <f t="shared" si="3"/>
        <v>否</v>
      </c>
    </row>
    <row r="42" spans="1:10">
      <c r="A42" s="7">
        <f>IF(子基金及业绩基准周净值!A70="","",子基金及业绩基准周净值!A70)</f>
        <v>45947</v>
      </c>
      <c r="B42" s="1">
        <f>IF(A42="","",VLOOKUP($A42,子基金及业绩基准周净值!$A:$AV,12))</f>
        <v>0</v>
      </c>
      <c r="C42" s="8" t="e">
        <f t="shared" si="0"/>
        <v>#DIV/0!</v>
      </c>
      <c r="D42" s="9" t="e">
        <f>IF(A42="","",C42-子基金及业绩基准周净值!AI70)</f>
        <v>#DIV/0!</v>
      </c>
      <c r="E42" s="12">
        <f>IF(A42="","",(MAX(B$3:B42)-B42)/MAX(B$3:B42))</f>
        <v>1</v>
      </c>
      <c r="F42" s="12">
        <f>IF(A42="","",MAX(E$4:E42))</f>
        <v>1</v>
      </c>
      <c r="G42" s="13"/>
      <c r="H42" s="14" t="str">
        <f t="shared" si="1"/>
        <v>是</v>
      </c>
      <c r="I42" s="14" t="str">
        <f t="shared" si="2"/>
        <v>是</v>
      </c>
      <c r="J42" s="15" t="str">
        <f t="shared" si="3"/>
        <v>否</v>
      </c>
    </row>
    <row r="43" spans="1:10">
      <c r="A43" s="7">
        <f>IF(子基金及业绩基准周净值!A71="","",子基金及业绩基准周净值!A71)</f>
        <v>45954</v>
      </c>
      <c r="B43" s="1">
        <f>IF(A43="","",VLOOKUP($A43,子基金及业绩基准周净值!$A:$AV,12))</f>
        <v>0</v>
      </c>
      <c r="C43" s="8" t="e">
        <f t="shared" si="0"/>
        <v>#DIV/0!</v>
      </c>
      <c r="D43" s="9" t="e">
        <f>IF(A43="","",C43-子基金及业绩基准周净值!AI71)</f>
        <v>#DIV/0!</v>
      </c>
      <c r="E43" s="12">
        <f>IF(A43="","",(MAX(B$3:B43)-B43)/MAX(B$3:B43))</f>
        <v>1</v>
      </c>
      <c r="F43" s="12">
        <f>IF(A43="","",MAX(E$4:E43))</f>
        <v>1</v>
      </c>
      <c r="G43" s="13"/>
      <c r="H43" s="14" t="str">
        <f t="shared" si="1"/>
        <v>是</v>
      </c>
      <c r="I43" s="14" t="str">
        <f t="shared" si="2"/>
        <v>是</v>
      </c>
      <c r="J43" s="15" t="str">
        <f t="shared" si="3"/>
        <v>否</v>
      </c>
    </row>
    <row r="44" spans="1:10">
      <c r="A44" s="7">
        <f>IF(子基金及业绩基准周净值!A72="","",子基金及业绩基准周净值!A72)</f>
        <v>45961</v>
      </c>
      <c r="B44" s="1">
        <f>IF(A44="","",VLOOKUP($A44,子基金及业绩基准周净值!$A:$AV,12))</f>
        <v>0</v>
      </c>
      <c r="C44" s="8" t="e">
        <f t="shared" si="0"/>
        <v>#DIV/0!</v>
      </c>
      <c r="D44" s="9" t="e">
        <f>IF(A44="","",C44-子基金及业绩基准周净值!AI72)</f>
        <v>#DIV/0!</v>
      </c>
      <c r="E44" s="12">
        <f>IF(A44="","",(MAX(B$3:B44)-B44)/MAX(B$3:B44))</f>
        <v>1</v>
      </c>
      <c r="F44" s="12">
        <f>IF(A44="","",MAX(E$4:E44))</f>
        <v>1</v>
      </c>
      <c r="G44" s="13"/>
      <c r="H44" s="14" t="str">
        <f t="shared" si="1"/>
        <v>是</v>
      </c>
      <c r="I44" s="14" t="str">
        <f t="shared" si="2"/>
        <v>是</v>
      </c>
      <c r="J44" s="15" t="str">
        <f t="shared" si="3"/>
        <v>否</v>
      </c>
    </row>
    <row r="45" spans="1:10">
      <c r="A45" s="7" t="str">
        <f>IF(子基金及业绩基准周净值!A73="","",子基金及业绩基准周净值!A73)</f>
        <v/>
      </c>
      <c r="B45" s="1" t="str">
        <f>IF(A45="","",VLOOKUP($A45,子基金及业绩基准周净值!$A:$AV,12))</f>
        <v/>
      </c>
      <c r="C45" s="8" t="str">
        <f t="shared" si="0"/>
        <v/>
      </c>
      <c r="D45" s="9" t="str">
        <f>IF(A45="","",C45-子基金及业绩基准周净值!AI73)</f>
        <v/>
      </c>
      <c r="E45" s="12" t="str">
        <f>IF(A45="","",(MAX(B$3:B45)-B45)/MAX(B$3:B45))</f>
        <v/>
      </c>
      <c r="F45" s="12" t="str">
        <f>IF(A45="","",MAX(E$4:E45))</f>
        <v/>
      </c>
      <c r="G45" s="13"/>
      <c r="H45" s="14" t="str">
        <f t="shared" si="1"/>
        <v/>
      </c>
      <c r="I45" s="14" t="str">
        <f t="shared" si="2"/>
        <v/>
      </c>
      <c r="J45" s="15" t="str">
        <f t="shared" si="3"/>
        <v/>
      </c>
    </row>
    <row r="46" spans="1:10">
      <c r="A46" s="7" t="str">
        <f>IF(子基金及业绩基准周净值!A74="","",子基金及业绩基准周净值!A74)</f>
        <v/>
      </c>
      <c r="B46" s="1" t="str">
        <f>IF(A46="","",VLOOKUP($A46,子基金及业绩基准周净值!$A:$AV,12))</f>
        <v/>
      </c>
      <c r="C46" s="8" t="str">
        <f t="shared" si="0"/>
        <v/>
      </c>
      <c r="D46" s="9" t="str">
        <f>IF(A46="","",C46-子基金及业绩基准周净值!AI74)</f>
        <v/>
      </c>
      <c r="E46" s="12" t="str">
        <f>IF(A46="","",(MAX(B$3:B46)-B46)/MAX(B$3:B46))</f>
        <v/>
      </c>
      <c r="F46" s="12" t="str">
        <f>IF(A46="","",MAX(E$4:E46))</f>
        <v/>
      </c>
      <c r="G46" s="13"/>
      <c r="H46" s="14" t="str">
        <f t="shared" si="1"/>
        <v/>
      </c>
      <c r="I46" s="14" t="str">
        <f t="shared" si="2"/>
        <v/>
      </c>
      <c r="J46" s="15" t="str">
        <f t="shared" si="3"/>
        <v/>
      </c>
    </row>
    <row r="47" spans="1:10">
      <c r="A47" s="7" t="str">
        <f>IF(子基金及业绩基准周净值!A75="","",子基金及业绩基准周净值!A75)</f>
        <v/>
      </c>
      <c r="B47" s="1" t="str">
        <f>IF(A47="","",VLOOKUP($A47,子基金及业绩基准周净值!$A:$AV,12))</f>
        <v/>
      </c>
      <c r="C47" s="8" t="str">
        <f t="shared" si="0"/>
        <v/>
      </c>
      <c r="D47" s="9" t="str">
        <f>IF(A47="","",C47-子基金及业绩基准周净值!AI75)</f>
        <v/>
      </c>
      <c r="E47" s="12" t="str">
        <f>IF(A47="","",(MAX(B$3:B47)-B47)/MAX(B$3:B47))</f>
        <v/>
      </c>
      <c r="F47" s="12" t="str">
        <f>IF(A47="","",MAX(E$4:E47))</f>
        <v/>
      </c>
      <c r="G47" s="13"/>
      <c r="H47" s="14" t="str">
        <f t="shared" si="1"/>
        <v/>
      </c>
      <c r="I47" s="14" t="str">
        <f t="shared" si="2"/>
        <v/>
      </c>
      <c r="J47" s="15" t="str">
        <f t="shared" si="3"/>
        <v/>
      </c>
    </row>
    <row r="48" spans="1:10">
      <c r="A48" s="7" t="str">
        <f>IF(子基金及业绩基准周净值!A76="","",子基金及业绩基准周净值!A76)</f>
        <v/>
      </c>
      <c r="B48" s="1" t="str">
        <f>IF(A48="","",VLOOKUP($A48,子基金及业绩基准周净值!$A:$AV,12))</f>
        <v/>
      </c>
      <c r="C48" s="8" t="str">
        <f t="shared" si="0"/>
        <v/>
      </c>
      <c r="D48" s="9" t="str">
        <f>IF(A48="","",C48-子基金及业绩基准周净值!AI76)</f>
        <v/>
      </c>
      <c r="E48" s="12" t="str">
        <f>IF(A48="","",(MAX(B$3:B48)-B48)/MAX(B$3:B48))</f>
        <v/>
      </c>
      <c r="F48" s="12" t="str">
        <f>IF(A48="","",MAX(E$4:E48))</f>
        <v/>
      </c>
      <c r="G48" s="13"/>
      <c r="H48" s="14" t="str">
        <f t="shared" si="1"/>
        <v/>
      </c>
      <c r="I48" s="14" t="str">
        <f t="shared" si="2"/>
        <v/>
      </c>
      <c r="J48" s="15" t="str">
        <f t="shared" si="3"/>
        <v/>
      </c>
    </row>
    <row r="49" spans="1:10">
      <c r="A49" s="7" t="str">
        <f>IF(子基金及业绩基准周净值!A77="","",子基金及业绩基准周净值!A77)</f>
        <v/>
      </c>
      <c r="B49" s="1" t="str">
        <f>IF(A49="","",VLOOKUP($A49,子基金及业绩基准周净值!$A:$AV,12))</f>
        <v/>
      </c>
      <c r="C49" s="8" t="str">
        <f t="shared" si="0"/>
        <v/>
      </c>
      <c r="D49" s="9" t="str">
        <f>IF(A49="","",C49-子基金及业绩基准周净值!AI77)</f>
        <v/>
      </c>
      <c r="E49" s="12" t="str">
        <f>IF(A49="","",(MAX(B$3:B49)-B49)/MAX(B$3:B49))</f>
        <v/>
      </c>
      <c r="F49" s="12" t="str">
        <f>IF(A49="","",MAX(E$4:E49))</f>
        <v/>
      </c>
      <c r="G49" s="13"/>
      <c r="H49" s="14" t="str">
        <f t="shared" si="1"/>
        <v/>
      </c>
      <c r="I49" s="14" t="str">
        <f t="shared" si="2"/>
        <v/>
      </c>
      <c r="J49" s="15" t="str">
        <f t="shared" si="3"/>
        <v/>
      </c>
    </row>
    <row r="50" spans="1:10">
      <c r="A50" s="7" t="str">
        <f>IF(子基金及业绩基准周净值!A78="","",子基金及业绩基准周净值!A78)</f>
        <v/>
      </c>
      <c r="B50" s="1" t="str">
        <f>IF(A50="","",VLOOKUP($A50,子基金及业绩基准周净值!$A:$AV,12))</f>
        <v/>
      </c>
      <c r="C50" s="8" t="str">
        <f t="shared" si="0"/>
        <v/>
      </c>
      <c r="D50" s="9" t="str">
        <f>IF(A50="","",C50-子基金及业绩基准周净值!AI78)</f>
        <v/>
      </c>
      <c r="E50" s="12" t="str">
        <f>IF(A50="","",(MAX(B$3:B50)-B50)/MAX(B$3:B50))</f>
        <v/>
      </c>
      <c r="F50" s="12" t="str">
        <f>IF(A50="","",MAX(E$4:E50))</f>
        <v/>
      </c>
      <c r="G50" s="13"/>
      <c r="H50" s="14" t="str">
        <f t="shared" si="1"/>
        <v/>
      </c>
      <c r="I50" s="14" t="str">
        <f t="shared" si="2"/>
        <v/>
      </c>
      <c r="J50" s="15" t="str">
        <f t="shared" si="3"/>
        <v/>
      </c>
    </row>
    <row r="51" spans="1:10">
      <c r="A51" s="7" t="str">
        <f>IF(子基金及业绩基准周净值!A79="","",子基金及业绩基准周净值!A79)</f>
        <v/>
      </c>
      <c r="B51" s="1" t="str">
        <f>IF(A51="","",VLOOKUP($A51,子基金及业绩基准周净值!$A:$AV,12))</f>
        <v/>
      </c>
      <c r="C51" s="8" t="str">
        <f t="shared" si="0"/>
        <v/>
      </c>
      <c r="D51" s="9" t="str">
        <f>IF(A51="","",C51-子基金及业绩基准周净值!AI79)</f>
        <v/>
      </c>
      <c r="E51" s="12" t="str">
        <f>IF(A51="","",(MAX(B$3:B51)-B51)/MAX(B$3:B51))</f>
        <v/>
      </c>
      <c r="F51" s="12" t="str">
        <f>IF(A51="","",MAX(E$4:E51))</f>
        <v/>
      </c>
      <c r="G51" s="13"/>
      <c r="H51" s="14" t="str">
        <f t="shared" si="1"/>
        <v/>
      </c>
      <c r="I51" s="14" t="str">
        <f t="shared" si="2"/>
        <v/>
      </c>
      <c r="J51" s="15" t="str">
        <f t="shared" si="3"/>
        <v/>
      </c>
    </row>
    <row r="52" spans="1:10">
      <c r="A52" s="7" t="str">
        <f>IF(子基金及业绩基准周净值!A80="","",子基金及业绩基准周净值!A80)</f>
        <v/>
      </c>
      <c r="B52" s="1" t="str">
        <f>IF(A52="","",VLOOKUP($A52,子基金及业绩基准周净值!$A:$AV,12))</f>
        <v/>
      </c>
      <c r="C52" s="8" t="str">
        <f t="shared" si="0"/>
        <v/>
      </c>
      <c r="D52" s="9" t="str">
        <f>IF(A52="","",C52-子基金及业绩基准周净值!AI80)</f>
        <v/>
      </c>
      <c r="E52" s="12" t="str">
        <f>IF(A52="","",(MAX(B$3:B52)-B52)/MAX(B$3:B52))</f>
        <v/>
      </c>
      <c r="F52" s="12" t="str">
        <f>IF(A52="","",MAX(E$4:E52))</f>
        <v/>
      </c>
      <c r="G52" s="13"/>
      <c r="H52" s="14" t="str">
        <f t="shared" si="1"/>
        <v/>
      </c>
      <c r="I52" s="14" t="str">
        <f t="shared" si="2"/>
        <v/>
      </c>
      <c r="J52" s="15" t="str">
        <f t="shared" si="3"/>
        <v/>
      </c>
    </row>
    <row r="53" spans="1:10">
      <c r="A53" s="7" t="str">
        <f>IF(子基金及业绩基准周净值!A81="","",子基金及业绩基准周净值!A81)</f>
        <v/>
      </c>
      <c r="B53" s="1" t="str">
        <f>IF(A53="","",VLOOKUP($A53,子基金及业绩基准周净值!$A:$AV,12))</f>
        <v/>
      </c>
      <c r="C53" s="8" t="str">
        <f t="shared" si="0"/>
        <v/>
      </c>
      <c r="D53" s="9" t="str">
        <f>IF(A53="","",C53-子基金及业绩基准周净值!AI81)</f>
        <v/>
      </c>
      <c r="E53" s="12" t="str">
        <f>IF(A53="","",(MAX(B$3:B53)-B53)/MAX(B$3:B53))</f>
        <v/>
      </c>
      <c r="F53" s="12" t="str">
        <f>IF(A53="","",MAX(E$4:E53))</f>
        <v/>
      </c>
      <c r="G53" s="13"/>
      <c r="H53" s="14" t="str">
        <f t="shared" si="1"/>
        <v/>
      </c>
      <c r="I53" s="14" t="str">
        <f t="shared" si="2"/>
        <v/>
      </c>
      <c r="J53" s="15" t="str">
        <f t="shared" si="3"/>
        <v/>
      </c>
    </row>
    <row r="54" spans="1:10">
      <c r="A54" s="7" t="str">
        <f>IF(子基金及业绩基准周净值!A82="","",子基金及业绩基准周净值!A82)</f>
        <v/>
      </c>
      <c r="B54" s="1" t="str">
        <f>IF(A54="","",VLOOKUP($A54,子基金及业绩基准周净值!$A:$AV,12))</f>
        <v/>
      </c>
      <c r="C54" s="8" t="str">
        <f t="shared" si="0"/>
        <v/>
      </c>
      <c r="D54" s="9" t="str">
        <f>IF(A54="","",C54-子基金及业绩基准周净值!AI82)</f>
        <v/>
      </c>
      <c r="E54" s="12" t="str">
        <f>IF(A54="","",(MAX(B$3:B54)-B54)/MAX(B$3:B54))</f>
        <v/>
      </c>
      <c r="F54" s="12" t="str">
        <f>IF(A54="","",MAX(E$4:E54))</f>
        <v/>
      </c>
      <c r="G54" s="13"/>
      <c r="H54" s="14" t="str">
        <f t="shared" si="1"/>
        <v/>
      </c>
      <c r="I54" s="14" t="str">
        <f t="shared" si="2"/>
        <v/>
      </c>
      <c r="J54" s="15" t="str">
        <f t="shared" si="3"/>
        <v/>
      </c>
    </row>
    <row r="55" spans="1:10">
      <c r="A55" s="7" t="str">
        <f>IF(子基金及业绩基准周净值!A83="","",子基金及业绩基准周净值!A83)</f>
        <v/>
      </c>
      <c r="B55" s="1" t="str">
        <f>IF(A55="","",VLOOKUP($A55,子基金及业绩基准周净值!$A:$AV,12))</f>
        <v/>
      </c>
      <c r="C55" s="8" t="str">
        <f t="shared" si="0"/>
        <v/>
      </c>
      <c r="D55" s="9" t="str">
        <f>IF(A55="","",C55-子基金及业绩基准周净值!AI83)</f>
        <v/>
      </c>
      <c r="E55" s="12" t="str">
        <f>IF(A55="","",(MAX(B$3:B55)-B55)/MAX(B$3:B55))</f>
        <v/>
      </c>
      <c r="F55" s="12" t="str">
        <f>IF(A55="","",MAX(E$4:E55))</f>
        <v/>
      </c>
      <c r="G55" s="13"/>
      <c r="H55" s="14" t="str">
        <f t="shared" si="1"/>
        <v/>
      </c>
      <c r="I55" s="14" t="str">
        <f t="shared" si="2"/>
        <v/>
      </c>
      <c r="J55" s="15" t="str">
        <f t="shared" si="3"/>
        <v/>
      </c>
    </row>
    <row r="56" spans="1:10">
      <c r="A56" s="7" t="str">
        <f>IF(子基金及业绩基准周净值!A84="","",子基金及业绩基准周净值!A84)</f>
        <v/>
      </c>
      <c r="B56" s="1" t="str">
        <f>IF(A56="","",VLOOKUP($A56,子基金及业绩基准周净值!$A:$AV,12))</f>
        <v/>
      </c>
      <c r="C56" s="8" t="str">
        <f t="shared" si="0"/>
        <v/>
      </c>
      <c r="D56" s="9" t="str">
        <f>IF(A56="","",C56-子基金及业绩基准周净值!AI84)</f>
        <v/>
      </c>
      <c r="E56" s="12" t="str">
        <f>IF(A56="","",(MAX(B$3:B56)-B56)/MAX(B$3:B56))</f>
        <v/>
      </c>
      <c r="F56" s="12" t="str">
        <f>IF(A56="","",MAX(E$4:E56))</f>
        <v/>
      </c>
      <c r="G56" s="13"/>
      <c r="H56" s="14" t="str">
        <f t="shared" si="1"/>
        <v/>
      </c>
      <c r="I56" s="14" t="str">
        <f t="shared" si="2"/>
        <v/>
      </c>
      <c r="J56" s="15" t="str">
        <f t="shared" si="3"/>
        <v/>
      </c>
    </row>
    <row r="57" spans="1:10">
      <c r="A57" s="7" t="str">
        <f>IF(子基金及业绩基准周净值!A85="","",子基金及业绩基准周净值!A85)</f>
        <v/>
      </c>
      <c r="B57" s="1" t="str">
        <f>IF(A57="","",VLOOKUP($A57,子基金及业绩基准周净值!$A:$AV,12))</f>
        <v/>
      </c>
      <c r="C57" s="8" t="str">
        <f t="shared" si="0"/>
        <v/>
      </c>
      <c r="D57" s="9" t="str">
        <f>IF(A57="","",C57-子基金及业绩基准周净值!AI85)</f>
        <v/>
      </c>
      <c r="E57" s="12" t="str">
        <f>IF(A57="","",(MAX(B$3:B57)-B57)/MAX(B$3:B57))</f>
        <v/>
      </c>
      <c r="F57" s="12" t="str">
        <f>IF(A57="","",MAX(E$4:E57))</f>
        <v/>
      </c>
      <c r="G57" s="13"/>
      <c r="H57" s="14" t="str">
        <f t="shared" si="1"/>
        <v/>
      </c>
      <c r="I57" s="14" t="str">
        <f t="shared" si="2"/>
        <v/>
      </c>
      <c r="J57" s="15" t="str">
        <f t="shared" si="3"/>
        <v/>
      </c>
    </row>
    <row r="58" spans="1:10">
      <c r="A58" s="7" t="str">
        <f>IF(子基金及业绩基准周净值!A86="","",子基金及业绩基准周净值!A86)</f>
        <v/>
      </c>
      <c r="B58" s="1" t="str">
        <f>IF(A58="","",VLOOKUP($A58,子基金及业绩基准周净值!$A:$AV,12))</f>
        <v/>
      </c>
      <c r="C58" s="8" t="str">
        <f t="shared" si="0"/>
        <v/>
      </c>
      <c r="D58" s="9" t="str">
        <f>IF(A58="","",C58-子基金及业绩基准周净值!AI86)</f>
        <v/>
      </c>
      <c r="E58" s="12" t="str">
        <f>IF(A58="","",(MAX(B$3:B58)-B58)/MAX(B$3:B58))</f>
        <v/>
      </c>
      <c r="F58" s="12" t="str">
        <f>IF(A58="","",MAX(E$4:E58))</f>
        <v/>
      </c>
      <c r="G58" s="13"/>
      <c r="H58" s="14" t="str">
        <f t="shared" si="1"/>
        <v/>
      </c>
      <c r="I58" s="14" t="str">
        <f t="shared" si="2"/>
        <v/>
      </c>
      <c r="J58" s="15" t="str">
        <f t="shared" si="3"/>
        <v/>
      </c>
    </row>
    <row r="59" spans="1:10">
      <c r="A59" s="7" t="str">
        <f>IF(子基金及业绩基准周净值!A87="","",子基金及业绩基准周净值!A87)</f>
        <v/>
      </c>
      <c r="B59" s="1" t="str">
        <f>IF(A59="","",VLOOKUP($A59,子基金及业绩基准周净值!$A:$AV,12))</f>
        <v/>
      </c>
      <c r="C59" s="8" t="str">
        <f t="shared" si="0"/>
        <v/>
      </c>
      <c r="D59" s="9" t="str">
        <f>IF(A59="","",C59-子基金及业绩基准周净值!AI87)</f>
        <v/>
      </c>
      <c r="E59" s="12" t="str">
        <f>IF(A59="","",(MAX(B$3:B59)-B59)/MAX(B$3:B59))</f>
        <v/>
      </c>
      <c r="F59" s="12" t="str">
        <f>IF(A59="","",MAX(E$4:E59))</f>
        <v/>
      </c>
      <c r="G59" s="13"/>
      <c r="H59" s="14" t="str">
        <f t="shared" si="1"/>
        <v/>
      </c>
      <c r="I59" s="14" t="str">
        <f t="shared" si="2"/>
        <v/>
      </c>
      <c r="J59" s="15" t="str">
        <f t="shared" si="3"/>
        <v/>
      </c>
    </row>
    <row r="60" spans="1:10">
      <c r="A60" s="7" t="str">
        <f>IF(子基金及业绩基准周净值!A88="","",子基金及业绩基准周净值!A88)</f>
        <v/>
      </c>
      <c r="B60" s="1" t="str">
        <f>IF(A60="","",VLOOKUP($A60,子基金及业绩基准周净值!$A:$AV,12))</f>
        <v/>
      </c>
      <c r="C60" s="8" t="str">
        <f t="shared" si="0"/>
        <v/>
      </c>
      <c r="D60" s="9" t="str">
        <f>IF(A60="","",C60-子基金及业绩基准周净值!AI88)</f>
        <v/>
      </c>
      <c r="E60" s="12" t="str">
        <f>IF(A60="","",(MAX(B$3:B60)-B60)/MAX(B$3:B60))</f>
        <v/>
      </c>
      <c r="F60" s="12" t="str">
        <f>IF(A60="","",MAX(E$4:E60))</f>
        <v/>
      </c>
      <c r="G60" s="13"/>
      <c r="H60" s="14" t="str">
        <f t="shared" si="1"/>
        <v/>
      </c>
      <c r="I60" s="14" t="str">
        <f t="shared" si="2"/>
        <v/>
      </c>
      <c r="J60" s="15" t="str">
        <f t="shared" si="3"/>
        <v/>
      </c>
    </row>
    <row r="61" spans="1:10">
      <c r="A61" s="7" t="str">
        <f>IF(子基金及业绩基准周净值!A89="","",子基金及业绩基准周净值!A89)</f>
        <v/>
      </c>
      <c r="B61" s="1" t="str">
        <f>IF(A61="","",VLOOKUP($A61,子基金及业绩基准周净值!$A:$AV,12))</f>
        <v/>
      </c>
      <c r="C61" s="8" t="str">
        <f t="shared" si="0"/>
        <v/>
      </c>
      <c r="D61" s="9" t="str">
        <f>IF(A61="","",C61-子基金及业绩基准周净值!AI89)</f>
        <v/>
      </c>
      <c r="E61" s="12" t="str">
        <f>IF(A61="","",(MAX(B$3:B61)-B61)/MAX(B$3:B61))</f>
        <v/>
      </c>
      <c r="F61" s="12" t="str">
        <f>IF(A61="","",MAX(E$4:E61))</f>
        <v/>
      </c>
      <c r="G61" s="13"/>
      <c r="H61" s="14" t="str">
        <f t="shared" si="1"/>
        <v/>
      </c>
      <c r="I61" s="14" t="str">
        <f t="shared" si="2"/>
        <v/>
      </c>
      <c r="J61" s="15" t="str">
        <f t="shared" si="3"/>
        <v/>
      </c>
    </row>
    <row r="62" spans="1:10">
      <c r="A62" s="7" t="str">
        <f>IF(子基金及业绩基准周净值!A90="","",子基金及业绩基准周净值!A90)</f>
        <v/>
      </c>
      <c r="B62" s="1" t="str">
        <f>IF(A62="","",VLOOKUP($A62,子基金及业绩基准周净值!$A:$AV,12))</f>
        <v/>
      </c>
      <c r="C62" s="8" t="str">
        <f t="shared" si="0"/>
        <v/>
      </c>
      <c r="D62" s="9" t="str">
        <f>IF(A62="","",C62-子基金及业绩基准周净值!AI90)</f>
        <v/>
      </c>
      <c r="E62" s="12" t="str">
        <f>IF(A62="","",(MAX(B$3:B62)-B62)/MAX(B$3:B62))</f>
        <v/>
      </c>
      <c r="F62" s="12" t="str">
        <f>IF(A62="","",MAX(E$4:E62))</f>
        <v/>
      </c>
      <c r="G62" s="13"/>
      <c r="H62" s="14" t="str">
        <f t="shared" si="1"/>
        <v/>
      </c>
      <c r="I62" s="14" t="str">
        <f t="shared" si="2"/>
        <v/>
      </c>
      <c r="J62" s="15" t="str">
        <f t="shared" si="3"/>
        <v/>
      </c>
    </row>
    <row r="63" spans="1:10">
      <c r="A63" s="7" t="str">
        <f>IF(子基金及业绩基准周净值!A91="","",子基金及业绩基准周净值!A91)</f>
        <v/>
      </c>
      <c r="B63" s="1" t="str">
        <f>IF(A63="","",VLOOKUP($A63,子基金及业绩基准周净值!$A:$AV,12))</f>
        <v/>
      </c>
      <c r="C63" s="8" t="str">
        <f t="shared" si="0"/>
        <v/>
      </c>
      <c r="D63" s="9" t="str">
        <f>IF(A63="","",C63-子基金及业绩基准周净值!AI91)</f>
        <v/>
      </c>
      <c r="E63" s="12" t="str">
        <f>IF(A63="","",(MAX(B$3:B63)-B63)/MAX(B$3:B63))</f>
        <v/>
      </c>
      <c r="F63" s="12" t="str">
        <f>IF(A63="","",MAX(E$4:E63))</f>
        <v/>
      </c>
      <c r="G63" s="13"/>
      <c r="H63" s="14" t="str">
        <f t="shared" si="1"/>
        <v/>
      </c>
      <c r="I63" s="14" t="str">
        <f t="shared" si="2"/>
        <v/>
      </c>
      <c r="J63" s="15" t="str">
        <f t="shared" si="3"/>
        <v/>
      </c>
    </row>
    <row r="64" spans="1:10">
      <c r="A64" s="7" t="str">
        <f>IF(子基金及业绩基准周净值!A92="","",子基金及业绩基准周净值!A92)</f>
        <v/>
      </c>
      <c r="B64" s="1" t="str">
        <f>IF(A64="","",VLOOKUP($A64,子基金及业绩基准周净值!$A:$AV,12))</f>
        <v/>
      </c>
      <c r="C64" s="8" t="str">
        <f t="shared" si="0"/>
        <v/>
      </c>
      <c r="D64" s="9" t="str">
        <f>IF(A64="","",C64-子基金及业绩基准周净值!AI92)</f>
        <v/>
      </c>
      <c r="E64" s="12" t="str">
        <f>IF(A64="","",(MAX(B$3:B64)-B64)/MAX(B$3:B64))</f>
        <v/>
      </c>
      <c r="F64" s="12" t="str">
        <f>IF(A64="","",MAX(E$4:E64))</f>
        <v/>
      </c>
      <c r="G64" s="13"/>
      <c r="H64" s="14" t="str">
        <f t="shared" si="1"/>
        <v/>
      </c>
      <c r="I64" s="14" t="str">
        <f t="shared" si="2"/>
        <v/>
      </c>
      <c r="J64" s="15" t="str">
        <f t="shared" si="3"/>
        <v/>
      </c>
    </row>
    <row r="65" spans="1:10">
      <c r="A65" s="7" t="str">
        <f>IF(子基金及业绩基准周净值!A93="","",子基金及业绩基准周净值!A93)</f>
        <v/>
      </c>
      <c r="B65" s="1" t="str">
        <f>IF(A65="","",VLOOKUP($A65,子基金及业绩基准周净值!$A:$AV,12))</f>
        <v/>
      </c>
      <c r="C65" s="8" t="str">
        <f t="shared" si="0"/>
        <v/>
      </c>
      <c r="D65" s="9" t="str">
        <f>IF(A65="","",C65-子基金及业绩基准周净值!AI93)</f>
        <v/>
      </c>
      <c r="E65" s="12" t="str">
        <f>IF(A65="","",(MAX(B$3:B65)-B65)/MAX(B$3:B65))</f>
        <v/>
      </c>
      <c r="F65" s="12" t="str">
        <f>IF(A65="","",MAX(E$4:E65))</f>
        <v/>
      </c>
      <c r="G65" s="13"/>
      <c r="H65" s="14" t="str">
        <f t="shared" si="1"/>
        <v/>
      </c>
      <c r="I65" s="14" t="str">
        <f t="shared" si="2"/>
        <v/>
      </c>
      <c r="J65" s="15" t="str">
        <f t="shared" si="3"/>
        <v/>
      </c>
    </row>
    <row r="66" spans="1:10">
      <c r="A66" s="7" t="str">
        <f>IF(子基金及业绩基准周净值!A94="","",子基金及业绩基准周净值!A94)</f>
        <v/>
      </c>
      <c r="B66" s="1" t="str">
        <f>IF(A66="","",VLOOKUP($A66,子基金及业绩基准周净值!$A:$AV,12))</f>
        <v/>
      </c>
      <c r="C66" s="8" t="str">
        <f t="shared" si="0"/>
        <v/>
      </c>
      <c r="D66" s="9" t="str">
        <f>IF(A66="","",C66-子基金及业绩基准周净值!AI94)</f>
        <v/>
      </c>
      <c r="E66" s="12" t="str">
        <f>IF(A66="","",(MAX(B$3:B66)-B66)/MAX(B$3:B66))</f>
        <v/>
      </c>
      <c r="F66" s="12" t="str">
        <f>IF(A66="","",MAX(E$4:E66))</f>
        <v/>
      </c>
      <c r="G66" s="13"/>
      <c r="H66" s="14" t="str">
        <f t="shared" si="1"/>
        <v/>
      </c>
      <c r="I66" s="14" t="str">
        <f t="shared" si="2"/>
        <v/>
      </c>
      <c r="J66" s="15" t="str">
        <f t="shared" si="3"/>
        <v/>
      </c>
    </row>
    <row r="67" spans="1:10">
      <c r="A67" s="7" t="str">
        <f>IF(子基金及业绩基准周净值!A95="","",子基金及业绩基准周净值!A95)</f>
        <v/>
      </c>
      <c r="B67" s="1" t="str">
        <f>IF(A67="","",VLOOKUP($A67,子基金及业绩基准周净值!$A:$AV,12))</f>
        <v/>
      </c>
      <c r="C67" s="8" t="str">
        <f t="shared" si="0"/>
        <v/>
      </c>
      <c r="D67" s="9" t="str">
        <f>IF(A67="","",C67-子基金及业绩基准周净值!AI95)</f>
        <v/>
      </c>
      <c r="E67" s="12" t="str">
        <f>IF(A67="","",(MAX(B$3:B67)-B67)/MAX(B$3:B67))</f>
        <v/>
      </c>
      <c r="F67" s="12" t="str">
        <f>IF(A67="","",MAX(E$4:E67))</f>
        <v/>
      </c>
      <c r="G67" s="13"/>
      <c r="H67" s="14" t="str">
        <f t="shared" si="1"/>
        <v/>
      </c>
      <c r="I67" s="14" t="str">
        <f t="shared" si="2"/>
        <v/>
      </c>
      <c r="J67" s="15" t="str">
        <f t="shared" si="3"/>
        <v/>
      </c>
    </row>
    <row r="68" spans="1:10">
      <c r="A68" s="7" t="str">
        <f>IF(子基金及业绩基准周净值!A96="","",子基金及业绩基准周净值!A96)</f>
        <v/>
      </c>
      <c r="B68" s="1" t="str">
        <f>IF(A68="","",VLOOKUP($A68,子基金及业绩基准周净值!$A:$AV,12))</f>
        <v/>
      </c>
      <c r="C68" s="8" t="str">
        <f t="shared" si="0"/>
        <v/>
      </c>
      <c r="D68" s="9" t="str">
        <f>IF(A68="","",C68-子基金及业绩基准周净值!AI96)</f>
        <v/>
      </c>
      <c r="E68" s="12" t="str">
        <f>IF(A68="","",(MAX(B$3:B68)-B68)/MAX(B$3:B68))</f>
        <v/>
      </c>
      <c r="F68" s="12" t="str">
        <f>IF(A68="","",MAX(E$4:E68))</f>
        <v/>
      </c>
      <c r="G68" s="13"/>
      <c r="H68" s="14" t="str">
        <f t="shared" si="1"/>
        <v/>
      </c>
      <c r="I68" s="14" t="str">
        <f t="shared" si="2"/>
        <v/>
      </c>
      <c r="J68" s="15" t="str">
        <f t="shared" si="3"/>
        <v/>
      </c>
    </row>
    <row r="69" spans="1:10">
      <c r="A69" s="7" t="str">
        <f>IF(子基金及业绩基准周净值!A97="","",子基金及业绩基准周净值!A97)</f>
        <v/>
      </c>
      <c r="B69" s="1" t="str">
        <f>IF(A69="","",VLOOKUP($A69,子基金及业绩基准周净值!$A:$AV,12))</f>
        <v/>
      </c>
      <c r="C69" s="8" t="str">
        <f t="shared" ref="C69:C132" si="4">IF(A69="","",(B69-B68)/B68)</f>
        <v/>
      </c>
      <c r="D69" s="9" t="str">
        <f>IF(A69="","",C69-子基金及业绩基准周净值!AI97)</f>
        <v/>
      </c>
      <c r="E69" s="12" t="str">
        <f>IF(A69="","",(MAX(B$3:B69)-B69)/MAX(B$3:B69))</f>
        <v/>
      </c>
      <c r="F69" s="12" t="str">
        <f>IF(A69="","",MAX(E$4:E69))</f>
        <v/>
      </c>
      <c r="G69" s="13"/>
      <c r="H69" s="14" t="str">
        <f t="shared" ref="H69:H132" si="5">IF(A69="","",IF(E69&lt;3%,"否","是"))</f>
        <v/>
      </c>
      <c r="I69" s="14" t="str">
        <f t="shared" ref="I69:I132" si="6">IF(A69="","",IF(F69&gt;5%,"是","否"))</f>
        <v/>
      </c>
      <c r="J69" s="15" t="str">
        <f t="shared" ref="J69:J132" si="7">IF(A69="","",IF(G69&gt;=4,"是","否"))</f>
        <v/>
      </c>
    </row>
    <row r="70" spans="1:10">
      <c r="A70" s="7" t="str">
        <f>IF(子基金及业绩基准周净值!A98="","",子基金及业绩基准周净值!A98)</f>
        <v/>
      </c>
      <c r="B70" s="1" t="str">
        <f>IF(A70="","",VLOOKUP($A70,子基金及业绩基准周净值!$A:$AV,12))</f>
        <v/>
      </c>
      <c r="C70" s="8" t="str">
        <f t="shared" si="4"/>
        <v/>
      </c>
      <c r="D70" s="9" t="str">
        <f>IF(A70="","",C70-子基金及业绩基准周净值!AI98)</f>
        <v/>
      </c>
      <c r="E70" s="12" t="str">
        <f>IF(A70="","",(MAX(B$3:B70)-B70)/MAX(B$3:B70))</f>
        <v/>
      </c>
      <c r="F70" s="12" t="str">
        <f>IF(A70="","",MAX(E$4:E70))</f>
        <v/>
      </c>
      <c r="G70" s="13"/>
      <c r="H70" s="14" t="str">
        <f t="shared" si="5"/>
        <v/>
      </c>
      <c r="I70" s="14" t="str">
        <f t="shared" si="6"/>
        <v/>
      </c>
      <c r="J70" s="15" t="str">
        <f t="shared" si="7"/>
        <v/>
      </c>
    </row>
    <row r="71" spans="1:10">
      <c r="A71" s="7" t="str">
        <f>IF(子基金及业绩基准周净值!A99="","",子基金及业绩基准周净值!A99)</f>
        <v/>
      </c>
      <c r="B71" s="1" t="str">
        <f>IF(A71="","",VLOOKUP($A71,子基金及业绩基准周净值!$A:$AV,12))</f>
        <v/>
      </c>
      <c r="C71" s="8" t="str">
        <f t="shared" si="4"/>
        <v/>
      </c>
      <c r="D71" s="9" t="str">
        <f>IF(A71="","",C71-子基金及业绩基准周净值!AI99)</f>
        <v/>
      </c>
      <c r="E71" s="12" t="str">
        <f>IF(A71="","",(MAX(B$3:B71)-B71)/MAX(B$3:B71))</f>
        <v/>
      </c>
      <c r="F71" s="12" t="str">
        <f>IF(A71="","",MAX(E$4:E71))</f>
        <v/>
      </c>
      <c r="G71" s="13"/>
      <c r="H71" s="14" t="str">
        <f t="shared" si="5"/>
        <v/>
      </c>
      <c r="I71" s="14" t="str">
        <f t="shared" si="6"/>
        <v/>
      </c>
      <c r="J71" s="15" t="str">
        <f t="shared" si="7"/>
        <v/>
      </c>
    </row>
    <row r="72" spans="1:10">
      <c r="A72" s="7" t="str">
        <f>IF(子基金及业绩基准周净值!A100="","",子基金及业绩基准周净值!A100)</f>
        <v/>
      </c>
      <c r="B72" s="1" t="str">
        <f>IF(A72="","",VLOOKUP($A72,子基金及业绩基准周净值!$A:$AV,12))</f>
        <v/>
      </c>
      <c r="C72" s="8" t="str">
        <f t="shared" si="4"/>
        <v/>
      </c>
      <c r="D72" s="9" t="str">
        <f>IF(A72="","",C72-子基金及业绩基准周净值!AI100)</f>
        <v/>
      </c>
      <c r="E72" s="12" t="str">
        <f>IF(A72="","",(MAX(B$3:B72)-B72)/MAX(B$3:B72))</f>
        <v/>
      </c>
      <c r="F72" s="12" t="str">
        <f>IF(A72="","",MAX(E$4:E72))</f>
        <v/>
      </c>
      <c r="G72" s="13"/>
      <c r="H72" s="14" t="str">
        <f t="shared" si="5"/>
        <v/>
      </c>
      <c r="I72" s="14" t="str">
        <f t="shared" si="6"/>
        <v/>
      </c>
      <c r="J72" s="15" t="str">
        <f t="shared" si="7"/>
        <v/>
      </c>
    </row>
    <row r="73" spans="1:10">
      <c r="A73" s="7" t="str">
        <f>IF(子基金及业绩基准周净值!A101="","",子基金及业绩基准周净值!A101)</f>
        <v/>
      </c>
      <c r="B73" s="1" t="str">
        <f>IF(A73="","",VLOOKUP($A73,子基金及业绩基准周净值!$A:$AV,12))</f>
        <v/>
      </c>
      <c r="C73" s="8" t="str">
        <f t="shared" si="4"/>
        <v/>
      </c>
      <c r="D73" s="9" t="str">
        <f>IF(A73="","",C73-子基金及业绩基准周净值!AI101)</f>
        <v/>
      </c>
      <c r="E73" s="12" t="str">
        <f>IF(A73="","",(MAX(B$3:B73)-B73)/MAX(B$3:B73))</f>
        <v/>
      </c>
      <c r="F73" s="12" t="str">
        <f>IF(A73="","",MAX(E$4:E73))</f>
        <v/>
      </c>
      <c r="G73" s="13"/>
      <c r="H73" s="14" t="str">
        <f t="shared" si="5"/>
        <v/>
      </c>
      <c r="I73" s="14" t="str">
        <f t="shared" si="6"/>
        <v/>
      </c>
      <c r="J73" s="15" t="str">
        <f t="shared" si="7"/>
        <v/>
      </c>
    </row>
    <row r="74" spans="1:10">
      <c r="A74" s="7" t="str">
        <f>IF(子基金及业绩基准周净值!A102="","",子基金及业绩基准周净值!A102)</f>
        <v/>
      </c>
      <c r="B74" s="1" t="str">
        <f>IF(A74="","",VLOOKUP($A74,子基金及业绩基准周净值!$A:$AV,12))</f>
        <v/>
      </c>
      <c r="C74" s="8" t="str">
        <f t="shared" si="4"/>
        <v/>
      </c>
      <c r="D74" s="9" t="str">
        <f>IF(A74="","",C74-子基金及业绩基准周净值!AI102)</f>
        <v/>
      </c>
      <c r="E74" s="12" t="str">
        <f>IF(A74="","",(MAX(B$3:B74)-B74)/MAX(B$3:B74))</f>
        <v/>
      </c>
      <c r="F74" s="12" t="str">
        <f>IF(A74="","",MAX(E$4:E74))</f>
        <v/>
      </c>
      <c r="G74" s="13"/>
      <c r="H74" s="14" t="str">
        <f t="shared" si="5"/>
        <v/>
      </c>
      <c r="I74" s="14" t="str">
        <f t="shared" si="6"/>
        <v/>
      </c>
      <c r="J74" s="15" t="str">
        <f t="shared" si="7"/>
        <v/>
      </c>
    </row>
    <row r="75" spans="1:10">
      <c r="A75" s="7" t="str">
        <f>IF(子基金及业绩基准周净值!A103="","",子基金及业绩基准周净值!A103)</f>
        <v/>
      </c>
      <c r="B75" s="1" t="str">
        <f>IF(A75="","",VLOOKUP($A75,子基金及业绩基准周净值!$A:$AV,12))</f>
        <v/>
      </c>
      <c r="C75" s="8" t="str">
        <f t="shared" si="4"/>
        <v/>
      </c>
      <c r="D75" s="9" t="str">
        <f>IF(A75="","",C75-子基金及业绩基准周净值!AI103)</f>
        <v/>
      </c>
      <c r="E75" s="12" t="str">
        <f>IF(A75="","",(MAX(B$3:B75)-B75)/MAX(B$3:B75))</f>
        <v/>
      </c>
      <c r="F75" s="12" t="str">
        <f>IF(A75="","",MAX(E$4:E75))</f>
        <v/>
      </c>
      <c r="G75" s="13"/>
      <c r="H75" s="14" t="str">
        <f t="shared" si="5"/>
        <v/>
      </c>
      <c r="I75" s="14" t="str">
        <f t="shared" si="6"/>
        <v/>
      </c>
      <c r="J75" s="15" t="str">
        <f t="shared" si="7"/>
        <v/>
      </c>
    </row>
    <row r="76" spans="1:10">
      <c r="A76" s="7" t="str">
        <f>IF(子基金及业绩基准周净值!A104="","",子基金及业绩基准周净值!A104)</f>
        <v/>
      </c>
      <c r="B76" s="1" t="str">
        <f>IF(A76="","",VLOOKUP($A76,子基金及业绩基准周净值!$A:$AV,12))</f>
        <v/>
      </c>
      <c r="C76" s="8" t="str">
        <f t="shared" si="4"/>
        <v/>
      </c>
      <c r="D76" s="9" t="str">
        <f>IF(A76="","",C76-子基金及业绩基准周净值!AI104)</f>
        <v/>
      </c>
      <c r="E76" s="12" t="str">
        <f>IF(A76="","",(MAX(B$3:B76)-B76)/MAX(B$3:B76))</f>
        <v/>
      </c>
      <c r="F76" s="12" t="str">
        <f>IF(A76="","",MAX(E$4:E76))</f>
        <v/>
      </c>
      <c r="G76" s="13"/>
      <c r="H76" s="14" t="str">
        <f t="shared" si="5"/>
        <v/>
      </c>
      <c r="I76" s="14" t="str">
        <f t="shared" si="6"/>
        <v/>
      </c>
      <c r="J76" s="15" t="str">
        <f t="shared" si="7"/>
        <v/>
      </c>
    </row>
    <row r="77" spans="1:10">
      <c r="A77" s="7" t="str">
        <f>IF(子基金及业绩基准周净值!A105="","",子基金及业绩基准周净值!A105)</f>
        <v/>
      </c>
      <c r="B77" s="1" t="str">
        <f>IF(A77="","",VLOOKUP($A77,子基金及业绩基准周净值!$A:$AV,12))</f>
        <v/>
      </c>
      <c r="C77" s="8" t="str">
        <f t="shared" si="4"/>
        <v/>
      </c>
      <c r="D77" s="9" t="str">
        <f>IF(A77="","",C77-子基金及业绩基准周净值!AI105)</f>
        <v/>
      </c>
      <c r="E77" s="12" t="str">
        <f>IF(A77="","",(MAX(B$3:B77)-B77)/MAX(B$3:B77))</f>
        <v/>
      </c>
      <c r="F77" s="12" t="str">
        <f>IF(A77="","",MAX(E$4:E77))</f>
        <v/>
      </c>
      <c r="G77" s="13"/>
      <c r="H77" s="14" t="str">
        <f t="shared" si="5"/>
        <v/>
      </c>
      <c r="I77" s="14" t="str">
        <f t="shared" si="6"/>
        <v/>
      </c>
      <c r="J77" s="15" t="str">
        <f t="shared" si="7"/>
        <v/>
      </c>
    </row>
    <row r="78" spans="1:10">
      <c r="A78" s="7" t="str">
        <f>IF(子基金及业绩基准周净值!A106="","",子基金及业绩基准周净值!A106)</f>
        <v/>
      </c>
      <c r="B78" s="1" t="str">
        <f>IF(A78="","",VLOOKUP($A78,子基金及业绩基准周净值!$A:$AV,12))</f>
        <v/>
      </c>
      <c r="C78" s="8" t="str">
        <f t="shared" si="4"/>
        <v/>
      </c>
      <c r="D78" s="9" t="str">
        <f>IF(A78="","",C78-子基金及业绩基准周净值!AI106)</f>
        <v/>
      </c>
      <c r="E78" s="12" t="str">
        <f>IF(A78="","",(MAX(B$3:B78)-B78)/MAX(B$3:B78))</f>
        <v/>
      </c>
      <c r="F78" s="12" t="str">
        <f>IF(A78="","",MAX(E$4:E78))</f>
        <v/>
      </c>
      <c r="G78" s="13"/>
      <c r="H78" s="14" t="str">
        <f t="shared" si="5"/>
        <v/>
      </c>
      <c r="I78" s="14" t="str">
        <f t="shared" si="6"/>
        <v/>
      </c>
      <c r="J78" s="15" t="str">
        <f t="shared" si="7"/>
        <v/>
      </c>
    </row>
    <row r="79" spans="1:10">
      <c r="A79" s="7" t="str">
        <f>IF(子基金及业绩基准周净值!A107="","",子基金及业绩基准周净值!A107)</f>
        <v/>
      </c>
      <c r="B79" s="1" t="str">
        <f>IF(A79="","",VLOOKUP($A79,子基金及业绩基准周净值!$A:$AV,12))</f>
        <v/>
      </c>
      <c r="C79" s="8" t="str">
        <f t="shared" si="4"/>
        <v/>
      </c>
      <c r="D79" s="9" t="str">
        <f>IF(A79="","",C79-子基金及业绩基准周净值!AI107)</f>
        <v/>
      </c>
      <c r="E79" s="12" t="str">
        <f>IF(A79="","",(MAX(B$3:B79)-B79)/MAX(B$3:B79))</f>
        <v/>
      </c>
      <c r="F79" s="12" t="str">
        <f>IF(A79="","",MAX(E$4:E79))</f>
        <v/>
      </c>
      <c r="G79" s="13"/>
      <c r="H79" s="14" t="str">
        <f t="shared" si="5"/>
        <v/>
      </c>
      <c r="I79" s="14" t="str">
        <f t="shared" si="6"/>
        <v/>
      </c>
      <c r="J79" s="15" t="str">
        <f t="shared" si="7"/>
        <v/>
      </c>
    </row>
    <row r="80" spans="1:10">
      <c r="A80" s="7" t="str">
        <f>IF(子基金及业绩基准周净值!A108="","",子基金及业绩基准周净值!A108)</f>
        <v/>
      </c>
      <c r="B80" s="1" t="str">
        <f>IF(A80="","",VLOOKUP($A80,子基金及业绩基准周净值!$A:$AV,12))</f>
        <v/>
      </c>
      <c r="C80" s="8" t="str">
        <f t="shared" si="4"/>
        <v/>
      </c>
      <c r="D80" s="9" t="str">
        <f>IF(A80="","",C80-子基金及业绩基准周净值!AI108)</f>
        <v/>
      </c>
      <c r="E80" s="12" t="str">
        <f>IF(A80="","",(MAX(B$3:B80)-B80)/MAX(B$3:B80))</f>
        <v/>
      </c>
      <c r="F80" s="12" t="str">
        <f>IF(A80="","",MAX(E$4:E80))</f>
        <v/>
      </c>
      <c r="G80" s="13"/>
      <c r="H80" s="14" t="str">
        <f t="shared" si="5"/>
        <v/>
      </c>
      <c r="I80" s="14" t="str">
        <f t="shared" si="6"/>
        <v/>
      </c>
      <c r="J80" s="15" t="str">
        <f t="shared" si="7"/>
        <v/>
      </c>
    </row>
    <row r="81" spans="1:10">
      <c r="A81" s="7" t="str">
        <f>IF(子基金及业绩基准周净值!A109="","",子基金及业绩基准周净值!A109)</f>
        <v/>
      </c>
      <c r="B81" s="1" t="str">
        <f>IF(A81="","",VLOOKUP($A81,子基金及业绩基准周净值!$A:$AV,12))</f>
        <v/>
      </c>
      <c r="C81" s="8" t="str">
        <f t="shared" si="4"/>
        <v/>
      </c>
      <c r="D81" s="9" t="str">
        <f>IF(A81="","",C81-子基金及业绩基准周净值!AI109)</f>
        <v/>
      </c>
      <c r="E81" s="12" t="str">
        <f>IF(A81="","",(MAX(B$3:B81)-B81)/MAX(B$3:B81))</f>
        <v/>
      </c>
      <c r="F81" s="12" t="str">
        <f>IF(A81="","",MAX(E$4:E81))</f>
        <v/>
      </c>
      <c r="G81" s="13"/>
      <c r="H81" s="14" t="str">
        <f t="shared" si="5"/>
        <v/>
      </c>
      <c r="I81" s="14" t="str">
        <f t="shared" si="6"/>
        <v/>
      </c>
      <c r="J81" s="15" t="str">
        <f t="shared" si="7"/>
        <v/>
      </c>
    </row>
    <row r="82" spans="1:10">
      <c r="A82" s="7" t="str">
        <f>IF(子基金及业绩基准周净值!A110="","",子基金及业绩基准周净值!A110)</f>
        <v/>
      </c>
      <c r="B82" s="1" t="str">
        <f>IF(A82="","",VLOOKUP($A82,子基金及业绩基准周净值!$A:$AV,12))</f>
        <v/>
      </c>
      <c r="C82" s="8" t="str">
        <f t="shared" si="4"/>
        <v/>
      </c>
      <c r="D82" s="9" t="str">
        <f>IF(A82="","",C82-子基金及业绩基准周净值!AI110)</f>
        <v/>
      </c>
      <c r="E82" s="12" t="str">
        <f>IF(A82="","",(MAX(B$3:B82)-B82)/MAX(B$3:B82))</f>
        <v/>
      </c>
      <c r="F82" s="12" t="str">
        <f>IF(A82="","",MAX(E$4:E82))</f>
        <v/>
      </c>
      <c r="G82" s="13"/>
      <c r="H82" s="14" t="str">
        <f t="shared" si="5"/>
        <v/>
      </c>
      <c r="I82" s="14" t="str">
        <f t="shared" si="6"/>
        <v/>
      </c>
      <c r="J82" s="15" t="str">
        <f t="shared" si="7"/>
        <v/>
      </c>
    </row>
    <row r="83" spans="1:10">
      <c r="A83" s="7" t="str">
        <f>IF(子基金及业绩基准周净值!A111="","",子基金及业绩基准周净值!A111)</f>
        <v/>
      </c>
      <c r="B83" s="1" t="str">
        <f>IF(A83="","",VLOOKUP($A83,子基金及业绩基准周净值!$A:$AV,12))</f>
        <v/>
      </c>
      <c r="C83" s="8" t="str">
        <f t="shared" si="4"/>
        <v/>
      </c>
      <c r="D83" s="9" t="str">
        <f>IF(A83="","",C83-子基金及业绩基准周净值!AI111)</f>
        <v/>
      </c>
      <c r="E83" s="12" t="str">
        <f>IF(A83="","",(MAX(B$3:B83)-B83)/MAX(B$3:B83))</f>
        <v/>
      </c>
      <c r="F83" s="12" t="str">
        <f>IF(A83="","",MAX(E$4:E83))</f>
        <v/>
      </c>
      <c r="G83" s="13"/>
      <c r="H83" s="14" t="str">
        <f t="shared" si="5"/>
        <v/>
      </c>
      <c r="I83" s="14" t="str">
        <f t="shared" si="6"/>
        <v/>
      </c>
      <c r="J83" s="15" t="str">
        <f t="shared" si="7"/>
        <v/>
      </c>
    </row>
    <row r="84" spans="1:10">
      <c r="A84" s="7" t="str">
        <f>IF(子基金及业绩基准周净值!A112="","",子基金及业绩基准周净值!A112)</f>
        <v/>
      </c>
      <c r="B84" s="1" t="str">
        <f>IF(A84="","",VLOOKUP($A84,子基金及业绩基准周净值!$A:$AV,12))</f>
        <v/>
      </c>
      <c r="C84" s="8" t="str">
        <f t="shared" si="4"/>
        <v/>
      </c>
      <c r="D84" s="9" t="str">
        <f>IF(A84="","",C84-子基金及业绩基准周净值!AI112)</f>
        <v/>
      </c>
      <c r="E84" s="12" t="str">
        <f>IF(A84="","",(MAX(B$3:B84)-B84)/MAX(B$3:B84))</f>
        <v/>
      </c>
      <c r="F84" s="12" t="str">
        <f>IF(A84="","",MAX(E$4:E84))</f>
        <v/>
      </c>
      <c r="G84" s="13"/>
      <c r="H84" s="14" t="str">
        <f t="shared" si="5"/>
        <v/>
      </c>
      <c r="I84" s="14" t="str">
        <f t="shared" si="6"/>
        <v/>
      </c>
      <c r="J84" s="15" t="str">
        <f t="shared" si="7"/>
        <v/>
      </c>
    </row>
    <row r="85" spans="1:10">
      <c r="A85" s="7" t="str">
        <f>IF(子基金及业绩基准周净值!A113="","",子基金及业绩基准周净值!A113)</f>
        <v/>
      </c>
      <c r="B85" s="1" t="str">
        <f>IF(A85="","",VLOOKUP($A85,子基金及业绩基准周净值!$A:$AV,12))</f>
        <v/>
      </c>
      <c r="C85" s="8" t="str">
        <f t="shared" si="4"/>
        <v/>
      </c>
      <c r="D85" s="9" t="str">
        <f>IF(A85="","",C85-子基金及业绩基准周净值!AI113)</f>
        <v/>
      </c>
      <c r="E85" s="12" t="str">
        <f>IF(A85="","",(MAX(B$3:B85)-B85)/MAX(B$3:B85))</f>
        <v/>
      </c>
      <c r="F85" s="12" t="str">
        <f>IF(A85="","",MAX(E$4:E85))</f>
        <v/>
      </c>
      <c r="G85" s="13"/>
      <c r="H85" s="14" t="str">
        <f t="shared" si="5"/>
        <v/>
      </c>
      <c r="I85" s="14" t="str">
        <f t="shared" si="6"/>
        <v/>
      </c>
      <c r="J85" s="15" t="str">
        <f t="shared" si="7"/>
        <v/>
      </c>
    </row>
    <row r="86" spans="1:10">
      <c r="A86" s="7" t="str">
        <f>IF(子基金及业绩基准周净值!A114="","",子基金及业绩基准周净值!A114)</f>
        <v/>
      </c>
      <c r="B86" s="1" t="str">
        <f>IF(A86="","",VLOOKUP($A86,子基金及业绩基准周净值!$A:$AV,12))</f>
        <v/>
      </c>
      <c r="C86" s="8" t="str">
        <f t="shared" si="4"/>
        <v/>
      </c>
      <c r="D86" s="9" t="str">
        <f>IF(A86="","",C86-子基金及业绩基准周净值!AI114)</f>
        <v/>
      </c>
      <c r="E86" s="12" t="str">
        <f>IF(A86="","",(MAX(B$3:B86)-B86)/MAX(B$3:B86))</f>
        <v/>
      </c>
      <c r="F86" s="12" t="str">
        <f>IF(A86="","",MAX(E$4:E86))</f>
        <v/>
      </c>
      <c r="G86" s="13"/>
      <c r="H86" s="14" t="str">
        <f t="shared" si="5"/>
        <v/>
      </c>
      <c r="I86" s="14" t="str">
        <f t="shared" si="6"/>
        <v/>
      </c>
      <c r="J86" s="15" t="str">
        <f t="shared" si="7"/>
        <v/>
      </c>
    </row>
    <row r="87" spans="1:10">
      <c r="A87" s="7" t="str">
        <f>IF(子基金及业绩基准周净值!A115="","",子基金及业绩基准周净值!A115)</f>
        <v/>
      </c>
      <c r="B87" s="1" t="str">
        <f>IF(A87="","",VLOOKUP($A87,子基金及业绩基准周净值!$A:$AV,12))</f>
        <v/>
      </c>
      <c r="C87" s="8" t="str">
        <f t="shared" si="4"/>
        <v/>
      </c>
      <c r="D87" s="9" t="str">
        <f>IF(A87="","",C87-子基金及业绩基准周净值!AI115)</f>
        <v/>
      </c>
      <c r="E87" s="12" t="str">
        <f>IF(A87="","",(MAX(B$3:B87)-B87)/MAX(B$3:B87))</f>
        <v/>
      </c>
      <c r="F87" s="12" t="str">
        <f>IF(A87="","",MAX(E$4:E87))</f>
        <v/>
      </c>
      <c r="G87" s="13"/>
      <c r="H87" s="14" t="str">
        <f t="shared" si="5"/>
        <v/>
      </c>
      <c r="I87" s="14" t="str">
        <f t="shared" si="6"/>
        <v/>
      </c>
      <c r="J87" s="15" t="str">
        <f t="shared" si="7"/>
        <v/>
      </c>
    </row>
    <row r="88" spans="1:10">
      <c r="A88" s="7" t="str">
        <f>IF(子基金及业绩基准周净值!A116="","",子基金及业绩基准周净值!A116)</f>
        <v/>
      </c>
      <c r="B88" s="1" t="str">
        <f>IF(A88="","",VLOOKUP($A88,子基金及业绩基准周净值!$A:$AV,12))</f>
        <v/>
      </c>
      <c r="C88" s="8" t="str">
        <f t="shared" si="4"/>
        <v/>
      </c>
      <c r="D88" s="9" t="str">
        <f>IF(A88="","",C88-子基金及业绩基准周净值!AI116)</f>
        <v/>
      </c>
      <c r="E88" s="12" t="str">
        <f>IF(A88="","",(MAX(B$3:B88)-B88)/MAX(B$3:B88))</f>
        <v/>
      </c>
      <c r="F88" s="12" t="str">
        <f>IF(A88="","",MAX(E$4:E88))</f>
        <v/>
      </c>
      <c r="G88" s="13"/>
      <c r="H88" s="14" t="str">
        <f t="shared" si="5"/>
        <v/>
      </c>
      <c r="I88" s="14" t="str">
        <f t="shared" si="6"/>
        <v/>
      </c>
      <c r="J88" s="15" t="str">
        <f t="shared" si="7"/>
        <v/>
      </c>
    </row>
    <row r="89" spans="1:10">
      <c r="A89" s="7" t="str">
        <f>IF(子基金及业绩基准周净值!A117="","",子基金及业绩基准周净值!A117)</f>
        <v/>
      </c>
      <c r="B89" s="1" t="str">
        <f>IF(A89="","",VLOOKUP($A89,子基金及业绩基准周净值!$A:$AV,12))</f>
        <v/>
      </c>
      <c r="C89" s="8" t="str">
        <f t="shared" si="4"/>
        <v/>
      </c>
      <c r="D89" s="9" t="str">
        <f>IF(A89="","",C89-子基金及业绩基准周净值!AI117)</f>
        <v/>
      </c>
      <c r="E89" s="12" t="str">
        <f>IF(A89="","",(MAX(B$3:B89)-B89)/MAX(B$3:B89))</f>
        <v/>
      </c>
      <c r="F89" s="12" t="str">
        <f>IF(A89="","",MAX(E$4:E89))</f>
        <v/>
      </c>
      <c r="G89" s="13"/>
      <c r="H89" s="14" t="str">
        <f t="shared" si="5"/>
        <v/>
      </c>
      <c r="I89" s="14" t="str">
        <f t="shared" si="6"/>
        <v/>
      </c>
      <c r="J89" s="15" t="str">
        <f t="shared" si="7"/>
        <v/>
      </c>
    </row>
    <row r="90" spans="1:10">
      <c r="A90" s="7" t="str">
        <f>IF(子基金及业绩基准周净值!A118="","",子基金及业绩基准周净值!A118)</f>
        <v/>
      </c>
      <c r="B90" s="1" t="str">
        <f>IF(A90="","",VLOOKUP($A90,子基金及业绩基准周净值!$A:$AV,12))</f>
        <v/>
      </c>
      <c r="C90" s="8" t="str">
        <f t="shared" si="4"/>
        <v/>
      </c>
      <c r="D90" s="9" t="str">
        <f>IF(A90="","",C90-子基金及业绩基准周净值!AI118)</f>
        <v/>
      </c>
      <c r="E90" s="12" t="str">
        <f>IF(A90="","",(MAX(B$3:B90)-B90)/MAX(B$3:B90))</f>
        <v/>
      </c>
      <c r="F90" s="12" t="str">
        <f>IF(A90="","",MAX(E$4:E90))</f>
        <v/>
      </c>
      <c r="G90" s="13"/>
      <c r="H90" s="14" t="str">
        <f t="shared" si="5"/>
        <v/>
      </c>
      <c r="I90" s="14" t="str">
        <f t="shared" si="6"/>
        <v/>
      </c>
      <c r="J90" s="15" t="str">
        <f t="shared" si="7"/>
        <v/>
      </c>
    </row>
    <row r="91" spans="1:10">
      <c r="A91" s="7" t="str">
        <f>IF(子基金及业绩基准周净值!A119="","",子基金及业绩基准周净值!A119)</f>
        <v/>
      </c>
      <c r="B91" s="1" t="str">
        <f>IF(A91="","",VLOOKUP($A91,子基金及业绩基准周净值!$A:$AV,12))</f>
        <v/>
      </c>
      <c r="C91" s="8" t="str">
        <f t="shared" si="4"/>
        <v/>
      </c>
      <c r="D91" s="9" t="str">
        <f>IF(A91="","",C91-子基金及业绩基准周净值!AI119)</f>
        <v/>
      </c>
      <c r="E91" s="12" t="str">
        <f>IF(A91="","",(MAX(B$3:B91)-B91)/MAX(B$3:B91))</f>
        <v/>
      </c>
      <c r="F91" s="12" t="str">
        <f>IF(A91="","",MAX(E$4:E91))</f>
        <v/>
      </c>
      <c r="G91" s="13"/>
      <c r="H91" s="14" t="str">
        <f t="shared" si="5"/>
        <v/>
      </c>
      <c r="I91" s="14" t="str">
        <f t="shared" si="6"/>
        <v/>
      </c>
      <c r="J91" s="15" t="str">
        <f t="shared" si="7"/>
        <v/>
      </c>
    </row>
    <row r="92" spans="1:10">
      <c r="A92" s="7" t="str">
        <f>IF(子基金及业绩基准周净值!A120="","",子基金及业绩基准周净值!A120)</f>
        <v/>
      </c>
      <c r="B92" s="1" t="str">
        <f>IF(A92="","",VLOOKUP($A92,子基金及业绩基准周净值!$A:$AV,12))</f>
        <v/>
      </c>
      <c r="C92" s="8" t="str">
        <f t="shared" si="4"/>
        <v/>
      </c>
      <c r="D92" s="9" t="str">
        <f>IF(A92="","",C92-子基金及业绩基准周净值!AI120)</f>
        <v/>
      </c>
      <c r="E92" s="12" t="str">
        <f>IF(A92="","",(MAX(B$3:B92)-B92)/MAX(B$3:B92))</f>
        <v/>
      </c>
      <c r="F92" s="12" t="str">
        <f>IF(A92="","",MAX(E$4:E92))</f>
        <v/>
      </c>
      <c r="G92" s="13"/>
      <c r="H92" s="14" t="str">
        <f t="shared" si="5"/>
        <v/>
      </c>
      <c r="I92" s="14" t="str">
        <f t="shared" si="6"/>
        <v/>
      </c>
      <c r="J92" s="15" t="str">
        <f t="shared" si="7"/>
        <v/>
      </c>
    </row>
    <row r="93" spans="1:10">
      <c r="A93" s="7" t="str">
        <f>IF(子基金及业绩基准周净值!A121="","",子基金及业绩基准周净值!A121)</f>
        <v/>
      </c>
      <c r="B93" s="1" t="str">
        <f>IF(A93="","",VLOOKUP($A93,子基金及业绩基准周净值!$A:$AV,12))</f>
        <v/>
      </c>
      <c r="C93" s="8" t="str">
        <f t="shared" si="4"/>
        <v/>
      </c>
      <c r="D93" s="9" t="str">
        <f>IF(A93="","",C93-子基金及业绩基准周净值!AI121)</f>
        <v/>
      </c>
      <c r="E93" s="12" t="str">
        <f>IF(A93="","",(MAX(B$3:B93)-B93)/MAX(B$3:B93))</f>
        <v/>
      </c>
      <c r="F93" s="12" t="str">
        <f>IF(A93="","",MAX(E$4:E93))</f>
        <v/>
      </c>
      <c r="G93" s="13"/>
      <c r="H93" s="14" t="str">
        <f t="shared" si="5"/>
        <v/>
      </c>
      <c r="I93" s="14" t="str">
        <f t="shared" si="6"/>
        <v/>
      </c>
      <c r="J93" s="15" t="str">
        <f t="shared" si="7"/>
        <v/>
      </c>
    </row>
    <row r="94" spans="1:10">
      <c r="A94" s="7" t="str">
        <f>IF(子基金及业绩基准周净值!A122="","",子基金及业绩基准周净值!A122)</f>
        <v/>
      </c>
      <c r="B94" s="1" t="str">
        <f>IF(A94="","",VLOOKUP($A94,子基金及业绩基准周净值!$A:$AV,12))</f>
        <v/>
      </c>
      <c r="C94" s="8" t="str">
        <f t="shared" si="4"/>
        <v/>
      </c>
      <c r="D94" s="9" t="str">
        <f>IF(A94="","",C94-子基金及业绩基准周净值!AI122)</f>
        <v/>
      </c>
      <c r="E94" s="12" t="str">
        <f>IF(A94="","",(MAX(B$3:B94)-B94)/MAX(B$3:B94))</f>
        <v/>
      </c>
      <c r="F94" s="12" t="str">
        <f>IF(A94="","",MAX(E$4:E94))</f>
        <v/>
      </c>
      <c r="G94" s="13"/>
      <c r="H94" s="14" t="str">
        <f t="shared" si="5"/>
        <v/>
      </c>
      <c r="I94" s="14" t="str">
        <f t="shared" si="6"/>
        <v/>
      </c>
      <c r="J94" s="15" t="str">
        <f t="shared" si="7"/>
        <v/>
      </c>
    </row>
    <row r="95" spans="1:10">
      <c r="A95" s="7" t="str">
        <f>IF(子基金及业绩基准周净值!A123="","",子基金及业绩基准周净值!A123)</f>
        <v/>
      </c>
      <c r="B95" s="1" t="str">
        <f>IF(A95="","",VLOOKUP($A95,子基金及业绩基准周净值!$A:$AV,12))</f>
        <v/>
      </c>
      <c r="C95" s="8" t="str">
        <f t="shared" si="4"/>
        <v/>
      </c>
      <c r="D95" s="9" t="str">
        <f>IF(A95="","",C95-子基金及业绩基准周净值!AI123)</f>
        <v/>
      </c>
      <c r="E95" s="12" t="str">
        <f>IF(A95="","",(MAX(B$3:B95)-B95)/MAX(B$3:B95))</f>
        <v/>
      </c>
      <c r="F95" s="12" t="str">
        <f>IF(A95="","",MAX(E$4:E95))</f>
        <v/>
      </c>
      <c r="G95" s="13"/>
      <c r="H95" s="14" t="str">
        <f t="shared" si="5"/>
        <v/>
      </c>
      <c r="I95" s="14" t="str">
        <f t="shared" si="6"/>
        <v/>
      </c>
      <c r="J95" s="15" t="str">
        <f t="shared" si="7"/>
        <v/>
      </c>
    </row>
    <row r="96" spans="1:10">
      <c r="A96" s="7" t="str">
        <f>IF(子基金及业绩基准周净值!A124="","",子基金及业绩基准周净值!A124)</f>
        <v/>
      </c>
      <c r="B96" s="1" t="str">
        <f>IF(A96="","",VLOOKUP($A96,子基金及业绩基准周净值!$A:$AV,12))</f>
        <v/>
      </c>
      <c r="C96" s="8" t="str">
        <f t="shared" si="4"/>
        <v/>
      </c>
      <c r="D96" s="9" t="str">
        <f>IF(A96="","",C96-子基金及业绩基准周净值!AI124)</f>
        <v/>
      </c>
      <c r="E96" s="12" t="str">
        <f>IF(A96="","",(MAX(B$3:B96)-B96)/MAX(B$3:B96))</f>
        <v/>
      </c>
      <c r="F96" s="12" t="str">
        <f>IF(A96="","",MAX(E$4:E96))</f>
        <v/>
      </c>
      <c r="G96" s="13"/>
      <c r="H96" s="14" t="str">
        <f t="shared" si="5"/>
        <v/>
      </c>
      <c r="I96" s="14" t="str">
        <f t="shared" si="6"/>
        <v/>
      </c>
      <c r="J96" s="15" t="str">
        <f t="shared" si="7"/>
        <v/>
      </c>
    </row>
    <row r="97" spans="1:10">
      <c r="A97" s="7" t="str">
        <f>IF(子基金及业绩基准周净值!A125="","",子基金及业绩基准周净值!A125)</f>
        <v/>
      </c>
      <c r="B97" s="1" t="str">
        <f>IF(A97="","",VLOOKUP($A97,子基金及业绩基准周净值!$A:$AV,12))</f>
        <v/>
      </c>
      <c r="C97" s="8" t="str">
        <f t="shared" si="4"/>
        <v/>
      </c>
      <c r="D97" s="9" t="str">
        <f>IF(A97="","",C97-子基金及业绩基准周净值!AI125)</f>
        <v/>
      </c>
      <c r="E97" s="12" t="str">
        <f>IF(A97="","",(MAX(B$3:B97)-B97)/MAX(B$3:B97))</f>
        <v/>
      </c>
      <c r="F97" s="12" t="str">
        <f>IF(A97="","",MAX(E$4:E97))</f>
        <v/>
      </c>
      <c r="G97" s="13"/>
      <c r="H97" s="14" t="str">
        <f t="shared" si="5"/>
        <v/>
      </c>
      <c r="I97" s="14" t="str">
        <f t="shared" si="6"/>
        <v/>
      </c>
      <c r="J97" s="15" t="str">
        <f t="shared" si="7"/>
        <v/>
      </c>
    </row>
    <row r="98" spans="1:10">
      <c r="A98" s="7" t="str">
        <f>IF(子基金及业绩基准周净值!A126="","",子基金及业绩基准周净值!A126)</f>
        <v/>
      </c>
      <c r="B98" s="1" t="str">
        <f>IF(A98="","",VLOOKUP($A98,子基金及业绩基准周净值!$A:$AV,12))</f>
        <v/>
      </c>
      <c r="C98" s="8" t="str">
        <f t="shared" si="4"/>
        <v/>
      </c>
      <c r="D98" s="9" t="str">
        <f>IF(A98="","",C98-子基金及业绩基准周净值!AI126)</f>
        <v/>
      </c>
      <c r="E98" s="12" t="str">
        <f>IF(A98="","",(MAX(B$3:B98)-B98)/MAX(B$3:B98))</f>
        <v/>
      </c>
      <c r="F98" s="12" t="str">
        <f>IF(A98="","",MAX(E$4:E98))</f>
        <v/>
      </c>
      <c r="G98" s="13"/>
      <c r="H98" s="14" t="str">
        <f t="shared" si="5"/>
        <v/>
      </c>
      <c r="I98" s="14" t="str">
        <f t="shared" si="6"/>
        <v/>
      </c>
      <c r="J98" s="15" t="str">
        <f t="shared" si="7"/>
        <v/>
      </c>
    </row>
    <row r="99" spans="1:10">
      <c r="A99" s="7" t="str">
        <f>IF(子基金及业绩基准周净值!A127="","",子基金及业绩基准周净值!A127)</f>
        <v/>
      </c>
      <c r="B99" s="1" t="str">
        <f>IF(A99="","",VLOOKUP($A99,子基金及业绩基准周净值!$A:$AV,12))</f>
        <v/>
      </c>
      <c r="C99" s="8" t="str">
        <f t="shared" si="4"/>
        <v/>
      </c>
      <c r="D99" s="9" t="str">
        <f>IF(A99="","",C99-子基金及业绩基准周净值!AI127)</f>
        <v/>
      </c>
      <c r="E99" s="12" t="str">
        <f>IF(A99="","",(MAX(B$3:B99)-B99)/MAX(B$3:B99))</f>
        <v/>
      </c>
      <c r="F99" s="12" t="str">
        <f>IF(A99="","",MAX(E$4:E99))</f>
        <v/>
      </c>
      <c r="G99" s="13"/>
      <c r="H99" s="14" t="str">
        <f t="shared" si="5"/>
        <v/>
      </c>
      <c r="I99" s="14" t="str">
        <f t="shared" si="6"/>
        <v/>
      </c>
      <c r="J99" s="15" t="str">
        <f t="shared" si="7"/>
        <v/>
      </c>
    </row>
    <row r="100" spans="1:10">
      <c r="A100" s="7" t="str">
        <f>IF(子基金及业绩基准周净值!A128="","",子基金及业绩基准周净值!A128)</f>
        <v/>
      </c>
      <c r="B100" s="1" t="str">
        <f>IF(A100="","",VLOOKUP($A100,子基金及业绩基准周净值!$A:$AV,12))</f>
        <v/>
      </c>
      <c r="C100" s="8" t="str">
        <f t="shared" si="4"/>
        <v/>
      </c>
      <c r="D100" s="9" t="str">
        <f>IF(A100="","",C100-子基金及业绩基准周净值!AI128)</f>
        <v/>
      </c>
      <c r="E100" s="12" t="str">
        <f>IF(A100="","",(MAX(B$3:B100)-B100)/MAX(B$3:B100))</f>
        <v/>
      </c>
      <c r="F100" s="12" t="str">
        <f>IF(A100="","",MAX(E$4:E100))</f>
        <v/>
      </c>
      <c r="G100" s="13"/>
      <c r="H100" s="14" t="str">
        <f t="shared" si="5"/>
        <v/>
      </c>
      <c r="I100" s="14" t="str">
        <f t="shared" si="6"/>
        <v/>
      </c>
      <c r="J100" s="15" t="str">
        <f t="shared" si="7"/>
        <v/>
      </c>
    </row>
    <row r="101" spans="1:10">
      <c r="A101" s="7" t="str">
        <f>IF(子基金及业绩基准周净值!A129="","",子基金及业绩基准周净值!A129)</f>
        <v/>
      </c>
      <c r="B101" s="1" t="str">
        <f>IF(A101="","",VLOOKUP($A101,子基金及业绩基准周净值!$A:$AV,12))</f>
        <v/>
      </c>
      <c r="C101" s="8" t="str">
        <f t="shared" si="4"/>
        <v/>
      </c>
      <c r="D101" s="9" t="str">
        <f>IF(A101="","",C101-子基金及业绩基准周净值!AI129)</f>
        <v/>
      </c>
      <c r="E101" s="12" t="str">
        <f>IF(A101="","",(MAX(B$3:B101)-B101)/MAX(B$3:B101))</f>
        <v/>
      </c>
      <c r="F101" s="12" t="str">
        <f>IF(A101="","",MAX(E$4:E101))</f>
        <v/>
      </c>
      <c r="G101" s="13"/>
      <c r="H101" s="14" t="str">
        <f t="shared" si="5"/>
        <v/>
      </c>
      <c r="I101" s="14" t="str">
        <f t="shared" si="6"/>
        <v/>
      </c>
      <c r="J101" s="15" t="str">
        <f t="shared" si="7"/>
        <v/>
      </c>
    </row>
    <row r="102" spans="1:10">
      <c r="A102" s="7" t="str">
        <f>IF(子基金及业绩基准周净值!A130="","",子基金及业绩基准周净值!A130)</f>
        <v/>
      </c>
      <c r="B102" s="1" t="str">
        <f>IF(A102="","",VLOOKUP($A102,子基金及业绩基准周净值!$A:$AV,12))</f>
        <v/>
      </c>
      <c r="C102" s="8" t="str">
        <f t="shared" si="4"/>
        <v/>
      </c>
      <c r="D102" s="9" t="str">
        <f>IF(A102="","",C102-子基金及业绩基准周净值!AI130)</f>
        <v/>
      </c>
      <c r="E102" s="12" t="str">
        <f>IF(A102="","",(MAX(B$3:B102)-B102)/MAX(B$3:B102))</f>
        <v/>
      </c>
      <c r="F102" s="12" t="str">
        <f>IF(A102="","",MAX(E$4:E102))</f>
        <v/>
      </c>
      <c r="G102" s="13"/>
      <c r="H102" s="14" t="str">
        <f t="shared" si="5"/>
        <v/>
      </c>
      <c r="I102" s="14" t="str">
        <f t="shared" si="6"/>
        <v/>
      </c>
      <c r="J102" s="15" t="str">
        <f t="shared" si="7"/>
        <v/>
      </c>
    </row>
    <row r="103" spans="1:10">
      <c r="A103" s="7" t="str">
        <f>IF(子基金及业绩基准周净值!A131="","",子基金及业绩基准周净值!A131)</f>
        <v/>
      </c>
      <c r="B103" s="1" t="str">
        <f>IF(A103="","",VLOOKUP($A103,子基金及业绩基准周净值!$A:$AV,12))</f>
        <v/>
      </c>
      <c r="C103" s="8" t="str">
        <f t="shared" si="4"/>
        <v/>
      </c>
      <c r="D103" s="9" t="str">
        <f>IF(A103="","",C103-子基金及业绩基准周净值!AI131)</f>
        <v/>
      </c>
      <c r="E103" s="12" t="str">
        <f>IF(A103="","",(MAX(B$3:B103)-B103)/MAX(B$3:B103))</f>
        <v/>
      </c>
      <c r="F103" s="12" t="str">
        <f>IF(A103="","",MAX(E$4:E103))</f>
        <v/>
      </c>
      <c r="G103" s="13"/>
      <c r="H103" s="14" t="str">
        <f t="shared" si="5"/>
        <v/>
      </c>
      <c r="I103" s="14" t="str">
        <f t="shared" si="6"/>
        <v/>
      </c>
      <c r="J103" s="15" t="str">
        <f t="shared" si="7"/>
        <v/>
      </c>
    </row>
    <row r="104" spans="1:10">
      <c r="A104" s="7" t="str">
        <f>IF(子基金及业绩基准周净值!A132="","",子基金及业绩基准周净值!A132)</f>
        <v/>
      </c>
      <c r="B104" s="1" t="str">
        <f>IF(A104="","",VLOOKUP($A104,子基金及业绩基准周净值!$A:$AV,12))</f>
        <v/>
      </c>
      <c r="C104" s="8" t="str">
        <f t="shared" si="4"/>
        <v/>
      </c>
      <c r="D104" s="9" t="str">
        <f>IF(A104="","",C104-子基金及业绩基准周净值!AI132)</f>
        <v/>
      </c>
      <c r="E104" s="12" t="str">
        <f>IF(A104="","",(MAX(B$3:B104)-B104)/MAX(B$3:B104))</f>
        <v/>
      </c>
      <c r="F104" s="12" t="str">
        <f>IF(A104="","",MAX(E$4:E104))</f>
        <v/>
      </c>
      <c r="G104" s="13"/>
      <c r="H104" s="14" t="str">
        <f t="shared" si="5"/>
        <v/>
      </c>
      <c r="I104" s="14" t="str">
        <f t="shared" si="6"/>
        <v/>
      </c>
      <c r="J104" s="15" t="str">
        <f t="shared" si="7"/>
        <v/>
      </c>
    </row>
    <row r="105" spans="1:10">
      <c r="A105" s="7" t="str">
        <f>IF(子基金及业绩基准周净值!A133="","",子基金及业绩基准周净值!A133)</f>
        <v/>
      </c>
      <c r="B105" s="1" t="str">
        <f>IF(A105="","",VLOOKUP($A105,子基金及业绩基准周净值!$A:$AV,12))</f>
        <v/>
      </c>
      <c r="C105" s="8" t="str">
        <f t="shared" si="4"/>
        <v/>
      </c>
      <c r="D105" s="9" t="str">
        <f>IF(A105="","",C105-子基金及业绩基准周净值!AI133)</f>
        <v/>
      </c>
      <c r="E105" s="12" t="str">
        <f>IF(A105="","",(MAX(B$3:B105)-B105)/MAX(B$3:B105))</f>
        <v/>
      </c>
      <c r="F105" s="12" t="str">
        <f>IF(A105="","",MAX(E$4:E105))</f>
        <v/>
      </c>
      <c r="G105" s="13"/>
      <c r="H105" s="14" t="str">
        <f t="shared" si="5"/>
        <v/>
      </c>
      <c r="I105" s="14" t="str">
        <f t="shared" si="6"/>
        <v/>
      </c>
      <c r="J105" s="15" t="str">
        <f t="shared" si="7"/>
        <v/>
      </c>
    </row>
    <row r="106" spans="1:10">
      <c r="A106" s="7" t="str">
        <f>IF(子基金及业绩基准周净值!A134="","",子基金及业绩基准周净值!A134)</f>
        <v/>
      </c>
      <c r="B106" s="1" t="str">
        <f>IF(A106="","",VLOOKUP($A106,子基金及业绩基准周净值!$A:$AV,12))</f>
        <v/>
      </c>
      <c r="C106" s="8" t="str">
        <f t="shared" si="4"/>
        <v/>
      </c>
      <c r="D106" s="9" t="str">
        <f>IF(A106="","",C106-子基金及业绩基准周净值!AI134)</f>
        <v/>
      </c>
      <c r="E106" s="12" t="str">
        <f>IF(A106="","",(MAX(B$3:B106)-B106)/MAX(B$3:B106))</f>
        <v/>
      </c>
      <c r="F106" s="12" t="str">
        <f>IF(A106="","",MAX(E$4:E106))</f>
        <v/>
      </c>
      <c r="G106" s="13"/>
      <c r="H106" s="14" t="str">
        <f t="shared" si="5"/>
        <v/>
      </c>
      <c r="I106" s="14" t="str">
        <f t="shared" si="6"/>
        <v/>
      </c>
      <c r="J106" s="15" t="str">
        <f t="shared" si="7"/>
        <v/>
      </c>
    </row>
    <row r="107" spans="1:10">
      <c r="A107" s="7" t="str">
        <f>IF(子基金及业绩基准周净值!A135="","",子基金及业绩基准周净值!A135)</f>
        <v/>
      </c>
      <c r="B107" s="1" t="str">
        <f>IF(A107="","",VLOOKUP($A107,子基金及业绩基准周净值!$A:$AV,12))</f>
        <v/>
      </c>
      <c r="C107" s="8" t="str">
        <f t="shared" si="4"/>
        <v/>
      </c>
      <c r="D107" s="9" t="str">
        <f>IF(A107="","",C107-子基金及业绩基准周净值!AI135)</f>
        <v/>
      </c>
      <c r="E107" s="12" t="str">
        <f>IF(A107="","",(MAX(B$3:B107)-B107)/MAX(B$3:B107))</f>
        <v/>
      </c>
      <c r="F107" s="12" t="str">
        <f>IF(A107="","",MAX(E$4:E107))</f>
        <v/>
      </c>
      <c r="G107" s="13"/>
      <c r="H107" s="14" t="str">
        <f t="shared" si="5"/>
        <v/>
      </c>
      <c r="I107" s="14" t="str">
        <f t="shared" si="6"/>
        <v/>
      </c>
      <c r="J107" s="15" t="str">
        <f t="shared" si="7"/>
        <v/>
      </c>
    </row>
    <row r="108" spans="1:10">
      <c r="A108" s="7" t="str">
        <f>IF(子基金及业绩基准周净值!A136="","",子基金及业绩基准周净值!A136)</f>
        <v/>
      </c>
      <c r="B108" s="1" t="str">
        <f>IF(A108="","",VLOOKUP($A108,子基金及业绩基准周净值!$A:$AV,12))</f>
        <v/>
      </c>
      <c r="C108" s="8" t="str">
        <f t="shared" si="4"/>
        <v/>
      </c>
      <c r="D108" s="9" t="str">
        <f>IF(A108="","",C108-子基金及业绩基准周净值!AI136)</f>
        <v/>
      </c>
      <c r="E108" s="12" t="str">
        <f>IF(A108="","",(MAX(B$3:B108)-B108)/MAX(B$3:B108))</f>
        <v/>
      </c>
      <c r="F108" s="12" t="str">
        <f>IF(A108="","",MAX(E$4:E108))</f>
        <v/>
      </c>
      <c r="G108" s="13"/>
      <c r="H108" s="14" t="str">
        <f t="shared" si="5"/>
        <v/>
      </c>
      <c r="I108" s="14" t="str">
        <f t="shared" si="6"/>
        <v/>
      </c>
      <c r="J108" s="15" t="str">
        <f t="shared" si="7"/>
        <v/>
      </c>
    </row>
    <row r="109" spans="1:10">
      <c r="A109" s="7" t="str">
        <f>IF(子基金及业绩基准周净值!A137="","",子基金及业绩基准周净值!A137)</f>
        <v/>
      </c>
      <c r="B109" s="1" t="str">
        <f>IF(A109="","",VLOOKUP($A109,子基金及业绩基准周净值!$A:$AV,12))</f>
        <v/>
      </c>
      <c r="C109" s="8" t="str">
        <f t="shared" si="4"/>
        <v/>
      </c>
      <c r="D109" s="9" t="str">
        <f>IF(A109="","",C109-子基金及业绩基准周净值!AI137)</f>
        <v/>
      </c>
      <c r="E109" s="12" t="str">
        <f>IF(A109="","",(MAX(B$3:B109)-B109)/MAX(B$3:B109))</f>
        <v/>
      </c>
      <c r="F109" s="12" t="str">
        <f>IF(A109="","",MAX(E$4:E109))</f>
        <v/>
      </c>
      <c r="G109" s="13"/>
      <c r="H109" s="14" t="str">
        <f t="shared" si="5"/>
        <v/>
      </c>
      <c r="I109" s="14" t="str">
        <f t="shared" si="6"/>
        <v/>
      </c>
      <c r="J109" s="15" t="str">
        <f t="shared" si="7"/>
        <v/>
      </c>
    </row>
    <row r="110" spans="1:10">
      <c r="A110" s="7" t="str">
        <f>IF(子基金及业绩基准周净值!A138="","",子基金及业绩基准周净值!A138)</f>
        <v/>
      </c>
      <c r="B110" s="1" t="str">
        <f>IF(A110="","",VLOOKUP($A110,子基金及业绩基准周净值!$A:$AV,12))</f>
        <v/>
      </c>
      <c r="C110" s="8" t="str">
        <f t="shared" si="4"/>
        <v/>
      </c>
      <c r="D110" s="9" t="str">
        <f>IF(A110="","",C110-子基金及业绩基准周净值!AI138)</f>
        <v/>
      </c>
      <c r="E110" s="12" t="str">
        <f>IF(A110="","",(MAX(B$3:B110)-B110)/MAX(B$3:B110))</f>
        <v/>
      </c>
      <c r="F110" s="12" t="str">
        <f>IF(A110="","",MAX(E$4:E110))</f>
        <v/>
      </c>
      <c r="G110" s="13"/>
      <c r="H110" s="14" t="str">
        <f t="shared" si="5"/>
        <v/>
      </c>
      <c r="I110" s="14" t="str">
        <f t="shared" si="6"/>
        <v/>
      </c>
      <c r="J110" s="15" t="str">
        <f t="shared" si="7"/>
        <v/>
      </c>
    </row>
    <row r="111" spans="1:10">
      <c r="A111" s="7" t="str">
        <f>IF(子基金及业绩基准周净值!A139="","",子基金及业绩基准周净值!A139)</f>
        <v/>
      </c>
      <c r="B111" s="1" t="str">
        <f>IF(A111="","",VLOOKUP($A111,子基金及业绩基准周净值!$A:$AV,12))</f>
        <v/>
      </c>
      <c r="C111" s="8" t="str">
        <f t="shared" si="4"/>
        <v/>
      </c>
      <c r="D111" s="9" t="str">
        <f>IF(A111="","",C111-子基金及业绩基准周净值!AI139)</f>
        <v/>
      </c>
      <c r="E111" s="12" t="str">
        <f>IF(A111="","",(MAX(B$3:B111)-B111)/MAX(B$3:B111))</f>
        <v/>
      </c>
      <c r="F111" s="12" t="str">
        <f>IF(A111="","",MAX(E$4:E111))</f>
        <v/>
      </c>
      <c r="G111" s="13"/>
      <c r="H111" s="14" t="str">
        <f t="shared" si="5"/>
        <v/>
      </c>
      <c r="I111" s="14" t="str">
        <f t="shared" si="6"/>
        <v/>
      </c>
      <c r="J111" s="15" t="str">
        <f t="shared" si="7"/>
        <v/>
      </c>
    </row>
    <row r="112" spans="1:10">
      <c r="A112" s="7" t="str">
        <f>IF(子基金及业绩基准周净值!A140="","",子基金及业绩基准周净值!A140)</f>
        <v/>
      </c>
      <c r="B112" s="1" t="str">
        <f>IF(A112="","",VLOOKUP($A112,子基金及业绩基准周净值!$A:$AV,12))</f>
        <v/>
      </c>
      <c r="C112" s="8" t="str">
        <f t="shared" si="4"/>
        <v/>
      </c>
      <c r="D112" s="9" t="str">
        <f>IF(A112="","",C112-子基金及业绩基准周净值!AI140)</f>
        <v/>
      </c>
      <c r="E112" s="12" t="str">
        <f>IF(A112="","",(MAX(B$3:B112)-B112)/MAX(B$3:B112))</f>
        <v/>
      </c>
      <c r="F112" s="12" t="str">
        <f>IF(A112="","",MAX(E$4:E112))</f>
        <v/>
      </c>
      <c r="G112" s="13"/>
      <c r="H112" s="14" t="str">
        <f t="shared" si="5"/>
        <v/>
      </c>
      <c r="I112" s="14" t="str">
        <f t="shared" si="6"/>
        <v/>
      </c>
      <c r="J112" s="15" t="str">
        <f t="shared" si="7"/>
        <v/>
      </c>
    </row>
    <row r="113" spans="1:10">
      <c r="A113" s="7" t="str">
        <f>IF(子基金及业绩基准周净值!A141="","",子基金及业绩基准周净值!A141)</f>
        <v/>
      </c>
      <c r="B113" s="1" t="str">
        <f>IF(A113="","",VLOOKUP($A113,子基金及业绩基准周净值!$A:$AV,12))</f>
        <v/>
      </c>
      <c r="C113" s="8" t="str">
        <f t="shared" si="4"/>
        <v/>
      </c>
      <c r="D113" s="9" t="str">
        <f>IF(A113="","",C113-子基金及业绩基准周净值!AI141)</f>
        <v/>
      </c>
      <c r="E113" s="12" t="str">
        <f>IF(A113="","",(MAX(B$3:B113)-B113)/MAX(B$3:B113))</f>
        <v/>
      </c>
      <c r="F113" s="12" t="str">
        <f>IF(A113="","",MAX(E$4:E113))</f>
        <v/>
      </c>
      <c r="G113" s="13"/>
      <c r="H113" s="14" t="str">
        <f t="shared" si="5"/>
        <v/>
      </c>
      <c r="I113" s="14" t="str">
        <f t="shared" si="6"/>
        <v/>
      </c>
      <c r="J113" s="15" t="str">
        <f t="shared" si="7"/>
        <v/>
      </c>
    </row>
    <row r="114" spans="1:10">
      <c r="A114" s="7" t="str">
        <f>IF(子基金及业绩基准周净值!A142="","",子基金及业绩基准周净值!A142)</f>
        <v/>
      </c>
      <c r="B114" s="1" t="str">
        <f>IF(A114="","",VLOOKUP($A114,子基金及业绩基准周净值!$A:$AV,12))</f>
        <v/>
      </c>
      <c r="C114" s="8" t="str">
        <f t="shared" si="4"/>
        <v/>
      </c>
      <c r="D114" s="9" t="str">
        <f>IF(A114="","",C114-子基金及业绩基准周净值!AI142)</f>
        <v/>
      </c>
      <c r="E114" s="12" t="str">
        <f>IF(A114="","",(MAX(B$3:B114)-B114)/MAX(B$3:B114))</f>
        <v/>
      </c>
      <c r="F114" s="12" t="str">
        <f>IF(A114="","",MAX(E$4:E114))</f>
        <v/>
      </c>
      <c r="G114" s="13"/>
      <c r="H114" s="14" t="str">
        <f t="shared" si="5"/>
        <v/>
      </c>
      <c r="I114" s="14" t="str">
        <f t="shared" si="6"/>
        <v/>
      </c>
      <c r="J114" s="15" t="str">
        <f t="shared" si="7"/>
        <v/>
      </c>
    </row>
    <row r="115" spans="1:10">
      <c r="A115" s="7" t="str">
        <f>IF(子基金及业绩基准周净值!A143="","",子基金及业绩基准周净值!A143)</f>
        <v/>
      </c>
      <c r="B115" s="1" t="str">
        <f>IF(A115="","",VLOOKUP($A115,子基金及业绩基准周净值!$A:$AV,12))</f>
        <v/>
      </c>
      <c r="C115" s="8" t="str">
        <f t="shared" si="4"/>
        <v/>
      </c>
      <c r="D115" s="9" t="str">
        <f>IF(A115="","",C115-子基金及业绩基准周净值!AI143)</f>
        <v/>
      </c>
      <c r="E115" s="12" t="str">
        <f>IF(A115="","",(MAX(B$3:B115)-B115)/MAX(B$3:B115))</f>
        <v/>
      </c>
      <c r="F115" s="12" t="str">
        <f>IF(A115="","",MAX(E$4:E115))</f>
        <v/>
      </c>
      <c r="G115" s="13"/>
      <c r="H115" s="14" t="str">
        <f t="shared" si="5"/>
        <v/>
      </c>
      <c r="I115" s="14" t="str">
        <f t="shared" si="6"/>
        <v/>
      </c>
      <c r="J115" s="15" t="str">
        <f t="shared" si="7"/>
        <v/>
      </c>
    </row>
    <row r="116" spans="1:10">
      <c r="A116" s="7" t="str">
        <f>IF(子基金及业绩基准周净值!A144="","",子基金及业绩基准周净值!A144)</f>
        <v/>
      </c>
      <c r="B116" s="1" t="str">
        <f>IF(A116="","",VLOOKUP($A116,子基金及业绩基准周净值!$A:$AV,12))</f>
        <v/>
      </c>
      <c r="C116" s="8" t="str">
        <f t="shared" si="4"/>
        <v/>
      </c>
      <c r="D116" s="9" t="str">
        <f>IF(A116="","",C116-子基金及业绩基准周净值!AI144)</f>
        <v/>
      </c>
      <c r="E116" s="12" t="str">
        <f>IF(A116="","",(MAX(B$3:B116)-B116)/MAX(B$3:B116))</f>
        <v/>
      </c>
      <c r="F116" s="12" t="str">
        <f>IF(A116="","",MAX(E$4:E116))</f>
        <v/>
      </c>
      <c r="G116" s="13"/>
      <c r="H116" s="14" t="str">
        <f t="shared" si="5"/>
        <v/>
      </c>
      <c r="I116" s="14" t="str">
        <f t="shared" si="6"/>
        <v/>
      </c>
      <c r="J116" s="15" t="str">
        <f t="shared" si="7"/>
        <v/>
      </c>
    </row>
    <row r="117" spans="1:10">
      <c r="A117" s="7" t="str">
        <f>IF(子基金及业绩基准周净值!A145="","",子基金及业绩基准周净值!A145)</f>
        <v/>
      </c>
      <c r="B117" s="1" t="str">
        <f>IF(A117="","",VLOOKUP($A117,子基金及业绩基准周净值!$A:$AV,12))</f>
        <v/>
      </c>
      <c r="C117" s="8" t="str">
        <f t="shared" si="4"/>
        <v/>
      </c>
      <c r="D117" s="9" t="str">
        <f>IF(A117="","",C117-子基金及业绩基准周净值!AI145)</f>
        <v/>
      </c>
      <c r="E117" s="12" t="str">
        <f>IF(A117="","",(MAX(B$3:B117)-B117)/MAX(B$3:B117))</f>
        <v/>
      </c>
      <c r="F117" s="12" t="str">
        <f>IF(A117="","",MAX(E$4:E117))</f>
        <v/>
      </c>
      <c r="G117" s="13"/>
      <c r="H117" s="14" t="str">
        <f t="shared" si="5"/>
        <v/>
      </c>
      <c r="I117" s="14" t="str">
        <f t="shared" si="6"/>
        <v/>
      </c>
      <c r="J117" s="15" t="str">
        <f t="shared" si="7"/>
        <v/>
      </c>
    </row>
    <row r="118" spans="1:10">
      <c r="A118" s="7" t="str">
        <f>IF(子基金及业绩基准周净值!A146="","",子基金及业绩基准周净值!A146)</f>
        <v/>
      </c>
      <c r="B118" s="1" t="str">
        <f>IF(A118="","",VLOOKUP($A118,子基金及业绩基准周净值!$A:$AV,12))</f>
        <v/>
      </c>
      <c r="C118" s="8" t="str">
        <f t="shared" si="4"/>
        <v/>
      </c>
      <c r="D118" s="9" t="str">
        <f>IF(A118="","",C118-子基金及业绩基准周净值!AI146)</f>
        <v/>
      </c>
      <c r="E118" s="12" t="str">
        <f>IF(A118="","",(MAX(B$3:B118)-B118)/MAX(B$3:B118))</f>
        <v/>
      </c>
      <c r="F118" s="12" t="str">
        <f>IF(A118="","",MAX(E$4:E118))</f>
        <v/>
      </c>
      <c r="G118" s="13"/>
      <c r="H118" s="14" t="str">
        <f t="shared" si="5"/>
        <v/>
      </c>
      <c r="I118" s="14" t="str">
        <f t="shared" si="6"/>
        <v/>
      </c>
      <c r="J118" s="15" t="str">
        <f t="shared" si="7"/>
        <v/>
      </c>
    </row>
    <row r="119" spans="1:10">
      <c r="A119" s="7" t="str">
        <f>IF(子基金及业绩基准周净值!A147="","",子基金及业绩基准周净值!A147)</f>
        <v/>
      </c>
      <c r="B119" s="1" t="str">
        <f>IF(A119="","",VLOOKUP($A119,子基金及业绩基准周净值!$A:$AV,12))</f>
        <v/>
      </c>
      <c r="C119" s="8" t="str">
        <f t="shared" si="4"/>
        <v/>
      </c>
      <c r="D119" s="9" t="str">
        <f>IF(A119="","",C119-子基金及业绩基准周净值!AI147)</f>
        <v/>
      </c>
      <c r="E119" s="12" t="str">
        <f>IF(A119="","",(MAX(B$3:B119)-B119)/MAX(B$3:B119))</f>
        <v/>
      </c>
      <c r="F119" s="12" t="str">
        <f>IF(A119="","",MAX(E$4:E119))</f>
        <v/>
      </c>
      <c r="G119" s="13"/>
      <c r="H119" s="14" t="str">
        <f t="shared" si="5"/>
        <v/>
      </c>
      <c r="I119" s="14" t="str">
        <f t="shared" si="6"/>
        <v/>
      </c>
      <c r="J119" s="15" t="str">
        <f t="shared" si="7"/>
        <v/>
      </c>
    </row>
    <row r="120" spans="1:10">
      <c r="A120" s="7" t="str">
        <f>IF(子基金及业绩基准周净值!A148="","",子基金及业绩基准周净值!A148)</f>
        <v/>
      </c>
      <c r="B120" s="1" t="str">
        <f>IF(A120="","",VLOOKUP($A120,子基金及业绩基准周净值!$A:$AV,12))</f>
        <v/>
      </c>
      <c r="C120" s="8" t="str">
        <f t="shared" si="4"/>
        <v/>
      </c>
      <c r="D120" s="9" t="str">
        <f>IF(A120="","",C120-子基金及业绩基准周净值!AI148)</f>
        <v/>
      </c>
      <c r="E120" s="12" t="str">
        <f>IF(A120="","",(MAX(B$3:B120)-B120)/MAX(B$3:B120))</f>
        <v/>
      </c>
      <c r="F120" s="12" t="str">
        <f>IF(A120="","",MAX(E$4:E120))</f>
        <v/>
      </c>
      <c r="G120" s="13"/>
      <c r="H120" s="14" t="str">
        <f t="shared" si="5"/>
        <v/>
      </c>
      <c r="I120" s="14" t="str">
        <f t="shared" si="6"/>
        <v/>
      </c>
      <c r="J120" s="15" t="str">
        <f t="shared" si="7"/>
        <v/>
      </c>
    </row>
    <row r="121" spans="1:10">
      <c r="A121" s="7" t="str">
        <f>IF(子基金及业绩基准周净值!A149="","",子基金及业绩基准周净值!A149)</f>
        <v/>
      </c>
      <c r="B121" s="1" t="str">
        <f>IF(A121="","",VLOOKUP($A121,子基金及业绩基准周净值!$A:$AV,12))</f>
        <v/>
      </c>
      <c r="C121" s="8" t="str">
        <f t="shared" si="4"/>
        <v/>
      </c>
      <c r="D121" s="9" t="str">
        <f>IF(A121="","",C121-子基金及业绩基准周净值!AI149)</f>
        <v/>
      </c>
      <c r="E121" s="12" t="str">
        <f>IF(A121="","",(MAX(B$3:B121)-B121)/MAX(B$3:B121))</f>
        <v/>
      </c>
      <c r="F121" s="12" t="str">
        <f>IF(A121="","",MAX(E$4:E121))</f>
        <v/>
      </c>
      <c r="G121" s="13"/>
      <c r="H121" s="14" t="str">
        <f t="shared" si="5"/>
        <v/>
      </c>
      <c r="I121" s="14" t="str">
        <f t="shared" si="6"/>
        <v/>
      </c>
      <c r="J121" s="15" t="str">
        <f t="shared" si="7"/>
        <v/>
      </c>
    </row>
    <row r="122" spans="1:10">
      <c r="A122" s="7" t="str">
        <f>IF(子基金及业绩基准周净值!A150="","",子基金及业绩基准周净值!A150)</f>
        <v/>
      </c>
      <c r="B122" s="1" t="str">
        <f>IF(A122="","",VLOOKUP($A122,子基金及业绩基准周净值!$A:$AV,12))</f>
        <v/>
      </c>
      <c r="C122" s="8" t="str">
        <f t="shared" si="4"/>
        <v/>
      </c>
      <c r="D122" s="9" t="str">
        <f>IF(A122="","",C122-子基金及业绩基准周净值!AI150)</f>
        <v/>
      </c>
      <c r="E122" s="12" t="str">
        <f>IF(A122="","",(MAX(B$3:B122)-B122)/MAX(B$3:B122))</f>
        <v/>
      </c>
      <c r="F122" s="12" t="str">
        <f>IF(A122="","",MAX(E$4:E122))</f>
        <v/>
      </c>
      <c r="G122" s="13"/>
      <c r="H122" s="14" t="str">
        <f t="shared" si="5"/>
        <v/>
      </c>
      <c r="I122" s="14" t="str">
        <f t="shared" si="6"/>
        <v/>
      </c>
      <c r="J122" s="15" t="str">
        <f t="shared" si="7"/>
        <v/>
      </c>
    </row>
    <row r="123" spans="1:10">
      <c r="A123" s="7" t="str">
        <f>IF(子基金及业绩基准周净值!A151="","",子基金及业绩基准周净值!A151)</f>
        <v/>
      </c>
      <c r="B123" s="1" t="str">
        <f>IF(A123="","",VLOOKUP($A123,子基金及业绩基准周净值!$A:$AV,12))</f>
        <v/>
      </c>
      <c r="C123" s="8" t="str">
        <f t="shared" si="4"/>
        <v/>
      </c>
      <c r="D123" s="9" t="str">
        <f>IF(A123="","",C123-子基金及业绩基准周净值!AI151)</f>
        <v/>
      </c>
      <c r="E123" s="12" t="str">
        <f>IF(A123="","",(MAX(B$3:B123)-B123)/MAX(B$3:B123))</f>
        <v/>
      </c>
      <c r="F123" s="12" t="str">
        <f>IF(A123="","",MAX(E$4:E123))</f>
        <v/>
      </c>
      <c r="G123" s="13"/>
      <c r="H123" s="14" t="str">
        <f t="shared" si="5"/>
        <v/>
      </c>
      <c r="I123" s="14" t="str">
        <f t="shared" si="6"/>
        <v/>
      </c>
      <c r="J123" s="15" t="str">
        <f t="shared" si="7"/>
        <v/>
      </c>
    </row>
    <row r="124" spans="1:10">
      <c r="A124" s="7" t="str">
        <f>IF(子基金及业绩基准周净值!A152="","",子基金及业绩基准周净值!A152)</f>
        <v/>
      </c>
      <c r="B124" s="1" t="str">
        <f>IF(A124="","",VLOOKUP($A124,子基金及业绩基准周净值!$A:$AV,12))</f>
        <v/>
      </c>
      <c r="C124" s="8" t="str">
        <f t="shared" si="4"/>
        <v/>
      </c>
      <c r="D124" s="9" t="str">
        <f>IF(A124="","",C124-子基金及业绩基准周净值!AI152)</f>
        <v/>
      </c>
      <c r="E124" s="12" t="str">
        <f>IF(A124="","",(MAX(B$3:B124)-B124)/MAX(B$3:B124))</f>
        <v/>
      </c>
      <c r="F124" s="12" t="str">
        <f>IF(A124="","",MAX(E$4:E124))</f>
        <v/>
      </c>
      <c r="G124" s="13"/>
      <c r="H124" s="14" t="str">
        <f t="shared" si="5"/>
        <v/>
      </c>
      <c r="I124" s="14" t="str">
        <f t="shared" si="6"/>
        <v/>
      </c>
      <c r="J124" s="15" t="str">
        <f t="shared" si="7"/>
        <v/>
      </c>
    </row>
    <row r="125" spans="1:10">
      <c r="A125" s="7" t="str">
        <f>IF(子基金及业绩基准周净值!A153="","",子基金及业绩基准周净值!A153)</f>
        <v/>
      </c>
      <c r="B125" s="1" t="str">
        <f>IF(A125="","",VLOOKUP($A125,子基金及业绩基准周净值!$A:$AV,12))</f>
        <v/>
      </c>
      <c r="C125" s="8" t="str">
        <f t="shared" si="4"/>
        <v/>
      </c>
      <c r="D125" s="9" t="str">
        <f>IF(A125="","",C125-子基金及业绩基准周净值!AI153)</f>
        <v/>
      </c>
      <c r="E125" s="12" t="str">
        <f>IF(A125="","",(MAX(B$3:B125)-B125)/MAX(B$3:B125))</f>
        <v/>
      </c>
      <c r="F125" s="12" t="str">
        <f>IF(A125="","",MAX(E$4:E125))</f>
        <v/>
      </c>
      <c r="G125" s="13"/>
      <c r="H125" s="14" t="str">
        <f t="shared" si="5"/>
        <v/>
      </c>
      <c r="I125" s="14" t="str">
        <f t="shared" si="6"/>
        <v/>
      </c>
      <c r="J125" s="15" t="str">
        <f t="shared" si="7"/>
        <v/>
      </c>
    </row>
    <row r="126" spans="1:10">
      <c r="A126" s="7" t="str">
        <f>IF(子基金及业绩基准周净值!A154="","",子基金及业绩基准周净值!A154)</f>
        <v/>
      </c>
      <c r="B126" s="1" t="str">
        <f>IF(A126="","",VLOOKUP($A126,子基金及业绩基准周净值!$A:$AV,12))</f>
        <v/>
      </c>
      <c r="C126" s="8" t="str">
        <f t="shared" si="4"/>
        <v/>
      </c>
      <c r="D126" s="9" t="str">
        <f>IF(A126="","",C126-子基金及业绩基准周净值!AI154)</f>
        <v/>
      </c>
      <c r="E126" s="12" t="str">
        <f>IF(A126="","",(MAX(B$3:B126)-B126)/MAX(B$3:B126))</f>
        <v/>
      </c>
      <c r="F126" s="12" t="str">
        <f>IF(A126="","",MAX(E$4:E126))</f>
        <v/>
      </c>
      <c r="G126" s="13"/>
      <c r="H126" s="14" t="str">
        <f t="shared" si="5"/>
        <v/>
      </c>
      <c r="I126" s="14" t="str">
        <f t="shared" si="6"/>
        <v/>
      </c>
      <c r="J126" s="15" t="str">
        <f t="shared" si="7"/>
        <v/>
      </c>
    </row>
    <row r="127" spans="1:10">
      <c r="A127" s="7" t="str">
        <f>IF(子基金及业绩基准周净值!A155="","",子基金及业绩基准周净值!A155)</f>
        <v/>
      </c>
      <c r="B127" s="1" t="str">
        <f>IF(A127="","",VLOOKUP($A127,子基金及业绩基准周净值!$A:$AV,12))</f>
        <v/>
      </c>
      <c r="C127" s="8" t="str">
        <f t="shared" si="4"/>
        <v/>
      </c>
      <c r="D127" s="9" t="str">
        <f>IF(A127="","",C127-子基金及业绩基准周净值!AI155)</f>
        <v/>
      </c>
      <c r="E127" s="12" t="str">
        <f>IF(A127="","",(MAX(B$3:B127)-B127)/MAX(B$3:B127))</f>
        <v/>
      </c>
      <c r="F127" s="12" t="str">
        <f>IF(A127="","",MAX(E$4:E127))</f>
        <v/>
      </c>
      <c r="G127" s="13"/>
      <c r="H127" s="14" t="str">
        <f t="shared" si="5"/>
        <v/>
      </c>
      <c r="I127" s="14" t="str">
        <f t="shared" si="6"/>
        <v/>
      </c>
      <c r="J127" s="15" t="str">
        <f t="shared" si="7"/>
        <v/>
      </c>
    </row>
    <row r="128" spans="1:10">
      <c r="A128" s="7" t="str">
        <f>IF(子基金及业绩基准周净值!A156="","",子基金及业绩基准周净值!A156)</f>
        <v/>
      </c>
      <c r="B128" s="1" t="str">
        <f>IF(A128="","",VLOOKUP($A128,子基金及业绩基准周净值!$A:$AV,12))</f>
        <v/>
      </c>
      <c r="C128" s="8" t="str">
        <f t="shared" si="4"/>
        <v/>
      </c>
      <c r="D128" s="9" t="str">
        <f>IF(A128="","",C128-子基金及业绩基准周净值!AI156)</f>
        <v/>
      </c>
      <c r="E128" s="12" t="str">
        <f>IF(A128="","",(MAX(B$3:B128)-B128)/MAX(B$3:B128))</f>
        <v/>
      </c>
      <c r="F128" s="12" t="str">
        <f>IF(A128="","",MAX(E$4:E128))</f>
        <v/>
      </c>
      <c r="G128" s="13"/>
      <c r="H128" s="14" t="str">
        <f t="shared" si="5"/>
        <v/>
      </c>
      <c r="I128" s="14" t="str">
        <f t="shared" si="6"/>
        <v/>
      </c>
      <c r="J128" s="15" t="str">
        <f t="shared" si="7"/>
        <v/>
      </c>
    </row>
    <row r="129" spans="1:10">
      <c r="A129" s="7" t="str">
        <f>IF(子基金及业绩基准周净值!A157="","",子基金及业绩基准周净值!A157)</f>
        <v/>
      </c>
      <c r="B129" s="1" t="str">
        <f>IF(A129="","",VLOOKUP($A129,子基金及业绩基准周净值!$A:$AV,12))</f>
        <v/>
      </c>
      <c r="C129" s="8" t="str">
        <f t="shared" si="4"/>
        <v/>
      </c>
      <c r="D129" s="9" t="str">
        <f>IF(A129="","",C129-子基金及业绩基准周净值!AI157)</f>
        <v/>
      </c>
      <c r="E129" s="12" t="str">
        <f>IF(A129="","",(MAX(B$3:B129)-B129)/MAX(B$3:B129))</f>
        <v/>
      </c>
      <c r="F129" s="12" t="str">
        <f>IF(A129="","",MAX(E$4:E129))</f>
        <v/>
      </c>
      <c r="G129" s="13"/>
      <c r="H129" s="14" t="str">
        <f t="shared" si="5"/>
        <v/>
      </c>
      <c r="I129" s="14" t="str">
        <f t="shared" si="6"/>
        <v/>
      </c>
      <c r="J129" s="15" t="str">
        <f t="shared" si="7"/>
        <v/>
      </c>
    </row>
    <row r="130" spans="1:10">
      <c r="A130" s="7" t="str">
        <f>IF(子基金及业绩基准周净值!A158="","",子基金及业绩基准周净值!A158)</f>
        <v/>
      </c>
      <c r="B130" s="1" t="str">
        <f>IF(A130="","",VLOOKUP($A130,子基金及业绩基准周净值!$A:$AV,12))</f>
        <v/>
      </c>
      <c r="C130" s="8" t="str">
        <f t="shared" si="4"/>
        <v/>
      </c>
      <c r="D130" s="9" t="str">
        <f>IF(A130="","",C130-子基金及业绩基准周净值!AI158)</f>
        <v/>
      </c>
      <c r="E130" s="12" t="str">
        <f>IF(A130="","",(MAX(B$3:B130)-B130)/MAX(B$3:B130))</f>
        <v/>
      </c>
      <c r="F130" s="12" t="str">
        <f>IF(A130="","",MAX(E$4:E130))</f>
        <v/>
      </c>
      <c r="G130" s="13"/>
      <c r="H130" s="14" t="str">
        <f t="shared" si="5"/>
        <v/>
      </c>
      <c r="I130" s="14" t="str">
        <f t="shared" si="6"/>
        <v/>
      </c>
      <c r="J130" s="15" t="str">
        <f t="shared" si="7"/>
        <v/>
      </c>
    </row>
    <row r="131" spans="1:10">
      <c r="A131" s="7" t="str">
        <f>IF(子基金及业绩基准周净值!A159="","",子基金及业绩基准周净值!A159)</f>
        <v/>
      </c>
      <c r="B131" s="1" t="str">
        <f>IF(A131="","",VLOOKUP($A131,子基金及业绩基准周净值!$A:$AV,12))</f>
        <v/>
      </c>
      <c r="C131" s="8" t="str">
        <f t="shared" si="4"/>
        <v/>
      </c>
      <c r="D131" s="9" t="str">
        <f>IF(A131="","",C131-子基金及业绩基准周净值!AI159)</f>
        <v/>
      </c>
      <c r="E131" s="12" t="str">
        <f>IF(A131="","",(MAX(B$3:B131)-B131)/MAX(B$3:B131))</f>
        <v/>
      </c>
      <c r="F131" s="12" t="str">
        <f>IF(A131="","",MAX(E$4:E131))</f>
        <v/>
      </c>
      <c r="G131" s="13"/>
      <c r="H131" s="14" t="str">
        <f t="shared" si="5"/>
        <v/>
      </c>
      <c r="I131" s="14" t="str">
        <f t="shared" si="6"/>
        <v/>
      </c>
      <c r="J131" s="15" t="str">
        <f t="shared" si="7"/>
        <v/>
      </c>
    </row>
    <row r="132" spans="1:10">
      <c r="A132" s="7" t="str">
        <f>IF(子基金及业绩基准周净值!A160="","",子基金及业绩基准周净值!A160)</f>
        <v/>
      </c>
      <c r="B132" s="1" t="str">
        <f>IF(A132="","",VLOOKUP($A132,子基金及业绩基准周净值!$A:$AV,12))</f>
        <v/>
      </c>
      <c r="C132" s="8" t="str">
        <f t="shared" si="4"/>
        <v/>
      </c>
      <c r="D132" s="9" t="str">
        <f>IF(A132="","",C132-子基金及业绩基准周净值!AI160)</f>
        <v/>
      </c>
      <c r="E132" s="12" t="str">
        <f>IF(A132="","",(MAX(B$3:B132)-B132)/MAX(B$3:B132))</f>
        <v/>
      </c>
      <c r="F132" s="12" t="str">
        <f>IF(A132="","",MAX(E$4:E132))</f>
        <v/>
      </c>
      <c r="G132" s="13"/>
      <c r="H132" s="14" t="str">
        <f t="shared" si="5"/>
        <v/>
      </c>
      <c r="I132" s="14" t="str">
        <f t="shared" si="6"/>
        <v/>
      </c>
      <c r="J132" s="15" t="str">
        <f t="shared" si="7"/>
        <v/>
      </c>
    </row>
    <row r="133" spans="1:10">
      <c r="A133" s="7" t="str">
        <f>IF(子基金及业绩基准周净值!A161="","",子基金及业绩基准周净值!A161)</f>
        <v/>
      </c>
      <c r="B133" s="1" t="str">
        <f>IF(A133="","",VLOOKUP($A133,子基金及业绩基准周净值!$A:$AV,12))</f>
        <v/>
      </c>
      <c r="C133" s="8" t="str">
        <f t="shared" ref="C133:C196" si="8">IF(A133="","",(B133-B132)/B132)</f>
        <v/>
      </c>
      <c r="D133" s="9" t="str">
        <f>IF(A133="","",C133-子基金及业绩基准周净值!AI161)</f>
        <v/>
      </c>
      <c r="E133" s="12" t="str">
        <f>IF(A133="","",(MAX(B$3:B133)-B133)/MAX(B$3:B133))</f>
        <v/>
      </c>
      <c r="F133" s="12" t="str">
        <f>IF(A133="","",MAX(E$4:E133))</f>
        <v/>
      </c>
      <c r="G133" s="13"/>
      <c r="H133" s="14" t="str">
        <f t="shared" ref="H133:H196" si="9">IF(A133="","",IF(E133&lt;3%,"否","是"))</f>
        <v/>
      </c>
      <c r="I133" s="14" t="str">
        <f t="shared" ref="I133:I196" si="10">IF(A133="","",IF(F133&gt;5%,"是","否"))</f>
        <v/>
      </c>
      <c r="J133" s="15" t="str">
        <f t="shared" ref="J133:J196" si="11">IF(A133="","",IF(G133&gt;=4,"是","否"))</f>
        <v/>
      </c>
    </row>
    <row r="134" spans="1:10">
      <c r="A134" s="7" t="str">
        <f>IF(子基金及业绩基准周净值!A162="","",子基金及业绩基准周净值!A162)</f>
        <v/>
      </c>
      <c r="B134" s="1" t="str">
        <f>IF(A134="","",VLOOKUP($A134,子基金及业绩基准周净值!$A:$AV,12))</f>
        <v/>
      </c>
      <c r="C134" s="8" t="str">
        <f t="shared" si="8"/>
        <v/>
      </c>
      <c r="D134" s="9" t="str">
        <f>IF(A134="","",C134-子基金及业绩基准周净值!AI162)</f>
        <v/>
      </c>
      <c r="E134" s="12" t="str">
        <f>IF(A134="","",(MAX(B$3:B134)-B134)/MAX(B$3:B134))</f>
        <v/>
      </c>
      <c r="F134" s="12" t="str">
        <f>IF(A134="","",MAX(E$4:E134))</f>
        <v/>
      </c>
      <c r="G134" s="13"/>
      <c r="H134" s="14" t="str">
        <f t="shared" si="9"/>
        <v/>
      </c>
      <c r="I134" s="14" t="str">
        <f t="shared" si="10"/>
        <v/>
      </c>
      <c r="J134" s="15" t="str">
        <f t="shared" si="11"/>
        <v/>
      </c>
    </row>
    <row r="135" spans="1:10">
      <c r="A135" s="7" t="str">
        <f>IF(子基金及业绩基准周净值!A163="","",子基金及业绩基准周净值!A163)</f>
        <v/>
      </c>
      <c r="B135" s="1" t="str">
        <f>IF(A135="","",VLOOKUP($A135,子基金及业绩基准周净值!$A:$AV,12))</f>
        <v/>
      </c>
      <c r="C135" s="8" t="str">
        <f t="shared" si="8"/>
        <v/>
      </c>
      <c r="D135" s="9" t="str">
        <f>IF(A135="","",C135-子基金及业绩基准周净值!AI163)</f>
        <v/>
      </c>
      <c r="E135" s="12" t="str">
        <f>IF(A135="","",(MAX(B$3:B135)-B135)/MAX(B$3:B135))</f>
        <v/>
      </c>
      <c r="F135" s="12" t="str">
        <f>IF(A135="","",MAX(E$4:E135))</f>
        <v/>
      </c>
      <c r="G135" s="13"/>
      <c r="H135" s="14" t="str">
        <f t="shared" si="9"/>
        <v/>
      </c>
      <c r="I135" s="14" t="str">
        <f t="shared" si="10"/>
        <v/>
      </c>
      <c r="J135" s="15" t="str">
        <f t="shared" si="11"/>
        <v/>
      </c>
    </row>
    <row r="136" spans="1:10">
      <c r="A136" s="7" t="str">
        <f>IF(子基金及业绩基准周净值!A164="","",子基金及业绩基准周净值!A164)</f>
        <v/>
      </c>
      <c r="B136" s="1" t="str">
        <f>IF(A136="","",VLOOKUP($A136,子基金及业绩基准周净值!$A:$AV,12))</f>
        <v/>
      </c>
      <c r="C136" s="8" t="str">
        <f t="shared" si="8"/>
        <v/>
      </c>
      <c r="D136" s="9" t="str">
        <f>IF(A136="","",C136-子基金及业绩基准周净值!AI164)</f>
        <v/>
      </c>
      <c r="E136" s="12" t="str">
        <f>IF(A136="","",(MAX(B$3:B136)-B136)/MAX(B$3:B136))</f>
        <v/>
      </c>
      <c r="F136" s="12" t="str">
        <f>IF(A136="","",MAX(E$4:E136))</f>
        <v/>
      </c>
      <c r="G136" s="13"/>
      <c r="H136" s="14" t="str">
        <f t="shared" si="9"/>
        <v/>
      </c>
      <c r="I136" s="14" t="str">
        <f t="shared" si="10"/>
        <v/>
      </c>
      <c r="J136" s="15" t="str">
        <f t="shared" si="11"/>
        <v/>
      </c>
    </row>
    <row r="137" spans="1:10">
      <c r="A137" s="7" t="str">
        <f>IF(子基金及业绩基准周净值!A165="","",子基金及业绩基准周净值!A165)</f>
        <v/>
      </c>
      <c r="B137" s="1" t="str">
        <f>IF(A137="","",VLOOKUP($A137,子基金及业绩基准周净值!$A:$AV,12))</f>
        <v/>
      </c>
      <c r="C137" s="8" t="str">
        <f t="shared" si="8"/>
        <v/>
      </c>
      <c r="D137" s="9" t="str">
        <f>IF(A137="","",C137-子基金及业绩基准周净值!AI165)</f>
        <v/>
      </c>
      <c r="E137" s="12" t="str">
        <f>IF(A137="","",(MAX(B$3:B137)-B137)/MAX(B$3:B137))</f>
        <v/>
      </c>
      <c r="F137" s="12" t="str">
        <f>IF(A137="","",MAX(E$4:E137))</f>
        <v/>
      </c>
      <c r="G137" s="13"/>
      <c r="H137" s="14" t="str">
        <f t="shared" si="9"/>
        <v/>
      </c>
      <c r="I137" s="14" t="str">
        <f t="shared" si="10"/>
        <v/>
      </c>
      <c r="J137" s="15" t="str">
        <f t="shared" si="11"/>
        <v/>
      </c>
    </row>
    <row r="138" spans="1:10">
      <c r="A138" s="7" t="str">
        <f>IF(子基金及业绩基准周净值!A166="","",子基金及业绩基准周净值!A166)</f>
        <v/>
      </c>
      <c r="B138" s="1" t="str">
        <f>IF(A138="","",VLOOKUP($A138,子基金及业绩基准周净值!$A:$AV,12))</f>
        <v/>
      </c>
      <c r="C138" s="8" t="str">
        <f t="shared" si="8"/>
        <v/>
      </c>
      <c r="D138" s="9" t="str">
        <f>IF(A138="","",C138-子基金及业绩基准周净值!AI166)</f>
        <v/>
      </c>
      <c r="E138" s="12" t="str">
        <f>IF(A138="","",(MAX(B$3:B138)-B138)/MAX(B$3:B138))</f>
        <v/>
      </c>
      <c r="F138" s="12" t="str">
        <f>IF(A138="","",MAX(E$4:E138))</f>
        <v/>
      </c>
      <c r="G138" s="13"/>
      <c r="H138" s="14" t="str">
        <f t="shared" si="9"/>
        <v/>
      </c>
      <c r="I138" s="14" t="str">
        <f t="shared" si="10"/>
        <v/>
      </c>
      <c r="J138" s="15" t="str">
        <f t="shared" si="11"/>
        <v/>
      </c>
    </row>
    <row r="139" spans="1:10">
      <c r="A139" s="7" t="str">
        <f>IF(子基金及业绩基准周净值!A167="","",子基金及业绩基准周净值!A167)</f>
        <v/>
      </c>
      <c r="B139" s="1" t="str">
        <f>IF(A139="","",VLOOKUP($A139,子基金及业绩基准周净值!$A:$AV,12))</f>
        <v/>
      </c>
      <c r="C139" s="8" t="str">
        <f t="shared" si="8"/>
        <v/>
      </c>
      <c r="D139" s="9" t="str">
        <f>IF(A139="","",C139-子基金及业绩基准周净值!AI167)</f>
        <v/>
      </c>
      <c r="E139" s="12" t="str">
        <f>IF(A139="","",(MAX(B$3:B139)-B139)/MAX(B$3:B139))</f>
        <v/>
      </c>
      <c r="F139" s="12" t="str">
        <f>IF(A139="","",MAX(E$4:E139))</f>
        <v/>
      </c>
      <c r="G139" s="13"/>
      <c r="H139" s="14" t="str">
        <f t="shared" si="9"/>
        <v/>
      </c>
      <c r="I139" s="14" t="str">
        <f t="shared" si="10"/>
        <v/>
      </c>
      <c r="J139" s="15" t="str">
        <f t="shared" si="11"/>
        <v/>
      </c>
    </row>
    <row r="140" spans="1:10">
      <c r="A140" s="7" t="str">
        <f>IF(子基金及业绩基准周净值!A168="","",子基金及业绩基准周净值!A168)</f>
        <v/>
      </c>
      <c r="B140" s="1" t="str">
        <f>IF(A140="","",VLOOKUP($A140,子基金及业绩基准周净值!$A:$AV,12))</f>
        <v/>
      </c>
      <c r="C140" s="8" t="str">
        <f t="shared" si="8"/>
        <v/>
      </c>
      <c r="D140" s="9" t="str">
        <f>IF(A140="","",C140-子基金及业绩基准周净值!AI168)</f>
        <v/>
      </c>
      <c r="E140" s="12" t="str">
        <f>IF(A140="","",(MAX(B$3:B140)-B140)/MAX(B$3:B140))</f>
        <v/>
      </c>
      <c r="F140" s="12" t="str">
        <f>IF(A140="","",MAX(E$4:E140))</f>
        <v/>
      </c>
      <c r="G140" s="13"/>
      <c r="H140" s="14" t="str">
        <f t="shared" si="9"/>
        <v/>
      </c>
      <c r="I140" s="14" t="str">
        <f t="shared" si="10"/>
        <v/>
      </c>
      <c r="J140" s="15" t="str">
        <f t="shared" si="11"/>
        <v/>
      </c>
    </row>
    <row r="141" spans="1:10">
      <c r="A141" s="7" t="str">
        <f>IF(子基金及业绩基准周净值!A169="","",子基金及业绩基准周净值!A169)</f>
        <v/>
      </c>
      <c r="B141" s="1" t="str">
        <f>IF(A141="","",VLOOKUP($A141,子基金及业绩基准周净值!$A:$AV,12))</f>
        <v/>
      </c>
      <c r="C141" s="8" t="str">
        <f t="shared" si="8"/>
        <v/>
      </c>
      <c r="D141" s="9" t="str">
        <f>IF(A141="","",C141-子基金及业绩基准周净值!AI169)</f>
        <v/>
      </c>
      <c r="E141" s="12" t="str">
        <f>IF(A141="","",(MAX(B$3:B141)-B141)/MAX(B$3:B141))</f>
        <v/>
      </c>
      <c r="F141" s="12" t="str">
        <f>IF(A141="","",MAX(E$4:E141))</f>
        <v/>
      </c>
      <c r="G141" s="13"/>
      <c r="H141" s="14" t="str">
        <f t="shared" si="9"/>
        <v/>
      </c>
      <c r="I141" s="14" t="str">
        <f t="shared" si="10"/>
        <v/>
      </c>
      <c r="J141" s="15" t="str">
        <f t="shared" si="11"/>
        <v/>
      </c>
    </row>
    <row r="142" spans="1:10">
      <c r="A142" s="7" t="str">
        <f>IF(子基金及业绩基准周净值!A170="","",子基金及业绩基准周净值!A170)</f>
        <v/>
      </c>
      <c r="B142" s="1" t="str">
        <f>IF(A142="","",VLOOKUP($A142,子基金及业绩基准周净值!$A:$AV,12))</f>
        <v/>
      </c>
      <c r="C142" s="8" t="str">
        <f t="shared" si="8"/>
        <v/>
      </c>
      <c r="D142" s="9" t="str">
        <f>IF(A142="","",C142-子基金及业绩基准周净值!AI170)</f>
        <v/>
      </c>
      <c r="E142" s="12" t="str">
        <f>IF(A142="","",(MAX(B$3:B142)-B142)/MAX(B$3:B142))</f>
        <v/>
      </c>
      <c r="F142" s="12" t="str">
        <f>IF(A142="","",MAX(E$4:E142))</f>
        <v/>
      </c>
      <c r="G142" s="13"/>
      <c r="H142" s="14" t="str">
        <f t="shared" si="9"/>
        <v/>
      </c>
      <c r="I142" s="14" t="str">
        <f t="shared" si="10"/>
        <v/>
      </c>
      <c r="J142" s="15" t="str">
        <f t="shared" si="11"/>
        <v/>
      </c>
    </row>
    <row r="143" spans="1:10">
      <c r="A143" s="7" t="str">
        <f>IF(子基金及业绩基准周净值!A171="","",子基金及业绩基准周净值!A171)</f>
        <v/>
      </c>
      <c r="B143" s="1" t="str">
        <f>IF(A143="","",VLOOKUP($A143,子基金及业绩基准周净值!$A:$AV,12))</f>
        <v/>
      </c>
      <c r="C143" s="8" t="str">
        <f t="shared" si="8"/>
        <v/>
      </c>
      <c r="D143" s="9" t="str">
        <f>IF(A143="","",C143-子基金及业绩基准周净值!AI171)</f>
        <v/>
      </c>
      <c r="E143" s="12" t="str">
        <f>IF(A143="","",(MAX(B$3:B143)-B143)/MAX(B$3:B143))</f>
        <v/>
      </c>
      <c r="F143" s="12" t="str">
        <f>IF(A143="","",MAX(E$4:E143))</f>
        <v/>
      </c>
      <c r="G143" s="13"/>
      <c r="H143" s="14" t="str">
        <f t="shared" si="9"/>
        <v/>
      </c>
      <c r="I143" s="14" t="str">
        <f t="shared" si="10"/>
        <v/>
      </c>
      <c r="J143" s="15" t="str">
        <f t="shared" si="11"/>
        <v/>
      </c>
    </row>
    <row r="144" spans="1:10">
      <c r="A144" s="7" t="str">
        <f>IF(子基金及业绩基准周净值!A172="","",子基金及业绩基准周净值!A172)</f>
        <v/>
      </c>
      <c r="B144" s="1" t="str">
        <f>IF(A144="","",VLOOKUP($A144,子基金及业绩基准周净值!$A:$AV,12))</f>
        <v/>
      </c>
      <c r="C144" s="8" t="str">
        <f t="shared" si="8"/>
        <v/>
      </c>
      <c r="D144" s="9" t="str">
        <f>IF(A144="","",C144-子基金及业绩基准周净值!AI172)</f>
        <v/>
      </c>
      <c r="E144" s="12" t="str">
        <f>IF(A144="","",(MAX(B$3:B144)-B144)/MAX(B$3:B144))</f>
        <v/>
      </c>
      <c r="F144" s="12" t="str">
        <f>IF(A144="","",MAX(E$4:E144))</f>
        <v/>
      </c>
      <c r="G144" s="13"/>
      <c r="H144" s="14" t="str">
        <f t="shared" si="9"/>
        <v/>
      </c>
      <c r="I144" s="14" t="str">
        <f t="shared" si="10"/>
        <v/>
      </c>
      <c r="J144" s="15" t="str">
        <f t="shared" si="11"/>
        <v/>
      </c>
    </row>
    <row r="145" spans="1:10">
      <c r="A145" s="7" t="str">
        <f>IF(子基金及业绩基准周净值!A173="","",子基金及业绩基准周净值!A173)</f>
        <v/>
      </c>
      <c r="B145" s="1" t="str">
        <f>IF(A145="","",VLOOKUP($A145,子基金及业绩基准周净值!$A:$AV,12))</f>
        <v/>
      </c>
      <c r="C145" s="8" t="str">
        <f t="shared" si="8"/>
        <v/>
      </c>
      <c r="D145" s="9" t="str">
        <f>IF(A145="","",C145-子基金及业绩基准周净值!AI173)</f>
        <v/>
      </c>
      <c r="E145" s="12" t="str">
        <f>IF(A145="","",(MAX(B$3:B145)-B145)/MAX(B$3:B145))</f>
        <v/>
      </c>
      <c r="F145" s="12" t="str">
        <f>IF(A145="","",MAX(E$4:E145))</f>
        <v/>
      </c>
      <c r="G145" s="13"/>
      <c r="H145" s="14" t="str">
        <f t="shared" si="9"/>
        <v/>
      </c>
      <c r="I145" s="14" t="str">
        <f t="shared" si="10"/>
        <v/>
      </c>
      <c r="J145" s="15" t="str">
        <f t="shared" si="11"/>
        <v/>
      </c>
    </row>
    <row r="146" spans="1:10">
      <c r="A146" s="7" t="str">
        <f>IF(子基金及业绩基准周净值!A174="","",子基金及业绩基准周净值!A174)</f>
        <v/>
      </c>
      <c r="B146" s="1" t="str">
        <f>IF(A146="","",VLOOKUP($A146,子基金及业绩基准周净值!$A:$AV,12))</f>
        <v/>
      </c>
      <c r="C146" s="8" t="str">
        <f t="shared" si="8"/>
        <v/>
      </c>
      <c r="D146" s="9" t="str">
        <f>IF(A146="","",C146-子基金及业绩基准周净值!AI174)</f>
        <v/>
      </c>
      <c r="E146" s="12" t="str">
        <f>IF(A146="","",(MAX(B$3:B146)-B146)/MAX(B$3:B146))</f>
        <v/>
      </c>
      <c r="F146" s="12" t="str">
        <f>IF(A146="","",MAX(E$4:E146))</f>
        <v/>
      </c>
      <c r="G146" s="13"/>
      <c r="H146" s="14" t="str">
        <f t="shared" si="9"/>
        <v/>
      </c>
      <c r="I146" s="14" t="str">
        <f t="shared" si="10"/>
        <v/>
      </c>
      <c r="J146" s="15" t="str">
        <f t="shared" si="11"/>
        <v/>
      </c>
    </row>
    <row r="147" spans="1:10">
      <c r="A147" s="7" t="str">
        <f>IF(子基金及业绩基准周净值!A175="","",子基金及业绩基准周净值!A175)</f>
        <v/>
      </c>
      <c r="B147" s="1" t="str">
        <f>IF(A147="","",VLOOKUP($A147,子基金及业绩基准周净值!$A:$AV,12))</f>
        <v/>
      </c>
      <c r="C147" s="8" t="str">
        <f t="shared" si="8"/>
        <v/>
      </c>
      <c r="D147" s="9" t="str">
        <f>IF(A147="","",C147-子基金及业绩基准周净值!AI175)</f>
        <v/>
      </c>
      <c r="E147" s="12" t="str">
        <f>IF(A147="","",(MAX(B$3:B147)-B147)/MAX(B$3:B147))</f>
        <v/>
      </c>
      <c r="F147" s="12" t="str">
        <f>IF(A147="","",MAX(E$4:E147))</f>
        <v/>
      </c>
      <c r="G147" s="13"/>
      <c r="H147" s="14" t="str">
        <f t="shared" si="9"/>
        <v/>
      </c>
      <c r="I147" s="14" t="str">
        <f t="shared" si="10"/>
        <v/>
      </c>
      <c r="J147" s="15" t="str">
        <f t="shared" si="11"/>
        <v/>
      </c>
    </row>
    <row r="148" spans="1:10">
      <c r="A148" s="7" t="str">
        <f>IF(子基金及业绩基准周净值!A176="","",子基金及业绩基准周净值!A176)</f>
        <v/>
      </c>
      <c r="B148" s="1" t="str">
        <f>IF(A148="","",VLOOKUP($A148,子基金及业绩基准周净值!$A:$AV,12))</f>
        <v/>
      </c>
      <c r="C148" s="8" t="str">
        <f t="shared" si="8"/>
        <v/>
      </c>
      <c r="D148" s="9" t="str">
        <f>IF(A148="","",C148-子基金及业绩基准周净值!AI176)</f>
        <v/>
      </c>
      <c r="E148" s="12" t="str">
        <f>IF(A148="","",(MAX(B$3:B148)-B148)/MAX(B$3:B148))</f>
        <v/>
      </c>
      <c r="F148" s="12" t="str">
        <f>IF(A148="","",MAX(E$4:E148))</f>
        <v/>
      </c>
      <c r="H148" s="14" t="str">
        <f t="shared" si="9"/>
        <v/>
      </c>
      <c r="I148" s="14" t="str">
        <f t="shared" si="10"/>
        <v/>
      </c>
      <c r="J148" s="15" t="str">
        <f t="shared" si="11"/>
        <v/>
      </c>
    </row>
    <row r="149" spans="1:10">
      <c r="A149" s="7" t="str">
        <f>IF(子基金及业绩基准周净值!A177="","",子基金及业绩基准周净值!A177)</f>
        <v/>
      </c>
      <c r="B149" s="1" t="str">
        <f>IF(A149="","",VLOOKUP($A149,子基金及业绩基准周净值!$A:$AV,12))</f>
        <v/>
      </c>
      <c r="C149" s="8" t="str">
        <f t="shared" si="8"/>
        <v/>
      </c>
      <c r="D149" s="9" t="str">
        <f>IF(A149="","",C149-子基金及业绩基准周净值!AI177)</f>
        <v/>
      </c>
      <c r="E149" s="12" t="str">
        <f>IF(A149="","",(MAX(B$3:B149)-B149)/MAX(B$3:B149))</f>
        <v/>
      </c>
      <c r="F149" s="12" t="str">
        <f>IF(A149="","",MAX(E$4:E149))</f>
        <v/>
      </c>
      <c r="H149" s="14" t="str">
        <f t="shared" si="9"/>
        <v/>
      </c>
      <c r="I149" s="14" t="str">
        <f t="shared" si="10"/>
        <v/>
      </c>
      <c r="J149" s="15" t="str">
        <f t="shared" si="11"/>
        <v/>
      </c>
    </row>
    <row r="150" spans="1:10">
      <c r="A150" s="7" t="str">
        <f>IF(子基金及业绩基准周净值!A178="","",子基金及业绩基准周净值!A178)</f>
        <v/>
      </c>
      <c r="B150" s="1" t="str">
        <f>IF(A150="","",VLOOKUP($A150,子基金及业绩基准周净值!$A:$AV,12))</f>
        <v/>
      </c>
      <c r="C150" s="8" t="str">
        <f t="shared" si="8"/>
        <v/>
      </c>
      <c r="D150" s="9" t="str">
        <f>IF(A150="","",C150-子基金及业绩基准周净值!AI178)</f>
        <v/>
      </c>
      <c r="E150" s="12" t="str">
        <f>IF(A150="","",(MAX(B$3:B150)-B150)/MAX(B$3:B150))</f>
        <v/>
      </c>
      <c r="F150" s="12" t="str">
        <f>IF(A150="","",MAX(E$4:E150))</f>
        <v/>
      </c>
      <c r="H150" s="14" t="str">
        <f t="shared" si="9"/>
        <v/>
      </c>
      <c r="I150" s="14" t="str">
        <f t="shared" si="10"/>
        <v/>
      </c>
      <c r="J150" s="15" t="str">
        <f t="shared" si="11"/>
        <v/>
      </c>
    </row>
    <row r="151" spans="1:10">
      <c r="A151" s="7" t="str">
        <f>IF(子基金及业绩基准周净值!A179="","",子基金及业绩基准周净值!A179)</f>
        <v/>
      </c>
      <c r="B151" s="1" t="str">
        <f>IF(A151="","",VLOOKUP($A151,子基金及业绩基准周净值!$A:$AV,12))</f>
        <v/>
      </c>
      <c r="C151" s="8" t="str">
        <f t="shared" si="8"/>
        <v/>
      </c>
      <c r="D151" s="9" t="str">
        <f>IF(A151="","",C151-子基金及业绩基准周净值!AI179)</f>
        <v/>
      </c>
      <c r="E151" s="12" t="str">
        <f>IF(A151="","",(MAX(B$3:B151)-B151)/MAX(B$3:B151))</f>
        <v/>
      </c>
      <c r="F151" s="12" t="str">
        <f>IF(A151="","",MAX(E$4:E151))</f>
        <v/>
      </c>
      <c r="H151" s="14" t="str">
        <f t="shared" si="9"/>
        <v/>
      </c>
      <c r="I151" s="14" t="str">
        <f t="shared" si="10"/>
        <v/>
      </c>
      <c r="J151" s="15" t="str">
        <f t="shared" si="11"/>
        <v/>
      </c>
    </row>
    <row r="152" spans="1:10">
      <c r="A152" s="7" t="str">
        <f>IF(子基金及业绩基准周净值!A180="","",子基金及业绩基准周净值!A180)</f>
        <v/>
      </c>
      <c r="B152" s="1" t="str">
        <f>IF(A152="","",VLOOKUP($A152,子基金及业绩基准周净值!$A:$AV,12))</f>
        <v/>
      </c>
      <c r="C152" s="8" t="str">
        <f t="shared" si="8"/>
        <v/>
      </c>
      <c r="D152" s="9" t="str">
        <f>IF(A152="","",C152-子基金及业绩基准周净值!AI180)</f>
        <v/>
      </c>
      <c r="E152" s="12" t="str">
        <f>IF(A152="","",(MAX(B$3:B152)-B152)/MAX(B$3:B152))</f>
        <v/>
      </c>
      <c r="F152" s="12" t="str">
        <f>IF(A152="","",MAX(E$4:E152))</f>
        <v/>
      </c>
      <c r="H152" s="14" t="str">
        <f t="shared" si="9"/>
        <v/>
      </c>
      <c r="I152" s="14" t="str">
        <f t="shared" si="10"/>
        <v/>
      </c>
      <c r="J152" s="15" t="str">
        <f t="shared" si="11"/>
        <v/>
      </c>
    </row>
    <row r="153" spans="1:10">
      <c r="A153" s="7" t="str">
        <f>IF(子基金及业绩基准周净值!A181="","",子基金及业绩基准周净值!A181)</f>
        <v/>
      </c>
      <c r="B153" s="1" t="str">
        <f>IF(A153="","",VLOOKUP($A153,子基金及业绩基准周净值!$A:$AV,12))</f>
        <v/>
      </c>
      <c r="C153" s="8" t="str">
        <f t="shared" si="8"/>
        <v/>
      </c>
      <c r="D153" s="9" t="str">
        <f>IF(A153="","",C153-子基金及业绩基准周净值!AI181)</f>
        <v/>
      </c>
      <c r="E153" s="12" t="str">
        <f>IF(A153="","",(MAX(B$3:B153)-B153)/MAX(B$3:B153))</f>
        <v/>
      </c>
      <c r="F153" s="12" t="str">
        <f>IF(A153="","",MAX(E$4:E153))</f>
        <v/>
      </c>
      <c r="H153" s="14" t="str">
        <f t="shared" si="9"/>
        <v/>
      </c>
      <c r="I153" s="14" t="str">
        <f t="shared" si="10"/>
        <v/>
      </c>
      <c r="J153" s="15" t="str">
        <f t="shared" si="11"/>
        <v/>
      </c>
    </row>
    <row r="154" spans="1:10">
      <c r="A154" s="7" t="str">
        <f>IF(子基金及业绩基准周净值!A182="","",子基金及业绩基准周净值!A182)</f>
        <v/>
      </c>
      <c r="B154" s="1" t="str">
        <f>IF(A154="","",VLOOKUP($A154,子基金及业绩基准周净值!$A:$AV,12))</f>
        <v/>
      </c>
      <c r="C154" s="8" t="str">
        <f t="shared" si="8"/>
        <v/>
      </c>
      <c r="D154" s="9" t="str">
        <f>IF(A154="","",C154-子基金及业绩基准周净值!AI182)</f>
        <v/>
      </c>
      <c r="E154" s="12" t="str">
        <f>IF(A154="","",(MAX(B$3:B154)-B154)/MAX(B$3:B154))</f>
        <v/>
      </c>
      <c r="F154" s="12" t="str">
        <f>IF(A154="","",MAX(E$4:E154))</f>
        <v/>
      </c>
      <c r="H154" s="14" t="str">
        <f t="shared" si="9"/>
        <v/>
      </c>
      <c r="I154" s="14" t="str">
        <f t="shared" si="10"/>
        <v/>
      </c>
      <c r="J154" s="15" t="str">
        <f t="shared" si="11"/>
        <v/>
      </c>
    </row>
    <row r="155" spans="1:10">
      <c r="A155" s="7" t="str">
        <f>IF(子基金及业绩基准周净值!A183="","",子基金及业绩基准周净值!A183)</f>
        <v/>
      </c>
      <c r="B155" s="1" t="str">
        <f>IF(A155="","",VLOOKUP($A155,子基金及业绩基准周净值!$A:$AV,12))</f>
        <v/>
      </c>
      <c r="C155" s="8" t="str">
        <f t="shared" si="8"/>
        <v/>
      </c>
      <c r="D155" s="9" t="str">
        <f>IF(A155="","",C155-子基金及业绩基准周净值!AI183)</f>
        <v/>
      </c>
      <c r="E155" s="12" t="str">
        <f>IF(A155="","",(MAX(B$3:B155)-B155)/MAX(B$3:B155))</f>
        <v/>
      </c>
      <c r="F155" s="12" t="str">
        <f>IF(A155="","",MAX(E$4:E155))</f>
        <v/>
      </c>
      <c r="H155" s="14" t="str">
        <f t="shared" si="9"/>
        <v/>
      </c>
      <c r="I155" s="14" t="str">
        <f t="shared" si="10"/>
        <v/>
      </c>
      <c r="J155" s="15" t="str">
        <f t="shared" si="11"/>
        <v/>
      </c>
    </row>
    <row r="156" spans="1:10">
      <c r="A156" s="7" t="str">
        <f>IF(子基金及业绩基准周净值!A184="","",子基金及业绩基准周净值!A184)</f>
        <v/>
      </c>
      <c r="B156" s="1" t="str">
        <f>IF(A156="","",VLOOKUP($A156,子基金及业绩基准周净值!$A:$AV,12))</f>
        <v/>
      </c>
      <c r="C156" s="8" t="str">
        <f t="shared" si="8"/>
        <v/>
      </c>
      <c r="D156" s="9" t="str">
        <f>IF(A156="","",C156-子基金及业绩基准周净值!AI184)</f>
        <v/>
      </c>
      <c r="E156" s="12" t="str">
        <f>IF(A156="","",(MAX(B$3:B156)-B156)/MAX(B$3:B156))</f>
        <v/>
      </c>
      <c r="F156" s="12" t="str">
        <f>IF(A156="","",MAX(E$4:E156))</f>
        <v/>
      </c>
      <c r="H156" s="14" t="str">
        <f t="shared" si="9"/>
        <v/>
      </c>
      <c r="I156" s="14" t="str">
        <f t="shared" si="10"/>
        <v/>
      </c>
      <c r="J156" s="15" t="str">
        <f t="shared" si="11"/>
        <v/>
      </c>
    </row>
    <row r="157" spans="1:10">
      <c r="A157" s="7" t="str">
        <f>IF(子基金及业绩基准周净值!A185="","",子基金及业绩基准周净值!A185)</f>
        <v/>
      </c>
      <c r="B157" s="1" t="str">
        <f>IF(A157="","",VLOOKUP($A157,子基金及业绩基准周净值!$A:$AV,12))</f>
        <v/>
      </c>
      <c r="C157" s="8" t="str">
        <f t="shared" si="8"/>
        <v/>
      </c>
      <c r="D157" s="9" t="str">
        <f>IF(A157="","",C157-子基金及业绩基准周净值!AI185)</f>
        <v/>
      </c>
      <c r="E157" s="12" t="str">
        <f>IF(A157="","",(MAX(B$3:B157)-B157)/MAX(B$3:B157))</f>
        <v/>
      </c>
      <c r="F157" s="12" t="str">
        <f>IF(A157="","",MAX(E$4:E157))</f>
        <v/>
      </c>
      <c r="H157" s="14" t="str">
        <f t="shared" si="9"/>
        <v/>
      </c>
      <c r="I157" s="14" t="str">
        <f t="shared" si="10"/>
        <v/>
      </c>
      <c r="J157" s="15" t="str">
        <f t="shared" si="11"/>
        <v/>
      </c>
    </row>
    <row r="158" spans="1:10">
      <c r="A158" s="7" t="str">
        <f>IF(子基金及业绩基准周净值!A186="","",子基金及业绩基准周净值!A186)</f>
        <v/>
      </c>
      <c r="B158" s="1" t="str">
        <f>IF(A158="","",VLOOKUP($A158,子基金及业绩基准周净值!$A:$AV,12))</f>
        <v/>
      </c>
      <c r="C158" s="8" t="str">
        <f t="shared" si="8"/>
        <v/>
      </c>
      <c r="D158" s="9" t="str">
        <f>IF(A158="","",C158-子基金及业绩基准周净值!AI186)</f>
        <v/>
      </c>
      <c r="E158" s="12" t="str">
        <f>IF(A158="","",(MAX(B$3:B158)-B158)/MAX(B$3:B158))</f>
        <v/>
      </c>
      <c r="F158" s="12" t="str">
        <f>IF(A158="","",MAX(E$4:E158))</f>
        <v/>
      </c>
      <c r="H158" s="14" t="str">
        <f t="shared" si="9"/>
        <v/>
      </c>
      <c r="I158" s="14" t="str">
        <f t="shared" si="10"/>
        <v/>
      </c>
      <c r="J158" s="15" t="str">
        <f t="shared" si="11"/>
        <v/>
      </c>
    </row>
    <row r="159" spans="1:10">
      <c r="A159" s="7" t="str">
        <f>IF(子基金及业绩基准周净值!A187="","",子基金及业绩基准周净值!A187)</f>
        <v/>
      </c>
      <c r="B159" s="1" t="str">
        <f>IF(A159="","",VLOOKUP($A159,子基金及业绩基准周净值!$A:$AV,12))</f>
        <v/>
      </c>
      <c r="C159" s="8" t="str">
        <f t="shared" si="8"/>
        <v/>
      </c>
      <c r="D159" s="9" t="str">
        <f>IF(A159="","",C159-子基金及业绩基准周净值!AI187)</f>
        <v/>
      </c>
      <c r="E159" s="12" t="str">
        <f>IF(A159="","",(MAX(B$3:B159)-B159)/MAX(B$3:B159))</f>
        <v/>
      </c>
      <c r="F159" s="12" t="str">
        <f>IF(A159="","",MAX(E$4:E159))</f>
        <v/>
      </c>
      <c r="H159" s="14" t="str">
        <f t="shared" si="9"/>
        <v/>
      </c>
      <c r="I159" s="14" t="str">
        <f t="shared" si="10"/>
        <v/>
      </c>
      <c r="J159" s="15" t="str">
        <f t="shared" si="11"/>
        <v/>
      </c>
    </row>
    <row r="160" spans="1:10">
      <c r="A160" s="7" t="str">
        <f>IF(子基金及业绩基准周净值!A188="","",子基金及业绩基准周净值!A188)</f>
        <v/>
      </c>
      <c r="B160" s="1" t="str">
        <f>IF(A160="","",VLOOKUP($A160,子基金及业绩基准周净值!$A:$AV,12))</f>
        <v/>
      </c>
      <c r="C160" s="8" t="str">
        <f t="shared" si="8"/>
        <v/>
      </c>
      <c r="D160" s="9" t="str">
        <f>IF(A160="","",C160-子基金及业绩基准周净值!AI188)</f>
        <v/>
      </c>
      <c r="E160" s="12" t="str">
        <f>IF(A160="","",(MAX(B$3:B160)-B160)/MAX(B$3:B160))</f>
        <v/>
      </c>
      <c r="F160" s="12" t="str">
        <f>IF(A160="","",MAX(E$4:E160))</f>
        <v/>
      </c>
      <c r="H160" s="14" t="str">
        <f t="shared" si="9"/>
        <v/>
      </c>
      <c r="I160" s="14" t="str">
        <f t="shared" si="10"/>
        <v/>
      </c>
      <c r="J160" s="15" t="str">
        <f t="shared" si="11"/>
        <v/>
      </c>
    </row>
    <row r="161" spans="1:10">
      <c r="A161" s="7" t="str">
        <f>IF(子基金及业绩基准周净值!A189="","",子基金及业绩基准周净值!A189)</f>
        <v/>
      </c>
      <c r="B161" s="1" t="str">
        <f>IF(A161="","",VLOOKUP($A161,子基金及业绩基准周净值!$A:$AV,12))</f>
        <v/>
      </c>
      <c r="C161" s="8" t="str">
        <f t="shared" si="8"/>
        <v/>
      </c>
      <c r="D161" s="9" t="str">
        <f>IF(A161="","",C161-子基金及业绩基准周净值!AI189)</f>
        <v/>
      </c>
      <c r="E161" s="12" t="str">
        <f>IF(A161="","",(MAX(B$3:B161)-B161)/MAX(B$3:B161))</f>
        <v/>
      </c>
      <c r="F161" s="12" t="str">
        <f>IF(A161="","",MAX(E$4:E161))</f>
        <v/>
      </c>
      <c r="H161" s="14" t="str">
        <f t="shared" si="9"/>
        <v/>
      </c>
      <c r="I161" s="14" t="str">
        <f t="shared" si="10"/>
        <v/>
      </c>
      <c r="J161" s="15" t="str">
        <f t="shared" si="11"/>
        <v/>
      </c>
    </row>
    <row r="162" spans="1:10">
      <c r="A162" s="7" t="str">
        <f>IF(子基金及业绩基准周净值!A190="","",子基金及业绩基准周净值!A190)</f>
        <v/>
      </c>
      <c r="B162" s="1" t="str">
        <f>IF(A162="","",VLOOKUP($A162,子基金及业绩基准周净值!$A:$AV,12))</f>
        <v/>
      </c>
      <c r="C162" s="8" t="str">
        <f t="shared" si="8"/>
        <v/>
      </c>
      <c r="D162" s="9" t="str">
        <f>IF(A162="","",C162-子基金及业绩基准周净值!AI190)</f>
        <v/>
      </c>
      <c r="E162" s="12" t="str">
        <f>IF(A162="","",(MAX(B$3:B162)-B162)/MAX(B$3:B162))</f>
        <v/>
      </c>
      <c r="F162" s="12" t="str">
        <f>IF(A162="","",MAX(E$4:E162))</f>
        <v/>
      </c>
      <c r="H162" s="14" t="str">
        <f t="shared" si="9"/>
        <v/>
      </c>
      <c r="I162" s="14" t="str">
        <f t="shared" si="10"/>
        <v/>
      </c>
      <c r="J162" s="15" t="str">
        <f t="shared" si="11"/>
        <v/>
      </c>
    </row>
    <row r="163" spans="1:10">
      <c r="A163" s="7" t="str">
        <f>IF(子基金及业绩基准周净值!A191="","",子基金及业绩基准周净值!A191)</f>
        <v/>
      </c>
      <c r="B163" s="1" t="str">
        <f>IF(A163="","",VLOOKUP($A163,子基金及业绩基准周净值!$A:$AV,12))</f>
        <v/>
      </c>
      <c r="C163" s="8" t="str">
        <f t="shared" si="8"/>
        <v/>
      </c>
      <c r="D163" s="9" t="str">
        <f>IF(A163="","",C163-子基金及业绩基准周净值!AI191)</f>
        <v/>
      </c>
      <c r="E163" s="12" t="str">
        <f>IF(A163="","",(MAX(B$3:B163)-B163)/MAX(B$3:B163))</f>
        <v/>
      </c>
      <c r="F163" s="12" t="str">
        <f>IF(A163="","",MAX(E$4:E163))</f>
        <v/>
      </c>
      <c r="H163" s="14" t="str">
        <f t="shared" si="9"/>
        <v/>
      </c>
      <c r="I163" s="14" t="str">
        <f t="shared" si="10"/>
        <v/>
      </c>
      <c r="J163" s="15" t="str">
        <f t="shared" si="11"/>
        <v/>
      </c>
    </row>
    <row r="164" spans="1:10">
      <c r="A164" s="7" t="str">
        <f>IF(子基金及业绩基准周净值!A192="","",子基金及业绩基准周净值!A192)</f>
        <v/>
      </c>
      <c r="B164" s="1" t="str">
        <f>IF(A164="","",VLOOKUP($A164,子基金及业绩基准周净值!$A:$AV,12))</f>
        <v/>
      </c>
      <c r="C164" s="8" t="str">
        <f t="shared" si="8"/>
        <v/>
      </c>
      <c r="D164" s="9" t="str">
        <f>IF(A164="","",C164-子基金及业绩基准周净值!AI192)</f>
        <v/>
      </c>
      <c r="E164" s="12" t="str">
        <f>IF(A164="","",(MAX(B$3:B164)-B164)/MAX(B$3:B164))</f>
        <v/>
      </c>
      <c r="F164" s="12" t="str">
        <f>IF(A164="","",MAX(E$4:E164))</f>
        <v/>
      </c>
      <c r="H164" s="14" t="str">
        <f t="shared" si="9"/>
        <v/>
      </c>
      <c r="I164" s="14" t="str">
        <f t="shared" si="10"/>
        <v/>
      </c>
      <c r="J164" s="15" t="str">
        <f t="shared" si="11"/>
        <v/>
      </c>
    </row>
    <row r="165" spans="1:10">
      <c r="A165" s="7" t="str">
        <f>IF(子基金及业绩基准周净值!A193="","",子基金及业绩基准周净值!A193)</f>
        <v/>
      </c>
      <c r="B165" s="1" t="str">
        <f>IF(A165="","",VLOOKUP($A165,子基金及业绩基准周净值!$A:$AV,12))</f>
        <v/>
      </c>
      <c r="C165" s="8" t="str">
        <f t="shared" si="8"/>
        <v/>
      </c>
      <c r="D165" s="9" t="str">
        <f>IF(A165="","",C165-子基金及业绩基准周净值!AI193)</f>
        <v/>
      </c>
      <c r="E165" s="12" t="str">
        <f>IF(A165="","",(MAX(B$3:B165)-B165)/MAX(B$3:B165))</f>
        <v/>
      </c>
      <c r="F165" s="12" t="str">
        <f>IF(A165="","",MAX(E$4:E165))</f>
        <v/>
      </c>
      <c r="H165" s="14" t="str">
        <f t="shared" si="9"/>
        <v/>
      </c>
      <c r="I165" s="14" t="str">
        <f t="shared" si="10"/>
        <v/>
      </c>
      <c r="J165" s="15" t="str">
        <f t="shared" si="11"/>
        <v/>
      </c>
    </row>
    <row r="166" spans="1:10">
      <c r="A166" s="7" t="str">
        <f>IF(子基金及业绩基准周净值!A194="","",子基金及业绩基准周净值!A194)</f>
        <v/>
      </c>
      <c r="B166" s="1" t="str">
        <f>IF(A166="","",VLOOKUP($A166,子基金及业绩基准周净值!$A:$AV,12))</f>
        <v/>
      </c>
      <c r="C166" s="8" t="str">
        <f t="shared" si="8"/>
        <v/>
      </c>
      <c r="D166" s="9" t="str">
        <f>IF(A166="","",C166-子基金及业绩基准周净值!AI194)</f>
        <v/>
      </c>
      <c r="E166" s="12" t="str">
        <f>IF(A166="","",(MAX(B$3:B166)-B166)/MAX(B$3:B166))</f>
        <v/>
      </c>
      <c r="F166" s="12" t="str">
        <f>IF(A166="","",MAX(E$4:E166))</f>
        <v/>
      </c>
      <c r="H166" s="14" t="str">
        <f t="shared" si="9"/>
        <v/>
      </c>
      <c r="I166" s="14" t="str">
        <f t="shared" si="10"/>
        <v/>
      </c>
      <c r="J166" s="15" t="str">
        <f t="shared" si="11"/>
        <v/>
      </c>
    </row>
    <row r="167" spans="1:10">
      <c r="A167" s="7" t="str">
        <f>IF(子基金及业绩基准周净值!A195="","",子基金及业绩基准周净值!A195)</f>
        <v/>
      </c>
      <c r="B167" s="1" t="str">
        <f>IF(A167="","",VLOOKUP($A167,子基金及业绩基准周净值!$A:$AV,12))</f>
        <v/>
      </c>
      <c r="C167" s="8" t="str">
        <f t="shared" si="8"/>
        <v/>
      </c>
      <c r="D167" s="9" t="str">
        <f>IF(A167="","",C167-子基金及业绩基准周净值!AI195)</f>
        <v/>
      </c>
      <c r="E167" s="12" t="str">
        <f>IF(A167="","",(MAX(B$3:B167)-B167)/MAX(B$3:B167))</f>
        <v/>
      </c>
      <c r="F167" s="12" t="str">
        <f>IF(A167="","",MAX(E$4:E167))</f>
        <v/>
      </c>
      <c r="H167" s="14" t="str">
        <f t="shared" si="9"/>
        <v/>
      </c>
      <c r="I167" s="14" t="str">
        <f t="shared" si="10"/>
        <v/>
      </c>
      <c r="J167" s="15" t="str">
        <f t="shared" si="11"/>
        <v/>
      </c>
    </row>
    <row r="168" spans="1:10">
      <c r="A168" s="7" t="str">
        <f>IF(子基金及业绩基准周净值!A196="","",子基金及业绩基准周净值!A196)</f>
        <v/>
      </c>
      <c r="B168" s="1" t="str">
        <f>IF(A168="","",VLOOKUP($A168,子基金及业绩基准周净值!$A:$AV,12))</f>
        <v/>
      </c>
      <c r="C168" s="8" t="str">
        <f t="shared" si="8"/>
        <v/>
      </c>
      <c r="D168" s="9" t="str">
        <f>IF(A168="","",C168-子基金及业绩基准周净值!AI196)</f>
        <v/>
      </c>
      <c r="E168" s="12" t="str">
        <f>IF(A168="","",(MAX(B$3:B168)-B168)/MAX(B$3:B168))</f>
        <v/>
      </c>
      <c r="F168" s="12" t="str">
        <f>IF(A168="","",MAX(E$4:E168))</f>
        <v/>
      </c>
      <c r="H168" s="14" t="str">
        <f t="shared" si="9"/>
        <v/>
      </c>
      <c r="I168" s="14" t="str">
        <f t="shared" si="10"/>
        <v/>
      </c>
      <c r="J168" s="15" t="str">
        <f t="shared" si="11"/>
        <v/>
      </c>
    </row>
    <row r="169" spans="1:10">
      <c r="A169" s="7" t="str">
        <f>IF(子基金及业绩基准周净值!A197="","",子基金及业绩基准周净值!A197)</f>
        <v/>
      </c>
      <c r="B169" s="1" t="str">
        <f>IF(A169="","",VLOOKUP($A169,子基金及业绩基准周净值!$A:$AV,12))</f>
        <v/>
      </c>
      <c r="C169" s="8" t="str">
        <f t="shared" si="8"/>
        <v/>
      </c>
      <c r="D169" s="9" t="str">
        <f>IF(A169="","",C169-子基金及业绩基准周净值!AI197)</f>
        <v/>
      </c>
      <c r="E169" s="12" t="str">
        <f>IF(A169="","",(MAX(B$3:B169)-B169)/MAX(B$3:B169))</f>
        <v/>
      </c>
      <c r="F169" s="12" t="str">
        <f>IF(A169="","",MAX(E$4:E169))</f>
        <v/>
      </c>
      <c r="H169" s="14" t="str">
        <f t="shared" si="9"/>
        <v/>
      </c>
      <c r="I169" s="14" t="str">
        <f t="shared" si="10"/>
        <v/>
      </c>
      <c r="J169" s="15" t="str">
        <f t="shared" si="11"/>
        <v/>
      </c>
    </row>
    <row r="170" spans="1:10">
      <c r="A170" s="7" t="str">
        <f>IF(子基金及业绩基准周净值!A198="","",子基金及业绩基准周净值!A198)</f>
        <v/>
      </c>
      <c r="B170" s="1" t="str">
        <f>IF(A170="","",VLOOKUP($A170,子基金及业绩基准周净值!$A:$AV,12))</f>
        <v/>
      </c>
      <c r="C170" s="8" t="str">
        <f t="shared" si="8"/>
        <v/>
      </c>
      <c r="D170" s="9" t="str">
        <f>IF(A170="","",C170-子基金及业绩基准周净值!AI198)</f>
        <v/>
      </c>
      <c r="E170" s="12" t="str">
        <f>IF(A170="","",(MAX(B$3:B170)-B170)/MAX(B$3:B170))</f>
        <v/>
      </c>
      <c r="F170" s="12" t="str">
        <f>IF(A170="","",MAX(E$4:E170))</f>
        <v/>
      </c>
      <c r="H170" s="14" t="str">
        <f t="shared" si="9"/>
        <v/>
      </c>
      <c r="I170" s="14" t="str">
        <f t="shared" si="10"/>
        <v/>
      </c>
      <c r="J170" s="15" t="str">
        <f t="shared" si="11"/>
        <v/>
      </c>
    </row>
    <row r="171" spans="1:10">
      <c r="A171" s="7" t="str">
        <f>IF(子基金及业绩基准周净值!A199="","",子基金及业绩基准周净值!A199)</f>
        <v/>
      </c>
      <c r="B171" s="1" t="str">
        <f>IF(A171="","",VLOOKUP($A171,子基金及业绩基准周净值!$A:$AV,12))</f>
        <v/>
      </c>
      <c r="C171" s="8" t="str">
        <f t="shared" si="8"/>
        <v/>
      </c>
      <c r="D171" s="9" t="str">
        <f>IF(A171="","",C171-子基金及业绩基准周净值!AI199)</f>
        <v/>
      </c>
      <c r="E171" s="12" t="str">
        <f>IF(A171="","",(MAX(B$3:B171)-B171)/MAX(B$3:B171))</f>
        <v/>
      </c>
      <c r="F171" s="12" t="str">
        <f>IF(A171="","",MAX(E$4:E171))</f>
        <v/>
      </c>
      <c r="H171" s="14" t="str">
        <f t="shared" si="9"/>
        <v/>
      </c>
      <c r="I171" s="14" t="str">
        <f t="shared" si="10"/>
        <v/>
      </c>
      <c r="J171" s="15" t="str">
        <f t="shared" si="11"/>
        <v/>
      </c>
    </row>
    <row r="172" spans="1:10">
      <c r="A172" s="7" t="str">
        <f>IF(子基金及业绩基准周净值!A200="","",子基金及业绩基准周净值!A200)</f>
        <v/>
      </c>
      <c r="B172" s="1" t="str">
        <f>IF(A172="","",VLOOKUP($A172,子基金及业绩基准周净值!$A:$AV,12))</f>
        <v/>
      </c>
      <c r="C172" s="8" t="str">
        <f t="shared" si="8"/>
        <v/>
      </c>
      <c r="D172" s="9" t="str">
        <f>IF(A172="","",C172-子基金及业绩基准周净值!AI200)</f>
        <v/>
      </c>
      <c r="E172" s="12" t="str">
        <f>IF(A172="","",(MAX(B$3:B172)-B172)/MAX(B$3:B172))</f>
        <v/>
      </c>
      <c r="F172" s="12" t="str">
        <f>IF(A172="","",MAX(E$4:E172))</f>
        <v/>
      </c>
      <c r="H172" s="14" t="str">
        <f t="shared" si="9"/>
        <v/>
      </c>
      <c r="I172" s="14" t="str">
        <f t="shared" si="10"/>
        <v/>
      </c>
      <c r="J172" s="15" t="str">
        <f t="shared" si="11"/>
        <v/>
      </c>
    </row>
    <row r="173" spans="1:10">
      <c r="A173" s="7" t="str">
        <f>IF(子基金及业绩基准周净值!A201="","",子基金及业绩基准周净值!A201)</f>
        <v/>
      </c>
      <c r="B173" s="1" t="str">
        <f>IF(A173="","",VLOOKUP($A173,子基金及业绩基准周净值!$A:$AV,12))</f>
        <v/>
      </c>
      <c r="C173" s="8" t="str">
        <f t="shared" si="8"/>
        <v/>
      </c>
      <c r="D173" s="9" t="str">
        <f>IF(A173="","",C173-子基金及业绩基准周净值!AI201)</f>
        <v/>
      </c>
      <c r="E173" s="12" t="str">
        <f>IF(A173="","",(MAX(B$3:B173)-B173)/MAX(B$3:B173))</f>
        <v/>
      </c>
      <c r="F173" s="12" t="str">
        <f>IF(A173="","",MAX(E$4:E173))</f>
        <v/>
      </c>
      <c r="H173" s="14" t="str">
        <f t="shared" si="9"/>
        <v/>
      </c>
      <c r="I173" s="14" t="str">
        <f t="shared" si="10"/>
        <v/>
      </c>
      <c r="J173" s="15" t="str">
        <f t="shared" si="11"/>
        <v/>
      </c>
    </row>
    <row r="174" spans="1:10">
      <c r="A174" s="7" t="str">
        <f>IF(子基金及业绩基准周净值!A202="","",子基金及业绩基准周净值!A202)</f>
        <v/>
      </c>
      <c r="B174" s="1" t="str">
        <f>IF(A174="","",VLOOKUP($A174,子基金及业绩基准周净值!$A:$AV,12))</f>
        <v/>
      </c>
      <c r="C174" s="8" t="str">
        <f t="shared" si="8"/>
        <v/>
      </c>
      <c r="D174" s="9" t="str">
        <f>IF(A174="","",C174-子基金及业绩基准周净值!AI202)</f>
        <v/>
      </c>
      <c r="E174" s="12" t="str">
        <f>IF(A174="","",(MAX(B$3:B174)-B174)/MAX(B$3:B174))</f>
        <v/>
      </c>
      <c r="F174" s="12" t="str">
        <f>IF(A174="","",MAX(E$4:E174))</f>
        <v/>
      </c>
      <c r="H174" s="14" t="str">
        <f t="shared" si="9"/>
        <v/>
      </c>
      <c r="I174" s="14" t="str">
        <f t="shared" si="10"/>
        <v/>
      </c>
      <c r="J174" s="15" t="str">
        <f t="shared" si="11"/>
        <v/>
      </c>
    </row>
    <row r="175" spans="1:10">
      <c r="A175" s="7" t="str">
        <f>IF(子基金及业绩基准周净值!A203="","",子基金及业绩基准周净值!A203)</f>
        <v/>
      </c>
      <c r="B175" s="1" t="str">
        <f>IF(A175="","",VLOOKUP($A175,子基金及业绩基准周净值!$A:$AV,12))</f>
        <v/>
      </c>
      <c r="C175" s="8" t="str">
        <f t="shared" si="8"/>
        <v/>
      </c>
      <c r="D175" s="9" t="str">
        <f>IF(A175="","",C175-子基金及业绩基准周净值!AI203)</f>
        <v/>
      </c>
      <c r="E175" s="12" t="str">
        <f>IF(A175="","",(MAX(B$3:B175)-B175)/MAX(B$3:B175))</f>
        <v/>
      </c>
      <c r="F175" s="12" t="str">
        <f>IF(A175="","",MAX(E$4:E175))</f>
        <v/>
      </c>
      <c r="H175" s="14" t="str">
        <f t="shared" si="9"/>
        <v/>
      </c>
      <c r="I175" s="14" t="str">
        <f t="shared" si="10"/>
        <v/>
      </c>
      <c r="J175" s="15" t="str">
        <f t="shared" si="11"/>
        <v/>
      </c>
    </row>
    <row r="176" spans="1:10">
      <c r="A176" s="7" t="str">
        <f>IF(子基金及业绩基准周净值!A204="","",子基金及业绩基准周净值!A204)</f>
        <v/>
      </c>
      <c r="B176" s="1" t="str">
        <f>IF(A176="","",VLOOKUP($A176,子基金及业绩基准周净值!$A:$AV,12))</f>
        <v/>
      </c>
      <c r="C176" s="8" t="str">
        <f t="shared" si="8"/>
        <v/>
      </c>
      <c r="D176" s="9" t="str">
        <f>IF(A176="","",C176-子基金及业绩基准周净值!AI204)</f>
        <v/>
      </c>
      <c r="E176" s="12" t="str">
        <f>IF(A176="","",(MAX(B$3:B176)-B176)/MAX(B$3:B176))</f>
        <v/>
      </c>
      <c r="F176" s="12" t="str">
        <f>IF(A176="","",MAX(E$4:E176))</f>
        <v/>
      </c>
      <c r="H176" s="14" t="str">
        <f t="shared" si="9"/>
        <v/>
      </c>
      <c r="I176" s="14" t="str">
        <f t="shared" si="10"/>
        <v/>
      </c>
      <c r="J176" s="15" t="str">
        <f t="shared" si="11"/>
        <v/>
      </c>
    </row>
    <row r="177" spans="1:10">
      <c r="A177" s="7" t="str">
        <f>IF(子基金及业绩基准周净值!A205="","",子基金及业绩基准周净值!A205)</f>
        <v/>
      </c>
      <c r="B177" s="1" t="str">
        <f>IF(A177="","",VLOOKUP($A177,子基金及业绩基准周净值!$A:$AV,12))</f>
        <v/>
      </c>
      <c r="C177" s="8" t="str">
        <f t="shared" si="8"/>
        <v/>
      </c>
      <c r="D177" s="9" t="str">
        <f>IF(A177="","",C177-子基金及业绩基准周净值!AI205)</f>
        <v/>
      </c>
      <c r="E177" s="12" t="str">
        <f>IF(A177="","",(MAX(B$3:B177)-B177)/MAX(B$3:B177))</f>
        <v/>
      </c>
      <c r="F177" s="12" t="str">
        <f>IF(A177="","",MAX(E$4:E177))</f>
        <v/>
      </c>
      <c r="H177" s="14" t="str">
        <f t="shared" si="9"/>
        <v/>
      </c>
      <c r="I177" s="14" t="str">
        <f t="shared" si="10"/>
        <v/>
      </c>
      <c r="J177" s="15" t="str">
        <f t="shared" si="11"/>
        <v/>
      </c>
    </row>
    <row r="178" spans="1:10">
      <c r="A178" s="7" t="str">
        <f>IF(子基金及业绩基准周净值!A206="","",子基金及业绩基准周净值!A206)</f>
        <v/>
      </c>
      <c r="B178" s="1" t="str">
        <f>IF(A178="","",VLOOKUP($A178,子基金及业绩基准周净值!$A:$AV,12))</f>
        <v/>
      </c>
      <c r="C178" s="8" t="str">
        <f t="shared" si="8"/>
        <v/>
      </c>
      <c r="D178" s="9" t="str">
        <f>IF(A178="","",C178-子基金及业绩基准周净值!AI206)</f>
        <v/>
      </c>
      <c r="E178" s="12" t="str">
        <f>IF(A178="","",(MAX(B$3:B178)-B178)/MAX(B$3:B178))</f>
        <v/>
      </c>
      <c r="F178" s="12" t="str">
        <f>IF(A178="","",MAX(E$4:E178))</f>
        <v/>
      </c>
      <c r="H178" s="14" t="str">
        <f t="shared" si="9"/>
        <v/>
      </c>
      <c r="I178" s="14" t="str">
        <f t="shared" si="10"/>
        <v/>
      </c>
      <c r="J178" s="15" t="str">
        <f t="shared" si="11"/>
        <v/>
      </c>
    </row>
    <row r="179" spans="1:10">
      <c r="A179" s="7" t="str">
        <f>IF(子基金及业绩基准周净值!A207="","",子基金及业绩基准周净值!A207)</f>
        <v/>
      </c>
      <c r="B179" s="1" t="str">
        <f>IF(A179="","",VLOOKUP($A179,子基金及业绩基准周净值!$A:$AV,12))</f>
        <v/>
      </c>
      <c r="C179" s="8" t="str">
        <f t="shared" si="8"/>
        <v/>
      </c>
      <c r="D179" s="9" t="str">
        <f>IF(A179="","",C179-子基金及业绩基准周净值!AI207)</f>
        <v/>
      </c>
      <c r="E179" s="12" t="str">
        <f>IF(A179="","",(MAX(B$3:B179)-B179)/MAX(B$3:B179))</f>
        <v/>
      </c>
      <c r="F179" s="12" t="str">
        <f>IF(A179="","",MAX(E$4:E179))</f>
        <v/>
      </c>
      <c r="H179" s="14" t="str">
        <f t="shared" si="9"/>
        <v/>
      </c>
      <c r="I179" s="14" t="str">
        <f t="shared" si="10"/>
        <v/>
      </c>
      <c r="J179" s="15" t="str">
        <f t="shared" si="11"/>
        <v/>
      </c>
    </row>
    <row r="180" spans="1:10">
      <c r="A180" s="7" t="str">
        <f>IF(子基金及业绩基准周净值!A208="","",子基金及业绩基准周净值!A208)</f>
        <v/>
      </c>
      <c r="B180" s="1" t="str">
        <f>IF(A180="","",VLOOKUP($A180,子基金及业绩基准周净值!$A:$AV,12))</f>
        <v/>
      </c>
      <c r="C180" s="8" t="str">
        <f t="shared" si="8"/>
        <v/>
      </c>
      <c r="D180" s="9" t="str">
        <f>IF(A180="","",C180-子基金及业绩基准周净值!AI208)</f>
        <v/>
      </c>
      <c r="E180" s="12" t="str">
        <f>IF(A180="","",(MAX(B$3:B180)-B180)/MAX(B$3:B180))</f>
        <v/>
      </c>
      <c r="F180" s="12" t="str">
        <f>IF(A180="","",MAX(E$4:E180))</f>
        <v/>
      </c>
      <c r="H180" s="14" t="str">
        <f t="shared" si="9"/>
        <v/>
      </c>
      <c r="I180" s="14" t="str">
        <f t="shared" si="10"/>
        <v/>
      </c>
      <c r="J180" s="15" t="str">
        <f t="shared" si="11"/>
        <v/>
      </c>
    </row>
    <row r="181" spans="1:10">
      <c r="A181" s="7" t="str">
        <f>IF(子基金及业绩基准周净值!A209="","",子基金及业绩基准周净值!A209)</f>
        <v/>
      </c>
      <c r="B181" s="1" t="str">
        <f>IF(A181="","",VLOOKUP($A181,子基金及业绩基准周净值!$A:$AV,12))</f>
        <v/>
      </c>
      <c r="C181" s="8" t="str">
        <f t="shared" si="8"/>
        <v/>
      </c>
      <c r="D181" s="9" t="str">
        <f>IF(A181="","",C181-子基金及业绩基准周净值!AI209)</f>
        <v/>
      </c>
      <c r="E181" s="12" t="str">
        <f>IF(A181="","",(MAX(B$3:B181)-B181)/MAX(B$3:B181))</f>
        <v/>
      </c>
      <c r="F181" s="12" t="str">
        <f>IF(A181="","",MAX(E$4:E181))</f>
        <v/>
      </c>
      <c r="H181" s="14" t="str">
        <f t="shared" si="9"/>
        <v/>
      </c>
      <c r="I181" s="14" t="str">
        <f t="shared" si="10"/>
        <v/>
      </c>
      <c r="J181" s="15" t="str">
        <f t="shared" si="11"/>
        <v/>
      </c>
    </row>
    <row r="182" spans="1:10">
      <c r="A182" s="7" t="str">
        <f>IF(子基金及业绩基准周净值!A210="","",子基金及业绩基准周净值!A210)</f>
        <v/>
      </c>
      <c r="B182" s="1" t="str">
        <f>IF(A182="","",VLOOKUP($A182,子基金及业绩基准周净值!$A:$AV,12))</f>
        <v/>
      </c>
      <c r="C182" s="8" t="str">
        <f t="shared" si="8"/>
        <v/>
      </c>
      <c r="D182" s="9" t="str">
        <f>IF(A182="","",C182-子基金及业绩基准周净值!AI210)</f>
        <v/>
      </c>
      <c r="E182" s="12" t="str">
        <f>IF(A182="","",(MAX(B$3:B182)-B182)/MAX(B$3:B182))</f>
        <v/>
      </c>
      <c r="F182" s="12" t="str">
        <f>IF(A182="","",MAX(E$4:E182))</f>
        <v/>
      </c>
      <c r="H182" s="14" t="str">
        <f t="shared" si="9"/>
        <v/>
      </c>
      <c r="I182" s="14" t="str">
        <f t="shared" si="10"/>
        <v/>
      </c>
      <c r="J182" s="15" t="str">
        <f t="shared" si="11"/>
        <v/>
      </c>
    </row>
    <row r="183" spans="1:10">
      <c r="A183" s="7" t="str">
        <f>IF(子基金及业绩基准周净值!A211="","",子基金及业绩基准周净值!A211)</f>
        <v/>
      </c>
      <c r="B183" s="1" t="str">
        <f>IF(A183="","",VLOOKUP($A183,子基金及业绩基准周净值!$A:$AV,12))</f>
        <v/>
      </c>
      <c r="C183" s="8" t="str">
        <f t="shared" si="8"/>
        <v/>
      </c>
      <c r="D183" s="9" t="str">
        <f>IF(A183="","",C183-子基金及业绩基准周净值!AI211)</f>
        <v/>
      </c>
      <c r="E183" s="12" t="str">
        <f>IF(A183="","",(MAX(B$3:B183)-B183)/MAX(B$3:B183))</f>
        <v/>
      </c>
      <c r="F183" s="12" t="str">
        <f>IF(A183="","",MAX(E$4:E183))</f>
        <v/>
      </c>
      <c r="H183" s="14" t="str">
        <f t="shared" si="9"/>
        <v/>
      </c>
      <c r="I183" s="14" t="str">
        <f t="shared" si="10"/>
        <v/>
      </c>
      <c r="J183" s="15" t="str">
        <f t="shared" si="11"/>
        <v/>
      </c>
    </row>
    <row r="184" spans="1:10">
      <c r="A184" s="7" t="str">
        <f>IF(子基金及业绩基准周净值!A212="","",子基金及业绩基准周净值!A212)</f>
        <v/>
      </c>
      <c r="B184" s="1" t="str">
        <f>IF(A184="","",VLOOKUP($A184,子基金及业绩基准周净值!$A:$AV,12))</f>
        <v/>
      </c>
      <c r="C184" s="8" t="str">
        <f t="shared" si="8"/>
        <v/>
      </c>
      <c r="D184" s="9" t="str">
        <f>IF(A184="","",C184-子基金及业绩基准周净值!AI212)</f>
        <v/>
      </c>
      <c r="E184" s="12" t="str">
        <f>IF(A184="","",(MAX(B$3:B184)-B184)/MAX(B$3:B184))</f>
        <v/>
      </c>
      <c r="F184" s="12" t="str">
        <f>IF(A184="","",MAX(E$4:E184))</f>
        <v/>
      </c>
      <c r="H184" s="14" t="str">
        <f t="shared" si="9"/>
        <v/>
      </c>
      <c r="I184" s="14" t="str">
        <f t="shared" si="10"/>
        <v/>
      </c>
      <c r="J184" s="15" t="str">
        <f t="shared" si="11"/>
        <v/>
      </c>
    </row>
    <row r="185" spans="1:10">
      <c r="A185" s="7" t="str">
        <f>IF(子基金及业绩基准周净值!A213="","",子基金及业绩基准周净值!A213)</f>
        <v/>
      </c>
      <c r="B185" s="1" t="str">
        <f>IF(A185="","",VLOOKUP($A185,子基金及业绩基准周净值!$A:$AV,12))</f>
        <v/>
      </c>
      <c r="C185" s="8" t="str">
        <f t="shared" si="8"/>
        <v/>
      </c>
      <c r="D185" s="9" t="str">
        <f>IF(A185="","",C185-子基金及业绩基准周净值!AI213)</f>
        <v/>
      </c>
      <c r="E185" s="12" t="str">
        <f>IF(A185="","",(MAX(B$3:B185)-B185)/MAX(B$3:B185))</f>
        <v/>
      </c>
      <c r="F185" s="12" t="str">
        <f>IF(A185="","",MAX(E$4:E185))</f>
        <v/>
      </c>
      <c r="H185" s="14" t="str">
        <f t="shared" si="9"/>
        <v/>
      </c>
      <c r="I185" s="14" t="str">
        <f t="shared" si="10"/>
        <v/>
      </c>
      <c r="J185" s="15" t="str">
        <f t="shared" si="11"/>
        <v/>
      </c>
    </row>
    <row r="186" spans="1:10">
      <c r="A186" s="7" t="str">
        <f>IF(子基金及业绩基准周净值!A214="","",子基金及业绩基准周净值!A214)</f>
        <v/>
      </c>
      <c r="B186" s="1" t="str">
        <f>IF(A186="","",VLOOKUP($A186,子基金及业绩基准周净值!$A:$AV,12))</f>
        <v/>
      </c>
      <c r="C186" s="8" t="str">
        <f t="shared" si="8"/>
        <v/>
      </c>
      <c r="D186" s="9" t="str">
        <f>IF(A186="","",C186-子基金及业绩基准周净值!AI214)</f>
        <v/>
      </c>
      <c r="E186" s="12" t="str">
        <f>IF(A186="","",(MAX(B$3:B186)-B186)/MAX(B$3:B186))</f>
        <v/>
      </c>
      <c r="F186" s="12" t="str">
        <f>IF(A186="","",MAX(E$4:E186))</f>
        <v/>
      </c>
      <c r="H186" s="14" t="str">
        <f t="shared" si="9"/>
        <v/>
      </c>
      <c r="I186" s="14" t="str">
        <f t="shared" si="10"/>
        <v/>
      </c>
      <c r="J186" s="15" t="str">
        <f t="shared" si="11"/>
        <v/>
      </c>
    </row>
    <row r="187" spans="1:10">
      <c r="A187" s="7" t="str">
        <f>IF(子基金及业绩基准周净值!A215="","",子基金及业绩基准周净值!A215)</f>
        <v/>
      </c>
      <c r="B187" s="1" t="str">
        <f>IF(A187="","",VLOOKUP($A187,子基金及业绩基准周净值!$A:$AV,12))</f>
        <v/>
      </c>
      <c r="C187" s="8" t="str">
        <f t="shared" si="8"/>
        <v/>
      </c>
      <c r="D187" s="9" t="str">
        <f>IF(A187="","",C187-子基金及业绩基准周净值!AI215)</f>
        <v/>
      </c>
      <c r="E187" s="12" t="str">
        <f>IF(A187="","",(MAX(B$3:B187)-B187)/MAX(B$3:B187))</f>
        <v/>
      </c>
      <c r="F187" s="12" t="str">
        <f>IF(A187="","",MAX(E$4:E187))</f>
        <v/>
      </c>
      <c r="H187" s="14" t="str">
        <f t="shared" si="9"/>
        <v/>
      </c>
      <c r="I187" s="14" t="str">
        <f t="shared" si="10"/>
        <v/>
      </c>
      <c r="J187" s="15" t="str">
        <f t="shared" si="11"/>
        <v/>
      </c>
    </row>
    <row r="188" spans="1:10">
      <c r="A188" s="7" t="str">
        <f>IF(子基金及业绩基准周净值!A216="","",子基金及业绩基准周净值!A216)</f>
        <v/>
      </c>
      <c r="B188" s="1" t="str">
        <f>IF(A188="","",VLOOKUP($A188,子基金及业绩基准周净值!$A:$AV,12))</f>
        <v/>
      </c>
      <c r="C188" s="8" t="str">
        <f t="shared" si="8"/>
        <v/>
      </c>
      <c r="D188" s="9" t="str">
        <f>IF(A188="","",C188-子基金及业绩基准周净值!AI216)</f>
        <v/>
      </c>
      <c r="E188" s="12" t="str">
        <f>IF(A188="","",(MAX(B$3:B188)-B188)/MAX(B$3:B188))</f>
        <v/>
      </c>
      <c r="F188" s="12" t="str">
        <f>IF(A188="","",MAX(E$4:E188))</f>
        <v/>
      </c>
      <c r="H188" s="14" t="str">
        <f t="shared" si="9"/>
        <v/>
      </c>
      <c r="I188" s="14" t="str">
        <f t="shared" si="10"/>
        <v/>
      </c>
      <c r="J188" s="15" t="str">
        <f t="shared" si="11"/>
        <v/>
      </c>
    </row>
    <row r="189" spans="1:10">
      <c r="A189" s="7" t="str">
        <f>IF(子基金及业绩基准周净值!A217="","",子基金及业绩基准周净值!A217)</f>
        <v/>
      </c>
      <c r="B189" s="1" t="str">
        <f>IF(A189="","",VLOOKUP($A189,子基金及业绩基准周净值!$A:$AV,12))</f>
        <v/>
      </c>
      <c r="C189" s="8" t="str">
        <f t="shared" si="8"/>
        <v/>
      </c>
      <c r="D189" s="9" t="str">
        <f>IF(A189="","",C189-子基金及业绩基准周净值!AI217)</f>
        <v/>
      </c>
      <c r="E189" s="12" t="str">
        <f>IF(A189="","",(MAX(B$3:B189)-B189)/MAX(B$3:B189))</f>
        <v/>
      </c>
      <c r="F189" s="12" t="str">
        <f>IF(A189="","",MAX(E$4:E189))</f>
        <v/>
      </c>
      <c r="H189" s="14" t="str">
        <f t="shared" si="9"/>
        <v/>
      </c>
      <c r="I189" s="14" t="str">
        <f t="shared" si="10"/>
        <v/>
      </c>
      <c r="J189" s="15" t="str">
        <f t="shared" si="11"/>
        <v/>
      </c>
    </row>
    <row r="190" spans="1:10">
      <c r="A190" s="7" t="str">
        <f>IF(子基金及业绩基准周净值!A218="","",子基金及业绩基准周净值!A218)</f>
        <v/>
      </c>
      <c r="B190" s="1" t="str">
        <f>IF(A190="","",VLOOKUP($A190,子基金及业绩基准周净值!$A:$AV,12))</f>
        <v/>
      </c>
      <c r="C190" s="8" t="str">
        <f t="shared" si="8"/>
        <v/>
      </c>
      <c r="D190" s="9" t="str">
        <f>IF(A190="","",C190-子基金及业绩基准周净值!AI218)</f>
        <v/>
      </c>
      <c r="E190" s="12" t="str">
        <f>IF(A190="","",(MAX(B$3:B190)-B190)/MAX(B$3:B190))</f>
        <v/>
      </c>
      <c r="F190" s="12" t="str">
        <f>IF(A190="","",MAX(E$4:E190))</f>
        <v/>
      </c>
      <c r="H190" s="14" t="str">
        <f t="shared" si="9"/>
        <v/>
      </c>
      <c r="I190" s="14" t="str">
        <f t="shared" si="10"/>
        <v/>
      </c>
      <c r="J190" s="15" t="str">
        <f t="shared" si="11"/>
        <v/>
      </c>
    </row>
    <row r="191" spans="1:10">
      <c r="A191" s="7" t="str">
        <f>IF(子基金及业绩基准周净值!A219="","",子基金及业绩基准周净值!A219)</f>
        <v/>
      </c>
      <c r="B191" s="1" t="str">
        <f>IF(A191="","",VLOOKUP($A191,子基金及业绩基准周净值!$A:$AV,12))</f>
        <v/>
      </c>
      <c r="C191" s="8" t="str">
        <f t="shared" si="8"/>
        <v/>
      </c>
      <c r="D191" s="9" t="str">
        <f>IF(A191="","",C191-子基金及业绩基准周净值!AI219)</f>
        <v/>
      </c>
      <c r="E191" s="12" t="str">
        <f>IF(A191="","",(MAX(B$3:B191)-B191)/MAX(B$3:B191))</f>
        <v/>
      </c>
      <c r="F191" s="12" t="str">
        <f>IF(A191="","",MAX(E$4:E191))</f>
        <v/>
      </c>
      <c r="H191" s="14" t="str">
        <f t="shared" si="9"/>
        <v/>
      </c>
      <c r="I191" s="14" t="str">
        <f t="shared" si="10"/>
        <v/>
      </c>
      <c r="J191" s="15" t="str">
        <f t="shared" si="11"/>
        <v/>
      </c>
    </row>
    <row r="192" spans="1:10">
      <c r="A192" s="7" t="str">
        <f>IF(子基金及业绩基准周净值!A220="","",子基金及业绩基准周净值!A220)</f>
        <v/>
      </c>
      <c r="B192" s="1" t="str">
        <f>IF(A192="","",VLOOKUP($A192,子基金及业绩基准周净值!$A:$AV,12))</f>
        <v/>
      </c>
      <c r="C192" s="8" t="str">
        <f t="shared" si="8"/>
        <v/>
      </c>
      <c r="D192" s="9" t="str">
        <f>IF(A192="","",C192-子基金及业绩基准周净值!AI220)</f>
        <v/>
      </c>
      <c r="E192" s="12" t="str">
        <f>IF(A192="","",(MAX(B$3:B192)-B192)/MAX(B$3:B192))</f>
        <v/>
      </c>
      <c r="F192" s="12" t="str">
        <f>IF(A192="","",MAX(E$4:E192))</f>
        <v/>
      </c>
      <c r="H192" s="14" t="str">
        <f t="shared" si="9"/>
        <v/>
      </c>
      <c r="I192" s="14" t="str">
        <f t="shared" si="10"/>
        <v/>
      </c>
      <c r="J192" s="15" t="str">
        <f t="shared" si="11"/>
        <v/>
      </c>
    </row>
    <row r="193" spans="1:10">
      <c r="A193" s="7" t="str">
        <f>IF(子基金及业绩基准周净值!A221="","",子基金及业绩基准周净值!A221)</f>
        <v/>
      </c>
      <c r="B193" s="1" t="str">
        <f>IF(A193="","",VLOOKUP($A193,子基金及业绩基准周净值!$A:$AV,12))</f>
        <v/>
      </c>
      <c r="C193" s="8" t="str">
        <f t="shared" si="8"/>
        <v/>
      </c>
      <c r="D193" s="9" t="str">
        <f>IF(A193="","",C193-子基金及业绩基准周净值!AI221)</f>
        <v/>
      </c>
      <c r="E193" s="12" t="str">
        <f>IF(A193="","",(MAX(B$3:B193)-B193)/MAX(B$3:B193))</f>
        <v/>
      </c>
      <c r="F193" s="12" t="str">
        <f>IF(A193="","",MAX(E$4:E193))</f>
        <v/>
      </c>
      <c r="H193" s="14" t="str">
        <f t="shared" si="9"/>
        <v/>
      </c>
      <c r="I193" s="14" t="str">
        <f t="shared" si="10"/>
        <v/>
      </c>
      <c r="J193" s="15" t="str">
        <f t="shared" si="11"/>
        <v/>
      </c>
    </row>
    <row r="194" spans="1:10">
      <c r="A194" s="7" t="str">
        <f>IF(子基金及业绩基准周净值!A222="","",子基金及业绩基准周净值!A222)</f>
        <v/>
      </c>
      <c r="B194" s="1" t="str">
        <f>IF(A194="","",VLOOKUP($A194,子基金及业绩基准周净值!$A:$AV,12))</f>
        <v/>
      </c>
      <c r="C194" s="8" t="str">
        <f t="shared" si="8"/>
        <v/>
      </c>
      <c r="D194" s="9" t="str">
        <f>IF(A194="","",C194-子基金及业绩基准周净值!AI222)</f>
        <v/>
      </c>
      <c r="E194" s="12" t="str">
        <f>IF(A194="","",(MAX(B$3:B194)-B194)/MAX(B$3:B194))</f>
        <v/>
      </c>
      <c r="F194" s="12" t="str">
        <f>IF(A194="","",MAX(E$4:E194))</f>
        <v/>
      </c>
      <c r="H194" s="14" t="str">
        <f t="shared" si="9"/>
        <v/>
      </c>
      <c r="I194" s="14" t="str">
        <f t="shared" si="10"/>
        <v/>
      </c>
      <c r="J194" s="15" t="str">
        <f t="shared" si="11"/>
        <v/>
      </c>
    </row>
    <row r="195" spans="1:10">
      <c r="A195" s="7" t="str">
        <f>IF(子基金及业绩基准周净值!A223="","",子基金及业绩基准周净值!A223)</f>
        <v/>
      </c>
      <c r="B195" s="1" t="str">
        <f>IF(A195="","",VLOOKUP($A195,子基金及业绩基准周净值!$A:$AV,12))</f>
        <v/>
      </c>
      <c r="C195" s="8" t="str">
        <f t="shared" si="8"/>
        <v/>
      </c>
      <c r="D195" s="9" t="str">
        <f>IF(A195="","",C195-子基金及业绩基准周净值!AI223)</f>
        <v/>
      </c>
      <c r="E195" s="12" t="str">
        <f>IF(A195="","",(MAX(B$3:B195)-B195)/MAX(B$3:B195))</f>
        <v/>
      </c>
      <c r="F195" s="12" t="str">
        <f>IF(A195="","",MAX(E$4:E195))</f>
        <v/>
      </c>
      <c r="H195" s="14" t="str">
        <f t="shared" si="9"/>
        <v/>
      </c>
      <c r="I195" s="14" t="str">
        <f t="shared" si="10"/>
        <v/>
      </c>
      <c r="J195" s="15" t="str">
        <f t="shared" si="11"/>
        <v/>
      </c>
    </row>
    <row r="196" spans="1:10">
      <c r="A196" s="7" t="str">
        <f>IF(子基金及业绩基准周净值!A224="","",子基金及业绩基准周净值!A224)</f>
        <v/>
      </c>
      <c r="B196" s="1" t="str">
        <f>IF(A196="","",VLOOKUP($A196,子基金及业绩基准周净值!$A:$AV,12))</f>
        <v/>
      </c>
      <c r="C196" s="8" t="str">
        <f t="shared" si="8"/>
        <v/>
      </c>
      <c r="D196" s="9" t="str">
        <f>IF(A196="","",C196-子基金及业绩基准周净值!AI224)</f>
        <v/>
      </c>
      <c r="E196" s="12" t="str">
        <f>IF(A196="","",(MAX(B$3:B196)-B196)/MAX(B$3:B196))</f>
        <v/>
      </c>
      <c r="F196" s="12" t="str">
        <f>IF(A196="","",MAX(E$4:E196))</f>
        <v/>
      </c>
      <c r="H196" s="14" t="str">
        <f t="shared" si="9"/>
        <v/>
      </c>
      <c r="I196" s="14" t="str">
        <f t="shared" si="10"/>
        <v/>
      </c>
      <c r="J196" s="15" t="str">
        <f t="shared" si="11"/>
        <v/>
      </c>
    </row>
    <row r="197" spans="1:10">
      <c r="A197" s="7" t="str">
        <f>IF(子基金及业绩基准周净值!A225="","",子基金及业绩基准周净值!A225)</f>
        <v/>
      </c>
      <c r="B197" s="1" t="str">
        <f>IF(A197="","",VLOOKUP($A197,子基金及业绩基准周净值!$A:$AV,12))</f>
        <v/>
      </c>
      <c r="C197" s="8" t="str">
        <f t="shared" ref="C197:C260" si="12">IF(A197="","",(B197-B196)/B196)</f>
        <v/>
      </c>
      <c r="D197" s="9" t="str">
        <f>IF(A197="","",C197-子基金及业绩基准周净值!AI225)</f>
        <v/>
      </c>
      <c r="E197" s="12" t="str">
        <f>IF(A197="","",(MAX(B$3:B197)-B197)/MAX(B$3:B197))</f>
        <v/>
      </c>
      <c r="F197" s="12" t="str">
        <f>IF(A197="","",MAX(E$4:E197))</f>
        <v/>
      </c>
      <c r="H197" s="14" t="str">
        <f t="shared" ref="H197:H260" si="13">IF(A197="","",IF(E197&lt;3%,"否","是"))</f>
        <v/>
      </c>
      <c r="I197" s="14" t="str">
        <f t="shared" ref="I197:I260" si="14">IF(A197="","",IF(F197&gt;5%,"是","否"))</f>
        <v/>
      </c>
      <c r="J197" s="15" t="str">
        <f t="shared" ref="J197:J260" si="15">IF(A197="","",IF(G197&gt;=4,"是","否"))</f>
        <v/>
      </c>
    </row>
    <row r="198" spans="1:10">
      <c r="A198" s="7" t="str">
        <f>IF(子基金及业绩基准周净值!A226="","",子基金及业绩基准周净值!A226)</f>
        <v/>
      </c>
      <c r="B198" s="1" t="str">
        <f>IF(A198="","",VLOOKUP($A198,子基金及业绩基准周净值!$A:$AV,12))</f>
        <v/>
      </c>
      <c r="C198" s="8" t="str">
        <f t="shared" si="12"/>
        <v/>
      </c>
      <c r="D198" s="9" t="str">
        <f>IF(A198="","",C198-子基金及业绩基准周净值!AI226)</f>
        <v/>
      </c>
      <c r="E198" s="12" t="str">
        <f>IF(A198="","",(MAX(B$3:B198)-B198)/MAX(B$3:B198))</f>
        <v/>
      </c>
      <c r="F198" s="12" t="str">
        <f>IF(A198="","",MAX(E$4:E198))</f>
        <v/>
      </c>
      <c r="H198" s="14" t="str">
        <f t="shared" si="13"/>
        <v/>
      </c>
      <c r="I198" s="14" t="str">
        <f t="shared" si="14"/>
        <v/>
      </c>
      <c r="J198" s="15" t="str">
        <f t="shared" si="15"/>
        <v/>
      </c>
    </row>
    <row r="199" spans="1:10">
      <c r="A199" s="7" t="str">
        <f>IF(子基金及业绩基准周净值!A227="","",子基金及业绩基准周净值!A227)</f>
        <v/>
      </c>
      <c r="B199" s="1" t="str">
        <f>IF(A199="","",VLOOKUP($A199,子基金及业绩基准周净值!$A:$AV,12))</f>
        <v/>
      </c>
      <c r="C199" s="8" t="str">
        <f t="shared" si="12"/>
        <v/>
      </c>
      <c r="D199" s="9" t="str">
        <f>IF(A199="","",C199-子基金及业绩基准周净值!AI227)</f>
        <v/>
      </c>
      <c r="E199" s="12" t="str">
        <f>IF(A199="","",(MAX(B$3:B199)-B199)/MAX(B$3:B199))</f>
        <v/>
      </c>
      <c r="F199" s="12" t="str">
        <f>IF(A199="","",MAX(E$4:E199))</f>
        <v/>
      </c>
      <c r="H199" s="14" t="str">
        <f t="shared" si="13"/>
        <v/>
      </c>
      <c r="I199" s="14" t="str">
        <f t="shared" si="14"/>
        <v/>
      </c>
      <c r="J199" s="15" t="str">
        <f t="shared" si="15"/>
        <v/>
      </c>
    </row>
    <row r="200" spans="1:10">
      <c r="A200" s="7" t="str">
        <f>IF(子基金及业绩基准周净值!A228="","",子基金及业绩基准周净值!A228)</f>
        <v/>
      </c>
      <c r="B200" s="1" t="str">
        <f>IF(A200="","",VLOOKUP($A200,子基金及业绩基准周净值!$A:$AV,12))</f>
        <v/>
      </c>
      <c r="C200" s="8" t="str">
        <f t="shared" si="12"/>
        <v/>
      </c>
      <c r="D200" s="9" t="str">
        <f>IF(A200="","",C200-子基金及业绩基准周净值!AI228)</f>
        <v/>
      </c>
      <c r="E200" s="12" t="str">
        <f>IF(A200="","",(MAX(B$3:B200)-B200)/MAX(B$3:B200))</f>
        <v/>
      </c>
      <c r="F200" s="12" t="str">
        <f>IF(A200="","",MAX(E$4:E200))</f>
        <v/>
      </c>
      <c r="H200" s="14" t="str">
        <f t="shared" si="13"/>
        <v/>
      </c>
      <c r="I200" s="14" t="str">
        <f t="shared" si="14"/>
        <v/>
      </c>
      <c r="J200" s="15" t="str">
        <f t="shared" si="15"/>
        <v/>
      </c>
    </row>
    <row r="201" spans="1:10">
      <c r="A201" s="7" t="str">
        <f>IF(子基金及业绩基准周净值!A229="","",子基金及业绩基准周净值!A229)</f>
        <v/>
      </c>
      <c r="B201" s="1" t="str">
        <f>IF(A201="","",VLOOKUP($A201,子基金及业绩基准周净值!$A:$AV,12))</f>
        <v/>
      </c>
      <c r="C201" s="8" t="str">
        <f t="shared" si="12"/>
        <v/>
      </c>
      <c r="D201" s="9" t="str">
        <f>IF(A201="","",C201-子基金及业绩基准周净值!AI229)</f>
        <v/>
      </c>
      <c r="E201" s="12" t="str">
        <f>IF(A201="","",(MAX(B$3:B201)-B201)/MAX(B$3:B201))</f>
        <v/>
      </c>
      <c r="F201" s="12" t="str">
        <f>IF(A201="","",MAX(E$4:E201))</f>
        <v/>
      </c>
      <c r="H201" s="14" t="str">
        <f t="shared" si="13"/>
        <v/>
      </c>
      <c r="I201" s="14" t="str">
        <f t="shared" si="14"/>
        <v/>
      </c>
      <c r="J201" s="15" t="str">
        <f t="shared" si="15"/>
        <v/>
      </c>
    </row>
    <row r="202" spans="1:10">
      <c r="A202" s="7" t="str">
        <f>IF(子基金及业绩基准周净值!A230="","",子基金及业绩基准周净值!A230)</f>
        <v/>
      </c>
      <c r="B202" s="1" t="str">
        <f>IF(A202="","",VLOOKUP($A202,子基金及业绩基准周净值!$A:$AV,12))</f>
        <v/>
      </c>
      <c r="C202" s="8" t="str">
        <f t="shared" si="12"/>
        <v/>
      </c>
      <c r="D202" s="9" t="str">
        <f>IF(A202="","",C202-子基金及业绩基准周净值!AI230)</f>
        <v/>
      </c>
      <c r="E202" s="12" t="str">
        <f>IF(A202="","",(MAX(B$3:B202)-B202)/MAX(B$3:B202))</f>
        <v/>
      </c>
      <c r="F202" s="12" t="str">
        <f>IF(A202="","",MAX(E$4:E202))</f>
        <v/>
      </c>
      <c r="H202" s="14" t="str">
        <f t="shared" si="13"/>
        <v/>
      </c>
      <c r="I202" s="14" t="str">
        <f t="shared" si="14"/>
        <v/>
      </c>
      <c r="J202" s="15" t="str">
        <f t="shared" si="15"/>
        <v/>
      </c>
    </row>
    <row r="203" spans="1:10">
      <c r="A203" s="7" t="str">
        <f>IF(子基金及业绩基准周净值!A231="","",子基金及业绩基准周净值!A231)</f>
        <v/>
      </c>
      <c r="B203" s="1" t="str">
        <f>IF(A203="","",VLOOKUP($A203,子基金及业绩基准周净值!$A:$AV,12))</f>
        <v/>
      </c>
      <c r="C203" s="8" t="str">
        <f t="shared" si="12"/>
        <v/>
      </c>
      <c r="D203" s="9" t="str">
        <f>IF(A203="","",C203-子基金及业绩基准周净值!AI231)</f>
        <v/>
      </c>
      <c r="E203" s="12" t="str">
        <f>IF(A203="","",(MAX(B$3:B203)-B203)/MAX(B$3:B203))</f>
        <v/>
      </c>
      <c r="F203" s="12" t="str">
        <f>IF(A203="","",MAX(E$4:E203))</f>
        <v/>
      </c>
      <c r="H203" s="14" t="str">
        <f t="shared" si="13"/>
        <v/>
      </c>
      <c r="I203" s="14" t="str">
        <f t="shared" si="14"/>
        <v/>
      </c>
      <c r="J203" s="15" t="str">
        <f t="shared" si="15"/>
        <v/>
      </c>
    </row>
    <row r="204" spans="1:10">
      <c r="A204" s="7" t="str">
        <f>IF(子基金及业绩基准周净值!A232="","",子基金及业绩基准周净值!A232)</f>
        <v/>
      </c>
      <c r="B204" s="1" t="str">
        <f>IF(A204="","",VLOOKUP($A204,子基金及业绩基准周净值!$A:$AV,12))</f>
        <v/>
      </c>
      <c r="C204" s="8" t="str">
        <f t="shared" si="12"/>
        <v/>
      </c>
      <c r="D204" s="9" t="str">
        <f>IF(A204="","",C204-子基金及业绩基准周净值!AI232)</f>
        <v/>
      </c>
      <c r="E204" s="12" t="str">
        <f>IF(A204="","",(MAX(B$3:B204)-B204)/MAX(B$3:B204))</f>
        <v/>
      </c>
      <c r="F204" s="12" t="str">
        <f>IF(A204="","",MAX(E$4:E204))</f>
        <v/>
      </c>
      <c r="H204" s="14" t="str">
        <f t="shared" si="13"/>
        <v/>
      </c>
      <c r="I204" s="14" t="str">
        <f t="shared" si="14"/>
        <v/>
      </c>
      <c r="J204" s="15" t="str">
        <f t="shared" si="15"/>
        <v/>
      </c>
    </row>
    <row r="205" spans="1:10">
      <c r="A205" s="7" t="str">
        <f>IF(子基金及业绩基准周净值!A233="","",子基金及业绩基准周净值!A233)</f>
        <v/>
      </c>
      <c r="B205" s="1" t="str">
        <f>IF(A205="","",VLOOKUP($A205,子基金及业绩基准周净值!$A:$AV,12))</f>
        <v/>
      </c>
      <c r="C205" s="8" t="str">
        <f t="shared" si="12"/>
        <v/>
      </c>
      <c r="D205" s="9" t="str">
        <f>IF(A205="","",C205-子基金及业绩基准周净值!AI233)</f>
        <v/>
      </c>
      <c r="E205" s="12" t="str">
        <f>IF(A205="","",(MAX(B$3:B205)-B205)/MAX(B$3:B205))</f>
        <v/>
      </c>
      <c r="F205" s="12" t="str">
        <f>IF(A205="","",MAX(E$4:E205))</f>
        <v/>
      </c>
      <c r="H205" s="14" t="str">
        <f t="shared" si="13"/>
        <v/>
      </c>
      <c r="I205" s="14" t="str">
        <f t="shared" si="14"/>
        <v/>
      </c>
      <c r="J205" s="15" t="str">
        <f t="shared" si="15"/>
        <v/>
      </c>
    </row>
    <row r="206" spans="1:10">
      <c r="A206" s="7" t="str">
        <f>IF(子基金及业绩基准周净值!A234="","",子基金及业绩基准周净值!A234)</f>
        <v/>
      </c>
      <c r="B206" s="1" t="str">
        <f>IF(A206="","",VLOOKUP($A206,子基金及业绩基准周净值!$A:$AV,12))</f>
        <v/>
      </c>
      <c r="C206" s="8" t="str">
        <f t="shared" si="12"/>
        <v/>
      </c>
      <c r="D206" s="9" t="str">
        <f>IF(A206="","",C206-子基金及业绩基准周净值!AI234)</f>
        <v/>
      </c>
      <c r="E206" s="12" t="str">
        <f>IF(A206="","",(MAX(B$3:B206)-B206)/MAX(B$3:B206))</f>
        <v/>
      </c>
      <c r="F206" s="12" t="str">
        <f>IF(A206="","",MAX(E$4:E206))</f>
        <v/>
      </c>
      <c r="H206" s="14" t="str">
        <f t="shared" si="13"/>
        <v/>
      </c>
      <c r="I206" s="14" t="str">
        <f t="shared" si="14"/>
        <v/>
      </c>
      <c r="J206" s="15" t="str">
        <f t="shared" si="15"/>
        <v/>
      </c>
    </row>
    <row r="207" spans="1:10">
      <c r="A207" s="7" t="str">
        <f>IF(子基金及业绩基准周净值!A235="","",子基金及业绩基准周净值!A235)</f>
        <v/>
      </c>
      <c r="B207" s="1" t="str">
        <f>IF(A207="","",VLOOKUP($A207,子基金及业绩基准周净值!$A:$AV,12))</f>
        <v/>
      </c>
      <c r="C207" s="8" t="str">
        <f t="shared" si="12"/>
        <v/>
      </c>
      <c r="D207" s="9" t="str">
        <f>IF(A207="","",C207-子基金及业绩基准周净值!AI235)</f>
        <v/>
      </c>
      <c r="E207" s="12" t="str">
        <f>IF(A207="","",(MAX(B$3:B207)-B207)/MAX(B$3:B207))</f>
        <v/>
      </c>
      <c r="F207" s="12" t="str">
        <f>IF(A207="","",MAX(E$4:E207))</f>
        <v/>
      </c>
      <c r="H207" s="14" t="str">
        <f t="shared" si="13"/>
        <v/>
      </c>
      <c r="I207" s="14" t="str">
        <f t="shared" si="14"/>
        <v/>
      </c>
      <c r="J207" s="15" t="str">
        <f t="shared" si="15"/>
        <v/>
      </c>
    </row>
    <row r="208" spans="1:10">
      <c r="A208" s="7" t="str">
        <f>IF(子基金及业绩基准周净值!A236="","",子基金及业绩基准周净值!A236)</f>
        <v/>
      </c>
      <c r="B208" s="1" t="str">
        <f>IF(A208="","",VLOOKUP($A208,子基金及业绩基准周净值!$A:$AV,12))</f>
        <v/>
      </c>
      <c r="C208" s="8" t="str">
        <f t="shared" si="12"/>
        <v/>
      </c>
      <c r="D208" s="9" t="str">
        <f>IF(A208="","",C208-子基金及业绩基准周净值!AI236)</f>
        <v/>
      </c>
      <c r="E208" s="12" t="str">
        <f>IF(A208="","",(MAX(B$3:B208)-B208)/MAX(B$3:B208))</f>
        <v/>
      </c>
      <c r="F208" s="12" t="str">
        <f>IF(A208="","",MAX(E$4:E208))</f>
        <v/>
      </c>
      <c r="H208" s="14" t="str">
        <f t="shared" si="13"/>
        <v/>
      </c>
      <c r="I208" s="14" t="str">
        <f t="shared" si="14"/>
        <v/>
      </c>
      <c r="J208" s="15" t="str">
        <f t="shared" si="15"/>
        <v/>
      </c>
    </row>
    <row r="209" spans="1:10">
      <c r="A209" s="7" t="str">
        <f>IF(子基金及业绩基准周净值!A237="","",子基金及业绩基准周净值!A237)</f>
        <v/>
      </c>
      <c r="B209" s="1" t="str">
        <f>IF(A209="","",VLOOKUP($A209,子基金及业绩基准周净值!$A:$AV,12))</f>
        <v/>
      </c>
      <c r="C209" s="8" t="str">
        <f t="shared" si="12"/>
        <v/>
      </c>
      <c r="D209" s="9" t="str">
        <f>IF(A209="","",C209-子基金及业绩基准周净值!AI237)</f>
        <v/>
      </c>
      <c r="E209" s="12" t="str">
        <f>IF(A209="","",(MAX(B$3:B209)-B209)/MAX(B$3:B209))</f>
        <v/>
      </c>
      <c r="F209" s="12" t="str">
        <f>IF(A209="","",MAX(E$4:E209))</f>
        <v/>
      </c>
      <c r="H209" s="14" t="str">
        <f t="shared" si="13"/>
        <v/>
      </c>
      <c r="I209" s="14" t="str">
        <f t="shared" si="14"/>
        <v/>
      </c>
      <c r="J209" s="15" t="str">
        <f t="shared" si="15"/>
        <v/>
      </c>
    </row>
    <row r="210" spans="1:10">
      <c r="A210" s="7" t="str">
        <f>IF(子基金及业绩基准周净值!A238="","",子基金及业绩基准周净值!A238)</f>
        <v/>
      </c>
      <c r="B210" s="1" t="str">
        <f>IF(A210="","",VLOOKUP($A210,子基金及业绩基准周净值!$A:$AV,12))</f>
        <v/>
      </c>
      <c r="C210" s="8" t="str">
        <f t="shared" si="12"/>
        <v/>
      </c>
      <c r="D210" s="9" t="str">
        <f>IF(A210="","",C210-子基金及业绩基准周净值!AI238)</f>
        <v/>
      </c>
      <c r="E210" s="12" t="str">
        <f>IF(A210="","",(MAX(B$3:B210)-B210)/MAX(B$3:B210))</f>
        <v/>
      </c>
      <c r="F210" s="12" t="str">
        <f>IF(A210="","",MAX(E$4:E210))</f>
        <v/>
      </c>
      <c r="H210" s="14" t="str">
        <f t="shared" si="13"/>
        <v/>
      </c>
      <c r="I210" s="14" t="str">
        <f t="shared" si="14"/>
        <v/>
      </c>
      <c r="J210" s="15" t="str">
        <f t="shared" si="15"/>
        <v/>
      </c>
    </row>
    <row r="211" spans="1:10">
      <c r="A211" s="7" t="str">
        <f>IF(子基金及业绩基准周净值!A239="","",子基金及业绩基准周净值!A239)</f>
        <v/>
      </c>
      <c r="B211" s="1" t="str">
        <f>IF(A211="","",VLOOKUP($A211,子基金及业绩基准周净值!$A:$AV,12))</f>
        <v/>
      </c>
      <c r="C211" s="8" t="str">
        <f t="shared" si="12"/>
        <v/>
      </c>
      <c r="D211" s="9" t="str">
        <f>IF(A211="","",C211-子基金及业绩基准周净值!AI239)</f>
        <v/>
      </c>
      <c r="E211" s="12" t="str">
        <f>IF(A211="","",(MAX(B$3:B211)-B211)/MAX(B$3:B211))</f>
        <v/>
      </c>
      <c r="F211" s="12" t="str">
        <f>IF(A211="","",MAX(E$4:E211))</f>
        <v/>
      </c>
      <c r="H211" s="14" t="str">
        <f t="shared" si="13"/>
        <v/>
      </c>
      <c r="I211" s="14" t="str">
        <f t="shared" si="14"/>
        <v/>
      </c>
      <c r="J211" s="15" t="str">
        <f t="shared" si="15"/>
        <v/>
      </c>
    </row>
    <row r="212" spans="1:10">
      <c r="A212" s="7" t="str">
        <f>IF(子基金及业绩基准周净值!A240="","",子基金及业绩基准周净值!A240)</f>
        <v/>
      </c>
      <c r="B212" s="1" t="str">
        <f>IF(A212="","",VLOOKUP($A212,子基金及业绩基准周净值!$A:$AV,12))</f>
        <v/>
      </c>
      <c r="C212" s="8" t="str">
        <f t="shared" si="12"/>
        <v/>
      </c>
      <c r="D212" s="9" t="str">
        <f>IF(A212="","",C212-子基金及业绩基准周净值!AI240)</f>
        <v/>
      </c>
      <c r="E212" s="12" t="str">
        <f>IF(A212="","",(MAX(B$3:B212)-B212)/MAX(B$3:B212))</f>
        <v/>
      </c>
      <c r="F212" s="12" t="str">
        <f>IF(A212="","",MAX(E$4:E212))</f>
        <v/>
      </c>
      <c r="H212" s="14" t="str">
        <f t="shared" si="13"/>
        <v/>
      </c>
      <c r="I212" s="14" t="str">
        <f t="shared" si="14"/>
        <v/>
      </c>
      <c r="J212" s="15" t="str">
        <f t="shared" si="15"/>
        <v/>
      </c>
    </row>
    <row r="213" spans="1:10">
      <c r="A213" s="7" t="str">
        <f>IF(子基金及业绩基准周净值!A241="","",子基金及业绩基准周净值!A241)</f>
        <v/>
      </c>
      <c r="B213" s="1" t="str">
        <f>IF(A213="","",VLOOKUP($A213,子基金及业绩基准周净值!$A:$AV,12))</f>
        <v/>
      </c>
      <c r="C213" s="8" t="str">
        <f t="shared" si="12"/>
        <v/>
      </c>
      <c r="D213" s="9" t="str">
        <f>IF(A213="","",C213-子基金及业绩基准周净值!AI241)</f>
        <v/>
      </c>
      <c r="E213" s="12" t="str">
        <f>IF(A213="","",(MAX(B$3:B213)-B213)/MAX(B$3:B213))</f>
        <v/>
      </c>
      <c r="F213" s="12" t="str">
        <f>IF(A213="","",MAX(E$4:E213))</f>
        <v/>
      </c>
      <c r="H213" s="14" t="str">
        <f t="shared" si="13"/>
        <v/>
      </c>
      <c r="I213" s="14" t="str">
        <f t="shared" si="14"/>
        <v/>
      </c>
      <c r="J213" s="15" t="str">
        <f t="shared" si="15"/>
        <v/>
      </c>
    </row>
    <row r="214" spans="1:10">
      <c r="A214" s="7" t="str">
        <f>IF(子基金及业绩基准周净值!A242="","",子基金及业绩基准周净值!A242)</f>
        <v/>
      </c>
      <c r="B214" s="1" t="str">
        <f>IF(A214="","",VLOOKUP($A214,子基金及业绩基准周净值!$A:$AV,12))</f>
        <v/>
      </c>
      <c r="C214" s="8" t="str">
        <f t="shared" si="12"/>
        <v/>
      </c>
      <c r="D214" s="9" t="str">
        <f>IF(A214="","",C214-子基金及业绩基准周净值!AI242)</f>
        <v/>
      </c>
      <c r="E214" s="12" t="str">
        <f>IF(A214="","",(MAX(B$3:B214)-B214)/MAX(B$3:B214))</f>
        <v/>
      </c>
      <c r="F214" s="12" t="str">
        <f>IF(A214="","",MAX(E$4:E214))</f>
        <v/>
      </c>
      <c r="H214" s="14" t="str">
        <f t="shared" si="13"/>
        <v/>
      </c>
      <c r="I214" s="14" t="str">
        <f t="shared" si="14"/>
        <v/>
      </c>
      <c r="J214" s="15" t="str">
        <f t="shared" si="15"/>
        <v/>
      </c>
    </row>
    <row r="215" spans="1:10">
      <c r="A215" s="7" t="str">
        <f>IF(子基金及业绩基准周净值!A243="","",子基金及业绩基准周净值!A243)</f>
        <v/>
      </c>
      <c r="B215" s="1" t="str">
        <f>IF(A215="","",VLOOKUP($A215,子基金及业绩基准周净值!$A:$AV,12))</f>
        <v/>
      </c>
      <c r="C215" s="8" t="str">
        <f t="shared" si="12"/>
        <v/>
      </c>
      <c r="D215" s="9" t="str">
        <f>IF(A215="","",C215-子基金及业绩基准周净值!AI243)</f>
        <v/>
      </c>
      <c r="E215" s="12" t="str">
        <f>IF(A215="","",(MAX(B$3:B215)-B215)/MAX(B$3:B215))</f>
        <v/>
      </c>
      <c r="F215" s="12" t="str">
        <f>IF(A215="","",MAX(E$4:E215))</f>
        <v/>
      </c>
      <c r="H215" s="14" t="str">
        <f t="shared" si="13"/>
        <v/>
      </c>
      <c r="I215" s="14" t="str">
        <f t="shared" si="14"/>
        <v/>
      </c>
      <c r="J215" s="15" t="str">
        <f t="shared" si="15"/>
        <v/>
      </c>
    </row>
    <row r="216" spans="1:10">
      <c r="A216" s="7" t="str">
        <f>IF(子基金及业绩基准周净值!A244="","",子基金及业绩基准周净值!A244)</f>
        <v/>
      </c>
      <c r="B216" s="1" t="str">
        <f>IF(A216="","",VLOOKUP($A216,子基金及业绩基准周净值!$A:$AV,12))</f>
        <v/>
      </c>
      <c r="C216" s="8" t="str">
        <f t="shared" si="12"/>
        <v/>
      </c>
      <c r="D216" s="9" t="str">
        <f>IF(A216="","",C216-子基金及业绩基准周净值!AI244)</f>
        <v/>
      </c>
      <c r="E216" s="12" t="str">
        <f>IF(A216="","",(MAX(B$3:B216)-B216)/MAX(B$3:B216))</f>
        <v/>
      </c>
      <c r="F216" s="12" t="str">
        <f>IF(A216="","",MAX(E$4:E216))</f>
        <v/>
      </c>
      <c r="H216" s="14" t="str">
        <f t="shared" si="13"/>
        <v/>
      </c>
      <c r="I216" s="14" t="str">
        <f t="shared" si="14"/>
        <v/>
      </c>
      <c r="J216" s="15" t="str">
        <f t="shared" si="15"/>
        <v/>
      </c>
    </row>
    <row r="217" spans="1:10">
      <c r="A217" s="7" t="str">
        <f>IF(子基金及业绩基准周净值!A245="","",子基金及业绩基准周净值!A245)</f>
        <v/>
      </c>
      <c r="B217" s="1" t="str">
        <f>IF(A217="","",VLOOKUP($A217,子基金及业绩基准周净值!$A:$AV,12))</f>
        <v/>
      </c>
      <c r="C217" s="8" t="str">
        <f t="shared" si="12"/>
        <v/>
      </c>
      <c r="D217" s="9" t="str">
        <f>IF(A217="","",C217-子基金及业绩基准周净值!AI245)</f>
        <v/>
      </c>
      <c r="E217" s="12" t="str">
        <f>IF(A217="","",(MAX(B$3:B217)-B217)/MAX(B$3:B217))</f>
        <v/>
      </c>
      <c r="F217" s="12" t="str">
        <f>IF(A217="","",MAX(E$4:E217))</f>
        <v/>
      </c>
      <c r="H217" s="14" t="str">
        <f t="shared" si="13"/>
        <v/>
      </c>
      <c r="I217" s="14" t="str">
        <f t="shared" si="14"/>
        <v/>
      </c>
      <c r="J217" s="15" t="str">
        <f t="shared" si="15"/>
        <v/>
      </c>
    </row>
    <row r="218" spans="1:10">
      <c r="A218" s="7" t="str">
        <f>IF(子基金及业绩基准周净值!A246="","",子基金及业绩基准周净值!A246)</f>
        <v/>
      </c>
      <c r="B218" s="1" t="str">
        <f>IF(A218="","",VLOOKUP($A218,子基金及业绩基准周净值!$A:$AV,12))</f>
        <v/>
      </c>
      <c r="C218" s="8" t="str">
        <f t="shared" si="12"/>
        <v/>
      </c>
      <c r="D218" s="9" t="str">
        <f>IF(A218="","",C218-子基金及业绩基准周净值!AI246)</f>
        <v/>
      </c>
      <c r="E218" s="12" t="str">
        <f>IF(A218="","",(MAX(B$3:B218)-B218)/MAX(B$3:B218))</f>
        <v/>
      </c>
      <c r="F218" s="12" t="str">
        <f>IF(A218="","",MAX(E$4:E218))</f>
        <v/>
      </c>
      <c r="H218" s="14" t="str">
        <f t="shared" si="13"/>
        <v/>
      </c>
      <c r="I218" s="14" t="str">
        <f t="shared" si="14"/>
        <v/>
      </c>
      <c r="J218" s="15" t="str">
        <f t="shared" si="15"/>
        <v/>
      </c>
    </row>
    <row r="219" spans="1:10">
      <c r="A219" s="7" t="str">
        <f>IF(子基金及业绩基准周净值!A247="","",子基金及业绩基准周净值!A247)</f>
        <v/>
      </c>
      <c r="B219" s="1" t="str">
        <f>IF(A219="","",VLOOKUP($A219,子基金及业绩基准周净值!$A:$AV,12))</f>
        <v/>
      </c>
      <c r="C219" s="8" t="str">
        <f t="shared" si="12"/>
        <v/>
      </c>
      <c r="D219" s="9" t="str">
        <f>IF(A219="","",C219-子基金及业绩基准周净值!AI247)</f>
        <v/>
      </c>
      <c r="E219" s="12" t="str">
        <f>IF(A219="","",(MAX(B$3:B219)-B219)/MAX(B$3:B219))</f>
        <v/>
      </c>
      <c r="F219" s="12" t="str">
        <f>IF(A219="","",MAX(E$4:E219))</f>
        <v/>
      </c>
      <c r="H219" s="14" t="str">
        <f t="shared" si="13"/>
        <v/>
      </c>
      <c r="I219" s="14" t="str">
        <f t="shared" si="14"/>
        <v/>
      </c>
      <c r="J219" s="15" t="str">
        <f t="shared" si="15"/>
        <v/>
      </c>
    </row>
    <row r="220" spans="1:10">
      <c r="A220" s="7" t="str">
        <f>IF(子基金及业绩基准周净值!A248="","",子基金及业绩基准周净值!A248)</f>
        <v/>
      </c>
      <c r="B220" s="1" t="str">
        <f>IF(A220="","",VLOOKUP($A220,子基金及业绩基准周净值!$A:$AV,12))</f>
        <v/>
      </c>
      <c r="C220" s="8" t="str">
        <f t="shared" si="12"/>
        <v/>
      </c>
      <c r="D220" s="9" t="str">
        <f>IF(A220="","",C220-子基金及业绩基准周净值!AI248)</f>
        <v/>
      </c>
      <c r="E220" s="12" t="str">
        <f>IF(A220="","",(MAX(B$3:B220)-B220)/MAX(B$3:B220))</f>
        <v/>
      </c>
      <c r="F220" s="12" t="str">
        <f>IF(A220="","",MAX(E$4:E220))</f>
        <v/>
      </c>
      <c r="H220" s="14" t="str">
        <f t="shared" si="13"/>
        <v/>
      </c>
      <c r="I220" s="14" t="str">
        <f t="shared" si="14"/>
        <v/>
      </c>
      <c r="J220" s="15" t="str">
        <f t="shared" si="15"/>
        <v/>
      </c>
    </row>
    <row r="221" spans="1:10">
      <c r="A221" s="7" t="str">
        <f>IF(子基金及业绩基准周净值!A249="","",子基金及业绩基准周净值!A249)</f>
        <v/>
      </c>
      <c r="B221" s="1" t="str">
        <f>IF(A221="","",VLOOKUP($A221,子基金及业绩基准周净值!$A:$AV,12))</f>
        <v/>
      </c>
      <c r="C221" s="8" t="str">
        <f t="shared" si="12"/>
        <v/>
      </c>
      <c r="D221" s="9" t="str">
        <f>IF(A221="","",C221-子基金及业绩基准周净值!AI249)</f>
        <v/>
      </c>
      <c r="E221" s="12" t="str">
        <f>IF(A221="","",(MAX(B$3:B221)-B221)/MAX(B$3:B221))</f>
        <v/>
      </c>
      <c r="F221" s="12" t="str">
        <f>IF(A221="","",MAX(E$4:E221))</f>
        <v/>
      </c>
      <c r="H221" s="14" t="str">
        <f t="shared" si="13"/>
        <v/>
      </c>
      <c r="I221" s="14" t="str">
        <f t="shared" si="14"/>
        <v/>
      </c>
      <c r="J221" s="15" t="str">
        <f t="shared" si="15"/>
        <v/>
      </c>
    </row>
    <row r="222" spans="1:10">
      <c r="A222" s="7" t="str">
        <f>IF(子基金及业绩基准周净值!A250="","",子基金及业绩基准周净值!A250)</f>
        <v/>
      </c>
      <c r="B222" s="1" t="str">
        <f>IF(A222="","",VLOOKUP($A222,子基金及业绩基准周净值!$A:$AV,12))</f>
        <v/>
      </c>
      <c r="C222" s="8" t="str">
        <f t="shared" si="12"/>
        <v/>
      </c>
      <c r="D222" s="9" t="str">
        <f>IF(A222="","",C222-子基金及业绩基准周净值!AI250)</f>
        <v/>
      </c>
      <c r="E222" s="12" t="str">
        <f>IF(A222="","",(MAX(B$3:B222)-B222)/MAX(B$3:B222))</f>
        <v/>
      </c>
      <c r="F222" s="12" t="str">
        <f>IF(A222="","",MAX(E$4:E222))</f>
        <v/>
      </c>
      <c r="H222" s="14" t="str">
        <f t="shared" si="13"/>
        <v/>
      </c>
      <c r="I222" s="14" t="str">
        <f t="shared" si="14"/>
        <v/>
      </c>
      <c r="J222" s="15" t="str">
        <f t="shared" si="15"/>
        <v/>
      </c>
    </row>
    <row r="223" spans="1:10">
      <c r="A223" s="7" t="str">
        <f>IF(子基金及业绩基准周净值!A251="","",子基金及业绩基准周净值!A251)</f>
        <v/>
      </c>
      <c r="B223" s="1" t="str">
        <f>IF(A223="","",VLOOKUP($A223,子基金及业绩基准周净值!$A:$AV,12))</f>
        <v/>
      </c>
      <c r="C223" s="8" t="str">
        <f t="shared" si="12"/>
        <v/>
      </c>
      <c r="D223" s="9" t="str">
        <f>IF(A223="","",C223-子基金及业绩基准周净值!AI251)</f>
        <v/>
      </c>
      <c r="E223" s="12" t="str">
        <f>IF(A223="","",(MAX(B$3:B223)-B223)/MAX(B$3:B223))</f>
        <v/>
      </c>
      <c r="F223" s="12" t="str">
        <f>IF(A223="","",MAX(E$4:E223))</f>
        <v/>
      </c>
      <c r="H223" s="14" t="str">
        <f t="shared" si="13"/>
        <v/>
      </c>
      <c r="I223" s="14" t="str">
        <f t="shared" si="14"/>
        <v/>
      </c>
      <c r="J223" s="15" t="str">
        <f t="shared" si="15"/>
        <v/>
      </c>
    </row>
    <row r="224" spans="1:10">
      <c r="A224" s="7" t="str">
        <f>IF(子基金及业绩基准周净值!A252="","",子基金及业绩基准周净值!A252)</f>
        <v/>
      </c>
      <c r="B224" s="1" t="str">
        <f>IF(A224="","",VLOOKUP($A224,子基金及业绩基准周净值!$A:$AV,12))</f>
        <v/>
      </c>
      <c r="C224" s="8" t="str">
        <f t="shared" si="12"/>
        <v/>
      </c>
      <c r="D224" s="9" t="str">
        <f>IF(A224="","",C224-子基金及业绩基准周净值!AI252)</f>
        <v/>
      </c>
      <c r="E224" s="12" t="str">
        <f>IF(A224="","",(MAX(B$3:B224)-B224)/MAX(B$3:B224))</f>
        <v/>
      </c>
      <c r="F224" s="12" t="str">
        <f>IF(A224="","",MAX(E$4:E224))</f>
        <v/>
      </c>
      <c r="H224" s="14" t="str">
        <f t="shared" si="13"/>
        <v/>
      </c>
      <c r="I224" s="14" t="str">
        <f t="shared" si="14"/>
        <v/>
      </c>
      <c r="J224" s="15" t="str">
        <f t="shared" si="15"/>
        <v/>
      </c>
    </row>
    <row r="225" spans="1:10">
      <c r="A225" s="7" t="str">
        <f>IF(子基金及业绩基准周净值!A253="","",子基金及业绩基准周净值!A253)</f>
        <v/>
      </c>
      <c r="B225" s="1" t="str">
        <f>IF(A225="","",VLOOKUP($A225,子基金及业绩基准周净值!$A:$AV,12))</f>
        <v/>
      </c>
      <c r="C225" s="8" t="str">
        <f t="shared" si="12"/>
        <v/>
      </c>
      <c r="D225" s="9" t="str">
        <f>IF(A225="","",C225-子基金及业绩基准周净值!AI253)</f>
        <v/>
      </c>
      <c r="E225" s="12" t="str">
        <f>IF(A225="","",(MAX(B$3:B225)-B225)/MAX(B$3:B225))</f>
        <v/>
      </c>
      <c r="F225" s="12" t="str">
        <f>IF(A225="","",MAX(E$4:E225))</f>
        <v/>
      </c>
      <c r="H225" s="14" t="str">
        <f t="shared" si="13"/>
        <v/>
      </c>
      <c r="I225" s="14" t="str">
        <f t="shared" si="14"/>
        <v/>
      </c>
      <c r="J225" s="15" t="str">
        <f t="shared" si="15"/>
        <v/>
      </c>
    </row>
    <row r="226" spans="1:10">
      <c r="A226" s="7" t="str">
        <f>IF(子基金及业绩基准周净值!A254="","",子基金及业绩基准周净值!A254)</f>
        <v/>
      </c>
      <c r="B226" s="1" t="str">
        <f>IF(A226="","",VLOOKUP($A226,子基金及业绩基准周净值!$A:$AV,12))</f>
        <v/>
      </c>
      <c r="C226" s="8" t="str">
        <f t="shared" si="12"/>
        <v/>
      </c>
      <c r="D226" s="9" t="str">
        <f>IF(A226="","",C226-子基金及业绩基准周净值!AI254)</f>
        <v/>
      </c>
      <c r="E226" s="12" t="str">
        <f>IF(A226="","",(MAX(B$3:B226)-B226)/MAX(B$3:B226))</f>
        <v/>
      </c>
      <c r="F226" s="12" t="str">
        <f>IF(A226="","",MAX(E$4:E226))</f>
        <v/>
      </c>
      <c r="H226" s="14" t="str">
        <f t="shared" si="13"/>
        <v/>
      </c>
      <c r="I226" s="14" t="str">
        <f t="shared" si="14"/>
        <v/>
      </c>
      <c r="J226" s="15" t="str">
        <f t="shared" si="15"/>
        <v/>
      </c>
    </row>
    <row r="227" spans="1:10">
      <c r="A227" s="7" t="str">
        <f>IF(子基金及业绩基准周净值!A255="","",子基金及业绩基准周净值!A255)</f>
        <v/>
      </c>
      <c r="B227" s="1" t="str">
        <f>IF(A227="","",VLOOKUP($A227,子基金及业绩基准周净值!$A:$AV,12))</f>
        <v/>
      </c>
      <c r="C227" s="8" t="str">
        <f t="shared" si="12"/>
        <v/>
      </c>
      <c r="D227" s="9" t="str">
        <f>IF(A227="","",C227-子基金及业绩基准周净值!AI255)</f>
        <v/>
      </c>
      <c r="E227" s="12" t="str">
        <f>IF(A227="","",(MAX(B$3:B227)-B227)/MAX(B$3:B227))</f>
        <v/>
      </c>
      <c r="F227" s="12" t="str">
        <f>IF(A227="","",MAX(E$4:E227))</f>
        <v/>
      </c>
      <c r="H227" s="14" t="str">
        <f t="shared" si="13"/>
        <v/>
      </c>
      <c r="I227" s="14" t="str">
        <f t="shared" si="14"/>
        <v/>
      </c>
      <c r="J227" s="15" t="str">
        <f t="shared" si="15"/>
        <v/>
      </c>
    </row>
    <row r="228" spans="1:10">
      <c r="A228" s="7" t="str">
        <f>IF(子基金及业绩基准周净值!A256="","",子基金及业绩基准周净值!A256)</f>
        <v/>
      </c>
      <c r="B228" s="1" t="str">
        <f>IF(A228="","",VLOOKUP($A228,子基金及业绩基准周净值!$A:$AV,12))</f>
        <v/>
      </c>
      <c r="C228" s="8" t="str">
        <f t="shared" si="12"/>
        <v/>
      </c>
      <c r="D228" s="9" t="str">
        <f>IF(A228="","",C228-子基金及业绩基准周净值!AI256)</f>
        <v/>
      </c>
      <c r="E228" s="12" t="str">
        <f>IF(A228="","",(MAX(B$3:B228)-B228)/MAX(B$3:B228))</f>
        <v/>
      </c>
      <c r="F228" s="12" t="str">
        <f>IF(A228="","",MAX(E$4:E228))</f>
        <v/>
      </c>
      <c r="H228" s="14" t="str">
        <f t="shared" si="13"/>
        <v/>
      </c>
      <c r="I228" s="14" t="str">
        <f t="shared" si="14"/>
        <v/>
      </c>
      <c r="J228" s="15" t="str">
        <f t="shared" si="15"/>
        <v/>
      </c>
    </row>
    <row r="229" spans="1:10">
      <c r="A229" s="7" t="str">
        <f>IF(子基金及业绩基准周净值!A257="","",子基金及业绩基准周净值!A257)</f>
        <v/>
      </c>
      <c r="B229" s="1" t="str">
        <f>IF(A229="","",VLOOKUP($A229,子基金及业绩基准周净值!$A:$AV,12))</f>
        <v/>
      </c>
      <c r="C229" s="8" t="str">
        <f t="shared" si="12"/>
        <v/>
      </c>
      <c r="D229" s="9" t="str">
        <f>IF(A229="","",C229-子基金及业绩基准周净值!AI257)</f>
        <v/>
      </c>
      <c r="E229" s="12" t="str">
        <f>IF(A229="","",(MAX(B$3:B229)-B229)/MAX(B$3:B229))</f>
        <v/>
      </c>
      <c r="F229" s="12" t="str">
        <f>IF(A229="","",MAX(E$4:E229))</f>
        <v/>
      </c>
      <c r="H229" s="14" t="str">
        <f t="shared" si="13"/>
        <v/>
      </c>
      <c r="I229" s="14" t="str">
        <f t="shared" si="14"/>
        <v/>
      </c>
      <c r="J229" s="15" t="str">
        <f t="shared" si="15"/>
        <v/>
      </c>
    </row>
    <row r="230" spans="1:10">
      <c r="A230" s="7" t="str">
        <f>IF(子基金及业绩基准周净值!A258="","",子基金及业绩基准周净值!A258)</f>
        <v/>
      </c>
      <c r="B230" s="1" t="str">
        <f>IF(A230="","",VLOOKUP($A230,子基金及业绩基准周净值!$A:$AV,12))</f>
        <v/>
      </c>
      <c r="C230" s="8" t="str">
        <f t="shared" si="12"/>
        <v/>
      </c>
      <c r="D230" s="9" t="str">
        <f>IF(A230="","",C230-子基金及业绩基准周净值!AI258)</f>
        <v/>
      </c>
      <c r="E230" s="12" t="str">
        <f>IF(A230="","",(MAX(B$3:B230)-B230)/MAX(B$3:B230))</f>
        <v/>
      </c>
      <c r="F230" s="12" t="str">
        <f>IF(A230="","",MAX(E$4:E230))</f>
        <v/>
      </c>
      <c r="H230" s="14" t="str">
        <f t="shared" si="13"/>
        <v/>
      </c>
      <c r="I230" s="14" t="str">
        <f t="shared" si="14"/>
        <v/>
      </c>
      <c r="J230" s="15" t="str">
        <f t="shared" si="15"/>
        <v/>
      </c>
    </row>
    <row r="231" spans="1:10">
      <c r="A231" s="7" t="str">
        <f>IF(子基金及业绩基准周净值!A259="","",子基金及业绩基准周净值!A259)</f>
        <v/>
      </c>
      <c r="B231" s="1" t="str">
        <f>IF(A231="","",VLOOKUP($A231,子基金及业绩基准周净值!$A:$AV,12))</f>
        <v/>
      </c>
      <c r="C231" s="8" t="str">
        <f t="shared" si="12"/>
        <v/>
      </c>
      <c r="D231" s="9" t="str">
        <f>IF(A231="","",C231-子基金及业绩基准周净值!AI259)</f>
        <v/>
      </c>
      <c r="E231" s="12" t="str">
        <f>IF(A231="","",(MAX(B$3:B231)-B231)/MAX(B$3:B231))</f>
        <v/>
      </c>
      <c r="F231" s="12" t="str">
        <f>IF(A231="","",MAX(E$4:E231))</f>
        <v/>
      </c>
      <c r="H231" s="14" t="str">
        <f t="shared" si="13"/>
        <v/>
      </c>
      <c r="I231" s="14" t="str">
        <f t="shared" si="14"/>
        <v/>
      </c>
      <c r="J231" s="15" t="str">
        <f t="shared" si="15"/>
        <v/>
      </c>
    </row>
    <row r="232" spans="1:10">
      <c r="A232" s="7" t="str">
        <f>IF(子基金及业绩基准周净值!A260="","",子基金及业绩基准周净值!A260)</f>
        <v/>
      </c>
      <c r="B232" s="1" t="str">
        <f>IF(A232="","",VLOOKUP($A232,子基金及业绩基准周净值!$A:$AV,12))</f>
        <v/>
      </c>
      <c r="C232" s="8" t="str">
        <f t="shared" si="12"/>
        <v/>
      </c>
      <c r="D232" s="9" t="str">
        <f>IF(A232="","",C232-子基金及业绩基准周净值!AI260)</f>
        <v/>
      </c>
      <c r="E232" s="12" t="str">
        <f>IF(A232="","",(MAX(B$3:B232)-B232)/MAX(B$3:B232))</f>
        <v/>
      </c>
      <c r="F232" s="12" t="str">
        <f>IF(A232="","",MAX(E$4:E232))</f>
        <v/>
      </c>
      <c r="H232" s="14" t="str">
        <f t="shared" si="13"/>
        <v/>
      </c>
      <c r="I232" s="14" t="str">
        <f t="shared" si="14"/>
        <v/>
      </c>
      <c r="J232" s="15" t="str">
        <f t="shared" si="15"/>
        <v/>
      </c>
    </row>
    <row r="233" spans="1:10">
      <c r="A233" s="7" t="str">
        <f>IF(子基金及业绩基准周净值!A261="","",子基金及业绩基准周净值!A261)</f>
        <v/>
      </c>
      <c r="B233" s="1" t="str">
        <f>IF(A233="","",VLOOKUP($A233,子基金及业绩基准周净值!$A:$AV,12))</f>
        <v/>
      </c>
      <c r="C233" s="8" t="str">
        <f t="shared" si="12"/>
        <v/>
      </c>
      <c r="D233" s="9" t="str">
        <f>IF(A233="","",C233-子基金及业绩基准周净值!AI261)</f>
        <v/>
      </c>
      <c r="E233" s="12" t="str">
        <f>IF(A233="","",(MAX(B$3:B233)-B233)/MAX(B$3:B233))</f>
        <v/>
      </c>
      <c r="F233" s="12" t="str">
        <f>IF(A233="","",MAX(E$4:E233))</f>
        <v/>
      </c>
      <c r="H233" s="14" t="str">
        <f t="shared" si="13"/>
        <v/>
      </c>
      <c r="I233" s="14" t="str">
        <f t="shared" si="14"/>
        <v/>
      </c>
      <c r="J233" s="15" t="str">
        <f t="shared" si="15"/>
        <v/>
      </c>
    </row>
    <row r="234" spans="1:10">
      <c r="A234" s="7" t="str">
        <f>IF(子基金及业绩基准周净值!A262="","",子基金及业绩基准周净值!A262)</f>
        <v/>
      </c>
      <c r="B234" s="1" t="str">
        <f>IF(A234="","",VLOOKUP($A234,子基金及业绩基准周净值!$A:$AV,12))</f>
        <v/>
      </c>
      <c r="C234" s="8" t="str">
        <f t="shared" si="12"/>
        <v/>
      </c>
      <c r="D234" s="9" t="str">
        <f>IF(A234="","",C234-子基金及业绩基准周净值!AI262)</f>
        <v/>
      </c>
      <c r="E234" s="12" t="str">
        <f>IF(A234="","",(MAX(B$3:B234)-B234)/MAX(B$3:B234))</f>
        <v/>
      </c>
      <c r="F234" s="12" t="str">
        <f>IF(A234="","",MAX(E$4:E234))</f>
        <v/>
      </c>
      <c r="H234" s="14" t="str">
        <f t="shared" si="13"/>
        <v/>
      </c>
      <c r="I234" s="14" t="str">
        <f t="shared" si="14"/>
        <v/>
      </c>
      <c r="J234" s="15" t="str">
        <f t="shared" si="15"/>
        <v/>
      </c>
    </row>
    <row r="235" spans="1:10">
      <c r="A235" s="7" t="str">
        <f>IF(子基金及业绩基准周净值!A263="","",子基金及业绩基准周净值!A263)</f>
        <v/>
      </c>
      <c r="B235" s="1" t="str">
        <f>IF(A235="","",VLOOKUP($A235,子基金及业绩基准周净值!$A:$AV,12))</f>
        <v/>
      </c>
      <c r="C235" s="8" t="str">
        <f t="shared" si="12"/>
        <v/>
      </c>
      <c r="D235" s="9" t="str">
        <f>IF(A235="","",C235-子基金及业绩基准周净值!AI263)</f>
        <v/>
      </c>
      <c r="E235" s="12" t="str">
        <f>IF(A235="","",(MAX(B$3:B235)-B235)/MAX(B$3:B235))</f>
        <v/>
      </c>
      <c r="F235" s="12" t="str">
        <f>IF(A235="","",MAX(E$4:E235))</f>
        <v/>
      </c>
      <c r="H235" s="14" t="str">
        <f t="shared" si="13"/>
        <v/>
      </c>
      <c r="I235" s="14" t="str">
        <f t="shared" si="14"/>
        <v/>
      </c>
      <c r="J235" s="15" t="str">
        <f t="shared" si="15"/>
        <v/>
      </c>
    </row>
    <row r="236" spans="1:10">
      <c r="A236" s="7" t="str">
        <f>IF(子基金及业绩基准周净值!A264="","",子基金及业绩基准周净值!A264)</f>
        <v/>
      </c>
      <c r="B236" s="1" t="str">
        <f>IF(A236="","",VLOOKUP($A236,子基金及业绩基准周净值!$A:$AV,12))</f>
        <v/>
      </c>
      <c r="C236" s="8" t="str">
        <f t="shared" si="12"/>
        <v/>
      </c>
      <c r="D236" s="9" t="str">
        <f>IF(A236="","",C236-子基金及业绩基准周净值!AI264)</f>
        <v/>
      </c>
      <c r="E236" s="12" t="str">
        <f>IF(A236="","",(MAX(B$3:B236)-B236)/MAX(B$3:B236))</f>
        <v/>
      </c>
      <c r="F236" s="12" t="str">
        <f>IF(A236="","",MAX(E$4:E236))</f>
        <v/>
      </c>
      <c r="H236" s="14" t="str">
        <f t="shared" si="13"/>
        <v/>
      </c>
      <c r="I236" s="14" t="str">
        <f t="shared" si="14"/>
        <v/>
      </c>
      <c r="J236" s="15" t="str">
        <f t="shared" si="15"/>
        <v/>
      </c>
    </row>
    <row r="237" spans="1:10">
      <c r="A237" s="7" t="str">
        <f>IF(子基金及业绩基准周净值!A265="","",子基金及业绩基准周净值!A265)</f>
        <v/>
      </c>
      <c r="B237" s="1" t="str">
        <f>IF(A237="","",VLOOKUP($A237,子基金及业绩基准周净值!$A:$AV,12))</f>
        <v/>
      </c>
      <c r="C237" s="8" t="str">
        <f t="shared" si="12"/>
        <v/>
      </c>
      <c r="D237" s="9" t="str">
        <f>IF(A237="","",C237-子基金及业绩基准周净值!AI265)</f>
        <v/>
      </c>
      <c r="E237" s="12" t="str">
        <f>IF(A237="","",(MAX(B$3:B237)-B237)/MAX(B$3:B237))</f>
        <v/>
      </c>
      <c r="F237" s="12" t="str">
        <f>IF(A237="","",MAX(E$4:E237))</f>
        <v/>
      </c>
      <c r="H237" s="14" t="str">
        <f t="shared" si="13"/>
        <v/>
      </c>
      <c r="I237" s="14" t="str">
        <f t="shared" si="14"/>
        <v/>
      </c>
      <c r="J237" s="15" t="str">
        <f t="shared" si="15"/>
        <v/>
      </c>
    </row>
    <row r="238" spans="1:10">
      <c r="A238" s="7" t="str">
        <f>IF(子基金及业绩基准周净值!A266="","",子基金及业绩基准周净值!A266)</f>
        <v/>
      </c>
      <c r="B238" s="1" t="str">
        <f>IF(A238="","",VLOOKUP($A238,子基金及业绩基准周净值!$A:$AV,12))</f>
        <v/>
      </c>
      <c r="C238" s="8" t="str">
        <f t="shared" si="12"/>
        <v/>
      </c>
      <c r="D238" s="9" t="str">
        <f>IF(A238="","",C238-子基金及业绩基准周净值!AI266)</f>
        <v/>
      </c>
      <c r="E238" s="12" t="str">
        <f>IF(A238="","",(MAX(B$3:B238)-B238)/MAX(B$3:B238))</f>
        <v/>
      </c>
      <c r="F238" s="12" t="str">
        <f>IF(A238="","",MAX(E$4:E238))</f>
        <v/>
      </c>
      <c r="H238" s="14" t="str">
        <f t="shared" si="13"/>
        <v/>
      </c>
      <c r="I238" s="14" t="str">
        <f t="shared" si="14"/>
        <v/>
      </c>
      <c r="J238" s="15" t="str">
        <f t="shared" si="15"/>
        <v/>
      </c>
    </row>
    <row r="239" spans="1:10">
      <c r="A239" s="7" t="str">
        <f>IF(子基金及业绩基准周净值!A267="","",子基金及业绩基准周净值!A267)</f>
        <v/>
      </c>
      <c r="B239" s="1" t="str">
        <f>IF(A239="","",VLOOKUP($A239,子基金及业绩基准周净值!$A:$AV,12))</f>
        <v/>
      </c>
      <c r="C239" s="8" t="str">
        <f t="shared" si="12"/>
        <v/>
      </c>
      <c r="D239" s="9" t="str">
        <f>IF(A239="","",C239-子基金及业绩基准周净值!AI267)</f>
        <v/>
      </c>
      <c r="E239" s="12" t="str">
        <f>IF(A239="","",(MAX(B$3:B239)-B239)/MAX(B$3:B239))</f>
        <v/>
      </c>
      <c r="F239" s="12" t="str">
        <f>IF(A239="","",MAX(E$4:E239))</f>
        <v/>
      </c>
      <c r="H239" s="14" t="str">
        <f t="shared" si="13"/>
        <v/>
      </c>
      <c r="I239" s="14" t="str">
        <f t="shared" si="14"/>
        <v/>
      </c>
      <c r="J239" s="15" t="str">
        <f t="shared" si="15"/>
        <v/>
      </c>
    </row>
    <row r="240" spans="1:10">
      <c r="A240" s="7" t="str">
        <f>IF(子基金及业绩基准周净值!A268="","",子基金及业绩基准周净值!A268)</f>
        <v/>
      </c>
      <c r="B240" s="1" t="str">
        <f>IF(A240="","",VLOOKUP($A240,子基金及业绩基准周净值!$A:$AV,12))</f>
        <v/>
      </c>
      <c r="C240" s="8" t="str">
        <f t="shared" si="12"/>
        <v/>
      </c>
      <c r="D240" s="9" t="str">
        <f>IF(A240="","",C240-子基金及业绩基准周净值!AI268)</f>
        <v/>
      </c>
      <c r="E240" s="12" t="str">
        <f>IF(A240="","",(MAX(B$3:B240)-B240)/MAX(B$3:B240))</f>
        <v/>
      </c>
      <c r="F240" s="12" t="str">
        <f>IF(A240="","",MAX(E$4:E240))</f>
        <v/>
      </c>
      <c r="H240" s="14" t="str">
        <f t="shared" si="13"/>
        <v/>
      </c>
      <c r="I240" s="14" t="str">
        <f t="shared" si="14"/>
        <v/>
      </c>
      <c r="J240" s="15" t="str">
        <f t="shared" si="15"/>
        <v/>
      </c>
    </row>
    <row r="241" spans="1:10">
      <c r="A241" s="7" t="str">
        <f>IF(子基金及业绩基准周净值!A269="","",子基金及业绩基准周净值!A269)</f>
        <v/>
      </c>
      <c r="B241" s="1" t="str">
        <f>IF(A241="","",VLOOKUP($A241,子基金及业绩基准周净值!$A:$AV,12))</f>
        <v/>
      </c>
      <c r="C241" s="8" t="str">
        <f t="shared" si="12"/>
        <v/>
      </c>
      <c r="D241" s="9" t="str">
        <f>IF(A241="","",C241-子基金及业绩基准周净值!AI269)</f>
        <v/>
      </c>
      <c r="E241" s="12" t="str">
        <f>IF(A241="","",(MAX(B$3:B241)-B241)/MAX(B$3:B241))</f>
        <v/>
      </c>
      <c r="F241" s="12" t="str">
        <f>IF(A241="","",MAX(E$4:E241))</f>
        <v/>
      </c>
      <c r="H241" s="14" t="str">
        <f t="shared" si="13"/>
        <v/>
      </c>
      <c r="I241" s="14" t="str">
        <f t="shared" si="14"/>
        <v/>
      </c>
      <c r="J241" s="15" t="str">
        <f t="shared" si="15"/>
        <v/>
      </c>
    </row>
    <row r="242" spans="1:10">
      <c r="A242" s="7" t="str">
        <f>IF(子基金及业绩基准周净值!A270="","",子基金及业绩基准周净值!A270)</f>
        <v/>
      </c>
      <c r="B242" s="1" t="str">
        <f>IF(A242="","",VLOOKUP($A242,子基金及业绩基准周净值!$A:$AV,12))</f>
        <v/>
      </c>
      <c r="C242" s="8" t="str">
        <f t="shared" si="12"/>
        <v/>
      </c>
      <c r="D242" s="9" t="str">
        <f>IF(A242="","",C242-子基金及业绩基准周净值!AI270)</f>
        <v/>
      </c>
      <c r="E242" s="12" t="str">
        <f>IF(A242="","",(MAX(B$3:B242)-B242)/MAX(B$3:B242))</f>
        <v/>
      </c>
      <c r="F242" s="12" t="str">
        <f>IF(A242="","",MAX(E$4:E242))</f>
        <v/>
      </c>
      <c r="H242" s="14" t="str">
        <f t="shared" si="13"/>
        <v/>
      </c>
      <c r="I242" s="14" t="str">
        <f t="shared" si="14"/>
        <v/>
      </c>
      <c r="J242" s="15" t="str">
        <f t="shared" si="15"/>
        <v/>
      </c>
    </row>
    <row r="243" spans="1:10">
      <c r="A243" s="7" t="str">
        <f>IF(子基金及业绩基准周净值!A271="","",子基金及业绩基准周净值!A271)</f>
        <v/>
      </c>
      <c r="B243" s="1" t="str">
        <f>IF(A243="","",VLOOKUP($A243,子基金及业绩基准周净值!$A:$AV,12))</f>
        <v/>
      </c>
      <c r="C243" s="8" t="str">
        <f t="shared" si="12"/>
        <v/>
      </c>
      <c r="D243" s="9" t="str">
        <f>IF(A243="","",C243-子基金及业绩基准周净值!AI271)</f>
        <v/>
      </c>
      <c r="E243" s="12" t="str">
        <f>IF(A243="","",(MAX(B$3:B243)-B243)/MAX(B$3:B243))</f>
        <v/>
      </c>
      <c r="F243" s="12" t="str">
        <f>IF(A243="","",MAX(E$4:E243))</f>
        <v/>
      </c>
      <c r="H243" s="14" t="str">
        <f t="shared" si="13"/>
        <v/>
      </c>
      <c r="I243" s="14" t="str">
        <f t="shared" si="14"/>
        <v/>
      </c>
      <c r="J243" s="15" t="str">
        <f t="shared" si="15"/>
        <v/>
      </c>
    </row>
    <row r="244" spans="1:10">
      <c r="A244" s="7" t="str">
        <f>IF(子基金及业绩基准周净值!A272="","",子基金及业绩基准周净值!A272)</f>
        <v/>
      </c>
      <c r="B244" s="1" t="str">
        <f>IF(A244="","",VLOOKUP($A244,子基金及业绩基准周净值!$A:$AV,12))</f>
        <v/>
      </c>
      <c r="C244" s="8" t="str">
        <f t="shared" si="12"/>
        <v/>
      </c>
      <c r="D244" s="9" t="str">
        <f>IF(A244="","",C244-子基金及业绩基准周净值!AI272)</f>
        <v/>
      </c>
      <c r="E244" s="12" t="str">
        <f>IF(A244="","",(MAX(B$3:B244)-B244)/MAX(B$3:B244))</f>
        <v/>
      </c>
      <c r="F244" s="12" t="str">
        <f>IF(A244="","",MAX(E$4:E244))</f>
        <v/>
      </c>
      <c r="H244" s="14" t="str">
        <f t="shared" si="13"/>
        <v/>
      </c>
      <c r="I244" s="14" t="str">
        <f t="shared" si="14"/>
        <v/>
      </c>
      <c r="J244" s="15" t="str">
        <f t="shared" si="15"/>
        <v/>
      </c>
    </row>
    <row r="245" spans="1:10">
      <c r="A245" s="7" t="str">
        <f>IF(子基金及业绩基准周净值!A273="","",子基金及业绩基准周净值!A273)</f>
        <v/>
      </c>
      <c r="B245" s="1" t="str">
        <f>IF(A245="","",VLOOKUP($A245,子基金及业绩基准周净值!$A:$AV,12))</f>
        <v/>
      </c>
      <c r="C245" s="8" t="str">
        <f t="shared" si="12"/>
        <v/>
      </c>
      <c r="D245" s="9" t="str">
        <f>IF(A245="","",C245-子基金及业绩基准周净值!AI273)</f>
        <v/>
      </c>
      <c r="E245" s="12" t="str">
        <f>IF(A245="","",(MAX(B$3:B245)-B245)/MAX(B$3:B245))</f>
        <v/>
      </c>
      <c r="F245" s="12" t="str">
        <f>IF(A245="","",MAX(E$4:E245))</f>
        <v/>
      </c>
      <c r="H245" s="14" t="str">
        <f t="shared" si="13"/>
        <v/>
      </c>
      <c r="I245" s="14" t="str">
        <f t="shared" si="14"/>
        <v/>
      </c>
      <c r="J245" s="15" t="str">
        <f t="shared" si="15"/>
        <v/>
      </c>
    </row>
    <row r="246" spans="1:10">
      <c r="A246" s="7" t="str">
        <f>IF(子基金及业绩基准周净值!A274="","",子基金及业绩基准周净值!A274)</f>
        <v/>
      </c>
      <c r="B246" s="1" t="str">
        <f>IF(A246="","",VLOOKUP($A246,子基金及业绩基准周净值!$A:$AV,12))</f>
        <v/>
      </c>
      <c r="C246" s="8" t="str">
        <f t="shared" si="12"/>
        <v/>
      </c>
      <c r="D246" s="9" t="str">
        <f>IF(A246="","",C246-子基金及业绩基准周净值!AI274)</f>
        <v/>
      </c>
      <c r="E246" s="12" t="str">
        <f>IF(A246="","",(MAX(B$3:B246)-B246)/MAX(B$3:B246))</f>
        <v/>
      </c>
      <c r="F246" s="12" t="str">
        <f>IF(A246="","",MAX(E$4:E246))</f>
        <v/>
      </c>
      <c r="H246" s="14" t="str">
        <f t="shared" si="13"/>
        <v/>
      </c>
      <c r="I246" s="14" t="str">
        <f t="shared" si="14"/>
        <v/>
      </c>
      <c r="J246" s="15" t="str">
        <f t="shared" si="15"/>
        <v/>
      </c>
    </row>
    <row r="247" spans="1:10">
      <c r="A247" s="7" t="str">
        <f>IF(子基金及业绩基准周净值!A275="","",子基金及业绩基准周净值!A275)</f>
        <v/>
      </c>
      <c r="B247" s="1" t="str">
        <f>IF(A247="","",VLOOKUP($A247,子基金及业绩基准周净值!$A:$AV,12))</f>
        <v/>
      </c>
      <c r="C247" s="8" t="str">
        <f t="shared" si="12"/>
        <v/>
      </c>
      <c r="D247" s="9" t="str">
        <f>IF(A247="","",C247-子基金及业绩基准周净值!AI275)</f>
        <v/>
      </c>
      <c r="E247" s="12" t="str">
        <f>IF(A247="","",(MAX(B$3:B247)-B247)/MAX(B$3:B247))</f>
        <v/>
      </c>
      <c r="F247" s="12" t="str">
        <f>IF(A247="","",MAX(E$4:E247))</f>
        <v/>
      </c>
      <c r="H247" s="14" t="str">
        <f t="shared" si="13"/>
        <v/>
      </c>
      <c r="I247" s="14" t="str">
        <f t="shared" si="14"/>
        <v/>
      </c>
      <c r="J247" s="15" t="str">
        <f t="shared" si="15"/>
        <v/>
      </c>
    </row>
    <row r="248" spans="1:10">
      <c r="A248" s="7" t="str">
        <f>IF(子基金及业绩基准周净值!A276="","",子基金及业绩基准周净值!A276)</f>
        <v/>
      </c>
      <c r="B248" s="1" t="str">
        <f>IF(A248="","",VLOOKUP($A248,子基金及业绩基准周净值!$A:$AV,12))</f>
        <v/>
      </c>
      <c r="C248" s="8" t="str">
        <f t="shared" si="12"/>
        <v/>
      </c>
      <c r="D248" s="9" t="str">
        <f>IF(A248="","",C248-子基金及业绩基准周净值!AI276)</f>
        <v/>
      </c>
      <c r="E248" s="12" t="str">
        <f>IF(A248="","",(MAX(B$3:B248)-B248)/MAX(B$3:B248))</f>
        <v/>
      </c>
      <c r="F248" s="12" t="str">
        <f>IF(A248="","",MAX(E$4:E248))</f>
        <v/>
      </c>
      <c r="H248" s="14" t="str">
        <f t="shared" si="13"/>
        <v/>
      </c>
      <c r="I248" s="14" t="str">
        <f t="shared" si="14"/>
        <v/>
      </c>
      <c r="J248" s="15" t="str">
        <f t="shared" si="15"/>
        <v/>
      </c>
    </row>
    <row r="249" spans="1:10">
      <c r="A249" s="7" t="str">
        <f>IF(子基金及业绩基准周净值!A277="","",子基金及业绩基准周净值!A277)</f>
        <v/>
      </c>
      <c r="B249" s="1" t="str">
        <f>IF(A249="","",VLOOKUP($A249,子基金及业绩基准周净值!$A:$AV,12))</f>
        <v/>
      </c>
      <c r="C249" s="8" t="str">
        <f t="shared" si="12"/>
        <v/>
      </c>
      <c r="D249" s="9" t="str">
        <f>IF(A249="","",C249-子基金及业绩基准周净值!AI277)</f>
        <v/>
      </c>
      <c r="E249" s="12" t="str">
        <f>IF(A249="","",(MAX(B$3:B249)-B249)/MAX(B$3:B249))</f>
        <v/>
      </c>
      <c r="F249" s="12" t="str">
        <f>IF(A249="","",MAX(E$4:E249))</f>
        <v/>
      </c>
      <c r="H249" s="14" t="str">
        <f t="shared" si="13"/>
        <v/>
      </c>
      <c r="I249" s="14" t="str">
        <f t="shared" si="14"/>
        <v/>
      </c>
      <c r="J249" s="15" t="str">
        <f t="shared" si="15"/>
        <v/>
      </c>
    </row>
    <row r="250" spans="1:10">
      <c r="A250" s="7" t="str">
        <f>IF(子基金及业绩基准周净值!A278="","",子基金及业绩基准周净值!A278)</f>
        <v/>
      </c>
      <c r="B250" s="1" t="str">
        <f>IF(A250="","",VLOOKUP($A250,子基金及业绩基准周净值!$A:$AV,12))</f>
        <v/>
      </c>
      <c r="C250" s="8" t="str">
        <f t="shared" si="12"/>
        <v/>
      </c>
      <c r="D250" s="9" t="str">
        <f>IF(A250="","",C250-子基金及业绩基准周净值!AI278)</f>
        <v/>
      </c>
      <c r="E250" s="12" t="str">
        <f>IF(A250="","",(MAX(B$3:B250)-B250)/MAX(B$3:B250))</f>
        <v/>
      </c>
      <c r="F250" s="12" t="str">
        <f>IF(A250="","",MAX(E$4:E250))</f>
        <v/>
      </c>
      <c r="H250" s="14" t="str">
        <f t="shared" si="13"/>
        <v/>
      </c>
      <c r="I250" s="14" t="str">
        <f t="shared" si="14"/>
        <v/>
      </c>
      <c r="J250" s="15" t="str">
        <f t="shared" si="15"/>
        <v/>
      </c>
    </row>
    <row r="251" spans="1:10">
      <c r="A251" s="7" t="str">
        <f>IF(子基金及业绩基准周净值!A279="","",子基金及业绩基准周净值!A279)</f>
        <v/>
      </c>
      <c r="B251" s="1" t="str">
        <f>IF(A251="","",VLOOKUP($A251,子基金及业绩基准周净值!$A:$AV,12))</f>
        <v/>
      </c>
      <c r="C251" s="8" t="str">
        <f t="shared" si="12"/>
        <v/>
      </c>
      <c r="D251" s="9" t="str">
        <f>IF(A251="","",C251-子基金及业绩基准周净值!AI279)</f>
        <v/>
      </c>
      <c r="E251" s="12" t="str">
        <f>IF(A251="","",(MAX(B$3:B251)-B251)/MAX(B$3:B251))</f>
        <v/>
      </c>
      <c r="F251" s="12" t="str">
        <f>IF(A251="","",MAX(E$4:E251))</f>
        <v/>
      </c>
      <c r="H251" s="14" t="str">
        <f t="shared" si="13"/>
        <v/>
      </c>
      <c r="I251" s="14" t="str">
        <f t="shared" si="14"/>
        <v/>
      </c>
      <c r="J251" s="15" t="str">
        <f t="shared" si="15"/>
        <v/>
      </c>
    </row>
    <row r="252" spans="1:10">
      <c r="A252" s="7" t="str">
        <f>IF(子基金及业绩基准周净值!A280="","",子基金及业绩基准周净值!A280)</f>
        <v/>
      </c>
      <c r="B252" s="1" t="str">
        <f>IF(A252="","",VLOOKUP($A252,子基金及业绩基准周净值!$A:$AV,12))</f>
        <v/>
      </c>
      <c r="C252" s="8" t="str">
        <f t="shared" si="12"/>
        <v/>
      </c>
      <c r="D252" s="9" t="str">
        <f>IF(A252="","",C252-子基金及业绩基准周净值!AI280)</f>
        <v/>
      </c>
      <c r="E252" s="12" t="str">
        <f>IF(A252="","",(MAX(B$3:B252)-B252)/MAX(B$3:B252))</f>
        <v/>
      </c>
      <c r="F252" s="12" t="str">
        <f>IF(A252="","",MAX(E$4:E252))</f>
        <v/>
      </c>
      <c r="H252" s="14" t="str">
        <f t="shared" si="13"/>
        <v/>
      </c>
      <c r="I252" s="14" t="str">
        <f t="shared" si="14"/>
        <v/>
      </c>
      <c r="J252" s="15" t="str">
        <f t="shared" si="15"/>
        <v/>
      </c>
    </row>
    <row r="253" spans="1:10">
      <c r="A253" s="7" t="str">
        <f>IF(子基金及业绩基准周净值!A281="","",子基金及业绩基准周净值!A281)</f>
        <v/>
      </c>
      <c r="B253" s="1" t="str">
        <f>IF(A253="","",VLOOKUP($A253,子基金及业绩基准周净值!$A:$AV,12))</f>
        <v/>
      </c>
      <c r="C253" s="8" t="str">
        <f t="shared" si="12"/>
        <v/>
      </c>
      <c r="D253" s="9" t="str">
        <f>IF(A253="","",C253-子基金及业绩基准周净值!AI281)</f>
        <v/>
      </c>
      <c r="E253" s="12" t="str">
        <f>IF(A253="","",(MAX(B$3:B253)-B253)/MAX(B$3:B253))</f>
        <v/>
      </c>
      <c r="F253" s="12" t="str">
        <f>IF(A253="","",MAX(E$4:E253))</f>
        <v/>
      </c>
      <c r="H253" s="14" t="str">
        <f t="shared" si="13"/>
        <v/>
      </c>
      <c r="I253" s="14" t="str">
        <f t="shared" si="14"/>
        <v/>
      </c>
      <c r="J253" s="15" t="str">
        <f t="shared" si="15"/>
        <v/>
      </c>
    </row>
    <row r="254" spans="1:10">
      <c r="A254" s="7" t="str">
        <f>IF(子基金及业绩基准周净值!A282="","",子基金及业绩基准周净值!A282)</f>
        <v/>
      </c>
      <c r="B254" s="1" t="str">
        <f>IF(A254="","",VLOOKUP($A254,子基金及业绩基准周净值!$A:$AV,12))</f>
        <v/>
      </c>
      <c r="C254" s="8" t="str">
        <f t="shared" si="12"/>
        <v/>
      </c>
      <c r="D254" s="9" t="str">
        <f>IF(A254="","",C254-子基金及业绩基准周净值!AI282)</f>
        <v/>
      </c>
      <c r="E254" s="12" t="str">
        <f>IF(A254="","",(MAX(B$3:B254)-B254)/MAX(B$3:B254))</f>
        <v/>
      </c>
      <c r="F254" s="12" t="str">
        <f>IF(A254="","",MAX(E$4:E254))</f>
        <v/>
      </c>
      <c r="H254" s="14" t="str">
        <f t="shared" si="13"/>
        <v/>
      </c>
      <c r="I254" s="14" t="str">
        <f t="shared" si="14"/>
        <v/>
      </c>
      <c r="J254" s="15" t="str">
        <f t="shared" si="15"/>
        <v/>
      </c>
    </row>
    <row r="255" spans="1:10">
      <c r="A255" s="7" t="str">
        <f>IF(子基金及业绩基准周净值!A283="","",子基金及业绩基准周净值!A283)</f>
        <v/>
      </c>
      <c r="B255" s="1" t="str">
        <f>IF(A255="","",VLOOKUP($A255,子基金及业绩基准周净值!$A:$AV,12))</f>
        <v/>
      </c>
      <c r="C255" s="8" t="str">
        <f t="shared" si="12"/>
        <v/>
      </c>
      <c r="D255" s="9" t="str">
        <f>IF(A255="","",C255-子基金及业绩基准周净值!AI283)</f>
        <v/>
      </c>
      <c r="E255" s="12" t="str">
        <f>IF(A255="","",(MAX(B$3:B255)-B255)/MAX(B$3:B255))</f>
        <v/>
      </c>
      <c r="F255" s="12" t="str">
        <f>IF(A255="","",MAX(E$4:E255))</f>
        <v/>
      </c>
      <c r="H255" s="14" t="str">
        <f t="shared" si="13"/>
        <v/>
      </c>
      <c r="I255" s="14" t="str">
        <f t="shared" si="14"/>
        <v/>
      </c>
      <c r="J255" s="15" t="str">
        <f t="shared" si="15"/>
        <v/>
      </c>
    </row>
    <row r="256" spans="1:10">
      <c r="A256" s="7" t="str">
        <f>IF(子基金及业绩基准周净值!A284="","",子基金及业绩基准周净值!A284)</f>
        <v/>
      </c>
      <c r="B256" s="1" t="str">
        <f>IF(A256="","",VLOOKUP($A256,子基金及业绩基准周净值!$A:$AV,12))</f>
        <v/>
      </c>
      <c r="C256" s="8" t="str">
        <f t="shared" si="12"/>
        <v/>
      </c>
      <c r="D256" s="9" t="str">
        <f>IF(A256="","",C256-子基金及业绩基准周净值!AI284)</f>
        <v/>
      </c>
      <c r="E256" s="12" t="str">
        <f>IF(A256="","",(MAX(B$3:B256)-B256)/MAX(B$3:B256))</f>
        <v/>
      </c>
      <c r="F256" s="12" t="str">
        <f>IF(A256="","",MAX(E$4:E256))</f>
        <v/>
      </c>
      <c r="H256" s="14" t="str">
        <f t="shared" si="13"/>
        <v/>
      </c>
      <c r="I256" s="14" t="str">
        <f t="shared" si="14"/>
        <v/>
      </c>
      <c r="J256" s="15" t="str">
        <f t="shared" si="15"/>
        <v/>
      </c>
    </row>
    <row r="257" spans="1:10">
      <c r="A257" s="7" t="str">
        <f>IF(子基金及业绩基准周净值!A285="","",子基金及业绩基准周净值!A285)</f>
        <v/>
      </c>
      <c r="B257" s="1" t="str">
        <f>IF(A257="","",VLOOKUP($A257,子基金及业绩基准周净值!$A:$AV,12))</f>
        <v/>
      </c>
      <c r="C257" s="8" t="str">
        <f t="shared" si="12"/>
        <v/>
      </c>
      <c r="D257" s="9" t="str">
        <f>IF(A257="","",C257-子基金及业绩基准周净值!AI285)</f>
        <v/>
      </c>
      <c r="E257" s="12" t="str">
        <f>IF(A257="","",(MAX(B$3:B257)-B257)/MAX(B$3:B257))</f>
        <v/>
      </c>
      <c r="F257" s="12" t="str">
        <f>IF(A257="","",MAX(E$4:E257))</f>
        <v/>
      </c>
      <c r="H257" s="14" t="str">
        <f t="shared" si="13"/>
        <v/>
      </c>
      <c r="I257" s="14" t="str">
        <f t="shared" si="14"/>
        <v/>
      </c>
      <c r="J257" s="15" t="str">
        <f t="shared" si="15"/>
        <v/>
      </c>
    </row>
    <row r="258" spans="1:10">
      <c r="A258" s="7" t="str">
        <f>IF(子基金及业绩基准周净值!A286="","",子基金及业绩基准周净值!A286)</f>
        <v/>
      </c>
      <c r="B258" s="1" t="str">
        <f>IF(A258="","",VLOOKUP($A258,子基金及业绩基准周净值!$A:$AV,12))</f>
        <v/>
      </c>
      <c r="C258" s="8" t="str">
        <f t="shared" si="12"/>
        <v/>
      </c>
      <c r="D258" s="9" t="str">
        <f>IF(A258="","",C258-子基金及业绩基准周净值!AI286)</f>
        <v/>
      </c>
      <c r="E258" s="12" t="str">
        <f>IF(A258="","",(MAX(B$3:B258)-B258)/MAX(B$3:B258))</f>
        <v/>
      </c>
      <c r="F258" s="12" t="str">
        <f>IF(A258="","",MAX(E$4:E258))</f>
        <v/>
      </c>
      <c r="H258" s="14" t="str">
        <f t="shared" si="13"/>
        <v/>
      </c>
      <c r="I258" s="14" t="str">
        <f t="shared" si="14"/>
        <v/>
      </c>
      <c r="J258" s="15" t="str">
        <f t="shared" si="15"/>
        <v/>
      </c>
    </row>
    <row r="259" spans="1:10">
      <c r="A259" s="7" t="str">
        <f>IF(子基金及业绩基准周净值!A287="","",子基金及业绩基准周净值!A287)</f>
        <v/>
      </c>
      <c r="B259" s="1" t="str">
        <f>IF(A259="","",VLOOKUP($A259,子基金及业绩基准周净值!$A:$AV,12))</f>
        <v/>
      </c>
      <c r="C259" s="8" t="str">
        <f t="shared" si="12"/>
        <v/>
      </c>
      <c r="D259" s="9" t="str">
        <f>IF(A259="","",C259-子基金及业绩基准周净值!AI287)</f>
        <v/>
      </c>
      <c r="E259" s="12" t="str">
        <f>IF(A259="","",(MAX(B$3:B259)-B259)/MAX(B$3:B259))</f>
        <v/>
      </c>
      <c r="F259" s="12" t="str">
        <f>IF(A259="","",MAX(E$4:E259))</f>
        <v/>
      </c>
      <c r="H259" s="14" t="str">
        <f t="shared" si="13"/>
        <v/>
      </c>
      <c r="I259" s="14" t="str">
        <f t="shared" si="14"/>
        <v/>
      </c>
      <c r="J259" s="15" t="str">
        <f t="shared" si="15"/>
        <v/>
      </c>
    </row>
    <row r="260" spans="1:10">
      <c r="A260" s="7" t="str">
        <f>IF(子基金及业绩基准周净值!A288="","",子基金及业绩基准周净值!A288)</f>
        <v/>
      </c>
      <c r="B260" s="1" t="str">
        <f>IF(A260="","",VLOOKUP($A260,子基金及业绩基准周净值!$A:$AV,12))</f>
        <v/>
      </c>
      <c r="C260" s="8" t="str">
        <f t="shared" si="12"/>
        <v/>
      </c>
      <c r="D260" s="9" t="str">
        <f>IF(A260="","",C260-子基金及业绩基准周净值!AI288)</f>
        <v/>
      </c>
      <c r="E260" s="12" t="str">
        <f>IF(A260="","",(MAX(B$3:B260)-B260)/MAX(B$3:B260))</f>
        <v/>
      </c>
      <c r="F260" s="12" t="str">
        <f>IF(A260="","",MAX(E$4:E260))</f>
        <v/>
      </c>
      <c r="H260" s="14" t="str">
        <f t="shared" si="13"/>
        <v/>
      </c>
      <c r="I260" s="14" t="str">
        <f t="shared" si="14"/>
        <v/>
      </c>
      <c r="J260" s="15" t="str">
        <f t="shared" si="15"/>
        <v/>
      </c>
    </row>
    <row r="261" spans="1:10">
      <c r="A261" s="7" t="str">
        <f>IF(子基金及业绩基准周净值!A289="","",子基金及业绩基准周净值!A289)</f>
        <v/>
      </c>
      <c r="B261" s="1" t="str">
        <f>IF(A261="","",VLOOKUP($A261,子基金及业绩基准周净值!$A:$AV,12))</f>
        <v/>
      </c>
      <c r="C261" s="8" t="str">
        <f t="shared" ref="C261:C308" si="16">IF(A261="","",(B261-B260)/B260)</f>
        <v/>
      </c>
      <c r="D261" s="9" t="str">
        <f>IF(A261="","",C261-子基金及业绩基准周净值!AI289)</f>
        <v/>
      </c>
      <c r="E261" s="12" t="str">
        <f>IF(A261="","",(MAX(B$3:B261)-B261)/MAX(B$3:B261))</f>
        <v/>
      </c>
      <c r="F261" s="12" t="str">
        <f>IF(A261="","",MAX(E$4:E261))</f>
        <v/>
      </c>
      <c r="H261" s="14" t="str">
        <f t="shared" ref="H261:H308" si="17">IF(A261="","",IF(E261&lt;3%,"否","是"))</f>
        <v/>
      </c>
      <c r="I261" s="14" t="str">
        <f t="shared" ref="I261:I308" si="18">IF(A261="","",IF(F261&gt;5%,"是","否"))</f>
        <v/>
      </c>
      <c r="J261" s="15" t="str">
        <f t="shared" ref="J261:J308" si="19">IF(A261="","",IF(G261&gt;=4,"是","否"))</f>
        <v/>
      </c>
    </row>
    <row r="262" spans="1:10">
      <c r="A262" s="7" t="str">
        <f>IF(子基金及业绩基准周净值!A290="","",子基金及业绩基准周净值!A290)</f>
        <v/>
      </c>
      <c r="B262" s="1" t="str">
        <f>IF(A262="","",VLOOKUP($A262,子基金及业绩基准周净值!$A:$AV,12))</f>
        <v/>
      </c>
      <c r="C262" s="8" t="str">
        <f t="shared" si="16"/>
        <v/>
      </c>
      <c r="D262" s="9" t="str">
        <f>IF(A262="","",C262-子基金及业绩基准周净值!AI290)</f>
        <v/>
      </c>
      <c r="E262" s="12" t="str">
        <f>IF(A262="","",(MAX(B$3:B262)-B262)/MAX(B$3:B262))</f>
        <v/>
      </c>
      <c r="F262" s="12" t="str">
        <f>IF(A262="","",MAX(E$4:E262))</f>
        <v/>
      </c>
      <c r="H262" s="14" t="str">
        <f t="shared" si="17"/>
        <v/>
      </c>
      <c r="I262" s="14" t="str">
        <f t="shared" si="18"/>
        <v/>
      </c>
      <c r="J262" s="15" t="str">
        <f t="shared" si="19"/>
        <v/>
      </c>
    </row>
    <row r="263" spans="1:10">
      <c r="A263" s="7" t="str">
        <f>IF(子基金及业绩基准周净值!A291="","",子基金及业绩基准周净值!A291)</f>
        <v/>
      </c>
      <c r="B263" s="1" t="str">
        <f>IF(A263="","",VLOOKUP($A263,子基金及业绩基准周净值!$A:$AV,12))</f>
        <v/>
      </c>
      <c r="C263" s="8" t="str">
        <f t="shared" si="16"/>
        <v/>
      </c>
      <c r="D263" s="9" t="str">
        <f>IF(A263="","",C263-子基金及业绩基准周净值!AI291)</f>
        <v/>
      </c>
      <c r="E263" s="12" t="str">
        <f>IF(A263="","",(MAX(B$3:B263)-B263)/MAX(B$3:B263))</f>
        <v/>
      </c>
      <c r="F263" s="12" t="str">
        <f>IF(A263="","",MAX(E$4:E263))</f>
        <v/>
      </c>
      <c r="H263" s="14" t="str">
        <f t="shared" si="17"/>
        <v/>
      </c>
      <c r="I263" s="14" t="str">
        <f t="shared" si="18"/>
        <v/>
      </c>
      <c r="J263" s="15" t="str">
        <f t="shared" si="19"/>
        <v/>
      </c>
    </row>
    <row r="264" spans="1:10">
      <c r="A264" s="7" t="str">
        <f>IF(子基金及业绩基准周净值!A292="","",子基金及业绩基准周净值!A292)</f>
        <v/>
      </c>
      <c r="B264" s="1" t="str">
        <f>IF(A264="","",VLOOKUP($A264,子基金及业绩基准周净值!$A:$AV,12))</f>
        <v/>
      </c>
      <c r="C264" s="8" t="str">
        <f t="shared" si="16"/>
        <v/>
      </c>
      <c r="D264" s="9" t="str">
        <f>IF(A264="","",C264-子基金及业绩基准周净值!AI292)</f>
        <v/>
      </c>
      <c r="E264" s="12" t="str">
        <f>IF(A264="","",(MAX(B$3:B264)-B264)/MAX(B$3:B264))</f>
        <v/>
      </c>
      <c r="F264" s="12" t="str">
        <f>IF(A264="","",MAX(E$4:E264))</f>
        <v/>
      </c>
      <c r="H264" s="14" t="str">
        <f t="shared" si="17"/>
        <v/>
      </c>
      <c r="I264" s="14" t="str">
        <f t="shared" si="18"/>
        <v/>
      </c>
      <c r="J264" s="15" t="str">
        <f t="shared" si="19"/>
        <v/>
      </c>
    </row>
    <row r="265" spans="1:10">
      <c r="A265" s="7" t="str">
        <f>IF(子基金及业绩基准周净值!A293="","",子基金及业绩基准周净值!A293)</f>
        <v/>
      </c>
      <c r="B265" s="1" t="str">
        <f>IF(A265="","",VLOOKUP($A265,子基金及业绩基准周净值!$A:$AV,12))</f>
        <v/>
      </c>
      <c r="C265" s="8" t="str">
        <f t="shared" si="16"/>
        <v/>
      </c>
      <c r="D265" s="9" t="str">
        <f>IF(A265="","",C265-子基金及业绩基准周净值!AI293)</f>
        <v/>
      </c>
      <c r="E265" s="12" t="str">
        <f>IF(A265="","",(MAX(B$3:B265)-B265)/MAX(B$3:B265))</f>
        <v/>
      </c>
      <c r="F265" s="12" t="str">
        <f>IF(A265="","",MAX(E$4:E265))</f>
        <v/>
      </c>
      <c r="H265" s="14" t="str">
        <f t="shared" si="17"/>
        <v/>
      </c>
      <c r="I265" s="14" t="str">
        <f t="shared" si="18"/>
        <v/>
      </c>
      <c r="J265" s="15" t="str">
        <f t="shared" si="19"/>
        <v/>
      </c>
    </row>
    <row r="266" spans="1:10">
      <c r="A266" s="7" t="str">
        <f>IF(子基金及业绩基准周净值!A294="","",子基金及业绩基准周净值!A294)</f>
        <v/>
      </c>
      <c r="B266" s="1" t="str">
        <f>IF(A266="","",VLOOKUP($A266,子基金及业绩基准周净值!$A:$AV,12))</f>
        <v/>
      </c>
      <c r="C266" s="8" t="str">
        <f t="shared" si="16"/>
        <v/>
      </c>
      <c r="D266" s="9" t="str">
        <f>IF(A266="","",C266-子基金及业绩基准周净值!AI294)</f>
        <v/>
      </c>
      <c r="E266" s="12" t="str">
        <f>IF(A266="","",(MAX(B$3:B266)-B266)/MAX(B$3:B266))</f>
        <v/>
      </c>
      <c r="F266" s="12" t="str">
        <f>IF(A266="","",MAX(E$4:E266))</f>
        <v/>
      </c>
      <c r="H266" s="14" t="str">
        <f t="shared" si="17"/>
        <v/>
      </c>
      <c r="I266" s="14" t="str">
        <f t="shared" si="18"/>
        <v/>
      </c>
      <c r="J266" s="15" t="str">
        <f t="shared" si="19"/>
        <v/>
      </c>
    </row>
    <row r="267" spans="1:10">
      <c r="A267" s="7" t="str">
        <f>IF(子基金及业绩基准周净值!A295="","",子基金及业绩基准周净值!A295)</f>
        <v/>
      </c>
      <c r="B267" s="1" t="str">
        <f>IF(A267="","",VLOOKUP($A267,子基金及业绩基准周净值!$A:$AV,12))</f>
        <v/>
      </c>
      <c r="C267" s="8" t="str">
        <f t="shared" si="16"/>
        <v/>
      </c>
      <c r="D267" s="9" t="str">
        <f>IF(A267="","",C267-子基金及业绩基准周净值!AI295)</f>
        <v/>
      </c>
      <c r="E267" s="12" t="str">
        <f>IF(A267="","",(MAX(B$3:B267)-B267)/MAX(B$3:B267))</f>
        <v/>
      </c>
      <c r="F267" s="12" t="str">
        <f>IF(A267="","",MAX(E$4:E267))</f>
        <v/>
      </c>
      <c r="H267" s="14" t="str">
        <f t="shared" si="17"/>
        <v/>
      </c>
      <c r="I267" s="14" t="str">
        <f t="shared" si="18"/>
        <v/>
      </c>
      <c r="J267" s="15" t="str">
        <f t="shared" si="19"/>
        <v/>
      </c>
    </row>
    <row r="268" spans="1:10">
      <c r="A268" s="7" t="str">
        <f>IF(子基金及业绩基准周净值!A296="","",子基金及业绩基准周净值!A296)</f>
        <v/>
      </c>
      <c r="B268" s="1" t="str">
        <f>IF(A268="","",VLOOKUP($A268,子基金及业绩基准周净值!$A:$AV,12))</f>
        <v/>
      </c>
      <c r="C268" s="8" t="str">
        <f t="shared" si="16"/>
        <v/>
      </c>
      <c r="D268" s="9" t="str">
        <f>IF(A268="","",C268-子基金及业绩基准周净值!AI296)</f>
        <v/>
      </c>
      <c r="E268" s="12" t="str">
        <f>IF(A268="","",(MAX(B$3:B268)-B268)/MAX(B$3:B268))</f>
        <v/>
      </c>
      <c r="F268" s="12" t="str">
        <f>IF(A268="","",MAX(E$4:E268))</f>
        <v/>
      </c>
      <c r="H268" s="14" t="str">
        <f t="shared" si="17"/>
        <v/>
      </c>
      <c r="I268" s="14" t="str">
        <f t="shared" si="18"/>
        <v/>
      </c>
      <c r="J268" s="15" t="str">
        <f t="shared" si="19"/>
        <v/>
      </c>
    </row>
    <row r="269" spans="1:10">
      <c r="A269" s="7" t="str">
        <f>IF(子基金及业绩基准周净值!A297="","",子基金及业绩基准周净值!A297)</f>
        <v/>
      </c>
      <c r="B269" s="1" t="str">
        <f>IF(A269="","",VLOOKUP($A269,子基金及业绩基准周净值!$A:$AV,12))</f>
        <v/>
      </c>
      <c r="C269" s="8" t="str">
        <f t="shared" si="16"/>
        <v/>
      </c>
      <c r="D269" s="9" t="str">
        <f>IF(A269="","",C269-子基金及业绩基准周净值!AI297)</f>
        <v/>
      </c>
      <c r="E269" s="12" t="str">
        <f>IF(A269="","",(MAX(B$3:B269)-B269)/MAX(B$3:B269))</f>
        <v/>
      </c>
      <c r="F269" s="12" t="str">
        <f>IF(A269="","",MAX(E$4:E269))</f>
        <v/>
      </c>
      <c r="H269" s="14" t="str">
        <f t="shared" si="17"/>
        <v/>
      </c>
      <c r="I269" s="14" t="str">
        <f t="shared" si="18"/>
        <v/>
      </c>
      <c r="J269" s="15" t="str">
        <f t="shared" si="19"/>
        <v/>
      </c>
    </row>
    <row r="270" spans="1:10">
      <c r="A270" s="7" t="str">
        <f>IF(子基金及业绩基准周净值!A298="","",子基金及业绩基准周净值!A298)</f>
        <v/>
      </c>
      <c r="B270" s="1" t="str">
        <f>IF(A270="","",VLOOKUP($A270,子基金及业绩基准周净值!$A:$AV,12))</f>
        <v/>
      </c>
      <c r="C270" s="8" t="str">
        <f t="shared" si="16"/>
        <v/>
      </c>
      <c r="D270" s="9" t="str">
        <f>IF(A270="","",C270-子基金及业绩基准周净值!AI298)</f>
        <v/>
      </c>
      <c r="E270" s="12" t="str">
        <f>IF(A270="","",(MAX(B$3:B270)-B270)/MAX(B$3:B270))</f>
        <v/>
      </c>
      <c r="F270" s="12" t="str">
        <f>IF(A270="","",MAX(E$4:E270))</f>
        <v/>
      </c>
      <c r="H270" s="14" t="str">
        <f t="shared" si="17"/>
        <v/>
      </c>
      <c r="I270" s="14" t="str">
        <f t="shared" si="18"/>
        <v/>
      </c>
      <c r="J270" s="15" t="str">
        <f t="shared" si="19"/>
        <v/>
      </c>
    </row>
    <row r="271" spans="1:10">
      <c r="A271" s="7" t="str">
        <f>IF(子基金及业绩基准周净值!A299="","",子基金及业绩基准周净值!A299)</f>
        <v/>
      </c>
      <c r="B271" s="1" t="str">
        <f>IF(A271="","",VLOOKUP($A271,子基金及业绩基准周净值!$A:$AV,12))</f>
        <v/>
      </c>
      <c r="C271" s="8" t="str">
        <f t="shared" si="16"/>
        <v/>
      </c>
      <c r="D271" s="9" t="str">
        <f>IF(A271="","",C271-子基金及业绩基准周净值!AI299)</f>
        <v/>
      </c>
      <c r="E271" s="12" t="str">
        <f>IF(A271="","",(MAX(B$3:B271)-B271)/MAX(B$3:B271))</f>
        <v/>
      </c>
      <c r="F271" s="12" t="str">
        <f>IF(A271="","",MAX(E$4:E271))</f>
        <v/>
      </c>
      <c r="H271" s="14" t="str">
        <f t="shared" si="17"/>
        <v/>
      </c>
      <c r="I271" s="14" t="str">
        <f t="shared" si="18"/>
        <v/>
      </c>
      <c r="J271" s="15" t="str">
        <f t="shared" si="19"/>
        <v/>
      </c>
    </row>
    <row r="272" spans="1:10">
      <c r="A272" s="7" t="str">
        <f>IF(子基金及业绩基准周净值!A300="","",子基金及业绩基准周净值!A300)</f>
        <v/>
      </c>
      <c r="B272" s="1" t="str">
        <f>IF(A272="","",VLOOKUP($A272,子基金及业绩基准周净值!$A:$AV,12))</f>
        <v/>
      </c>
      <c r="C272" s="8" t="str">
        <f t="shared" si="16"/>
        <v/>
      </c>
      <c r="D272" s="9" t="str">
        <f>IF(A272="","",C272-子基金及业绩基准周净值!AI300)</f>
        <v/>
      </c>
      <c r="E272" s="12" t="str">
        <f>IF(A272="","",(MAX(B$3:B272)-B272)/MAX(B$3:B272))</f>
        <v/>
      </c>
      <c r="F272" s="12" t="str">
        <f>IF(A272="","",MAX(E$4:E272))</f>
        <v/>
      </c>
      <c r="H272" s="14" t="str">
        <f t="shared" si="17"/>
        <v/>
      </c>
      <c r="I272" s="14" t="str">
        <f t="shared" si="18"/>
        <v/>
      </c>
      <c r="J272" s="15" t="str">
        <f t="shared" si="19"/>
        <v/>
      </c>
    </row>
    <row r="273" spans="1:10">
      <c r="A273" s="7" t="str">
        <f>IF(子基金及业绩基准周净值!A301="","",子基金及业绩基准周净值!A301)</f>
        <v/>
      </c>
      <c r="B273" s="1" t="str">
        <f>IF(A273="","",VLOOKUP($A273,子基金及业绩基准周净值!$A:$AV,12))</f>
        <v/>
      </c>
      <c r="C273" s="8" t="str">
        <f t="shared" si="16"/>
        <v/>
      </c>
      <c r="D273" s="9" t="str">
        <f>IF(A273="","",C273-子基金及业绩基准周净值!AI301)</f>
        <v/>
      </c>
      <c r="E273" s="12" t="str">
        <f>IF(A273="","",(MAX(B$3:B273)-B273)/MAX(B$3:B273))</f>
        <v/>
      </c>
      <c r="F273" s="12" t="str">
        <f>IF(A273="","",MAX(E$4:E273))</f>
        <v/>
      </c>
      <c r="H273" s="14" t="str">
        <f t="shared" si="17"/>
        <v/>
      </c>
      <c r="I273" s="14" t="str">
        <f t="shared" si="18"/>
        <v/>
      </c>
      <c r="J273" s="15" t="str">
        <f t="shared" si="19"/>
        <v/>
      </c>
    </row>
    <row r="274" spans="1:10">
      <c r="A274" s="7" t="str">
        <f>IF(子基金及业绩基准周净值!A302="","",子基金及业绩基准周净值!A302)</f>
        <v/>
      </c>
      <c r="B274" s="1" t="str">
        <f>IF(A274="","",VLOOKUP($A274,子基金及业绩基准周净值!$A:$AV,12))</f>
        <v/>
      </c>
      <c r="C274" s="8" t="str">
        <f t="shared" si="16"/>
        <v/>
      </c>
      <c r="D274" s="9" t="str">
        <f>IF(A274="","",C274-子基金及业绩基准周净值!AI302)</f>
        <v/>
      </c>
      <c r="E274" s="12" t="str">
        <f>IF(A274="","",(MAX(B$3:B274)-B274)/MAX(B$3:B274))</f>
        <v/>
      </c>
      <c r="F274" s="12" t="str">
        <f>IF(A274="","",MAX(E$4:E274))</f>
        <v/>
      </c>
      <c r="H274" s="14" t="str">
        <f t="shared" si="17"/>
        <v/>
      </c>
      <c r="I274" s="14" t="str">
        <f t="shared" si="18"/>
        <v/>
      </c>
      <c r="J274" s="15" t="str">
        <f t="shared" si="19"/>
        <v/>
      </c>
    </row>
    <row r="275" spans="1:10">
      <c r="A275" s="7" t="str">
        <f>IF(子基金及业绩基准周净值!A303="","",子基金及业绩基准周净值!A303)</f>
        <v/>
      </c>
      <c r="B275" s="1" t="str">
        <f>IF(A275="","",VLOOKUP($A275,子基金及业绩基准周净值!$A:$AV,12))</f>
        <v/>
      </c>
      <c r="C275" s="8" t="str">
        <f t="shared" si="16"/>
        <v/>
      </c>
      <c r="D275" s="9" t="str">
        <f>IF(A275="","",C275-子基金及业绩基准周净值!AI303)</f>
        <v/>
      </c>
      <c r="E275" s="12" t="str">
        <f>IF(A275="","",(MAX(B$3:B275)-B275)/MAX(B$3:B275))</f>
        <v/>
      </c>
      <c r="F275" s="12" t="str">
        <f>IF(A275="","",MAX(E$4:E275))</f>
        <v/>
      </c>
      <c r="H275" s="14" t="str">
        <f t="shared" si="17"/>
        <v/>
      </c>
      <c r="I275" s="14" t="str">
        <f t="shared" si="18"/>
        <v/>
      </c>
      <c r="J275" s="15" t="str">
        <f t="shared" si="19"/>
        <v/>
      </c>
    </row>
    <row r="276" spans="1:10">
      <c r="A276" s="7" t="str">
        <f>IF(子基金及业绩基准周净值!A304="","",子基金及业绩基准周净值!A304)</f>
        <v/>
      </c>
      <c r="B276" s="1" t="str">
        <f>IF(A276="","",VLOOKUP($A276,子基金及业绩基准周净值!$A:$AV,12))</f>
        <v/>
      </c>
      <c r="C276" s="8" t="str">
        <f t="shared" si="16"/>
        <v/>
      </c>
      <c r="D276" s="9" t="str">
        <f>IF(A276="","",C276-子基金及业绩基准周净值!AI304)</f>
        <v/>
      </c>
      <c r="E276" s="12" t="str">
        <f>IF(A276="","",(MAX(B$3:B276)-B276)/MAX(B$3:B276))</f>
        <v/>
      </c>
      <c r="F276" s="12" t="str">
        <f>IF(A276="","",MAX(E$4:E276))</f>
        <v/>
      </c>
      <c r="H276" s="14" t="str">
        <f t="shared" si="17"/>
        <v/>
      </c>
      <c r="I276" s="14" t="str">
        <f t="shared" si="18"/>
        <v/>
      </c>
      <c r="J276" s="15" t="str">
        <f t="shared" si="19"/>
        <v/>
      </c>
    </row>
    <row r="277" spans="1:10">
      <c r="A277" s="7" t="str">
        <f>IF(子基金及业绩基准周净值!A305="","",子基金及业绩基准周净值!A305)</f>
        <v/>
      </c>
      <c r="B277" s="1" t="str">
        <f>IF(A277="","",VLOOKUP($A277,子基金及业绩基准周净值!$A:$AV,12))</f>
        <v/>
      </c>
      <c r="C277" s="8" t="str">
        <f t="shared" si="16"/>
        <v/>
      </c>
      <c r="D277" s="9" t="str">
        <f>IF(A277="","",C277-子基金及业绩基准周净值!AI305)</f>
        <v/>
      </c>
      <c r="E277" s="12" t="str">
        <f>IF(A277="","",(MAX(B$3:B277)-B277)/MAX(B$3:B277))</f>
        <v/>
      </c>
      <c r="F277" s="12" t="str">
        <f>IF(A277="","",MAX(E$4:E277))</f>
        <v/>
      </c>
      <c r="H277" s="14" t="str">
        <f t="shared" si="17"/>
        <v/>
      </c>
      <c r="I277" s="14" t="str">
        <f t="shared" si="18"/>
        <v/>
      </c>
      <c r="J277" s="15" t="str">
        <f t="shared" si="19"/>
        <v/>
      </c>
    </row>
    <row r="278" spans="1:10">
      <c r="A278" s="7" t="str">
        <f>IF(子基金及业绩基准周净值!A306="","",子基金及业绩基准周净值!A306)</f>
        <v/>
      </c>
      <c r="B278" s="1" t="str">
        <f>IF(A278="","",VLOOKUP($A278,子基金及业绩基准周净值!$A:$AV,12))</f>
        <v/>
      </c>
      <c r="C278" s="8" t="str">
        <f t="shared" si="16"/>
        <v/>
      </c>
      <c r="D278" s="9" t="str">
        <f>IF(A278="","",C278-子基金及业绩基准周净值!AI306)</f>
        <v/>
      </c>
      <c r="E278" s="12" t="str">
        <f>IF(A278="","",(MAX(B$3:B278)-B278)/MAX(B$3:B278))</f>
        <v/>
      </c>
      <c r="F278" s="12" t="str">
        <f>IF(A278="","",MAX(E$4:E278))</f>
        <v/>
      </c>
      <c r="H278" s="14" t="str">
        <f t="shared" si="17"/>
        <v/>
      </c>
      <c r="I278" s="14" t="str">
        <f t="shared" si="18"/>
        <v/>
      </c>
      <c r="J278" s="15" t="str">
        <f t="shared" si="19"/>
        <v/>
      </c>
    </row>
    <row r="279" spans="1:10">
      <c r="A279" s="7" t="str">
        <f>IF(子基金及业绩基准周净值!A307="","",子基金及业绩基准周净值!A307)</f>
        <v/>
      </c>
      <c r="B279" s="1" t="str">
        <f>IF(A279="","",VLOOKUP($A279,子基金及业绩基准周净值!$A:$AV,12))</f>
        <v/>
      </c>
      <c r="C279" s="8" t="str">
        <f t="shared" si="16"/>
        <v/>
      </c>
      <c r="D279" s="9" t="str">
        <f>IF(A279="","",C279-子基金及业绩基准周净值!AI307)</f>
        <v/>
      </c>
      <c r="E279" s="12" t="str">
        <f>IF(A279="","",(MAX(B$3:B279)-B279)/MAX(B$3:B279))</f>
        <v/>
      </c>
      <c r="F279" s="12" t="str">
        <f>IF(A279="","",MAX(E$4:E279))</f>
        <v/>
      </c>
      <c r="H279" s="14" t="str">
        <f t="shared" si="17"/>
        <v/>
      </c>
      <c r="I279" s="14" t="str">
        <f t="shared" si="18"/>
        <v/>
      </c>
      <c r="J279" s="15" t="str">
        <f t="shared" si="19"/>
        <v/>
      </c>
    </row>
    <row r="280" spans="1:10">
      <c r="A280" s="7" t="str">
        <f>IF(子基金及业绩基准周净值!A308="","",子基金及业绩基准周净值!A308)</f>
        <v/>
      </c>
      <c r="B280" s="1" t="str">
        <f>IF(A280="","",VLOOKUP($A280,子基金及业绩基准周净值!$A:$AV,12))</f>
        <v/>
      </c>
      <c r="C280" s="8" t="str">
        <f t="shared" si="16"/>
        <v/>
      </c>
      <c r="D280" s="9" t="str">
        <f>IF(A280="","",C280-子基金及业绩基准周净值!AI308)</f>
        <v/>
      </c>
      <c r="E280" s="12" t="str">
        <f>IF(A280="","",(MAX(B$3:B280)-B280)/MAX(B$3:B280))</f>
        <v/>
      </c>
      <c r="F280" s="12" t="str">
        <f>IF(A280="","",MAX(E$4:E280))</f>
        <v/>
      </c>
      <c r="H280" s="14" t="str">
        <f t="shared" si="17"/>
        <v/>
      </c>
      <c r="I280" s="14" t="str">
        <f t="shared" si="18"/>
        <v/>
      </c>
      <c r="J280" s="15" t="str">
        <f t="shared" si="19"/>
        <v/>
      </c>
    </row>
    <row r="281" spans="1:10">
      <c r="A281" s="7" t="str">
        <f>IF(子基金及业绩基准周净值!A309="","",子基金及业绩基准周净值!A309)</f>
        <v/>
      </c>
      <c r="B281" s="1" t="str">
        <f>IF(A281="","",VLOOKUP($A281,子基金及业绩基准周净值!$A:$AV,12))</f>
        <v/>
      </c>
      <c r="C281" s="8" t="str">
        <f t="shared" si="16"/>
        <v/>
      </c>
      <c r="D281" s="9" t="str">
        <f>IF(A281="","",C281-子基金及业绩基准周净值!AI309)</f>
        <v/>
      </c>
      <c r="E281" s="12" t="str">
        <f>IF(A281="","",(MAX(B$3:B281)-B281)/MAX(B$3:B281))</f>
        <v/>
      </c>
      <c r="F281" s="12" t="str">
        <f>IF(A281="","",MAX(E$4:E281))</f>
        <v/>
      </c>
      <c r="H281" s="14" t="str">
        <f t="shared" si="17"/>
        <v/>
      </c>
      <c r="I281" s="14" t="str">
        <f t="shared" si="18"/>
        <v/>
      </c>
      <c r="J281" s="15" t="str">
        <f t="shared" si="19"/>
        <v/>
      </c>
    </row>
    <row r="282" spans="1:10">
      <c r="A282" s="7" t="str">
        <f>IF(子基金及业绩基准周净值!A310="","",子基金及业绩基准周净值!A310)</f>
        <v/>
      </c>
      <c r="B282" s="1" t="str">
        <f>IF(A282="","",VLOOKUP($A282,子基金及业绩基准周净值!$A:$AV,12))</f>
        <v/>
      </c>
      <c r="C282" s="8" t="str">
        <f t="shared" si="16"/>
        <v/>
      </c>
      <c r="D282" s="9" t="str">
        <f>IF(A282="","",C282-子基金及业绩基准周净值!AI310)</f>
        <v/>
      </c>
      <c r="E282" s="12" t="str">
        <f>IF(A282="","",(MAX(B$3:B282)-B282)/MAX(B$3:B282))</f>
        <v/>
      </c>
      <c r="F282" s="12" t="str">
        <f>IF(A282="","",MAX(E$4:E282))</f>
        <v/>
      </c>
      <c r="H282" s="14" t="str">
        <f t="shared" si="17"/>
        <v/>
      </c>
      <c r="I282" s="14" t="str">
        <f t="shared" si="18"/>
        <v/>
      </c>
      <c r="J282" s="15" t="str">
        <f t="shared" si="19"/>
        <v/>
      </c>
    </row>
    <row r="283" spans="1:10">
      <c r="A283" s="7" t="str">
        <f>IF(子基金及业绩基准周净值!A311="","",子基金及业绩基准周净值!A311)</f>
        <v/>
      </c>
      <c r="B283" s="1" t="str">
        <f>IF(A283="","",VLOOKUP($A283,子基金及业绩基准周净值!$A:$AV,12))</f>
        <v/>
      </c>
      <c r="C283" s="8" t="str">
        <f t="shared" si="16"/>
        <v/>
      </c>
      <c r="D283" s="9" t="str">
        <f>IF(A283="","",C283-子基金及业绩基准周净值!AI311)</f>
        <v/>
      </c>
      <c r="E283" s="12" t="str">
        <f>IF(A283="","",(MAX(B$3:B283)-B283)/MAX(B$3:B283))</f>
        <v/>
      </c>
      <c r="F283" s="12" t="str">
        <f>IF(A283="","",MAX(E$4:E283))</f>
        <v/>
      </c>
      <c r="H283" s="14" t="str">
        <f t="shared" si="17"/>
        <v/>
      </c>
      <c r="I283" s="14" t="str">
        <f t="shared" si="18"/>
        <v/>
      </c>
      <c r="J283" s="15" t="str">
        <f t="shared" si="19"/>
        <v/>
      </c>
    </row>
    <row r="284" spans="1:10">
      <c r="A284" s="7" t="str">
        <f>IF(子基金及业绩基准周净值!A312="","",子基金及业绩基准周净值!A312)</f>
        <v/>
      </c>
      <c r="B284" s="1" t="str">
        <f>IF(A284="","",VLOOKUP($A284,子基金及业绩基准周净值!$A:$AV,12))</f>
        <v/>
      </c>
      <c r="C284" s="8" t="str">
        <f t="shared" si="16"/>
        <v/>
      </c>
      <c r="D284" s="9" t="str">
        <f>IF(A284="","",C284-子基金及业绩基准周净值!AI312)</f>
        <v/>
      </c>
      <c r="E284" s="12" t="str">
        <f>IF(A284="","",(MAX(B$3:B284)-B284)/MAX(B$3:B284))</f>
        <v/>
      </c>
      <c r="F284" s="12" t="str">
        <f>IF(A284="","",MAX(E$4:E284))</f>
        <v/>
      </c>
      <c r="H284" s="14" t="str">
        <f t="shared" si="17"/>
        <v/>
      </c>
      <c r="I284" s="14" t="str">
        <f t="shared" si="18"/>
        <v/>
      </c>
      <c r="J284" s="15" t="str">
        <f t="shared" si="19"/>
        <v/>
      </c>
    </row>
    <row r="285" spans="1:10">
      <c r="A285" s="7" t="str">
        <f>IF(子基金及业绩基准周净值!A313="","",子基金及业绩基准周净值!A313)</f>
        <v/>
      </c>
      <c r="B285" s="1" t="str">
        <f>IF(A285="","",VLOOKUP($A285,子基金及业绩基准周净值!$A:$AV,12))</f>
        <v/>
      </c>
      <c r="C285" s="8" t="str">
        <f t="shared" si="16"/>
        <v/>
      </c>
      <c r="D285" s="9" t="str">
        <f>IF(A285="","",C285-子基金及业绩基准周净值!AI313)</f>
        <v/>
      </c>
      <c r="E285" s="12" t="str">
        <f>IF(A285="","",(MAX(B$3:B285)-B285)/MAX(B$3:B285))</f>
        <v/>
      </c>
      <c r="F285" s="12" t="str">
        <f>IF(A285="","",MAX(E$4:E285))</f>
        <v/>
      </c>
      <c r="H285" s="14" t="str">
        <f t="shared" si="17"/>
        <v/>
      </c>
      <c r="I285" s="14" t="str">
        <f t="shared" si="18"/>
        <v/>
      </c>
      <c r="J285" s="15" t="str">
        <f t="shared" si="19"/>
        <v/>
      </c>
    </row>
    <row r="286" spans="1:10">
      <c r="A286" s="7" t="str">
        <f>IF(子基金及业绩基准周净值!A314="","",子基金及业绩基准周净值!A314)</f>
        <v/>
      </c>
      <c r="B286" s="1" t="str">
        <f>IF(A286="","",VLOOKUP($A286,子基金及业绩基准周净值!$A:$AV,12))</f>
        <v/>
      </c>
      <c r="C286" s="8" t="str">
        <f t="shared" si="16"/>
        <v/>
      </c>
      <c r="D286" s="9" t="str">
        <f>IF(A286="","",C286-子基金及业绩基准周净值!AI314)</f>
        <v/>
      </c>
      <c r="E286" s="12" t="str">
        <f>IF(A286="","",(MAX(B$3:B286)-B286)/MAX(B$3:B286))</f>
        <v/>
      </c>
      <c r="F286" s="12" t="str">
        <f>IF(A286="","",MAX(E$4:E286))</f>
        <v/>
      </c>
      <c r="H286" s="14" t="str">
        <f t="shared" si="17"/>
        <v/>
      </c>
      <c r="I286" s="14" t="str">
        <f t="shared" si="18"/>
        <v/>
      </c>
      <c r="J286" s="15" t="str">
        <f t="shared" si="19"/>
        <v/>
      </c>
    </row>
    <row r="287" spans="1:10">
      <c r="A287" s="7" t="str">
        <f>IF(子基金及业绩基准周净值!A315="","",子基金及业绩基准周净值!A315)</f>
        <v/>
      </c>
      <c r="B287" s="1" t="str">
        <f>IF(A287="","",VLOOKUP($A287,子基金及业绩基准周净值!$A:$AV,12))</f>
        <v/>
      </c>
      <c r="C287" s="8" t="str">
        <f t="shared" si="16"/>
        <v/>
      </c>
      <c r="D287" s="9" t="str">
        <f>IF(A287="","",C287-子基金及业绩基准周净值!AI315)</f>
        <v/>
      </c>
      <c r="E287" s="12" t="str">
        <f>IF(A287="","",(MAX(B$3:B287)-B287)/MAX(B$3:B287))</f>
        <v/>
      </c>
      <c r="F287" s="12" t="str">
        <f>IF(A287="","",MAX(E$4:E287))</f>
        <v/>
      </c>
      <c r="H287" s="14" t="str">
        <f t="shared" si="17"/>
        <v/>
      </c>
      <c r="I287" s="14" t="str">
        <f t="shared" si="18"/>
        <v/>
      </c>
      <c r="J287" s="15" t="str">
        <f t="shared" si="19"/>
        <v/>
      </c>
    </row>
    <row r="288" spans="1:10">
      <c r="A288" s="7" t="str">
        <f>IF(子基金及业绩基准周净值!A316="","",子基金及业绩基准周净值!A316)</f>
        <v/>
      </c>
      <c r="B288" s="1" t="str">
        <f>IF(A288="","",VLOOKUP($A288,子基金及业绩基准周净值!$A:$AV,12))</f>
        <v/>
      </c>
      <c r="C288" s="8" t="str">
        <f t="shared" si="16"/>
        <v/>
      </c>
      <c r="D288" s="9" t="str">
        <f>IF(A288="","",C288-子基金及业绩基准周净值!AI316)</f>
        <v/>
      </c>
      <c r="E288" s="12" t="str">
        <f>IF(A288="","",(MAX(B$3:B288)-B288)/MAX(B$3:B288))</f>
        <v/>
      </c>
      <c r="F288" s="12" t="str">
        <f>IF(A288="","",MAX(E$4:E288))</f>
        <v/>
      </c>
      <c r="H288" s="14" t="str">
        <f t="shared" si="17"/>
        <v/>
      </c>
      <c r="I288" s="14" t="str">
        <f t="shared" si="18"/>
        <v/>
      </c>
      <c r="J288" s="15" t="str">
        <f t="shared" si="19"/>
        <v/>
      </c>
    </row>
    <row r="289" spans="1:10">
      <c r="A289" s="7" t="str">
        <f>IF(子基金及业绩基准周净值!A317="","",子基金及业绩基准周净值!A317)</f>
        <v/>
      </c>
      <c r="B289" s="1" t="str">
        <f>IF(A289="","",VLOOKUP($A289,子基金及业绩基准周净值!$A:$AV,12))</f>
        <v/>
      </c>
      <c r="C289" s="8" t="str">
        <f t="shared" si="16"/>
        <v/>
      </c>
      <c r="D289" s="9" t="str">
        <f>IF(A289="","",C289-子基金及业绩基准周净值!AI317)</f>
        <v/>
      </c>
      <c r="E289" s="12" t="str">
        <f>IF(A289="","",(MAX(B$3:B289)-B289)/MAX(B$3:B289))</f>
        <v/>
      </c>
      <c r="F289" s="12" t="str">
        <f>IF(A289="","",MAX(E$4:E289))</f>
        <v/>
      </c>
      <c r="H289" s="14" t="str">
        <f t="shared" si="17"/>
        <v/>
      </c>
      <c r="I289" s="14" t="str">
        <f t="shared" si="18"/>
        <v/>
      </c>
      <c r="J289" s="15" t="str">
        <f t="shared" si="19"/>
        <v/>
      </c>
    </row>
    <row r="290" spans="1:10">
      <c r="A290" s="7" t="str">
        <f>IF(子基金及业绩基准周净值!A318="","",子基金及业绩基准周净值!A318)</f>
        <v/>
      </c>
      <c r="B290" s="1" t="str">
        <f>IF(A290="","",VLOOKUP($A290,子基金及业绩基准周净值!$A:$AV,12))</f>
        <v/>
      </c>
      <c r="C290" s="8" t="str">
        <f t="shared" si="16"/>
        <v/>
      </c>
      <c r="D290" s="9" t="str">
        <f>IF(A290="","",C290-子基金及业绩基准周净值!AI318)</f>
        <v/>
      </c>
      <c r="E290" s="12" t="str">
        <f>IF(A290="","",(MAX(B$3:B290)-B290)/MAX(B$3:B290))</f>
        <v/>
      </c>
      <c r="F290" s="12" t="str">
        <f>IF(A290="","",MAX(E$4:E290))</f>
        <v/>
      </c>
      <c r="H290" s="14" t="str">
        <f t="shared" si="17"/>
        <v/>
      </c>
      <c r="I290" s="14" t="str">
        <f t="shared" si="18"/>
        <v/>
      </c>
      <c r="J290" s="15" t="str">
        <f t="shared" si="19"/>
        <v/>
      </c>
    </row>
    <row r="291" spans="1:10">
      <c r="A291" s="7" t="str">
        <f>IF(子基金及业绩基准周净值!A319="","",子基金及业绩基准周净值!A319)</f>
        <v/>
      </c>
      <c r="B291" s="1" t="str">
        <f>IF(A291="","",VLOOKUP($A291,子基金及业绩基准周净值!$A:$AV,12))</f>
        <v/>
      </c>
      <c r="C291" s="8" t="str">
        <f t="shared" si="16"/>
        <v/>
      </c>
      <c r="D291" s="9" t="str">
        <f>IF(A291="","",C291-子基金及业绩基准周净值!AI319)</f>
        <v/>
      </c>
      <c r="E291" s="12" t="str">
        <f>IF(A291="","",(MAX(B$3:B291)-B291)/MAX(B$3:B291))</f>
        <v/>
      </c>
      <c r="F291" s="12" t="str">
        <f>IF(A291="","",MAX(E$4:E291))</f>
        <v/>
      </c>
      <c r="H291" s="14" t="str">
        <f t="shared" si="17"/>
        <v/>
      </c>
      <c r="I291" s="14" t="str">
        <f t="shared" si="18"/>
        <v/>
      </c>
      <c r="J291" s="15" t="str">
        <f t="shared" si="19"/>
        <v/>
      </c>
    </row>
    <row r="292" spans="1:10">
      <c r="A292" s="7" t="str">
        <f>IF(子基金及业绩基准周净值!A320="","",子基金及业绩基准周净值!A320)</f>
        <v/>
      </c>
      <c r="B292" s="1" t="str">
        <f>IF(A292="","",VLOOKUP($A292,子基金及业绩基准周净值!$A:$AV,12))</f>
        <v/>
      </c>
      <c r="C292" s="8" t="str">
        <f t="shared" si="16"/>
        <v/>
      </c>
      <c r="D292" s="9" t="str">
        <f>IF(A292="","",C292-子基金及业绩基准周净值!AI320)</f>
        <v/>
      </c>
      <c r="E292" s="12" t="str">
        <f>IF(A292="","",(MAX(B$3:B292)-B292)/MAX(B$3:B292))</f>
        <v/>
      </c>
      <c r="F292" s="12" t="str">
        <f>IF(A292="","",MAX(E$4:E292))</f>
        <v/>
      </c>
      <c r="H292" s="14" t="str">
        <f t="shared" si="17"/>
        <v/>
      </c>
      <c r="I292" s="14" t="str">
        <f t="shared" si="18"/>
        <v/>
      </c>
      <c r="J292" s="15" t="str">
        <f t="shared" si="19"/>
        <v/>
      </c>
    </row>
    <row r="293" spans="1:10">
      <c r="A293" s="7" t="str">
        <f>IF(子基金及业绩基准周净值!A321="","",子基金及业绩基准周净值!A321)</f>
        <v/>
      </c>
      <c r="B293" s="1" t="str">
        <f>IF(A293="","",VLOOKUP($A293,子基金及业绩基准周净值!$A:$AV,12))</f>
        <v/>
      </c>
      <c r="C293" s="8" t="str">
        <f t="shared" si="16"/>
        <v/>
      </c>
      <c r="D293" s="9" t="str">
        <f>IF(A293="","",C293-子基金及业绩基准周净值!AI321)</f>
        <v/>
      </c>
      <c r="E293" s="12" t="str">
        <f>IF(A293="","",(MAX(B$3:B293)-B293)/MAX(B$3:B293))</f>
        <v/>
      </c>
      <c r="F293" s="12" t="str">
        <f>IF(A293="","",MAX(E$4:E293))</f>
        <v/>
      </c>
      <c r="H293" s="14" t="str">
        <f t="shared" si="17"/>
        <v/>
      </c>
      <c r="I293" s="14" t="str">
        <f t="shared" si="18"/>
        <v/>
      </c>
      <c r="J293" s="15" t="str">
        <f t="shared" si="19"/>
        <v/>
      </c>
    </row>
    <row r="294" spans="1:10">
      <c r="A294" s="7" t="str">
        <f>IF(子基金及业绩基准周净值!A322="","",子基金及业绩基准周净值!A322)</f>
        <v/>
      </c>
      <c r="B294" s="1" t="str">
        <f>IF(A294="","",VLOOKUP($A294,子基金及业绩基准周净值!$A:$AV,12))</f>
        <v/>
      </c>
      <c r="C294" s="8" t="str">
        <f t="shared" si="16"/>
        <v/>
      </c>
      <c r="D294" s="9" t="str">
        <f>IF(A294="","",C294-子基金及业绩基准周净值!AI322)</f>
        <v/>
      </c>
      <c r="E294" s="12" t="str">
        <f>IF(A294="","",(MAX(B$3:B294)-B294)/MAX(B$3:B294))</f>
        <v/>
      </c>
      <c r="F294" s="12" t="str">
        <f>IF(A294="","",MAX(E$4:E294))</f>
        <v/>
      </c>
      <c r="H294" s="14" t="str">
        <f t="shared" si="17"/>
        <v/>
      </c>
      <c r="I294" s="14" t="str">
        <f t="shared" si="18"/>
        <v/>
      </c>
      <c r="J294" s="15" t="str">
        <f t="shared" si="19"/>
        <v/>
      </c>
    </row>
    <row r="295" spans="1:10">
      <c r="A295" s="7" t="str">
        <f>IF(子基金及业绩基准周净值!A323="","",子基金及业绩基准周净值!A323)</f>
        <v/>
      </c>
      <c r="B295" s="1" t="str">
        <f>IF(A295="","",VLOOKUP($A295,子基金及业绩基准周净值!$A:$AV,12))</f>
        <v/>
      </c>
      <c r="C295" s="8" t="str">
        <f t="shared" si="16"/>
        <v/>
      </c>
      <c r="D295" s="9" t="str">
        <f>IF(A295="","",C295-子基金及业绩基准周净值!AI323)</f>
        <v/>
      </c>
      <c r="E295" s="12" t="str">
        <f>IF(A295="","",(MAX(B$3:B295)-B295)/MAX(B$3:B295))</f>
        <v/>
      </c>
      <c r="F295" s="12" t="str">
        <f>IF(A295="","",MAX(E$4:E295))</f>
        <v/>
      </c>
      <c r="H295" s="14" t="str">
        <f t="shared" si="17"/>
        <v/>
      </c>
      <c r="I295" s="14" t="str">
        <f t="shared" si="18"/>
        <v/>
      </c>
      <c r="J295" s="15" t="str">
        <f t="shared" si="19"/>
        <v/>
      </c>
    </row>
    <row r="296" spans="1:10">
      <c r="A296" s="7" t="str">
        <f>IF(子基金及业绩基准周净值!A324="","",子基金及业绩基准周净值!A324)</f>
        <v/>
      </c>
      <c r="B296" s="1" t="str">
        <f>IF(A296="","",VLOOKUP($A296,子基金及业绩基准周净值!$A:$AV,12))</f>
        <v/>
      </c>
      <c r="C296" s="8" t="str">
        <f t="shared" si="16"/>
        <v/>
      </c>
      <c r="D296" s="9" t="str">
        <f>IF(A296="","",C296-子基金及业绩基准周净值!AI324)</f>
        <v/>
      </c>
      <c r="E296" s="12" t="str">
        <f>IF(A296="","",(MAX(B$3:B296)-B296)/MAX(B$3:B296))</f>
        <v/>
      </c>
      <c r="F296" s="12" t="str">
        <f>IF(A296="","",MAX(E$4:E296))</f>
        <v/>
      </c>
      <c r="H296" s="14" t="str">
        <f t="shared" si="17"/>
        <v/>
      </c>
      <c r="I296" s="14" t="str">
        <f t="shared" si="18"/>
        <v/>
      </c>
      <c r="J296" s="15" t="str">
        <f t="shared" si="19"/>
        <v/>
      </c>
    </row>
    <row r="297" spans="1:10">
      <c r="A297" s="7" t="str">
        <f>IF(子基金及业绩基准周净值!A325="","",子基金及业绩基准周净值!A325)</f>
        <v/>
      </c>
      <c r="B297" s="1" t="str">
        <f>IF(A297="","",VLOOKUP($A297,子基金及业绩基准周净值!$A:$AV,12))</f>
        <v/>
      </c>
      <c r="C297" s="8" t="str">
        <f t="shared" si="16"/>
        <v/>
      </c>
      <c r="D297" s="9" t="str">
        <f>IF(A297="","",C297-子基金及业绩基准周净值!AI325)</f>
        <v/>
      </c>
      <c r="E297" s="12" t="str">
        <f>IF(A297="","",(MAX(B$3:B297)-B297)/MAX(B$3:B297))</f>
        <v/>
      </c>
      <c r="F297" s="12" t="str">
        <f>IF(A297="","",MAX(E$4:E297))</f>
        <v/>
      </c>
      <c r="H297" s="14" t="str">
        <f t="shared" si="17"/>
        <v/>
      </c>
      <c r="I297" s="14" t="str">
        <f t="shared" si="18"/>
        <v/>
      </c>
      <c r="J297" s="15" t="str">
        <f t="shared" si="19"/>
        <v/>
      </c>
    </row>
    <row r="298" spans="1:10">
      <c r="A298" s="7" t="str">
        <f>IF(子基金及业绩基准周净值!A326="","",子基金及业绩基准周净值!A326)</f>
        <v/>
      </c>
      <c r="B298" s="1" t="str">
        <f>IF(A298="","",VLOOKUP($A298,子基金及业绩基准周净值!$A:$AV,12))</f>
        <v/>
      </c>
      <c r="C298" s="8" t="str">
        <f t="shared" si="16"/>
        <v/>
      </c>
      <c r="D298" s="9" t="str">
        <f>IF(A298="","",C298-子基金及业绩基准周净值!AI326)</f>
        <v/>
      </c>
      <c r="E298" s="12" t="str">
        <f>IF(A298="","",(MAX(B$3:B298)-B298)/MAX(B$3:B298))</f>
        <v/>
      </c>
      <c r="F298" s="12" t="str">
        <f>IF(A298="","",MAX(E$4:E298))</f>
        <v/>
      </c>
      <c r="H298" s="14" t="str">
        <f t="shared" si="17"/>
        <v/>
      </c>
      <c r="I298" s="14" t="str">
        <f t="shared" si="18"/>
        <v/>
      </c>
      <c r="J298" s="15" t="str">
        <f t="shared" si="19"/>
        <v/>
      </c>
    </row>
    <row r="299" spans="1:10">
      <c r="A299" s="7" t="str">
        <f>IF(子基金及业绩基准周净值!A327="","",子基金及业绩基准周净值!A327)</f>
        <v/>
      </c>
      <c r="B299" s="1" t="str">
        <f>IF(A299="","",VLOOKUP($A299,子基金及业绩基准周净值!$A:$AV,12))</f>
        <v/>
      </c>
      <c r="C299" s="8" t="str">
        <f t="shared" si="16"/>
        <v/>
      </c>
      <c r="D299" s="9" t="str">
        <f>IF(A299="","",C299-子基金及业绩基准周净值!AI327)</f>
        <v/>
      </c>
      <c r="E299" s="12" t="str">
        <f>IF(A299="","",(MAX(B$3:B299)-B299)/MAX(B$3:B299))</f>
        <v/>
      </c>
      <c r="F299" s="12" t="str">
        <f>IF(A299="","",MAX(E$4:E299))</f>
        <v/>
      </c>
      <c r="H299" s="14" t="str">
        <f t="shared" si="17"/>
        <v/>
      </c>
      <c r="I299" s="14" t="str">
        <f t="shared" si="18"/>
        <v/>
      </c>
      <c r="J299" s="15" t="str">
        <f t="shared" si="19"/>
        <v/>
      </c>
    </row>
    <row r="300" spans="1:10">
      <c r="A300" s="7" t="str">
        <f>IF(子基金及业绩基准周净值!A328="","",子基金及业绩基准周净值!A328)</f>
        <v/>
      </c>
      <c r="B300" s="1" t="str">
        <f>IF(A300="","",VLOOKUP($A300,子基金及业绩基准周净值!$A:$AV,12))</f>
        <v/>
      </c>
      <c r="C300" s="8" t="str">
        <f t="shared" si="16"/>
        <v/>
      </c>
      <c r="D300" s="9" t="str">
        <f>IF(A300="","",C300-子基金及业绩基准周净值!AI328)</f>
        <v/>
      </c>
      <c r="E300" s="12" t="str">
        <f>IF(A300="","",(MAX(B$3:B300)-B300)/MAX(B$3:B300))</f>
        <v/>
      </c>
      <c r="F300" s="12" t="str">
        <f>IF(A300="","",MAX(E$4:E300))</f>
        <v/>
      </c>
      <c r="H300" s="14" t="str">
        <f t="shared" si="17"/>
        <v/>
      </c>
      <c r="I300" s="14" t="str">
        <f t="shared" si="18"/>
        <v/>
      </c>
      <c r="J300" s="15" t="str">
        <f t="shared" si="19"/>
        <v/>
      </c>
    </row>
    <row r="301" spans="1:10">
      <c r="A301" s="7" t="str">
        <f>IF(子基金及业绩基准周净值!A329="","",子基金及业绩基准周净值!A329)</f>
        <v/>
      </c>
      <c r="B301" s="1" t="str">
        <f>IF(A301="","",VLOOKUP($A301,子基金及业绩基准周净值!$A:$AV,12))</f>
        <v/>
      </c>
      <c r="C301" s="8" t="str">
        <f t="shared" si="16"/>
        <v/>
      </c>
      <c r="D301" s="9" t="str">
        <f>IF(A301="","",C301-子基金及业绩基准周净值!AI329)</f>
        <v/>
      </c>
      <c r="E301" s="12" t="str">
        <f>IF(A301="","",(MAX(B$3:B301)-B301)/MAX(B$3:B301))</f>
        <v/>
      </c>
      <c r="F301" s="12" t="str">
        <f>IF(A301="","",MAX(E$4:E301))</f>
        <v/>
      </c>
      <c r="H301" s="14" t="str">
        <f t="shared" si="17"/>
        <v/>
      </c>
      <c r="I301" s="14" t="str">
        <f t="shared" si="18"/>
        <v/>
      </c>
      <c r="J301" s="15" t="str">
        <f t="shared" si="19"/>
        <v/>
      </c>
    </row>
    <row r="302" spans="1:10">
      <c r="A302" s="7" t="str">
        <f>IF(子基金及业绩基准周净值!A330="","",子基金及业绩基准周净值!A330)</f>
        <v/>
      </c>
      <c r="B302" s="1" t="str">
        <f>IF(A302="","",VLOOKUP($A302,子基金及业绩基准周净值!$A:$AV,12))</f>
        <v/>
      </c>
      <c r="C302" s="8" t="str">
        <f t="shared" si="16"/>
        <v/>
      </c>
      <c r="D302" s="9" t="str">
        <f>IF(A302="","",C302-子基金及业绩基准周净值!AI330)</f>
        <v/>
      </c>
      <c r="E302" s="12" t="str">
        <f>IF(A302="","",(MAX(B$3:B302)-B302)/MAX(B$3:B302))</f>
        <v/>
      </c>
      <c r="F302" s="12" t="str">
        <f>IF(A302="","",MAX(E$4:E302))</f>
        <v/>
      </c>
      <c r="H302" s="14" t="str">
        <f t="shared" si="17"/>
        <v/>
      </c>
      <c r="I302" s="14" t="str">
        <f t="shared" si="18"/>
        <v/>
      </c>
      <c r="J302" s="15" t="str">
        <f t="shared" si="19"/>
        <v/>
      </c>
    </row>
    <row r="303" spans="1:10">
      <c r="A303" s="7" t="str">
        <f>IF(子基金及业绩基准周净值!A331="","",子基金及业绩基准周净值!A331)</f>
        <v/>
      </c>
      <c r="B303" s="1" t="str">
        <f>IF(A303="","",VLOOKUP($A303,子基金及业绩基准周净值!$A:$AV,12))</f>
        <v/>
      </c>
      <c r="C303" s="8" t="str">
        <f t="shared" si="16"/>
        <v/>
      </c>
      <c r="D303" s="9" t="str">
        <f>IF(A303="","",C303-子基金及业绩基准周净值!AI331)</f>
        <v/>
      </c>
      <c r="E303" s="12" t="str">
        <f>IF(A303="","",(MAX(B$3:B303)-B303)/MAX(B$3:B303))</f>
        <v/>
      </c>
      <c r="F303" s="12" t="str">
        <f>IF(A303="","",MAX(E$4:E303))</f>
        <v/>
      </c>
      <c r="H303" s="14" t="str">
        <f t="shared" si="17"/>
        <v/>
      </c>
      <c r="I303" s="14" t="str">
        <f t="shared" si="18"/>
        <v/>
      </c>
      <c r="J303" s="15" t="str">
        <f t="shared" si="19"/>
        <v/>
      </c>
    </row>
    <row r="304" spans="1:10">
      <c r="A304" s="7" t="str">
        <f>IF(子基金及业绩基准周净值!A332="","",子基金及业绩基准周净值!A332)</f>
        <v/>
      </c>
      <c r="B304" s="1" t="str">
        <f>IF(A304="","",VLOOKUP($A304,子基金及业绩基准周净值!$A:$AV,12))</f>
        <v/>
      </c>
      <c r="C304" s="8" t="str">
        <f t="shared" si="16"/>
        <v/>
      </c>
      <c r="D304" s="9" t="str">
        <f>IF(A304="","",C304-子基金及业绩基准周净值!AI332)</f>
        <v/>
      </c>
      <c r="E304" s="12" t="str">
        <f>IF(A304="","",(MAX(B$3:B304)-B304)/MAX(B$3:B304))</f>
        <v/>
      </c>
      <c r="F304" s="12" t="str">
        <f>IF(A304="","",MAX(E$4:E304))</f>
        <v/>
      </c>
      <c r="H304" s="14" t="str">
        <f t="shared" si="17"/>
        <v/>
      </c>
      <c r="I304" s="14" t="str">
        <f t="shared" si="18"/>
        <v/>
      </c>
      <c r="J304" s="15" t="str">
        <f t="shared" si="19"/>
        <v/>
      </c>
    </row>
    <row r="305" spans="1:10">
      <c r="A305" s="7" t="str">
        <f>IF(子基金及业绩基准周净值!A333="","",子基金及业绩基准周净值!A333)</f>
        <v/>
      </c>
      <c r="B305" s="1" t="str">
        <f>IF(A305="","",VLOOKUP($A305,子基金及业绩基准周净值!$A:$AV,12))</f>
        <v/>
      </c>
      <c r="C305" s="8" t="str">
        <f t="shared" si="16"/>
        <v/>
      </c>
      <c r="D305" s="9" t="str">
        <f>IF(A305="","",C305-子基金及业绩基准周净值!AI333)</f>
        <v/>
      </c>
      <c r="E305" s="12" t="str">
        <f>IF(A305="","",(MAX(B$3:B305)-B305)/MAX(B$3:B305))</f>
        <v/>
      </c>
      <c r="F305" s="12" t="str">
        <f>IF(A305="","",MAX(E$4:E305))</f>
        <v/>
      </c>
      <c r="H305" s="14" t="str">
        <f t="shared" si="17"/>
        <v/>
      </c>
      <c r="I305" s="14" t="str">
        <f t="shared" si="18"/>
        <v/>
      </c>
      <c r="J305" s="15" t="str">
        <f t="shared" si="19"/>
        <v/>
      </c>
    </row>
    <row r="306" spans="1:10">
      <c r="A306" s="7" t="str">
        <f>IF(子基金及业绩基准周净值!A334="","",子基金及业绩基准周净值!A334)</f>
        <v/>
      </c>
      <c r="B306" s="1" t="str">
        <f>IF(A306="","",VLOOKUP($A306,子基金及业绩基准周净值!$A:$AV,12))</f>
        <v/>
      </c>
      <c r="C306" s="8" t="str">
        <f t="shared" si="16"/>
        <v/>
      </c>
      <c r="D306" s="9" t="str">
        <f>IF(A306="","",C306-子基金及业绩基准周净值!AI334)</f>
        <v/>
      </c>
      <c r="E306" s="12" t="str">
        <f>IF(A306="","",(MAX(B$3:B306)-B306)/MAX(B$3:B306))</f>
        <v/>
      </c>
      <c r="F306" s="12" t="str">
        <f>IF(A306="","",MAX(E$4:E306))</f>
        <v/>
      </c>
      <c r="H306" s="14" t="str">
        <f t="shared" si="17"/>
        <v/>
      </c>
      <c r="I306" s="14" t="str">
        <f t="shared" si="18"/>
        <v/>
      </c>
      <c r="J306" s="15" t="str">
        <f t="shared" si="19"/>
        <v/>
      </c>
    </row>
    <row r="307" spans="1:10">
      <c r="A307" s="7" t="str">
        <f>IF(子基金及业绩基准周净值!A335="","",子基金及业绩基准周净值!A335)</f>
        <v/>
      </c>
      <c r="B307" s="1" t="str">
        <f>IF(A307="","",VLOOKUP($A307,子基金及业绩基准周净值!$A:$AV,12))</f>
        <v/>
      </c>
      <c r="C307" s="8" t="str">
        <f t="shared" si="16"/>
        <v/>
      </c>
      <c r="D307" s="9" t="str">
        <f>IF(A307="","",C307-子基金及业绩基准周净值!AI335)</f>
        <v/>
      </c>
      <c r="E307" s="12" t="str">
        <f>IF(A307="","",(MAX(B$3:B307)-B307)/MAX(B$3:B307))</f>
        <v/>
      </c>
      <c r="F307" s="12" t="str">
        <f>IF(A307="","",MAX(E$4:E307))</f>
        <v/>
      </c>
      <c r="H307" s="14" t="str">
        <f t="shared" si="17"/>
        <v/>
      </c>
      <c r="I307" s="14" t="str">
        <f t="shared" si="18"/>
        <v/>
      </c>
      <c r="J307" s="15" t="str">
        <f t="shared" si="19"/>
        <v/>
      </c>
    </row>
    <row r="308" spans="1:10">
      <c r="A308" s="7" t="str">
        <f>IF(子基金及业绩基准周净值!A336="","",子基金及业绩基准周净值!A336)</f>
        <v/>
      </c>
      <c r="B308" s="1" t="str">
        <f>IF(A308="","",VLOOKUP($A308,子基金及业绩基准周净值!$A:$AV,12))</f>
        <v/>
      </c>
      <c r="C308" s="8" t="str">
        <f t="shared" si="16"/>
        <v/>
      </c>
      <c r="D308" s="9" t="str">
        <f>IF(A308="","",C308-子基金及业绩基准周净值!AI336)</f>
        <v/>
      </c>
      <c r="E308" s="12" t="str">
        <f>IF(A308="","",(MAX(B$3:B308)-B308)/MAX(B$3:B308))</f>
        <v/>
      </c>
      <c r="F308" s="12" t="str">
        <f>IF(A308="","",MAX(E$4:E308))</f>
        <v/>
      </c>
      <c r="H308" s="14" t="str">
        <f t="shared" si="17"/>
        <v/>
      </c>
      <c r="I308" s="14" t="str">
        <f t="shared" si="18"/>
        <v/>
      </c>
      <c r="J308" s="15" t="str">
        <f t="shared" si="19"/>
        <v/>
      </c>
    </row>
  </sheetData>
  <conditionalFormatting sqref="J3:J1048576">
    <cfRule type="containsText" dxfId="0" priority="1" operator="between" text="是">
      <formula>NOT(ISERROR(SEARCH("是",J3)))</formula>
    </cfRule>
  </conditionalFormatting>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K308"/>
  <sheetViews>
    <sheetView topLeftCell="A4" workbookViewId="0">
      <selection activeCell="G17" sqref="G17"/>
    </sheetView>
  </sheetViews>
  <sheetFormatPr defaultColWidth="9" defaultRowHeight="16.8"/>
  <cols>
    <col min="1" max="1" width="11.125" customWidth="1"/>
    <col min="2" max="2" width="20.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E1" s="1">
        <v>5</v>
      </c>
      <c r="F1" s="1">
        <v>6</v>
      </c>
      <c r="G1" s="14">
        <v>7</v>
      </c>
      <c r="H1" s="1">
        <v>8</v>
      </c>
      <c r="I1" s="1">
        <v>9</v>
      </c>
      <c r="J1" s="18">
        <v>10</v>
      </c>
      <c r="K1" s="1">
        <v>11</v>
      </c>
    </row>
    <row r="2" s="1" customFormat="1" ht="16.5" customHeight="1" spans="1:11">
      <c r="A2" s="4" t="s">
        <v>2</v>
      </c>
      <c r="B2" s="4" t="s">
        <v>321</v>
      </c>
      <c r="C2" s="5" t="s">
        <v>310</v>
      </c>
      <c r="D2" s="6" t="s">
        <v>311</v>
      </c>
      <c r="E2" s="5" t="s">
        <v>33</v>
      </c>
      <c r="F2" s="5" t="s">
        <v>22</v>
      </c>
      <c r="G2" s="10" t="s">
        <v>312</v>
      </c>
      <c r="H2" s="11" t="s">
        <v>313</v>
      </c>
      <c r="I2" s="11" t="s">
        <v>314</v>
      </c>
      <c r="J2" s="11" t="s">
        <v>315</v>
      </c>
      <c r="K2" s="5" t="s">
        <v>316</v>
      </c>
    </row>
    <row r="3" spans="1:2">
      <c r="A3" s="7">
        <f>IF(子基金及业绩基准周净值!A44="","",子基金及业绩基准周净值!A44)</f>
        <v>45750</v>
      </c>
      <c r="B3" s="1">
        <f>IF(A3="","",VLOOKUP($A3,子基金及业绩基准周净值!$A:$AV,20))</f>
        <v>1.0776</v>
      </c>
    </row>
    <row r="4" spans="1:10">
      <c r="A4" s="7">
        <f>IF(子基金及业绩基准周净值!A45="","",子基金及业绩基准周净值!A45)</f>
        <v>45758</v>
      </c>
      <c r="B4" s="1">
        <f>IF(A4="","",VLOOKUP($A4,子基金及业绩基准周净值!$A:$AV,20))</f>
        <v>1.0911</v>
      </c>
      <c r="C4" s="8">
        <f>IF(A4="","",(B4-B3)/B3)</f>
        <v>0.0125278396436526</v>
      </c>
      <c r="D4" s="9">
        <f>IF(A4="","",C4-(子基金及业绩基准周净值!AH45/子基金及业绩基准周净值!AH44-1))</f>
        <v>0.0186968056692042</v>
      </c>
      <c r="E4" s="12">
        <f>IF(A4="","",(MAX(B$3:B4)-B4)/MAX(B$3:B4))</f>
        <v>0</v>
      </c>
      <c r="F4" s="12">
        <f>IF(A4="","",MAX(E$4:E4))</f>
        <v>0</v>
      </c>
      <c r="G4" s="13">
        <v>0</v>
      </c>
      <c r="H4" s="14" t="str">
        <f t="shared" ref="H4" si="0">IF(A4="","",IF(E4&lt;3%,"否","是"))</f>
        <v>否</v>
      </c>
      <c r="I4" s="14" t="str">
        <f t="shared" ref="I4" si="1">IF(A4="","",IF(F4&gt;5%,"是","否"))</f>
        <v>否</v>
      </c>
      <c r="J4" s="15" t="str">
        <f t="shared" ref="J4" si="2">IF(A4="","",IF(G4&gt;=4,"是","否"))</f>
        <v>否</v>
      </c>
    </row>
    <row r="5" spans="1:10">
      <c r="A5" s="7">
        <f>IF(子基金及业绩基准周净值!A46="","",子基金及业绩基准周净值!A46)</f>
        <v>45765</v>
      </c>
      <c r="B5" s="1">
        <f>IF(A5="","",VLOOKUP($A5,子基金及业绩基准周净值!$A:$AV,20))</f>
        <v>1.0882</v>
      </c>
      <c r="C5" s="8">
        <f t="shared" ref="C5:C12" si="3">IF(A5="","",(B5-B4)/B4)</f>
        <v>-0.00265786820639712</v>
      </c>
      <c r="D5" s="9">
        <f>IF(A5="","",C5-(子基金及业绩基准周净值!AH46/子基金及业绩基准周净值!AH45-1))</f>
        <v>-0.00692714664223004</v>
      </c>
      <c r="E5" s="12">
        <f>IF(A5="","",(MAX(B$3:B5)-B5)/MAX(B$3:B5))</f>
        <v>0.00265786820639712</v>
      </c>
      <c r="F5" s="12">
        <f>IF(A5="","",MAX(E$4:E5))</f>
        <v>0.00265786820639712</v>
      </c>
      <c r="G5" s="13">
        <v>1</v>
      </c>
      <c r="H5" s="14" t="str">
        <f t="shared" ref="H5:H12" si="4">IF(A5="","",IF(E5&lt;3%,"否","是"))</f>
        <v>否</v>
      </c>
      <c r="I5" s="14" t="str">
        <f t="shared" ref="I5:I12" si="5">IF(A5="","",IF(F5&gt;5%,"是","否"))</f>
        <v>否</v>
      </c>
      <c r="J5" s="15" t="str">
        <f t="shared" ref="J5:J12" si="6">IF(A5="","",IF(G5&gt;=4,"是","否"))</f>
        <v>否</v>
      </c>
    </row>
    <row r="6" spans="1:10">
      <c r="A6" s="7">
        <f>IF(子基金及业绩基准周净值!A47="","",子基金及业绩基准周净值!A47)</f>
        <v>45772</v>
      </c>
      <c r="B6" s="1">
        <f>IF(A6="","",VLOOKUP($A6,子基金及业绩基准周净值!$A:$AV,20))</f>
        <v>1.0892</v>
      </c>
      <c r="C6" s="8">
        <f t="shared" si="3"/>
        <v>0.000918948722661174</v>
      </c>
      <c r="D6" s="9">
        <f>IF(A6="","",C6-(子基金及业绩基准周净值!AH47/子基金及业绩基准周净值!AH46-1))</f>
        <v>-0.00146316897687616</v>
      </c>
      <c r="E6" s="12">
        <f>IF(A6="","",(MAX(B$3:B6)-B6)/MAX(B$3:B6))</f>
        <v>0.00174136192832922</v>
      </c>
      <c r="F6" s="12">
        <f>IF(A6="","",MAX(E$4:E6))</f>
        <v>0.00265786820639712</v>
      </c>
      <c r="G6" s="13">
        <v>2</v>
      </c>
      <c r="H6" s="14" t="str">
        <f t="shared" si="4"/>
        <v>否</v>
      </c>
      <c r="I6" s="14" t="str">
        <f t="shared" si="5"/>
        <v>否</v>
      </c>
      <c r="J6" s="15" t="str">
        <f t="shared" si="6"/>
        <v>否</v>
      </c>
    </row>
    <row r="7" spans="1:10">
      <c r="A7" s="7">
        <f>IF(子基金及业绩基准周净值!A48="","",子基金及业绩基准周净值!A48)</f>
        <v>45786</v>
      </c>
      <c r="B7" s="1">
        <f>IF(A7="","",VLOOKUP($A7,子基金及业绩基准周净值!$A:$AV,20))</f>
        <v>1.0886</v>
      </c>
      <c r="C7" s="8">
        <f t="shared" si="3"/>
        <v>-0.000550863018729282</v>
      </c>
      <c r="D7" s="9">
        <f>IF(A7="","",C7-(子基金及业绩基准周净值!AH48/子基金及业绩基准周净值!AH47-1))</f>
        <v>-0.00722072912123303</v>
      </c>
      <c r="E7" s="12">
        <f>IF(A7="","",(MAX(B$3:B7)-B7)/MAX(B$3:B7))</f>
        <v>0.00229126569516996</v>
      </c>
      <c r="F7" s="12">
        <f>IF(A7="","",MAX(E$4:E7))</f>
        <v>0.00265786820639712</v>
      </c>
      <c r="G7" s="13">
        <v>3</v>
      </c>
      <c r="H7" s="14" t="str">
        <f t="shared" si="4"/>
        <v>否</v>
      </c>
      <c r="I7" s="14" t="str">
        <f t="shared" si="5"/>
        <v>否</v>
      </c>
      <c r="J7" s="15" t="str">
        <f t="shared" si="6"/>
        <v>否</v>
      </c>
    </row>
    <row r="8" spans="1:10">
      <c r="A8" s="7">
        <f>IF(子基金及业绩基准周净值!A49="","",子基金及业绩基准周净值!A49)</f>
        <v>45793</v>
      </c>
      <c r="B8" s="1">
        <f>IF(A8="","",VLOOKUP($A8,子基金及业绩基准周净值!$A:$AV,20))</f>
        <v>1.0889</v>
      </c>
      <c r="C8" s="8">
        <f t="shared" si="3"/>
        <v>0.000275583318023119</v>
      </c>
      <c r="D8" s="9">
        <f>IF(A8="","",C8-(子基金及业绩基准周净值!AH49/子基金及业绩基准周净值!AH48-1))</f>
        <v>-0.00965081846621664</v>
      </c>
      <c r="E8" s="12">
        <f>IF(A8="","",(MAX(B$3:B8)-B8)/MAX(B$3:B8))</f>
        <v>0.00201631381174959</v>
      </c>
      <c r="F8" s="12">
        <f>IF(A8="","",MAX(E$4:E8))</f>
        <v>0.00265786820639712</v>
      </c>
      <c r="G8" s="13">
        <v>4</v>
      </c>
      <c r="H8" s="14" t="str">
        <f t="shared" si="4"/>
        <v>否</v>
      </c>
      <c r="I8" s="14" t="str">
        <f t="shared" si="5"/>
        <v>否</v>
      </c>
      <c r="J8" s="15" t="str">
        <f t="shared" si="6"/>
        <v>是</v>
      </c>
    </row>
    <row r="9" spans="1:10">
      <c r="A9" s="7">
        <f>IF(子基金及业绩基准周净值!A50="","",子基金及业绩基准周净值!A50)</f>
        <v>45800</v>
      </c>
      <c r="B9" s="1">
        <f>IF(A9="","",VLOOKUP($A9,子基金及业绩基准周净值!$A:$AV,20))</f>
        <v>1.0917</v>
      </c>
      <c r="C9" s="8">
        <f t="shared" si="3"/>
        <v>0.00257140233262918</v>
      </c>
      <c r="D9" s="9">
        <f>IF(A9="","",C9-(子基金及业绩基准周净值!AH50/子基金及业绩基准周净值!AH49-1))</f>
        <v>0.00967973238955853</v>
      </c>
      <c r="E9" s="12">
        <f>IF(A9="","",(MAX(B$3:B9)-B9)/MAX(B$3:B9))</f>
        <v>0</v>
      </c>
      <c r="F9" s="12">
        <f>IF(A9="","",MAX(E$4:E9))</f>
        <v>0.00265786820639712</v>
      </c>
      <c r="G9" s="13">
        <v>0</v>
      </c>
      <c r="H9" s="14" t="str">
        <f t="shared" si="4"/>
        <v>否</v>
      </c>
      <c r="I9" s="14" t="str">
        <f t="shared" si="5"/>
        <v>否</v>
      </c>
      <c r="J9" s="15" t="str">
        <f t="shared" si="6"/>
        <v>否</v>
      </c>
    </row>
    <row r="10" spans="1:10">
      <c r="A10" s="7">
        <f>IF(子基金及业绩基准周净值!A51="","",子基金及业绩基准周净值!A51)</f>
        <v>45807</v>
      </c>
      <c r="B10" s="1">
        <f>IF(A10="","",VLOOKUP($A10,子基金及业绩基准周净值!$A:$AV,20))</f>
        <v>1.0811</v>
      </c>
      <c r="C10" s="8">
        <f t="shared" si="3"/>
        <v>-0.00970962718695607</v>
      </c>
      <c r="D10" s="9">
        <f>IF(A10="","",C10-(子基金及业绩基准周净值!AH51/子基金及业绩基准周净值!AH50-1))</f>
        <v>-0.0111726146952846</v>
      </c>
      <c r="E10" s="12">
        <f>IF(A10="","",(MAX(B$3:B10)-B10)/MAX(B$3:B10))</f>
        <v>0.00970962718695607</v>
      </c>
      <c r="F10" s="12">
        <f>IF(A10="","",MAX(E$4:E10))</f>
        <v>0.00970962718695607</v>
      </c>
      <c r="G10" s="13">
        <v>1</v>
      </c>
      <c r="H10" s="14" t="str">
        <f t="shared" si="4"/>
        <v>否</v>
      </c>
      <c r="I10" s="14" t="str">
        <f t="shared" si="5"/>
        <v>否</v>
      </c>
      <c r="J10" s="15" t="str">
        <f t="shared" si="6"/>
        <v>否</v>
      </c>
    </row>
    <row r="11" spans="1:10">
      <c r="A11" s="7">
        <f>IF(子基金及业绩基准周净值!A52="","",子基金及业绩基准周净值!A52)</f>
        <v>45814</v>
      </c>
      <c r="B11" s="1">
        <f>IF(A11="","",VLOOKUP($A11,子基金及业绩基准周净值!$A:$AV,20))</f>
        <v>1.0777</v>
      </c>
      <c r="C11" s="8">
        <f t="shared" si="3"/>
        <v>-0.003144944963463</v>
      </c>
      <c r="D11" s="9">
        <f>IF(A11="","",C11-(子基金及业绩基准周净值!AH52/子基金及业绩基准周净值!AH51-1))</f>
        <v>-0.00660723717073545</v>
      </c>
      <c r="E11" s="12">
        <f>IF(A11="","",(MAX(B$3:B11)-B11)/MAX(B$3:B11))</f>
        <v>0.0128240359073004</v>
      </c>
      <c r="F11" s="12">
        <f>IF(A11="","",MAX(E$4:E11))</f>
        <v>0.0128240359073004</v>
      </c>
      <c r="G11" s="13">
        <v>2</v>
      </c>
      <c r="H11" s="14" t="str">
        <f t="shared" si="4"/>
        <v>否</v>
      </c>
      <c r="I11" s="14" t="str">
        <f t="shared" si="5"/>
        <v>否</v>
      </c>
      <c r="J11" s="15" t="str">
        <f t="shared" si="6"/>
        <v>否</v>
      </c>
    </row>
    <row r="12" spans="1:10">
      <c r="A12" s="7">
        <f>IF(子基金及业绩基准周净值!A53="","",子基金及业绩基准周净值!A53)</f>
        <v>45821</v>
      </c>
      <c r="B12" s="1">
        <f>IF(A12="","",VLOOKUP($A12,子基金及业绩基准周净值!$A:$AV,20))</f>
        <v>1.0716</v>
      </c>
      <c r="C12" s="8">
        <f t="shared" si="3"/>
        <v>-0.00566020228263895</v>
      </c>
      <c r="D12" s="9">
        <f>IF(A12="","",C12-(子基金及业绩基准周净值!AH53/子基金及业绩基准周净值!AH52-1))</f>
        <v>-0.0058300868840949</v>
      </c>
      <c r="E12" s="12">
        <f>IF(A12="","",(MAX(B$3:B12)-B12)/MAX(B$3:B12))</f>
        <v>0.0184116515526242</v>
      </c>
      <c r="F12" s="12">
        <f>IF(A12="","",MAX(E$4:E12))</f>
        <v>0.0184116515526242</v>
      </c>
      <c r="G12" s="13">
        <v>3</v>
      </c>
      <c r="H12" s="14" t="str">
        <f t="shared" si="4"/>
        <v>否</v>
      </c>
      <c r="I12" s="14" t="str">
        <f t="shared" si="5"/>
        <v>否</v>
      </c>
      <c r="J12" s="15" t="str">
        <f t="shared" si="6"/>
        <v>否</v>
      </c>
    </row>
    <row r="13" spans="1:10">
      <c r="A13" s="7">
        <f>IF(子基金及业绩基准周净值!A54="","",子基金及业绩基准周净值!A54)</f>
        <v>45828</v>
      </c>
      <c r="B13" s="1">
        <f>IF(A13="","",VLOOKUP($A13,子基金及业绩基准周净值!$A:$AV,20))</f>
        <v>1.0718</v>
      </c>
      <c r="C13" s="8">
        <f t="shared" ref="C13:C68" si="7">IF(A13="","",(B13-B12)/B12)</f>
        <v>0.000186636804777882</v>
      </c>
      <c r="D13" s="9">
        <f>IF(A13="","",C13-(子基金及业绩基准周净值!AH54/子基金及业绩基准周净值!AH53-1))</f>
        <v>0.00126165032141452</v>
      </c>
      <c r="E13" s="12">
        <f>IF(A13="","",(MAX(B$3:B13)-B13)/MAX(B$3:B13))</f>
        <v>0.0182284510396627</v>
      </c>
      <c r="F13" s="12">
        <f>IF(A13="","",MAX(E$4:E13))</f>
        <v>0.0184116515526242</v>
      </c>
      <c r="G13" s="13">
        <v>0</v>
      </c>
      <c r="H13" s="14" t="str">
        <f t="shared" ref="H13:H68" si="8">IF(A13="","",IF(E13&lt;3%,"否","是"))</f>
        <v>否</v>
      </c>
      <c r="I13" s="14" t="str">
        <f t="shared" ref="I13:I68" si="9">IF(A13="","",IF(F13&gt;5%,"是","否"))</f>
        <v>否</v>
      </c>
      <c r="J13" s="15" t="str">
        <f t="shared" ref="J13:J68" si="10">IF(A13="","",IF(G13&gt;=4,"是","否"))</f>
        <v>否</v>
      </c>
    </row>
    <row r="14" spans="1:10">
      <c r="A14" s="7">
        <f>IF(子基金及业绩基准周净值!A55="","",子基金及业绩基准周净值!A55)</f>
        <v>45835</v>
      </c>
      <c r="B14" s="1">
        <f>IF(A14="","",VLOOKUP($A14,子基金及业绩基准周净值!$A:$AV,20))</f>
        <v>1.069</v>
      </c>
      <c r="C14" s="8">
        <f t="shared" si="7"/>
        <v>-0.00261242769173366</v>
      </c>
      <c r="D14" s="9">
        <f>IF(A14="","",C14-(子基金及业绩基准周净值!AH55/子基金及业绩基准周净值!AH54-1))</f>
        <v>-0.00674876479582933</v>
      </c>
      <c r="E14" s="12">
        <f>IF(A14="","",(MAX(B$3:B14)-B14)/MAX(B$3:B14))</f>
        <v>0.020793258221123</v>
      </c>
      <c r="F14" s="12">
        <f>IF(A14="","",MAX(E$4:E14))</f>
        <v>0.020793258221123</v>
      </c>
      <c r="G14" s="13">
        <v>1</v>
      </c>
      <c r="H14" s="14" t="str">
        <f t="shared" si="8"/>
        <v>否</v>
      </c>
      <c r="I14" s="14" t="str">
        <f t="shared" si="9"/>
        <v>否</v>
      </c>
      <c r="J14" s="15" t="str">
        <f t="shared" si="10"/>
        <v>否</v>
      </c>
    </row>
    <row r="15" spans="1:10">
      <c r="A15" s="7">
        <f>IF(子基金及业绩基准周净值!A56="","",子基金及业绩基准周净值!A56)</f>
        <v>45842</v>
      </c>
      <c r="B15" s="1">
        <f>IF(A15="","",VLOOKUP($A15,子基金及业绩基准周净值!$A:$AV,20))</f>
        <v>1.0639</v>
      </c>
      <c r="C15" s="8">
        <f t="shared" si="7"/>
        <v>-0.00477081384471458</v>
      </c>
      <c r="D15" s="9">
        <f>IF(A15="","",C15-(子基金及业绩基准周净值!AH56/子基金及业绩基准周净值!AH55-1))</f>
        <v>-0.00943981428056264</v>
      </c>
      <c r="E15" s="12">
        <f>IF(A15="","",(MAX(B$3:B15)-B15)/MAX(B$3:B15))</f>
        <v>0.0254648713016395</v>
      </c>
      <c r="F15" s="12">
        <f>IF(A15="","",MAX(E$4:E15))</f>
        <v>0.0254648713016395</v>
      </c>
      <c r="G15" s="13">
        <v>2</v>
      </c>
      <c r="H15" s="14" t="str">
        <f t="shared" si="8"/>
        <v>否</v>
      </c>
      <c r="I15" s="14" t="str">
        <f t="shared" si="9"/>
        <v>否</v>
      </c>
      <c r="J15" s="15" t="str">
        <f t="shared" si="10"/>
        <v>否</v>
      </c>
    </row>
    <row r="16" spans="1:10">
      <c r="A16" s="7">
        <f>IF(子基金及业绩基准周净值!A57="","",子基金及业绩基准周净值!A57)</f>
        <v>45849</v>
      </c>
      <c r="B16" s="1">
        <f>IF(A16="","",VLOOKUP($A16,子基金及业绩基准周净值!$A:$AV,20))</f>
        <v>1.0549</v>
      </c>
      <c r="C16" s="8">
        <f t="shared" si="7"/>
        <v>-0.00845944167684944</v>
      </c>
      <c r="D16" s="9">
        <f>IF(A16="","",C16-(子基金及业绩基准周净值!AH57/子基金及业绩基准周净值!AH56-1))</f>
        <v>-0.0110155082508533</v>
      </c>
      <c r="E16" s="12">
        <f>IF(A16="","",(MAX(B$3:B16)-B16)/MAX(B$3:B16))</f>
        <v>0.0337088943849042</v>
      </c>
      <c r="F16" s="12">
        <f>IF(A16="","",MAX(E$4:E16))</f>
        <v>0.0337088943849042</v>
      </c>
      <c r="G16" s="13">
        <v>3</v>
      </c>
      <c r="H16" s="14" t="str">
        <f t="shared" si="8"/>
        <v>是</v>
      </c>
      <c r="I16" s="14" t="str">
        <f t="shared" si="9"/>
        <v>否</v>
      </c>
      <c r="J16" s="15" t="str">
        <f t="shared" si="10"/>
        <v>否</v>
      </c>
    </row>
    <row r="17" spans="1:10">
      <c r="A17" s="7">
        <f>IF(子基金及业绩基准周净值!A58="","",子基金及业绩基准周净值!A58)</f>
        <v>45856</v>
      </c>
      <c r="B17" s="1">
        <f>IF(A17="","",VLOOKUP($A17,子基金及业绩基准周净值!$A:$AV,20))</f>
        <v>0</v>
      </c>
      <c r="C17" s="8">
        <f t="shared" si="7"/>
        <v>-1</v>
      </c>
      <c r="D17" s="9">
        <f>IF(A17="","",C17-(子基金及业绩基准周净值!AH58/子基金及业绩基准周净值!AH57-1))</f>
        <v>-1.00426321938757</v>
      </c>
      <c r="E17" s="12">
        <f>IF(A17="","",(MAX(B$3:B17)-B17)/MAX(B$3:B17))</f>
        <v>1</v>
      </c>
      <c r="F17" s="12">
        <f>IF(A17="","",MAX(E$4:E17))</f>
        <v>1</v>
      </c>
      <c r="G17" s="13"/>
      <c r="H17" s="14" t="str">
        <f t="shared" si="8"/>
        <v>是</v>
      </c>
      <c r="I17" s="14" t="str">
        <f t="shared" si="9"/>
        <v>是</v>
      </c>
      <c r="J17" s="15" t="str">
        <f t="shared" si="10"/>
        <v>否</v>
      </c>
    </row>
    <row r="18" spans="1:10">
      <c r="A18" s="7">
        <f>IF(子基金及业绩基准周净值!A59="","",子基金及业绩基准周净值!A59)</f>
        <v>45863</v>
      </c>
      <c r="B18" s="1">
        <f>IF(A18="","",VLOOKUP($A18,子基金及业绩基准周净值!$A:$AV,20))</f>
        <v>0</v>
      </c>
      <c r="C18" s="8" t="e">
        <f t="shared" si="7"/>
        <v>#DIV/0!</v>
      </c>
      <c r="D18" s="9" t="e">
        <f>IF(A18="","",C18-(子基金及业绩基准周净值!AH59/子基金及业绩基准周净值!AH58-1))</f>
        <v>#DIV/0!</v>
      </c>
      <c r="E18" s="12">
        <f>IF(A18="","",(MAX(B$3:B18)-B18)/MAX(B$3:B18))</f>
        <v>1</v>
      </c>
      <c r="F18" s="12">
        <f>IF(A18="","",MAX(E$4:E18))</f>
        <v>1</v>
      </c>
      <c r="G18" s="13"/>
      <c r="H18" s="14" t="str">
        <f t="shared" si="8"/>
        <v>是</v>
      </c>
      <c r="I18" s="14" t="str">
        <f t="shared" si="9"/>
        <v>是</v>
      </c>
      <c r="J18" s="15" t="str">
        <f t="shared" si="10"/>
        <v>否</v>
      </c>
    </row>
    <row r="19" spans="1:10">
      <c r="A19" s="7">
        <f>IF(子基金及业绩基准周净值!A60="","",子基金及业绩基准周净值!A60)</f>
        <v>45870</v>
      </c>
      <c r="B19" s="1">
        <f>IF(A19="","",VLOOKUP($A19,子基金及业绩基准周净值!$A:$AV,20))</f>
        <v>0</v>
      </c>
      <c r="C19" s="8" t="e">
        <f t="shared" si="7"/>
        <v>#DIV/0!</v>
      </c>
      <c r="D19" s="9" t="e">
        <f>IF(A19="","",C19-(子基金及业绩基准周净值!AH60/子基金及业绩基准周净值!AH59-1))</f>
        <v>#DIV/0!</v>
      </c>
      <c r="E19" s="12">
        <f>IF(A19="","",(MAX(B$3:B19)-B19)/MAX(B$3:B19))</f>
        <v>1</v>
      </c>
      <c r="F19" s="12">
        <f>IF(A19="","",MAX(E$4:E19))</f>
        <v>1</v>
      </c>
      <c r="G19" s="13"/>
      <c r="H19" s="14" t="str">
        <f t="shared" si="8"/>
        <v>是</v>
      </c>
      <c r="I19" s="14" t="str">
        <f t="shared" si="9"/>
        <v>是</v>
      </c>
      <c r="J19" s="15" t="str">
        <f t="shared" si="10"/>
        <v>否</v>
      </c>
    </row>
    <row r="20" spans="1:10">
      <c r="A20" s="7">
        <f>IF(子基金及业绩基准周净值!A61="","",子基金及业绩基准周净值!A61)</f>
        <v>45877</v>
      </c>
      <c r="B20" s="1">
        <f>IF(A20="","",VLOOKUP($A20,子基金及业绩基准周净值!$A:$AV,20))</f>
        <v>0</v>
      </c>
      <c r="C20" s="8" t="e">
        <f t="shared" si="7"/>
        <v>#DIV/0!</v>
      </c>
      <c r="D20" s="9" t="e">
        <f>IF(A20="","",C20-(子基金及业绩基准周净值!AH61/子基金及业绩基准周净值!AH60-1))</f>
        <v>#DIV/0!</v>
      </c>
      <c r="E20" s="12">
        <f>IF(A20="","",(MAX(B$3:B20)-B20)/MAX(B$3:B20))</f>
        <v>1</v>
      </c>
      <c r="F20" s="12">
        <f>IF(A20="","",MAX(E$4:E20))</f>
        <v>1</v>
      </c>
      <c r="G20" s="13"/>
      <c r="H20" s="14" t="str">
        <f t="shared" si="8"/>
        <v>是</v>
      </c>
      <c r="I20" s="14" t="str">
        <f t="shared" si="9"/>
        <v>是</v>
      </c>
      <c r="J20" s="15" t="str">
        <f t="shared" si="10"/>
        <v>否</v>
      </c>
    </row>
    <row r="21" spans="1:10">
      <c r="A21" s="7">
        <f>IF(子基金及业绩基准周净值!A62="","",子基金及业绩基准周净值!A62)</f>
        <v>45884</v>
      </c>
      <c r="B21" s="1">
        <f>IF(A21="","",VLOOKUP($A21,子基金及业绩基准周净值!$A:$AV,20))</f>
        <v>0</v>
      </c>
      <c r="C21" s="8" t="e">
        <f t="shared" si="7"/>
        <v>#DIV/0!</v>
      </c>
      <c r="D21" s="9" t="e">
        <f>IF(A21="","",C21-(子基金及业绩基准周净值!AH62/子基金及业绩基准周净值!AH61-1))</f>
        <v>#DIV/0!</v>
      </c>
      <c r="E21" s="12">
        <f>IF(A21="","",(MAX(B$3:B21)-B21)/MAX(B$3:B21))</f>
        <v>1</v>
      </c>
      <c r="F21" s="12">
        <f>IF(A21="","",MAX(E$4:E21))</f>
        <v>1</v>
      </c>
      <c r="G21" s="20"/>
      <c r="H21" s="14" t="str">
        <f t="shared" si="8"/>
        <v>是</v>
      </c>
      <c r="I21" s="14" t="str">
        <f t="shared" si="9"/>
        <v>是</v>
      </c>
      <c r="J21" s="15" t="str">
        <f t="shared" si="10"/>
        <v>否</v>
      </c>
    </row>
    <row r="22" spans="1:10">
      <c r="A22" s="7">
        <f>IF(子基金及业绩基准周净值!A63="","",子基金及业绩基准周净值!A63)</f>
        <v>45891</v>
      </c>
      <c r="B22" s="1">
        <f>IF(A22="","",VLOOKUP($A22,子基金及业绩基准周净值!$A:$AV,20))</f>
        <v>0</v>
      </c>
      <c r="C22" s="8" t="e">
        <f t="shared" si="7"/>
        <v>#DIV/0!</v>
      </c>
      <c r="D22" s="9" t="e">
        <f>IF(A22="","",C22-(子基金及业绩基准周净值!AH63/子基金及业绩基准周净值!AH62-1))</f>
        <v>#DIV/0!</v>
      </c>
      <c r="E22" s="12">
        <f>IF(A22="","",(MAX(B$3:B22)-B22)/MAX(B$3:B22))</f>
        <v>1</v>
      </c>
      <c r="F22" s="12">
        <f>IF(A22="","",MAX(E$4:E22))</f>
        <v>1</v>
      </c>
      <c r="G22" s="13"/>
      <c r="H22" s="14" t="str">
        <f t="shared" si="8"/>
        <v>是</v>
      </c>
      <c r="I22" s="14" t="str">
        <f t="shared" si="9"/>
        <v>是</v>
      </c>
      <c r="J22" s="15" t="str">
        <f t="shared" si="10"/>
        <v>否</v>
      </c>
    </row>
    <row r="23" spans="1:10">
      <c r="A23" s="7">
        <f>IF(子基金及业绩基准周净值!A64="","",子基金及业绩基准周净值!A64)</f>
        <v>45898</v>
      </c>
      <c r="B23" s="1">
        <f>IF(A23="","",VLOOKUP($A23,子基金及业绩基准周净值!$A:$AV,20))</f>
        <v>0</v>
      </c>
      <c r="C23" s="8" t="e">
        <f t="shared" si="7"/>
        <v>#DIV/0!</v>
      </c>
      <c r="D23" s="9" t="e">
        <f>IF(A23="","",C23-(子基金及业绩基准周净值!AH64/子基金及业绩基准周净值!AH63-1))</f>
        <v>#DIV/0!</v>
      </c>
      <c r="E23" s="12">
        <f>IF(A23="","",(MAX(B$3:B23)-B23)/MAX(B$3:B23))</f>
        <v>1</v>
      </c>
      <c r="F23" s="12">
        <f>IF(A23="","",MAX(E$4:E23))</f>
        <v>1</v>
      </c>
      <c r="G23" s="13"/>
      <c r="H23" s="14" t="str">
        <f t="shared" si="8"/>
        <v>是</v>
      </c>
      <c r="I23" s="14" t="str">
        <f t="shared" si="9"/>
        <v>是</v>
      </c>
      <c r="J23" s="15" t="str">
        <f t="shared" si="10"/>
        <v>否</v>
      </c>
    </row>
    <row r="24" spans="1:10">
      <c r="A24" s="7">
        <f>IF(子基金及业绩基准周净值!A65="","",子基金及业绩基准周净值!A65)</f>
        <v>45905</v>
      </c>
      <c r="B24" s="1">
        <f>IF(A24="","",VLOOKUP($A24,子基金及业绩基准周净值!$A:$AV,20))</f>
        <v>0</v>
      </c>
      <c r="C24" s="8" t="e">
        <f t="shared" si="7"/>
        <v>#DIV/0!</v>
      </c>
      <c r="D24" s="9" t="e">
        <f>IF(A24="","",C24-(子基金及业绩基准周净值!AH65/子基金及业绩基准周净值!AH64-1))</f>
        <v>#DIV/0!</v>
      </c>
      <c r="E24" s="12">
        <f>IF(A24="","",(MAX(B$3:B24)-B24)/MAX(B$3:B24))</f>
        <v>1</v>
      </c>
      <c r="F24" s="12">
        <f>IF(A24="","",MAX(E$4:E24))</f>
        <v>1</v>
      </c>
      <c r="G24" s="13"/>
      <c r="H24" s="14" t="str">
        <f t="shared" si="8"/>
        <v>是</v>
      </c>
      <c r="I24" s="14" t="str">
        <f t="shared" si="9"/>
        <v>是</v>
      </c>
      <c r="J24" s="15" t="str">
        <f t="shared" si="10"/>
        <v>否</v>
      </c>
    </row>
    <row r="25" spans="1:10">
      <c r="A25" s="7">
        <f>IF(子基金及业绩基准周净值!A66="","",子基金及业绩基准周净值!A66)</f>
        <v>45912</v>
      </c>
      <c r="B25" s="1">
        <f>IF(A25="","",VLOOKUP($A25,子基金及业绩基准周净值!$A:$AV,20))</f>
        <v>0</v>
      </c>
      <c r="C25" s="8" t="e">
        <f t="shared" si="7"/>
        <v>#DIV/0!</v>
      </c>
      <c r="D25" s="9" t="e">
        <f>IF(A25="","",C25-(子基金及业绩基准周净值!AH66/子基金及业绩基准周净值!AH65-1))</f>
        <v>#DIV/0!</v>
      </c>
      <c r="E25" s="12">
        <f>IF(A25="","",(MAX(B$3:B25)-B25)/MAX(B$3:B25))</f>
        <v>1</v>
      </c>
      <c r="F25" s="12">
        <f>IF(A25="","",MAX(E$4:E25))</f>
        <v>1</v>
      </c>
      <c r="G25" s="13"/>
      <c r="H25" s="14" t="str">
        <f t="shared" si="8"/>
        <v>是</v>
      </c>
      <c r="I25" s="14" t="str">
        <f t="shared" si="9"/>
        <v>是</v>
      </c>
      <c r="J25" s="15" t="str">
        <f t="shared" si="10"/>
        <v>否</v>
      </c>
    </row>
    <row r="26" spans="1:10">
      <c r="A26" s="7">
        <f>IF(子基金及业绩基准周净值!A67="","",子基金及业绩基准周净值!A67)</f>
        <v>45919</v>
      </c>
      <c r="B26" s="1">
        <f>IF(A26="","",VLOOKUP($A26,子基金及业绩基准周净值!$A:$AV,20))</f>
        <v>0</v>
      </c>
      <c r="C26" s="8" t="e">
        <f t="shared" si="7"/>
        <v>#DIV/0!</v>
      </c>
      <c r="D26" s="9" t="e">
        <f>IF(A26="","",C26-(子基金及业绩基准周净值!AH67/子基金及业绩基准周净值!AH66-1))</f>
        <v>#DIV/0!</v>
      </c>
      <c r="E26" s="12">
        <f>IF(A26="","",(MAX(B$3:B26)-B26)/MAX(B$3:B26))</f>
        <v>1</v>
      </c>
      <c r="F26" s="12">
        <f>IF(A26="","",MAX(E$4:E26))</f>
        <v>1</v>
      </c>
      <c r="G26" s="13"/>
      <c r="H26" s="14" t="str">
        <f t="shared" si="8"/>
        <v>是</v>
      </c>
      <c r="I26" s="14" t="str">
        <f t="shared" si="9"/>
        <v>是</v>
      </c>
      <c r="J26" s="15" t="str">
        <f t="shared" si="10"/>
        <v>否</v>
      </c>
    </row>
    <row r="27" spans="1:10">
      <c r="A27" s="7">
        <f>IF(子基金及业绩基准周净值!A68="","",子基金及业绩基准周净值!A68)</f>
        <v>45926</v>
      </c>
      <c r="B27" s="1">
        <f>IF(A27="","",VLOOKUP($A27,子基金及业绩基准周净值!$A:$AV,20))</f>
        <v>0</v>
      </c>
      <c r="C27" s="8" t="e">
        <f t="shared" si="7"/>
        <v>#DIV/0!</v>
      </c>
      <c r="D27" s="9" t="e">
        <f>IF(A27="","",C27-(子基金及业绩基准周净值!AH68/子基金及业绩基准周净值!AH67-1))</f>
        <v>#DIV/0!</v>
      </c>
      <c r="E27" s="12">
        <f>IF(A27="","",(MAX(B$3:B27)-B27)/MAX(B$3:B27))</f>
        <v>1</v>
      </c>
      <c r="F27" s="12">
        <f>IF(A27="","",MAX(E$4:E27))</f>
        <v>1</v>
      </c>
      <c r="G27" s="13"/>
      <c r="H27" s="14" t="str">
        <f t="shared" si="8"/>
        <v>是</v>
      </c>
      <c r="I27" s="14" t="str">
        <f t="shared" si="9"/>
        <v>是</v>
      </c>
      <c r="J27" s="15" t="str">
        <f t="shared" si="10"/>
        <v>否</v>
      </c>
    </row>
    <row r="28" spans="1:10">
      <c r="A28" s="7">
        <f>IF(子基金及业绩基准周净值!A69="","",子基金及业绩基准周净值!A69)</f>
        <v>45940</v>
      </c>
      <c r="B28" s="1">
        <f>IF(A28="","",VLOOKUP($A28,子基金及业绩基准周净值!$A:$AV,20))</f>
        <v>0</v>
      </c>
      <c r="C28" s="8" t="e">
        <f t="shared" si="7"/>
        <v>#DIV/0!</v>
      </c>
      <c r="D28" s="9" t="e">
        <f>IF(A28="","",C28-(子基金及业绩基准周净值!AH69/子基金及业绩基准周净值!AH68-1))</f>
        <v>#DIV/0!</v>
      </c>
      <c r="E28" s="12">
        <f>IF(A28="","",(MAX(B$3:B28)-B28)/MAX(B$3:B28))</f>
        <v>1</v>
      </c>
      <c r="F28" s="12">
        <f>IF(A28="","",MAX(E$4:E28))</f>
        <v>1</v>
      </c>
      <c r="G28" s="13"/>
      <c r="H28" s="14" t="str">
        <f t="shared" si="8"/>
        <v>是</v>
      </c>
      <c r="I28" s="14" t="str">
        <f t="shared" si="9"/>
        <v>是</v>
      </c>
      <c r="J28" s="15" t="str">
        <f t="shared" si="10"/>
        <v>否</v>
      </c>
    </row>
    <row r="29" spans="1:10">
      <c r="A29" s="7">
        <f>IF(子基金及业绩基准周净值!A70="","",子基金及业绩基准周净值!A70)</f>
        <v>45947</v>
      </c>
      <c r="B29" s="1">
        <f>IF(A29="","",VLOOKUP($A29,子基金及业绩基准周净值!$A:$AV,20))</f>
        <v>0</v>
      </c>
      <c r="C29" s="8" t="e">
        <f t="shared" si="7"/>
        <v>#DIV/0!</v>
      </c>
      <c r="D29" s="9" t="e">
        <f>IF(A29="","",C29-(子基金及业绩基准周净值!AH70/子基金及业绩基准周净值!AH69-1))</f>
        <v>#DIV/0!</v>
      </c>
      <c r="E29" s="12">
        <f>IF(A29="","",(MAX(B$3:B29)-B29)/MAX(B$3:B29))</f>
        <v>1</v>
      </c>
      <c r="F29" s="12">
        <f>IF(A29="","",MAX(E$4:E29))</f>
        <v>1</v>
      </c>
      <c r="G29" s="13"/>
      <c r="H29" s="14" t="str">
        <f t="shared" si="8"/>
        <v>是</v>
      </c>
      <c r="I29" s="14" t="str">
        <f t="shared" si="9"/>
        <v>是</v>
      </c>
      <c r="J29" s="15" t="str">
        <f t="shared" si="10"/>
        <v>否</v>
      </c>
    </row>
    <row r="30" spans="1:10">
      <c r="A30" s="7">
        <f>IF(子基金及业绩基准周净值!A71="","",子基金及业绩基准周净值!A71)</f>
        <v>45954</v>
      </c>
      <c r="B30" s="1">
        <f>IF(A30="","",VLOOKUP($A30,子基金及业绩基准周净值!$A:$AV,20))</f>
        <v>0</v>
      </c>
      <c r="C30" s="8" t="e">
        <f t="shared" si="7"/>
        <v>#DIV/0!</v>
      </c>
      <c r="D30" s="9" t="e">
        <f>IF(A30="","",C30-(子基金及业绩基准周净值!AH71/子基金及业绩基准周净值!AH70-1))</f>
        <v>#DIV/0!</v>
      </c>
      <c r="E30" s="12">
        <f>IF(A30="","",(MAX(B$3:B30)-B30)/MAX(B$3:B30))</f>
        <v>1</v>
      </c>
      <c r="F30" s="12">
        <f>IF(A30="","",MAX(E$4:E30))</f>
        <v>1</v>
      </c>
      <c r="G30" s="13"/>
      <c r="H30" s="14" t="str">
        <f t="shared" si="8"/>
        <v>是</v>
      </c>
      <c r="I30" s="14" t="str">
        <f t="shared" si="9"/>
        <v>是</v>
      </c>
      <c r="J30" s="15" t="str">
        <f t="shared" si="10"/>
        <v>否</v>
      </c>
    </row>
    <row r="31" spans="1:10">
      <c r="A31" s="7">
        <f>IF(子基金及业绩基准周净值!A72="","",子基金及业绩基准周净值!A72)</f>
        <v>45961</v>
      </c>
      <c r="B31" s="1">
        <f>IF(A31="","",VLOOKUP($A31,子基金及业绩基准周净值!$A:$AV,20))</f>
        <v>0</v>
      </c>
      <c r="C31" s="8" t="e">
        <f t="shared" si="7"/>
        <v>#DIV/0!</v>
      </c>
      <c r="D31" s="9" t="e">
        <f>IF(A31="","",C31-(子基金及业绩基准周净值!AH72/子基金及业绩基准周净值!AH71-1))</f>
        <v>#DIV/0!</v>
      </c>
      <c r="E31" s="12">
        <f>IF(A31="","",(MAX(B$3:B31)-B31)/MAX(B$3:B31))</f>
        <v>1</v>
      </c>
      <c r="F31" s="12">
        <f>IF(A31="","",MAX(E$4:E31))</f>
        <v>1</v>
      </c>
      <c r="G31" s="13"/>
      <c r="H31" s="14" t="str">
        <f t="shared" si="8"/>
        <v>是</v>
      </c>
      <c r="I31" s="14" t="str">
        <f t="shared" si="9"/>
        <v>是</v>
      </c>
      <c r="J31" s="15" t="str">
        <f t="shared" si="10"/>
        <v>否</v>
      </c>
    </row>
    <row r="32" spans="1:10">
      <c r="A32" s="7" t="str">
        <f>IF(子基金及业绩基准周净值!A73="","",子基金及业绩基准周净值!A73)</f>
        <v/>
      </c>
      <c r="B32" s="1" t="str">
        <f>IF(A32="","",VLOOKUP($A32,子基金及业绩基准周净值!$A:$AV,20))</f>
        <v/>
      </c>
      <c r="C32" s="8" t="str">
        <f t="shared" si="7"/>
        <v/>
      </c>
      <c r="D32" s="9" t="str">
        <f>IF(A32="","",C32-(子基金及业绩基准周净值!AH73/子基金及业绩基准周净值!AH72-1))</f>
        <v/>
      </c>
      <c r="E32" s="12" t="str">
        <f>IF(A32="","",(MAX(B$3:B32)-B32)/MAX(B$3:B32))</f>
        <v/>
      </c>
      <c r="F32" s="12" t="str">
        <f>IF(A32="","",MAX(E$4:E32))</f>
        <v/>
      </c>
      <c r="G32" s="13"/>
      <c r="H32" s="14" t="str">
        <f t="shared" si="8"/>
        <v/>
      </c>
      <c r="I32" s="14" t="str">
        <f t="shared" si="9"/>
        <v/>
      </c>
      <c r="J32" s="15" t="str">
        <f t="shared" si="10"/>
        <v/>
      </c>
    </row>
    <row r="33" spans="1:10">
      <c r="A33" s="7" t="str">
        <f>IF(子基金及业绩基准周净值!A74="","",子基金及业绩基准周净值!A74)</f>
        <v/>
      </c>
      <c r="B33" s="1" t="str">
        <f>IF(A33="","",VLOOKUP($A33,子基金及业绩基准周净值!$A:$AV,20))</f>
        <v/>
      </c>
      <c r="C33" s="8" t="str">
        <f t="shared" si="7"/>
        <v/>
      </c>
      <c r="D33" s="9" t="str">
        <f>IF(A33="","",C33-(子基金及业绩基准周净值!AH74/子基金及业绩基准周净值!AH73-1))</f>
        <v/>
      </c>
      <c r="E33" s="12" t="str">
        <f>IF(A33="","",(MAX(B$3:B33)-B33)/MAX(B$3:B33))</f>
        <v/>
      </c>
      <c r="F33" s="12" t="str">
        <f>IF(A33="","",MAX(E$4:E33))</f>
        <v/>
      </c>
      <c r="G33" s="13"/>
      <c r="H33" s="14" t="str">
        <f t="shared" si="8"/>
        <v/>
      </c>
      <c r="I33" s="14" t="str">
        <f t="shared" si="9"/>
        <v/>
      </c>
      <c r="J33" s="15" t="str">
        <f t="shared" si="10"/>
        <v/>
      </c>
    </row>
    <row r="34" spans="1:10">
      <c r="A34" s="7" t="str">
        <f>IF(子基金及业绩基准周净值!A75="","",子基金及业绩基准周净值!A75)</f>
        <v/>
      </c>
      <c r="B34" s="1" t="str">
        <f>IF(A34="","",VLOOKUP($A34,子基金及业绩基准周净值!$A:$AV,20))</f>
        <v/>
      </c>
      <c r="C34" s="8" t="str">
        <f t="shared" si="7"/>
        <v/>
      </c>
      <c r="D34" s="9" t="str">
        <f>IF(A34="","",C34-(子基金及业绩基准周净值!AH75/子基金及业绩基准周净值!AH74-1))</f>
        <v/>
      </c>
      <c r="E34" s="12" t="str">
        <f>IF(A34="","",(MAX(B$3:B34)-B34)/MAX(B$3:B34))</f>
        <v/>
      </c>
      <c r="F34" s="12" t="str">
        <f>IF(A34="","",MAX(E$4:E34))</f>
        <v/>
      </c>
      <c r="G34" s="13"/>
      <c r="H34" s="14" t="str">
        <f t="shared" si="8"/>
        <v/>
      </c>
      <c r="I34" s="14" t="str">
        <f t="shared" si="9"/>
        <v/>
      </c>
      <c r="J34" s="15" t="str">
        <f t="shared" si="10"/>
        <v/>
      </c>
    </row>
    <row r="35" spans="1:10">
      <c r="A35" s="7" t="str">
        <f>IF(子基金及业绩基准周净值!A76="","",子基金及业绩基准周净值!A76)</f>
        <v/>
      </c>
      <c r="B35" s="1" t="str">
        <f>IF(A35="","",VLOOKUP($A35,子基金及业绩基准周净值!$A:$AV,20))</f>
        <v/>
      </c>
      <c r="C35" s="8" t="str">
        <f t="shared" si="7"/>
        <v/>
      </c>
      <c r="D35" s="9" t="str">
        <f>IF(A35="","",C35-(子基金及业绩基准周净值!AH76/子基金及业绩基准周净值!AH75-1))</f>
        <v/>
      </c>
      <c r="E35" s="12" t="str">
        <f>IF(A35="","",(MAX(B$3:B35)-B35)/MAX(B$3:B35))</f>
        <v/>
      </c>
      <c r="F35" s="12" t="str">
        <f>IF(A35="","",MAX(E$4:E35))</f>
        <v/>
      </c>
      <c r="G35" s="13"/>
      <c r="H35" s="14" t="str">
        <f t="shared" si="8"/>
        <v/>
      </c>
      <c r="I35" s="14" t="str">
        <f t="shared" si="9"/>
        <v/>
      </c>
      <c r="J35" s="15" t="str">
        <f t="shared" si="10"/>
        <v/>
      </c>
    </row>
    <row r="36" spans="1:10">
      <c r="A36" s="7" t="str">
        <f>IF(子基金及业绩基准周净值!A77="","",子基金及业绩基准周净值!A77)</f>
        <v/>
      </c>
      <c r="B36" s="1" t="str">
        <f>IF(A36="","",VLOOKUP($A36,子基金及业绩基准周净值!$A:$AV,20))</f>
        <v/>
      </c>
      <c r="C36" s="8" t="str">
        <f t="shared" si="7"/>
        <v/>
      </c>
      <c r="D36" s="9" t="str">
        <f>IF(A36="","",C36-(子基金及业绩基准周净值!AH77/子基金及业绩基准周净值!AH76-1))</f>
        <v/>
      </c>
      <c r="E36" s="12" t="str">
        <f>IF(A36="","",(MAX(B$3:B36)-B36)/MAX(B$3:B36))</f>
        <v/>
      </c>
      <c r="F36" s="12" t="str">
        <f>IF(A36="","",MAX(E$4:E36))</f>
        <v/>
      </c>
      <c r="G36" s="13"/>
      <c r="H36" s="14" t="str">
        <f t="shared" si="8"/>
        <v/>
      </c>
      <c r="I36" s="14" t="str">
        <f t="shared" si="9"/>
        <v/>
      </c>
      <c r="J36" s="15" t="str">
        <f t="shared" si="10"/>
        <v/>
      </c>
    </row>
    <row r="37" spans="1:10">
      <c r="A37" s="7" t="str">
        <f>IF(子基金及业绩基准周净值!A78="","",子基金及业绩基准周净值!A78)</f>
        <v/>
      </c>
      <c r="B37" s="1" t="str">
        <f>IF(A37="","",VLOOKUP($A37,子基金及业绩基准周净值!$A:$AV,20))</f>
        <v/>
      </c>
      <c r="C37" s="8" t="str">
        <f t="shared" si="7"/>
        <v/>
      </c>
      <c r="D37" s="9" t="str">
        <f>IF(A37="","",C37-(子基金及业绩基准周净值!AH78/子基金及业绩基准周净值!AH77-1))</f>
        <v/>
      </c>
      <c r="E37" s="12" t="str">
        <f>IF(A37="","",(MAX(B$3:B37)-B37)/MAX(B$3:B37))</f>
        <v/>
      </c>
      <c r="F37" s="12" t="str">
        <f>IF(A37="","",MAX(E$4:E37))</f>
        <v/>
      </c>
      <c r="G37" s="13"/>
      <c r="H37" s="14" t="str">
        <f t="shared" si="8"/>
        <v/>
      </c>
      <c r="I37" s="14" t="str">
        <f t="shared" si="9"/>
        <v/>
      </c>
      <c r="J37" s="15" t="str">
        <f t="shared" si="10"/>
        <v/>
      </c>
    </row>
    <row r="38" spans="1:10">
      <c r="A38" s="7" t="str">
        <f>IF(子基金及业绩基准周净值!A79="","",子基金及业绩基准周净值!A79)</f>
        <v/>
      </c>
      <c r="B38" s="1" t="str">
        <f>IF(A38="","",VLOOKUP($A38,子基金及业绩基准周净值!$A:$AV,20))</f>
        <v/>
      </c>
      <c r="C38" s="8" t="str">
        <f t="shared" si="7"/>
        <v/>
      </c>
      <c r="D38" s="9" t="str">
        <f>IF(A38="","",C38-(子基金及业绩基准周净值!AH79/子基金及业绩基准周净值!AH78-1))</f>
        <v/>
      </c>
      <c r="E38" s="12" t="str">
        <f>IF(A38="","",(MAX(B$3:B38)-B38)/MAX(B$3:B38))</f>
        <v/>
      </c>
      <c r="F38" s="12" t="str">
        <f>IF(A38="","",MAX(E$4:E38))</f>
        <v/>
      </c>
      <c r="G38" s="13"/>
      <c r="H38" s="14" t="str">
        <f t="shared" si="8"/>
        <v/>
      </c>
      <c r="I38" s="14" t="str">
        <f t="shared" si="9"/>
        <v/>
      </c>
      <c r="J38" s="15" t="str">
        <f t="shared" si="10"/>
        <v/>
      </c>
    </row>
    <row r="39" spans="1:10">
      <c r="A39" s="7" t="str">
        <f>IF(子基金及业绩基准周净值!A80="","",子基金及业绩基准周净值!A80)</f>
        <v/>
      </c>
      <c r="B39" s="1" t="str">
        <f>IF(A39="","",VLOOKUP($A39,子基金及业绩基准周净值!$A:$AV,20))</f>
        <v/>
      </c>
      <c r="C39" s="8" t="str">
        <f t="shared" si="7"/>
        <v/>
      </c>
      <c r="D39" s="9" t="str">
        <f>IF(A39="","",C39-(子基金及业绩基准周净值!AH80/子基金及业绩基准周净值!AH79-1))</f>
        <v/>
      </c>
      <c r="E39" s="12" t="str">
        <f>IF(A39="","",(MAX(B$3:B39)-B39)/MAX(B$3:B39))</f>
        <v/>
      </c>
      <c r="F39" s="12" t="str">
        <f>IF(A39="","",MAX(E$4:E39))</f>
        <v/>
      </c>
      <c r="G39" s="13"/>
      <c r="H39" s="14" t="str">
        <f t="shared" si="8"/>
        <v/>
      </c>
      <c r="I39" s="14" t="str">
        <f t="shared" si="9"/>
        <v/>
      </c>
      <c r="J39" s="15" t="str">
        <f t="shared" si="10"/>
        <v/>
      </c>
    </row>
    <row r="40" spans="1:10">
      <c r="A40" s="7" t="str">
        <f>IF(子基金及业绩基准周净值!A81="","",子基金及业绩基准周净值!A81)</f>
        <v/>
      </c>
      <c r="B40" s="1" t="str">
        <f>IF(A40="","",VLOOKUP($A40,子基金及业绩基准周净值!$A:$AV,20))</f>
        <v/>
      </c>
      <c r="C40" s="8" t="str">
        <f t="shared" si="7"/>
        <v/>
      </c>
      <c r="D40" s="9" t="str">
        <f>IF(A40="","",C40-(子基金及业绩基准周净值!AH81/子基金及业绩基准周净值!AH80-1))</f>
        <v/>
      </c>
      <c r="E40" s="12" t="str">
        <f>IF(A40="","",(MAX(B$3:B40)-B40)/MAX(B$3:B40))</f>
        <v/>
      </c>
      <c r="F40" s="12" t="str">
        <f>IF(A40="","",MAX(E$4:E40))</f>
        <v/>
      </c>
      <c r="G40" s="13"/>
      <c r="H40" s="14" t="str">
        <f t="shared" si="8"/>
        <v/>
      </c>
      <c r="I40" s="14" t="str">
        <f t="shared" si="9"/>
        <v/>
      </c>
      <c r="J40" s="15" t="str">
        <f t="shared" si="10"/>
        <v/>
      </c>
    </row>
    <row r="41" spans="1:10">
      <c r="A41" s="7" t="str">
        <f>IF(子基金及业绩基准周净值!A82="","",子基金及业绩基准周净值!A82)</f>
        <v/>
      </c>
      <c r="B41" s="1" t="str">
        <f>IF(A41="","",VLOOKUP($A41,子基金及业绩基准周净值!$A:$AV,20))</f>
        <v/>
      </c>
      <c r="C41" s="8" t="str">
        <f t="shared" si="7"/>
        <v/>
      </c>
      <c r="D41" s="9" t="str">
        <f>IF(A41="","",C41-(子基金及业绩基准周净值!AH82/子基金及业绩基准周净值!AH81-1))</f>
        <v/>
      </c>
      <c r="E41" s="12" t="str">
        <f>IF(A41="","",(MAX(B$3:B41)-B41)/MAX(B$3:B41))</f>
        <v/>
      </c>
      <c r="F41" s="12" t="str">
        <f>IF(A41="","",MAX(E$4:E41))</f>
        <v/>
      </c>
      <c r="G41" s="13"/>
      <c r="H41" s="14" t="str">
        <f t="shared" si="8"/>
        <v/>
      </c>
      <c r="I41" s="14" t="str">
        <f t="shared" si="9"/>
        <v/>
      </c>
      <c r="J41" s="15" t="str">
        <f t="shared" si="10"/>
        <v/>
      </c>
    </row>
    <row r="42" spans="1:10">
      <c r="A42" s="7" t="str">
        <f>IF(子基金及业绩基准周净值!A83="","",子基金及业绩基准周净值!A83)</f>
        <v/>
      </c>
      <c r="B42" s="1" t="str">
        <f>IF(A42="","",VLOOKUP($A42,子基金及业绩基准周净值!$A:$AV,20))</f>
        <v/>
      </c>
      <c r="C42" s="8" t="str">
        <f t="shared" si="7"/>
        <v/>
      </c>
      <c r="D42" s="9" t="str">
        <f>IF(A42="","",C42-(子基金及业绩基准周净值!AH83/子基金及业绩基准周净值!AH82-1))</f>
        <v/>
      </c>
      <c r="E42" s="12" t="str">
        <f>IF(A42="","",(MAX(B$3:B42)-B42)/MAX(B$3:B42))</f>
        <v/>
      </c>
      <c r="F42" s="12" t="str">
        <f>IF(A42="","",MAX(E$4:E42))</f>
        <v/>
      </c>
      <c r="G42" s="13"/>
      <c r="H42" s="14" t="str">
        <f t="shared" si="8"/>
        <v/>
      </c>
      <c r="I42" s="14" t="str">
        <f t="shared" si="9"/>
        <v/>
      </c>
      <c r="J42" s="15" t="str">
        <f t="shared" si="10"/>
        <v/>
      </c>
    </row>
    <row r="43" spans="1:10">
      <c r="A43" s="7" t="str">
        <f>IF(子基金及业绩基准周净值!A84="","",子基金及业绩基准周净值!A84)</f>
        <v/>
      </c>
      <c r="B43" s="1" t="str">
        <f>IF(A43="","",VLOOKUP($A43,子基金及业绩基准周净值!$A:$AV,20))</f>
        <v/>
      </c>
      <c r="C43" s="8" t="str">
        <f t="shared" si="7"/>
        <v/>
      </c>
      <c r="D43" s="9" t="str">
        <f>IF(A43="","",C43-(子基金及业绩基准周净值!AH84/子基金及业绩基准周净值!AH83-1))</f>
        <v/>
      </c>
      <c r="E43" s="12" t="str">
        <f>IF(A43="","",(MAX(B$3:B43)-B43)/MAX(B$3:B43))</f>
        <v/>
      </c>
      <c r="F43" s="12" t="str">
        <f>IF(A43="","",MAX(E$4:E43))</f>
        <v/>
      </c>
      <c r="G43" s="13"/>
      <c r="H43" s="14" t="str">
        <f t="shared" si="8"/>
        <v/>
      </c>
      <c r="I43" s="14" t="str">
        <f t="shared" si="9"/>
        <v/>
      </c>
      <c r="J43" s="15" t="str">
        <f t="shared" si="10"/>
        <v/>
      </c>
    </row>
    <row r="44" spans="1:10">
      <c r="A44" s="7" t="str">
        <f>IF(子基金及业绩基准周净值!A85="","",子基金及业绩基准周净值!A85)</f>
        <v/>
      </c>
      <c r="B44" s="1" t="str">
        <f>IF(A44="","",VLOOKUP($A44,子基金及业绩基准周净值!$A:$AV,20))</f>
        <v/>
      </c>
      <c r="C44" s="8" t="str">
        <f t="shared" si="7"/>
        <v/>
      </c>
      <c r="D44" s="9" t="str">
        <f>IF(A44="","",C44-(子基金及业绩基准周净值!AH85/子基金及业绩基准周净值!AH84-1))</f>
        <v/>
      </c>
      <c r="E44" s="12" t="str">
        <f>IF(A44="","",(MAX(B$3:B44)-B44)/MAX(B$3:B44))</f>
        <v/>
      </c>
      <c r="F44" s="12" t="str">
        <f>IF(A44="","",MAX(E$4:E44))</f>
        <v/>
      </c>
      <c r="G44" s="13"/>
      <c r="H44" s="14" t="str">
        <f t="shared" si="8"/>
        <v/>
      </c>
      <c r="I44" s="14" t="str">
        <f t="shared" si="9"/>
        <v/>
      </c>
      <c r="J44" s="15" t="str">
        <f t="shared" si="10"/>
        <v/>
      </c>
    </row>
    <row r="45" spans="1:10">
      <c r="A45" s="7" t="str">
        <f>IF(子基金及业绩基准周净值!A86="","",子基金及业绩基准周净值!A86)</f>
        <v/>
      </c>
      <c r="B45" s="1" t="str">
        <f>IF(A45="","",VLOOKUP($A45,子基金及业绩基准周净值!$A:$AV,20))</f>
        <v/>
      </c>
      <c r="C45" s="8" t="str">
        <f t="shared" si="7"/>
        <v/>
      </c>
      <c r="D45" s="9" t="str">
        <f>IF(A45="","",C45-(子基金及业绩基准周净值!AH86/子基金及业绩基准周净值!AH85-1))</f>
        <v/>
      </c>
      <c r="E45" s="12" t="str">
        <f>IF(A45="","",(MAX(B$3:B45)-B45)/MAX(B$3:B45))</f>
        <v/>
      </c>
      <c r="F45" s="12" t="str">
        <f>IF(A45="","",MAX(E$4:E45))</f>
        <v/>
      </c>
      <c r="G45" s="13"/>
      <c r="H45" s="14" t="str">
        <f t="shared" si="8"/>
        <v/>
      </c>
      <c r="I45" s="14" t="str">
        <f t="shared" si="9"/>
        <v/>
      </c>
      <c r="J45" s="15" t="str">
        <f t="shared" si="10"/>
        <v/>
      </c>
    </row>
    <row r="46" spans="1:10">
      <c r="A46" s="7" t="str">
        <f>IF(子基金及业绩基准周净值!A87="","",子基金及业绩基准周净值!A87)</f>
        <v/>
      </c>
      <c r="B46" s="1" t="str">
        <f>IF(A46="","",VLOOKUP($A46,子基金及业绩基准周净值!$A:$AV,20))</f>
        <v/>
      </c>
      <c r="C46" s="8" t="str">
        <f t="shared" si="7"/>
        <v/>
      </c>
      <c r="D46" s="9" t="str">
        <f>IF(A46="","",C46-(子基金及业绩基准周净值!AH87/子基金及业绩基准周净值!AH86-1))</f>
        <v/>
      </c>
      <c r="E46" s="12" t="str">
        <f>IF(A46="","",(MAX(B$3:B46)-B46)/MAX(B$3:B46))</f>
        <v/>
      </c>
      <c r="F46" s="12" t="str">
        <f>IF(A46="","",MAX(E$4:E46))</f>
        <v/>
      </c>
      <c r="G46" s="13"/>
      <c r="H46" s="14" t="str">
        <f t="shared" si="8"/>
        <v/>
      </c>
      <c r="I46" s="14" t="str">
        <f t="shared" si="9"/>
        <v/>
      </c>
      <c r="J46" s="15" t="str">
        <f t="shared" si="10"/>
        <v/>
      </c>
    </row>
    <row r="47" spans="1:10">
      <c r="A47" s="7" t="str">
        <f>IF(子基金及业绩基准周净值!A88="","",子基金及业绩基准周净值!A88)</f>
        <v/>
      </c>
      <c r="B47" s="1" t="str">
        <f>IF(A47="","",VLOOKUP($A47,子基金及业绩基准周净值!$A:$AV,20))</f>
        <v/>
      </c>
      <c r="C47" s="8" t="str">
        <f t="shared" si="7"/>
        <v/>
      </c>
      <c r="D47" s="9" t="str">
        <f>IF(A47="","",C47-(子基金及业绩基准周净值!AH88/子基金及业绩基准周净值!AH87-1))</f>
        <v/>
      </c>
      <c r="E47" s="12" t="str">
        <f>IF(A47="","",(MAX(B$3:B47)-B47)/MAX(B$3:B47))</f>
        <v/>
      </c>
      <c r="F47" s="12" t="str">
        <f>IF(A47="","",MAX(E$4:E47))</f>
        <v/>
      </c>
      <c r="G47" s="13"/>
      <c r="H47" s="14" t="str">
        <f t="shared" si="8"/>
        <v/>
      </c>
      <c r="I47" s="14" t="str">
        <f t="shared" si="9"/>
        <v/>
      </c>
      <c r="J47" s="15" t="str">
        <f t="shared" si="10"/>
        <v/>
      </c>
    </row>
    <row r="48" spans="1:10">
      <c r="A48" s="7" t="str">
        <f>IF(子基金及业绩基准周净值!A89="","",子基金及业绩基准周净值!A89)</f>
        <v/>
      </c>
      <c r="B48" s="1" t="str">
        <f>IF(A48="","",VLOOKUP($A48,子基金及业绩基准周净值!$A:$AV,20))</f>
        <v/>
      </c>
      <c r="C48" s="8" t="str">
        <f t="shared" si="7"/>
        <v/>
      </c>
      <c r="D48" s="9" t="str">
        <f>IF(A48="","",C48-(子基金及业绩基准周净值!AH89/子基金及业绩基准周净值!AH88-1))</f>
        <v/>
      </c>
      <c r="E48" s="12" t="str">
        <f>IF(A48="","",(MAX(B$3:B48)-B48)/MAX(B$3:B48))</f>
        <v/>
      </c>
      <c r="F48" s="12" t="str">
        <f>IF(A48="","",MAX(E$4:E48))</f>
        <v/>
      </c>
      <c r="G48" s="13"/>
      <c r="H48" s="14" t="str">
        <f t="shared" si="8"/>
        <v/>
      </c>
      <c r="I48" s="14" t="str">
        <f t="shared" si="9"/>
        <v/>
      </c>
      <c r="J48" s="15" t="str">
        <f t="shared" si="10"/>
        <v/>
      </c>
    </row>
    <row r="49" spans="1:10">
      <c r="A49" s="7" t="str">
        <f>IF(子基金及业绩基准周净值!A90="","",子基金及业绩基准周净值!A90)</f>
        <v/>
      </c>
      <c r="B49" s="1" t="str">
        <f>IF(A49="","",VLOOKUP($A49,子基金及业绩基准周净值!$A:$AV,20))</f>
        <v/>
      </c>
      <c r="C49" s="8" t="str">
        <f t="shared" si="7"/>
        <v/>
      </c>
      <c r="D49" s="9" t="str">
        <f>IF(A49="","",C49-(子基金及业绩基准周净值!AH90/子基金及业绩基准周净值!AH89-1))</f>
        <v/>
      </c>
      <c r="E49" s="12" t="str">
        <f>IF(A49="","",(MAX(B$3:B49)-B49)/MAX(B$3:B49))</f>
        <v/>
      </c>
      <c r="F49" s="12" t="str">
        <f>IF(A49="","",MAX(E$4:E49))</f>
        <v/>
      </c>
      <c r="G49" s="13"/>
      <c r="H49" s="14" t="str">
        <f t="shared" si="8"/>
        <v/>
      </c>
      <c r="I49" s="14" t="str">
        <f t="shared" si="9"/>
        <v/>
      </c>
      <c r="J49" s="15" t="str">
        <f t="shared" si="10"/>
        <v/>
      </c>
    </row>
    <row r="50" spans="1:10">
      <c r="A50" s="7" t="str">
        <f>IF(子基金及业绩基准周净值!A91="","",子基金及业绩基准周净值!A91)</f>
        <v/>
      </c>
      <c r="B50" s="1" t="str">
        <f>IF(A50="","",VLOOKUP($A50,子基金及业绩基准周净值!$A:$AV,20))</f>
        <v/>
      </c>
      <c r="C50" s="8" t="str">
        <f t="shared" si="7"/>
        <v/>
      </c>
      <c r="D50" s="9" t="str">
        <f>IF(A50="","",C50-(子基金及业绩基准周净值!AH91/子基金及业绩基准周净值!AH90-1))</f>
        <v/>
      </c>
      <c r="E50" s="12" t="str">
        <f>IF(A50="","",(MAX(B$3:B50)-B50)/MAX(B$3:B50))</f>
        <v/>
      </c>
      <c r="F50" s="12" t="str">
        <f>IF(A50="","",MAX(E$4:E50))</f>
        <v/>
      </c>
      <c r="G50" s="13"/>
      <c r="H50" s="14" t="str">
        <f t="shared" si="8"/>
        <v/>
      </c>
      <c r="I50" s="14" t="str">
        <f t="shared" si="9"/>
        <v/>
      </c>
      <c r="J50" s="15" t="str">
        <f t="shared" si="10"/>
        <v/>
      </c>
    </row>
    <row r="51" spans="1:10">
      <c r="A51" s="7" t="str">
        <f>IF(子基金及业绩基准周净值!A92="","",子基金及业绩基准周净值!A92)</f>
        <v/>
      </c>
      <c r="B51" s="1" t="str">
        <f>IF(A51="","",VLOOKUP($A51,子基金及业绩基准周净值!$A:$AV,20))</f>
        <v/>
      </c>
      <c r="C51" s="8" t="str">
        <f t="shared" si="7"/>
        <v/>
      </c>
      <c r="D51" s="9" t="str">
        <f>IF(A51="","",C51-(子基金及业绩基准周净值!AH92/子基金及业绩基准周净值!AH91-1))</f>
        <v/>
      </c>
      <c r="E51" s="12" t="str">
        <f>IF(A51="","",(MAX(B$3:B51)-B51)/MAX(B$3:B51))</f>
        <v/>
      </c>
      <c r="F51" s="12" t="str">
        <f>IF(A51="","",MAX(E$4:E51))</f>
        <v/>
      </c>
      <c r="G51" s="13"/>
      <c r="H51" s="14" t="str">
        <f t="shared" si="8"/>
        <v/>
      </c>
      <c r="I51" s="14" t="str">
        <f t="shared" si="9"/>
        <v/>
      </c>
      <c r="J51" s="15" t="str">
        <f t="shared" si="10"/>
        <v/>
      </c>
    </row>
    <row r="52" spans="1:10">
      <c r="A52" s="7" t="str">
        <f>IF(子基金及业绩基准周净值!A93="","",子基金及业绩基准周净值!A93)</f>
        <v/>
      </c>
      <c r="B52" s="1" t="str">
        <f>IF(A52="","",VLOOKUP($A52,子基金及业绩基准周净值!$A:$AV,20))</f>
        <v/>
      </c>
      <c r="C52" s="8" t="str">
        <f t="shared" si="7"/>
        <v/>
      </c>
      <c r="D52" s="9" t="str">
        <f>IF(A52="","",C52-(子基金及业绩基准周净值!AH93/子基金及业绩基准周净值!AH92-1))</f>
        <v/>
      </c>
      <c r="E52" s="12" t="str">
        <f>IF(A52="","",(MAX(B$3:B52)-B52)/MAX(B$3:B52))</f>
        <v/>
      </c>
      <c r="F52" s="12" t="str">
        <f>IF(A52="","",MAX(E$4:E52))</f>
        <v/>
      </c>
      <c r="G52" s="13"/>
      <c r="H52" s="14" t="str">
        <f t="shared" si="8"/>
        <v/>
      </c>
      <c r="I52" s="14" t="str">
        <f t="shared" si="9"/>
        <v/>
      </c>
      <c r="J52" s="15" t="str">
        <f t="shared" si="10"/>
        <v/>
      </c>
    </row>
    <row r="53" spans="1:10">
      <c r="A53" s="7" t="str">
        <f>IF(子基金及业绩基准周净值!A94="","",子基金及业绩基准周净值!A94)</f>
        <v/>
      </c>
      <c r="B53" s="1" t="str">
        <f>IF(A53="","",VLOOKUP($A53,子基金及业绩基准周净值!$A:$AV,20))</f>
        <v/>
      </c>
      <c r="C53" s="8" t="str">
        <f t="shared" si="7"/>
        <v/>
      </c>
      <c r="D53" s="9" t="str">
        <f>IF(A53="","",C53-(子基金及业绩基准周净值!AH94/子基金及业绩基准周净值!AH93-1))</f>
        <v/>
      </c>
      <c r="E53" s="12" t="str">
        <f>IF(A53="","",(MAX(B$3:B53)-B53)/MAX(B$3:B53))</f>
        <v/>
      </c>
      <c r="F53" s="12" t="str">
        <f>IF(A53="","",MAX(E$4:E53))</f>
        <v/>
      </c>
      <c r="G53" s="13"/>
      <c r="H53" s="14" t="str">
        <f t="shared" si="8"/>
        <v/>
      </c>
      <c r="I53" s="14" t="str">
        <f t="shared" si="9"/>
        <v/>
      </c>
      <c r="J53" s="15" t="str">
        <f t="shared" si="10"/>
        <v/>
      </c>
    </row>
    <row r="54" spans="1:10">
      <c r="A54" s="7" t="str">
        <f>IF(子基金及业绩基准周净值!A95="","",子基金及业绩基准周净值!A95)</f>
        <v/>
      </c>
      <c r="B54" s="1" t="str">
        <f>IF(A54="","",VLOOKUP($A54,子基金及业绩基准周净值!$A:$AV,20))</f>
        <v/>
      </c>
      <c r="C54" s="8" t="str">
        <f t="shared" si="7"/>
        <v/>
      </c>
      <c r="D54" s="9" t="str">
        <f>IF(A54="","",C54-(子基金及业绩基准周净值!AH95/子基金及业绩基准周净值!AH94-1))</f>
        <v/>
      </c>
      <c r="E54" s="12" t="str">
        <f>IF(A54="","",(MAX(B$3:B54)-B54)/MAX(B$3:B54))</f>
        <v/>
      </c>
      <c r="F54" s="12" t="str">
        <f>IF(A54="","",MAX(E$4:E54))</f>
        <v/>
      </c>
      <c r="G54" s="13"/>
      <c r="H54" s="14" t="str">
        <f t="shared" si="8"/>
        <v/>
      </c>
      <c r="I54" s="14" t="str">
        <f t="shared" si="9"/>
        <v/>
      </c>
      <c r="J54" s="15" t="str">
        <f t="shared" si="10"/>
        <v/>
      </c>
    </row>
    <row r="55" spans="1:10">
      <c r="A55" s="7" t="str">
        <f>IF(子基金及业绩基准周净值!A96="","",子基金及业绩基准周净值!A96)</f>
        <v/>
      </c>
      <c r="B55" s="1" t="str">
        <f>IF(A55="","",VLOOKUP($A55,子基金及业绩基准周净值!$A:$AV,20))</f>
        <v/>
      </c>
      <c r="C55" s="8" t="str">
        <f t="shared" si="7"/>
        <v/>
      </c>
      <c r="D55" s="9" t="str">
        <f>IF(A55="","",C55-(子基金及业绩基准周净值!AH96/子基金及业绩基准周净值!AH95-1))</f>
        <v/>
      </c>
      <c r="E55" s="12" t="str">
        <f>IF(A55="","",(MAX(B$3:B55)-B55)/MAX(B$3:B55))</f>
        <v/>
      </c>
      <c r="F55" s="12" t="str">
        <f>IF(A55="","",MAX(E$4:E55))</f>
        <v/>
      </c>
      <c r="G55" s="13"/>
      <c r="H55" s="14" t="str">
        <f t="shared" si="8"/>
        <v/>
      </c>
      <c r="I55" s="14" t="str">
        <f t="shared" si="9"/>
        <v/>
      </c>
      <c r="J55" s="15" t="str">
        <f t="shared" si="10"/>
        <v/>
      </c>
    </row>
    <row r="56" spans="1:10">
      <c r="A56" s="7" t="str">
        <f>IF(子基金及业绩基准周净值!A97="","",子基金及业绩基准周净值!A97)</f>
        <v/>
      </c>
      <c r="B56" s="1" t="str">
        <f>IF(A56="","",VLOOKUP($A56,子基金及业绩基准周净值!$A:$AV,20))</f>
        <v/>
      </c>
      <c r="C56" s="8" t="str">
        <f t="shared" si="7"/>
        <v/>
      </c>
      <c r="D56" s="9" t="str">
        <f>IF(A56="","",C56-(子基金及业绩基准周净值!AH97/子基金及业绩基准周净值!AH96-1))</f>
        <v/>
      </c>
      <c r="E56" s="12" t="str">
        <f>IF(A56="","",(MAX(B$3:B56)-B56)/MAX(B$3:B56))</f>
        <v/>
      </c>
      <c r="F56" s="12" t="str">
        <f>IF(A56="","",MAX(E$4:E56))</f>
        <v/>
      </c>
      <c r="G56" s="13"/>
      <c r="H56" s="14" t="str">
        <f t="shared" si="8"/>
        <v/>
      </c>
      <c r="I56" s="14" t="str">
        <f t="shared" si="9"/>
        <v/>
      </c>
      <c r="J56" s="15" t="str">
        <f t="shared" si="10"/>
        <v/>
      </c>
    </row>
    <row r="57" spans="1:10">
      <c r="A57" s="7" t="str">
        <f>IF(子基金及业绩基准周净值!A98="","",子基金及业绩基准周净值!A98)</f>
        <v/>
      </c>
      <c r="B57" s="1" t="str">
        <f>IF(A57="","",VLOOKUP($A57,子基金及业绩基准周净值!$A:$AV,20))</f>
        <v/>
      </c>
      <c r="C57" s="8" t="str">
        <f t="shared" si="7"/>
        <v/>
      </c>
      <c r="D57" s="9" t="str">
        <f>IF(A57="","",C57-(子基金及业绩基准周净值!AH98/子基金及业绩基准周净值!AH97-1))</f>
        <v/>
      </c>
      <c r="E57" s="12" t="str">
        <f>IF(A57="","",(MAX(B$3:B57)-B57)/MAX(B$3:B57))</f>
        <v/>
      </c>
      <c r="F57" s="12" t="str">
        <f>IF(A57="","",MAX(E$4:E57))</f>
        <v/>
      </c>
      <c r="G57" s="13"/>
      <c r="H57" s="14" t="str">
        <f t="shared" si="8"/>
        <v/>
      </c>
      <c r="I57" s="14" t="str">
        <f t="shared" si="9"/>
        <v/>
      </c>
      <c r="J57" s="15" t="str">
        <f t="shared" si="10"/>
        <v/>
      </c>
    </row>
    <row r="58" spans="1:10">
      <c r="A58" s="7" t="str">
        <f>IF(子基金及业绩基准周净值!A99="","",子基金及业绩基准周净值!A99)</f>
        <v/>
      </c>
      <c r="B58" s="1" t="str">
        <f>IF(A58="","",VLOOKUP($A58,子基金及业绩基准周净值!$A:$AV,20))</f>
        <v/>
      </c>
      <c r="C58" s="8" t="str">
        <f t="shared" si="7"/>
        <v/>
      </c>
      <c r="D58" s="9" t="str">
        <f>IF(A58="","",C58-(子基金及业绩基准周净值!AH99/子基金及业绩基准周净值!AH98-1))</f>
        <v/>
      </c>
      <c r="E58" s="12" t="str">
        <f>IF(A58="","",(MAX(B$3:B58)-B58)/MAX(B$3:B58))</f>
        <v/>
      </c>
      <c r="F58" s="12" t="str">
        <f>IF(A58="","",MAX(E$4:E58))</f>
        <v/>
      </c>
      <c r="G58" s="13"/>
      <c r="H58" s="14" t="str">
        <f t="shared" si="8"/>
        <v/>
      </c>
      <c r="I58" s="14" t="str">
        <f t="shared" si="9"/>
        <v/>
      </c>
      <c r="J58" s="15" t="str">
        <f t="shared" si="10"/>
        <v/>
      </c>
    </row>
    <row r="59" spans="1:10">
      <c r="A59" s="7" t="str">
        <f>IF(子基金及业绩基准周净值!A100="","",子基金及业绩基准周净值!A100)</f>
        <v/>
      </c>
      <c r="B59" s="1" t="str">
        <f>IF(A59="","",VLOOKUP($A59,子基金及业绩基准周净值!$A:$AV,20))</f>
        <v/>
      </c>
      <c r="C59" s="8" t="str">
        <f t="shared" si="7"/>
        <v/>
      </c>
      <c r="D59" s="9" t="str">
        <f>IF(A59="","",C59-(子基金及业绩基准周净值!AH100/子基金及业绩基准周净值!AH99-1))</f>
        <v/>
      </c>
      <c r="E59" s="12" t="str">
        <f>IF(A59="","",(MAX(B$3:B59)-B59)/MAX(B$3:B59))</f>
        <v/>
      </c>
      <c r="F59" s="12" t="str">
        <f>IF(A59="","",MAX(E$4:E59))</f>
        <v/>
      </c>
      <c r="G59" s="13"/>
      <c r="H59" s="14" t="str">
        <f t="shared" si="8"/>
        <v/>
      </c>
      <c r="I59" s="14" t="str">
        <f t="shared" si="9"/>
        <v/>
      </c>
      <c r="J59" s="15" t="str">
        <f t="shared" si="10"/>
        <v/>
      </c>
    </row>
    <row r="60" spans="1:10">
      <c r="A60" s="7" t="str">
        <f>IF(子基金及业绩基准周净值!A101="","",子基金及业绩基准周净值!A101)</f>
        <v/>
      </c>
      <c r="B60" s="1" t="str">
        <f>IF(A60="","",VLOOKUP($A60,子基金及业绩基准周净值!$A:$AV,20))</f>
        <v/>
      </c>
      <c r="C60" s="8" t="str">
        <f t="shared" si="7"/>
        <v/>
      </c>
      <c r="D60" s="9" t="str">
        <f>IF(A60="","",C60-(子基金及业绩基准周净值!AH101/子基金及业绩基准周净值!AH100-1))</f>
        <v/>
      </c>
      <c r="E60" s="12" t="str">
        <f>IF(A60="","",(MAX(B$3:B60)-B60)/MAX(B$3:B60))</f>
        <v/>
      </c>
      <c r="F60" s="12" t="str">
        <f>IF(A60="","",MAX(E$4:E60))</f>
        <v/>
      </c>
      <c r="G60" s="13"/>
      <c r="H60" s="14" t="str">
        <f t="shared" si="8"/>
        <v/>
      </c>
      <c r="I60" s="14" t="str">
        <f t="shared" si="9"/>
        <v/>
      </c>
      <c r="J60" s="15" t="str">
        <f t="shared" si="10"/>
        <v/>
      </c>
    </row>
    <row r="61" spans="1:10">
      <c r="A61" s="7" t="str">
        <f>IF(子基金及业绩基准周净值!A102="","",子基金及业绩基准周净值!A102)</f>
        <v/>
      </c>
      <c r="B61" s="1" t="str">
        <f>IF(A61="","",VLOOKUP($A61,子基金及业绩基准周净值!$A:$AV,20))</f>
        <v/>
      </c>
      <c r="C61" s="8" t="str">
        <f t="shared" si="7"/>
        <v/>
      </c>
      <c r="D61" s="9" t="str">
        <f>IF(A61="","",C61-(子基金及业绩基准周净值!AH102/子基金及业绩基准周净值!AH101-1))</f>
        <v/>
      </c>
      <c r="E61" s="12" t="str">
        <f>IF(A61="","",(MAX(B$3:B61)-B61)/MAX(B$3:B61))</f>
        <v/>
      </c>
      <c r="F61" s="12" t="str">
        <f>IF(A61="","",MAX(E$4:E61))</f>
        <v/>
      </c>
      <c r="G61" s="13"/>
      <c r="H61" s="14" t="str">
        <f t="shared" si="8"/>
        <v/>
      </c>
      <c r="I61" s="14" t="str">
        <f t="shared" si="9"/>
        <v/>
      </c>
      <c r="J61" s="15" t="str">
        <f t="shared" si="10"/>
        <v/>
      </c>
    </row>
    <row r="62" spans="1:10">
      <c r="A62" s="7" t="str">
        <f>IF(子基金及业绩基准周净值!A103="","",子基金及业绩基准周净值!A103)</f>
        <v/>
      </c>
      <c r="B62" s="1" t="str">
        <f>IF(A62="","",VLOOKUP($A62,子基金及业绩基准周净值!$A:$AV,20))</f>
        <v/>
      </c>
      <c r="C62" s="8" t="str">
        <f t="shared" si="7"/>
        <v/>
      </c>
      <c r="D62" s="9" t="str">
        <f>IF(A62="","",C62-(子基金及业绩基准周净值!AH103/子基金及业绩基准周净值!AH102-1))</f>
        <v/>
      </c>
      <c r="E62" s="12" t="str">
        <f>IF(A62="","",(MAX(B$3:B62)-B62)/MAX(B$3:B62))</f>
        <v/>
      </c>
      <c r="F62" s="12" t="str">
        <f>IF(A62="","",MAX(E$4:E62))</f>
        <v/>
      </c>
      <c r="G62" s="13"/>
      <c r="H62" s="14" t="str">
        <f t="shared" si="8"/>
        <v/>
      </c>
      <c r="I62" s="14" t="str">
        <f t="shared" si="9"/>
        <v/>
      </c>
      <c r="J62" s="15" t="str">
        <f t="shared" si="10"/>
        <v/>
      </c>
    </row>
    <row r="63" spans="1:10">
      <c r="A63" s="7" t="str">
        <f>IF(子基金及业绩基准周净值!A104="","",子基金及业绩基准周净值!A104)</f>
        <v/>
      </c>
      <c r="B63" s="1" t="str">
        <f>IF(A63="","",VLOOKUP($A63,子基金及业绩基准周净值!$A:$AV,20))</f>
        <v/>
      </c>
      <c r="C63" s="8" t="str">
        <f t="shared" si="7"/>
        <v/>
      </c>
      <c r="D63" s="9" t="str">
        <f>IF(A63="","",C63-(子基金及业绩基准周净值!AH104/子基金及业绩基准周净值!AH103-1))</f>
        <v/>
      </c>
      <c r="E63" s="12" t="str">
        <f>IF(A63="","",(MAX(B$3:B63)-B63)/MAX(B$3:B63))</f>
        <v/>
      </c>
      <c r="F63" s="12" t="str">
        <f>IF(A63="","",MAX(E$4:E63))</f>
        <v/>
      </c>
      <c r="G63" s="13"/>
      <c r="H63" s="14" t="str">
        <f t="shared" si="8"/>
        <v/>
      </c>
      <c r="I63" s="14" t="str">
        <f t="shared" si="9"/>
        <v/>
      </c>
      <c r="J63" s="15" t="str">
        <f t="shared" si="10"/>
        <v/>
      </c>
    </row>
    <row r="64" spans="1:10">
      <c r="A64" s="7" t="str">
        <f>IF(子基金及业绩基准周净值!A105="","",子基金及业绩基准周净值!A105)</f>
        <v/>
      </c>
      <c r="B64" s="1" t="str">
        <f>IF(A64="","",VLOOKUP($A64,子基金及业绩基准周净值!$A:$AV,20))</f>
        <v/>
      </c>
      <c r="C64" s="8" t="str">
        <f t="shared" si="7"/>
        <v/>
      </c>
      <c r="D64" s="9" t="str">
        <f>IF(A64="","",C64-(子基金及业绩基准周净值!AH105/子基金及业绩基准周净值!AH104-1))</f>
        <v/>
      </c>
      <c r="E64" s="12" t="str">
        <f>IF(A64="","",(MAX(B$3:B64)-B64)/MAX(B$3:B64))</f>
        <v/>
      </c>
      <c r="F64" s="12" t="str">
        <f>IF(A64="","",MAX(E$4:E64))</f>
        <v/>
      </c>
      <c r="G64" s="13"/>
      <c r="H64" s="14" t="str">
        <f t="shared" si="8"/>
        <v/>
      </c>
      <c r="I64" s="14" t="str">
        <f t="shared" si="9"/>
        <v/>
      </c>
      <c r="J64" s="15" t="str">
        <f t="shared" si="10"/>
        <v/>
      </c>
    </row>
    <row r="65" spans="1:10">
      <c r="A65" s="7" t="str">
        <f>IF(子基金及业绩基准周净值!A106="","",子基金及业绩基准周净值!A106)</f>
        <v/>
      </c>
      <c r="B65" s="1" t="str">
        <f>IF(A65="","",VLOOKUP($A65,子基金及业绩基准周净值!$A:$AV,20))</f>
        <v/>
      </c>
      <c r="C65" s="8" t="str">
        <f t="shared" si="7"/>
        <v/>
      </c>
      <c r="D65" s="9" t="str">
        <f>IF(A65="","",C65-(子基金及业绩基准周净值!AH106/子基金及业绩基准周净值!AH105-1))</f>
        <v/>
      </c>
      <c r="E65" s="12" t="str">
        <f>IF(A65="","",(MAX(B$3:B65)-B65)/MAX(B$3:B65))</f>
        <v/>
      </c>
      <c r="F65" s="12" t="str">
        <f>IF(A65="","",MAX(E$4:E65))</f>
        <v/>
      </c>
      <c r="G65" s="13"/>
      <c r="H65" s="14" t="str">
        <f t="shared" si="8"/>
        <v/>
      </c>
      <c r="I65" s="14" t="str">
        <f t="shared" si="9"/>
        <v/>
      </c>
      <c r="J65" s="15" t="str">
        <f t="shared" si="10"/>
        <v/>
      </c>
    </row>
    <row r="66" spans="1:10">
      <c r="A66" s="7" t="str">
        <f>IF(子基金及业绩基准周净值!A107="","",子基金及业绩基准周净值!A107)</f>
        <v/>
      </c>
      <c r="B66" s="1" t="str">
        <f>IF(A66="","",VLOOKUP($A66,子基金及业绩基准周净值!$A:$AV,20))</f>
        <v/>
      </c>
      <c r="C66" s="8" t="str">
        <f t="shared" si="7"/>
        <v/>
      </c>
      <c r="D66" s="9" t="str">
        <f>IF(A66="","",C66-(子基金及业绩基准周净值!AH107/子基金及业绩基准周净值!AH106-1))</f>
        <v/>
      </c>
      <c r="E66" s="12" t="str">
        <f>IF(A66="","",(MAX(B$3:B66)-B66)/MAX(B$3:B66))</f>
        <v/>
      </c>
      <c r="F66" s="12" t="str">
        <f>IF(A66="","",MAX(E$4:E66))</f>
        <v/>
      </c>
      <c r="G66" s="13"/>
      <c r="H66" s="14" t="str">
        <f t="shared" si="8"/>
        <v/>
      </c>
      <c r="I66" s="14" t="str">
        <f t="shared" si="9"/>
        <v/>
      </c>
      <c r="J66" s="15" t="str">
        <f t="shared" si="10"/>
        <v/>
      </c>
    </row>
    <row r="67" spans="1:10">
      <c r="A67" s="7" t="str">
        <f>IF(子基金及业绩基准周净值!A108="","",子基金及业绩基准周净值!A108)</f>
        <v/>
      </c>
      <c r="B67" s="1" t="str">
        <f>IF(A67="","",VLOOKUP($A67,子基金及业绩基准周净值!$A:$AV,20))</f>
        <v/>
      </c>
      <c r="C67" s="8" t="str">
        <f t="shared" si="7"/>
        <v/>
      </c>
      <c r="D67" s="9" t="str">
        <f>IF(A67="","",C67-(子基金及业绩基准周净值!AH108/子基金及业绩基准周净值!AH107-1))</f>
        <v/>
      </c>
      <c r="E67" s="12" t="str">
        <f>IF(A67="","",(MAX(B$3:B67)-B67)/MAX(B$3:B67))</f>
        <v/>
      </c>
      <c r="F67" s="12" t="str">
        <f>IF(A67="","",MAX(E$4:E67))</f>
        <v/>
      </c>
      <c r="G67" s="13"/>
      <c r="H67" s="14" t="str">
        <f t="shared" si="8"/>
        <v/>
      </c>
      <c r="I67" s="14" t="str">
        <f t="shared" si="9"/>
        <v/>
      </c>
      <c r="J67" s="15" t="str">
        <f t="shared" si="10"/>
        <v/>
      </c>
    </row>
    <row r="68" spans="1:10">
      <c r="A68" s="7" t="str">
        <f>IF(子基金及业绩基准周净值!A109="","",子基金及业绩基准周净值!A109)</f>
        <v/>
      </c>
      <c r="B68" s="1" t="str">
        <f>IF(A68="","",VLOOKUP($A68,子基金及业绩基准周净值!$A:$AV,20))</f>
        <v/>
      </c>
      <c r="C68" s="8" t="str">
        <f t="shared" si="7"/>
        <v/>
      </c>
      <c r="D68" s="9" t="str">
        <f>IF(A68="","",C68-(子基金及业绩基准周净值!AH109/子基金及业绩基准周净值!AH108-1))</f>
        <v/>
      </c>
      <c r="E68" s="12" t="str">
        <f>IF(A68="","",(MAX(B$3:B68)-B68)/MAX(B$3:B68))</f>
        <v/>
      </c>
      <c r="F68" s="12" t="str">
        <f>IF(A68="","",MAX(E$4:E68))</f>
        <v/>
      </c>
      <c r="G68" s="13"/>
      <c r="H68" s="14" t="str">
        <f t="shared" si="8"/>
        <v/>
      </c>
      <c r="I68" s="14" t="str">
        <f t="shared" si="9"/>
        <v/>
      </c>
      <c r="J68" s="15" t="str">
        <f t="shared" si="10"/>
        <v/>
      </c>
    </row>
    <row r="69" spans="1:10">
      <c r="A69" s="7" t="str">
        <f>IF(子基金及业绩基准周净值!A110="","",子基金及业绩基准周净值!A110)</f>
        <v/>
      </c>
      <c r="B69" s="1" t="str">
        <f>IF(A69="","",VLOOKUP($A69,子基金及业绩基准周净值!$A:$AV,20))</f>
        <v/>
      </c>
      <c r="C69" s="8" t="str">
        <f t="shared" ref="C69:C132" si="11">IF(A69="","",(B69-B68)/B68)</f>
        <v/>
      </c>
      <c r="D69" s="9" t="str">
        <f>IF(A69="","",C69-(子基金及业绩基准周净值!AH110/子基金及业绩基准周净值!AH109-1))</f>
        <v/>
      </c>
      <c r="E69" s="12" t="str">
        <f>IF(A69="","",(MAX(B$3:B69)-B69)/MAX(B$3:B69))</f>
        <v/>
      </c>
      <c r="F69" s="12" t="str">
        <f>IF(A69="","",MAX(E$4:E69))</f>
        <v/>
      </c>
      <c r="G69" s="13"/>
      <c r="H69" s="14" t="str">
        <f t="shared" ref="H69:H132" si="12">IF(A69="","",IF(E69&lt;3%,"否","是"))</f>
        <v/>
      </c>
      <c r="I69" s="14" t="str">
        <f t="shared" ref="I69:I132" si="13">IF(A69="","",IF(F69&gt;5%,"是","否"))</f>
        <v/>
      </c>
      <c r="J69" s="15" t="str">
        <f t="shared" ref="J69:J132" si="14">IF(A69="","",IF(G69&gt;=4,"是","否"))</f>
        <v/>
      </c>
    </row>
    <row r="70" spans="1:10">
      <c r="A70" s="7" t="str">
        <f>IF(子基金及业绩基准周净值!A111="","",子基金及业绩基准周净值!A111)</f>
        <v/>
      </c>
      <c r="B70" s="1" t="str">
        <f>IF(A70="","",VLOOKUP($A70,子基金及业绩基准周净值!$A:$AV,20))</f>
        <v/>
      </c>
      <c r="C70" s="8" t="str">
        <f t="shared" si="11"/>
        <v/>
      </c>
      <c r="D70" s="9" t="str">
        <f>IF(A70="","",C70-(子基金及业绩基准周净值!AH111/子基金及业绩基准周净值!AH110-1))</f>
        <v/>
      </c>
      <c r="E70" s="12" t="str">
        <f>IF(A70="","",(MAX(B$3:B70)-B70)/MAX(B$3:B70))</f>
        <v/>
      </c>
      <c r="F70" s="12" t="str">
        <f>IF(A70="","",MAX(E$4:E70))</f>
        <v/>
      </c>
      <c r="G70" s="13"/>
      <c r="H70" s="14" t="str">
        <f t="shared" si="12"/>
        <v/>
      </c>
      <c r="I70" s="14" t="str">
        <f t="shared" si="13"/>
        <v/>
      </c>
      <c r="J70" s="15" t="str">
        <f t="shared" si="14"/>
        <v/>
      </c>
    </row>
    <row r="71" spans="1:10">
      <c r="A71" s="7" t="str">
        <f>IF(子基金及业绩基准周净值!A112="","",子基金及业绩基准周净值!A112)</f>
        <v/>
      </c>
      <c r="B71" s="1" t="str">
        <f>IF(A71="","",VLOOKUP($A71,子基金及业绩基准周净值!$A:$AV,20))</f>
        <v/>
      </c>
      <c r="C71" s="8" t="str">
        <f t="shared" si="11"/>
        <v/>
      </c>
      <c r="D71" s="9" t="str">
        <f>IF(A71="","",C71-(子基金及业绩基准周净值!AH112/子基金及业绩基准周净值!AH111-1))</f>
        <v/>
      </c>
      <c r="E71" s="12" t="str">
        <f>IF(A71="","",(MAX(B$3:B71)-B71)/MAX(B$3:B71))</f>
        <v/>
      </c>
      <c r="F71" s="12" t="str">
        <f>IF(A71="","",MAX(E$4:E71))</f>
        <v/>
      </c>
      <c r="G71" s="13"/>
      <c r="H71" s="14" t="str">
        <f t="shared" si="12"/>
        <v/>
      </c>
      <c r="I71" s="14" t="str">
        <f t="shared" si="13"/>
        <v/>
      </c>
      <c r="J71" s="15" t="str">
        <f t="shared" si="14"/>
        <v/>
      </c>
    </row>
    <row r="72" spans="1:10">
      <c r="A72" s="7" t="str">
        <f>IF(子基金及业绩基准周净值!A113="","",子基金及业绩基准周净值!A113)</f>
        <v/>
      </c>
      <c r="B72" s="1" t="str">
        <f>IF(A72="","",VLOOKUP($A72,子基金及业绩基准周净值!$A:$AV,20))</f>
        <v/>
      </c>
      <c r="C72" s="8" t="str">
        <f t="shared" si="11"/>
        <v/>
      </c>
      <c r="D72" s="9" t="str">
        <f>IF(A72="","",C72-(子基金及业绩基准周净值!AH113/子基金及业绩基准周净值!AH112-1))</f>
        <v/>
      </c>
      <c r="E72" s="12" t="str">
        <f>IF(A72="","",(MAX(B$3:B72)-B72)/MAX(B$3:B72))</f>
        <v/>
      </c>
      <c r="F72" s="12" t="str">
        <f>IF(A72="","",MAX(E$4:E72))</f>
        <v/>
      </c>
      <c r="G72" s="13"/>
      <c r="H72" s="14" t="str">
        <f t="shared" si="12"/>
        <v/>
      </c>
      <c r="I72" s="14" t="str">
        <f t="shared" si="13"/>
        <v/>
      </c>
      <c r="J72" s="15" t="str">
        <f t="shared" si="14"/>
        <v/>
      </c>
    </row>
    <row r="73" spans="1:10">
      <c r="A73" s="7" t="str">
        <f>IF(子基金及业绩基准周净值!A114="","",子基金及业绩基准周净值!A114)</f>
        <v/>
      </c>
      <c r="B73" s="1" t="str">
        <f>IF(A73="","",VLOOKUP($A73,子基金及业绩基准周净值!$A:$AV,20))</f>
        <v/>
      </c>
      <c r="C73" s="8" t="str">
        <f t="shared" si="11"/>
        <v/>
      </c>
      <c r="D73" s="9" t="str">
        <f>IF(A73="","",C73-(子基金及业绩基准周净值!AH114/子基金及业绩基准周净值!AH113-1))</f>
        <v/>
      </c>
      <c r="E73" s="12" t="str">
        <f>IF(A73="","",(MAX(B$3:B73)-B73)/MAX(B$3:B73))</f>
        <v/>
      </c>
      <c r="F73" s="12" t="str">
        <f>IF(A73="","",MAX(E$4:E73))</f>
        <v/>
      </c>
      <c r="G73" s="13"/>
      <c r="H73" s="14" t="str">
        <f t="shared" si="12"/>
        <v/>
      </c>
      <c r="I73" s="14" t="str">
        <f t="shared" si="13"/>
        <v/>
      </c>
      <c r="J73" s="15" t="str">
        <f t="shared" si="14"/>
        <v/>
      </c>
    </row>
    <row r="74" spans="1:10">
      <c r="A74" s="7" t="str">
        <f>IF(子基金及业绩基准周净值!A115="","",子基金及业绩基准周净值!A115)</f>
        <v/>
      </c>
      <c r="B74" s="1" t="str">
        <f>IF(A74="","",VLOOKUP($A74,子基金及业绩基准周净值!$A:$AV,20))</f>
        <v/>
      </c>
      <c r="C74" s="8" t="str">
        <f t="shared" si="11"/>
        <v/>
      </c>
      <c r="D74" s="9" t="str">
        <f>IF(A74="","",C74-(子基金及业绩基准周净值!AH115/子基金及业绩基准周净值!AH114-1))</f>
        <v/>
      </c>
      <c r="E74" s="12" t="str">
        <f>IF(A74="","",(MAX(B$3:B74)-B74)/MAX(B$3:B74))</f>
        <v/>
      </c>
      <c r="F74" s="12" t="str">
        <f>IF(A74="","",MAX(E$4:E74))</f>
        <v/>
      </c>
      <c r="G74" s="13"/>
      <c r="H74" s="14" t="str">
        <f t="shared" si="12"/>
        <v/>
      </c>
      <c r="I74" s="14" t="str">
        <f t="shared" si="13"/>
        <v/>
      </c>
      <c r="J74" s="15" t="str">
        <f t="shared" si="14"/>
        <v/>
      </c>
    </row>
    <row r="75" spans="1:10">
      <c r="A75" s="7" t="str">
        <f>IF(子基金及业绩基准周净值!A116="","",子基金及业绩基准周净值!A116)</f>
        <v/>
      </c>
      <c r="B75" s="1" t="str">
        <f>IF(A75="","",VLOOKUP($A75,子基金及业绩基准周净值!$A:$AV,20))</f>
        <v/>
      </c>
      <c r="C75" s="8" t="str">
        <f t="shared" si="11"/>
        <v/>
      </c>
      <c r="D75" s="9" t="str">
        <f>IF(A75="","",C75-(子基金及业绩基准周净值!AH116/子基金及业绩基准周净值!AH115-1))</f>
        <v/>
      </c>
      <c r="E75" s="12" t="str">
        <f>IF(A75="","",(MAX(B$3:B75)-B75)/MAX(B$3:B75))</f>
        <v/>
      </c>
      <c r="F75" s="12" t="str">
        <f>IF(A75="","",MAX(E$4:E75))</f>
        <v/>
      </c>
      <c r="G75" s="13"/>
      <c r="H75" s="14" t="str">
        <f t="shared" si="12"/>
        <v/>
      </c>
      <c r="I75" s="14" t="str">
        <f t="shared" si="13"/>
        <v/>
      </c>
      <c r="J75" s="15" t="str">
        <f t="shared" si="14"/>
        <v/>
      </c>
    </row>
    <row r="76" spans="1:10">
      <c r="A76" s="7" t="str">
        <f>IF(子基金及业绩基准周净值!A117="","",子基金及业绩基准周净值!A117)</f>
        <v/>
      </c>
      <c r="B76" s="1" t="str">
        <f>IF(A76="","",VLOOKUP($A76,子基金及业绩基准周净值!$A:$AV,20))</f>
        <v/>
      </c>
      <c r="C76" s="8" t="str">
        <f t="shared" si="11"/>
        <v/>
      </c>
      <c r="D76" s="9" t="str">
        <f>IF(A76="","",C76-(子基金及业绩基准周净值!AH117/子基金及业绩基准周净值!AH116-1))</f>
        <v/>
      </c>
      <c r="E76" s="12" t="str">
        <f>IF(A76="","",(MAX(B$3:B76)-B76)/MAX(B$3:B76))</f>
        <v/>
      </c>
      <c r="F76" s="12" t="str">
        <f>IF(A76="","",MAX(E$4:E76))</f>
        <v/>
      </c>
      <c r="G76" s="13"/>
      <c r="H76" s="14" t="str">
        <f t="shared" si="12"/>
        <v/>
      </c>
      <c r="I76" s="14" t="str">
        <f t="shared" si="13"/>
        <v/>
      </c>
      <c r="J76" s="15" t="str">
        <f t="shared" si="14"/>
        <v/>
      </c>
    </row>
    <row r="77" spans="1:10">
      <c r="A77" s="7" t="str">
        <f>IF(子基金及业绩基准周净值!A118="","",子基金及业绩基准周净值!A118)</f>
        <v/>
      </c>
      <c r="B77" s="1" t="str">
        <f>IF(A77="","",VLOOKUP($A77,子基金及业绩基准周净值!$A:$AV,20))</f>
        <v/>
      </c>
      <c r="C77" s="8" t="str">
        <f t="shared" si="11"/>
        <v/>
      </c>
      <c r="D77" s="9" t="str">
        <f>IF(A77="","",C77-(子基金及业绩基准周净值!AH118/子基金及业绩基准周净值!AH117-1))</f>
        <v/>
      </c>
      <c r="E77" s="12" t="str">
        <f>IF(A77="","",(MAX(B$3:B77)-B77)/MAX(B$3:B77))</f>
        <v/>
      </c>
      <c r="F77" s="12" t="str">
        <f>IF(A77="","",MAX(E$4:E77))</f>
        <v/>
      </c>
      <c r="G77" s="13"/>
      <c r="H77" s="14" t="str">
        <f t="shared" si="12"/>
        <v/>
      </c>
      <c r="I77" s="14" t="str">
        <f t="shared" si="13"/>
        <v/>
      </c>
      <c r="J77" s="15" t="str">
        <f t="shared" si="14"/>
        <v/>
      </c>
    </row>
    <row r="78" spans="1:10">
      <c r="A78" s="7" t="str">
        <f>IF(子基金及业绩基准周净值!A119="","",子基金及业绩基准周净值!A119)</f>
        <v/>
      </c>
      <c r="B78" s="1" t="str">
        <f>IF(A78="","",VLOOKUP($A78,子基金及业绩基准周净值!$A:$AV,20))</f>
        <v/>
      </c>
      <c r="C78" s="8" t="str">
        <f t="shared" si="11"/>
        <v/>
      </c>
      <c r="D78" s="9" t="str">
        <f>IF(A78="","",C78-(子基金及业绩基准周净值!AH119/子基金及业绩基准周净值!AH118-1))</f>
        <v/>
      </c>
      <c r="E78" s="12" t="str">
        <f>IF(A78="","",(MAX(B$3:B78)-B78)/MAX(B$3:B78))</f>
        <v/>
      </c>
      <c r="F78" s="12" t="str">
        <f>IF(A78="","",MAX(E$4:E78))</f>
        <v/>
      </c>
      <c r="G78" s="13"/>
      <c r="H78" s="14" t="str">
        <f t="shared" si="12"/>
        <v/>
      </c>
      <c r="I78" s="14" t="str">
        <f t="shared" si="13"/>
        <v/>
      </c>
      <c r="J78" s="15" t="str">
        <f t="shared" si="14"/>
        <v/>
      </c>
    </row>
    <row r="79" spans="1:10">
      <c r="A79" s="7" t="str">
        <f>IF(子基金及业绩基准周净值!A120="","",子基金及业绩基准周净值!A120)</f>
        <v/>
      </c>
      <c r="B79" s="1" t="str">
        <f>IF(A79="","",VLOOKUP($A79,子基金及业绩基准周净值!$A:$AV,20))</f>
        <v/>
      </c>
      <c r="C79" s="8" t="str">
        <f t="shared" si="11"/>
        <v/>
      </c>
      <c r="D79" s="9" t="str">
        <f>IF(A79="","",C79-(子基金及业绩基准周净值!AH120/子基金及业绩基准周净值!AH119-1))</f>
        <v/>
      </c>
      <c r="E79" s="12" t="str">
        <f>IF(A79="","",(MAX(B$3:B79)-B79)/MAX(B$3:B79))</f>
        <v/>
      </c>
      <c r="F79" s="12" t="str">
        <f>IF(A79="","",MAX(E$4:E79))</f>
        <v/>
      </c>
      <c r="G79" s="13"/>
      <c r="H79" s="14" t="str">
        <f t="shared" si="12"/>
        <v/>
      </c>
      <c r="I79" s="14" t="str">
        <f t="shared" si="13"/>
        <v/>
      </c>
      <c r="J79" s="15" t="str">
        <f t="shared" si="14"/>
        <v/>
      </c>
    </row>
    <row r="80" spans="1:10">
      <c r="A80" s="7" t="str">
        <f>IF(子基金及业绩基准周净值!A121="","",子基金及业绩基准周净值!A121)</f>
        <v/>
      </c>
      <c r="B80" s="1" t="str">
        <f>IF(A80="","",VLOOKUP($A80,子基金及业绩基准周净值!$A:$AV,20))</f>
        <v/>
      </c>
      <c r="C80" s="8" t="str">
        <f t="shared" si="11"/>
        <v/>
      </c>
      <c r="D80" s="9" t="str">
        <f>IF(A80="","",C80-(子基金及业绩基准周净值!AH121/子基金及业绩基准周净值!AH120-1))</f>
        <v/>
      </c>
      <c r="E80" s="12" t="str">
        <f>IF(A80="","",(MAX(B$3:B80)-B80)/MAX(B$3:B80))</f>
        <v/>
      </c>
      <c r="F80" s="12" t="str">
        <f>IF(A80="","",MAX(E$4:E80))</f>
        <v/>
      </c>
      <c r="G80" s="13"/>
      <c r="H80" s="14" t="str">
        <f t="shared" si="12"/>
        <v/>
      </c>
      <c r="I80" s="14" t="str">
        <f t="shared" si="13"/>
        <v/>
      </c>
      <c r="J80" s="15" t="str">
        <f t="shared" si="14"/>
        <v/>
      </c>
    </row>
    <row r="81" spans="1:10">
      <c r="A81" s="7" t="str">
        <f>IF(子基金及业绩基准周净值!A122="","",子基金及业绩基准周净值!A122)</f>
        <v/>
      </c>
      <c r="B81" s="1" t="str">
        <f>IF(A81="","",VLOOKUP($A81,子基金及业绩基准周净值!$A:$AV,20))</f>
        <v/>
      </c>
      <c r="C81" s="8" t="str">
        <f t="shared" si="11"/>
        <v/>
      </c>
      <c r="D81" s="9" t="str">
        <f>IF(A81="","",C81-(子基金及业绩基准周净值!AH122/子基金及业绩基准周净值!AH121-1))</f>
        <v/>
      </c>
      <c r="E81" s="12" t="str">
        <f>IF(A81="","",(MAX(B$3:B81)-B81)/MAX(B$3:B81))</f>
        <v/>
      </c>
      <c r="F81" s="12" t="str">
        <f>IF(A81="","",MAX(E$4:E81))</f>
        <v/>
      </c>
      <c r="G81" s="13"/>
      <c r="H81" s="14" t="str">
        <f t="shared" si="12"/>
        <v/>
      </c>
      <c r="I81" s="14" t="str">
        <f t="shared" si="13"/>
        <v/>
      </c>
      <c r="J81" s="15" t="str">
        <f t="shared" si="14"/>
        <v/>
      </c>
    </row>
    <row r="82" spans="1:10">
      <c r="A82" s="7" t="str">
        <f>IF(子基金及业绩基准周净值!A123="","",子基金及业绩基准周净值!A123)</f>
        <v/>
      </c>
      <c r="B82" s="1" t="str">
        <f>IF(A82="","",VLOOKUP($A82,子基金及业绩基准周净值!$A:$AV,20))</f>
        <v/>
      </c>
      <c r="C82" s="8" t="str">
        <f t="shared" si="11"/>
        <v/>
      </c>
      <c r="D82" s="9" t="str">
        <f>IF(A82="","",C82-(子基金及业绩基准周净值!AH123/子基金及业绩基准周净值!AH122-1))</f>
        <v/>
      </c>
      <c r="E82" s="12" t="str">
        <f>IF(A82="","",(MAX(B$3:B82)-B82)/MAX(B$3:B82))</f>
        <v/>
      </c>
      <c r="F82" s="12" t="str">
        <f>IF(A82="","",MAX(E$4:E82))</f>
        <v/>
      </c>
      <c r="G82" s="13"/>
      <c r="H82" s="14" t="str">
        <f t="shared" si="12"/>
        <v/>
      </c>
      <c r="I82" s="14" t="str">
        <f t="shared" si="13"/>
        <v/>
      </c>
      <c r="J82" s="15" t="str">
        <f t="shared" si="14"/>
        <v/>
      </c>
    </row>
    <row r="83" spans="1:10">
      <c r="A83" s="7" t="str">
        <f>IF(子基金及业绩基准周净值!A124="","",子基金及业绩基准周净值!A124)</f>
        <v/>
      </c>
      <c r="B83" s="1" t="str">
        <f>IF(A83="","",VLOOKUP($A83,子基金及业绩基准周净值!$A:$AV,20))</f>
        <v/>
      </c>
      <c r="C83" s="8" t="str">
        <f t="shared" si="11"/>
        <v/>
      </c>
      <c r="D83" s="9" t="str">
        <f>IF(A83="","",C83-(子基金及业绩基准周净值!AH124/子基金及业绩基准周净值!AH123-1))</f>
        <v/>
      </c>
      <c r="E83" s="12" t="str">
        <f>IF(A83="","",(MAX(B$3:B83)-B83)/MAX(B$3:B83))</f>
        <v/>
      </c>
      <c r="F83" s="12" t="str">
        <f>IF(A83="","",MAX(E$4:E83))</f>
        <v/>
      </c>
      <c r="G83" s="13"/>
      <c r="H83" s="14" t="str">
        <f t="shared" si="12"/>
        <v/>
      </c>
      <c r="I83" s="14" t="str">
        <f t="shared" si="13"/>
        <v/>
      </c>
      <c r="J83" s="15" t="str">
        <f t="shared" si="14"/>
        <v/>
      </c>
    </row>
    <row r="84" spans="1:10">
      <c r="A84" s="7" t="str">
        <f>IF(子基金及业绩基准周净值!A125="","",子基金及业绩基准周净值!A125)</f>
        <v/>
      </c>
      <c r="B84" s="1" t="str">
        <f>IF(A84="","",VLOOKUP($A84,子基金及业绩基准周净值!$A:$AV,20))</f>
        <v/>
      </c>
      <c r="C84" s="8" t="str">
        <f t="shared" si="11"/>
        <v/>
      </c>
      <c r="D84" s="9" t="str">
        <f>IF(A84="","",C84-(子基金及业绩基准周净值!AH125/子基金及业绩基准周净值!AH124-1))</f>
        <v/>
      </c>
      <c r="E84" s="12" t="str">
        <f>IF(A84="","",(MAX(B$3:B84)-B84)/MAX(B$3:B84))</f>
        <v/>
      </c>
      <c r="F84" s="12" t="str">
        <f>IF(A84="","",MAX(E$4:E84))</f>
        <v/>
      </c>
      <c r="G84" s="13"/>
      <c r="H84" s="14" t="str">
        <f t="shared" si="12"/>
        <v/>
      </c>
      <c r="I84" s="14" t="str">
        <f t="shared" si="13"/>
        <v/>
      </c>
      <c r="J84" s="15" t="str">
        <f t="shared" si="14"/>
        <v/>
      </c>
    </row>
    <row r="85" spans="1:10">
      <c r="A85" s="7" t="str">
        <f>IF(子基金及业绩基准周净值!A126="","",子基金及业绩基准周净值!A126)</f>
        <v/>
      </c>
      <c r="B85" s="1" t="str">
        <f>IF(A85="","",VLOOKUP($A85,子基金及业绩基准周净值!$A:$AV,20))</f>
        <v/>
      </c>
      <c r="C85" s="8" t="str">
        <f t="shared" si="11"/>
        <v/>
      </c>
      <c r="D85" s="9" t="str">
        <f>IF(A85="","",C85-(子基金及业绩基准周净值!AH126/子基金及业绩基准周净值!AH125-1))</f>
        <v/>
      </c>
      <c r="E85" s="12" t="str">
        <f>IF(A85="","",(MAX(B$3:B85)-B85)/MAX(B$3:B85))</f>
        <v/>
      </c>
      <c r="F85" s="12" t="str">
        <f>IF(A85="","",MAX(E$4:E85))</f>
        <v/>
      </c>
      <c r="G85" s="13"/>
      <c r="H85" s="14" t="str">
        <f t="shared" si="12"/>
        <v/>
      </c>
      <c r="I85" s="14" t="str">
        <f t="shared" si="13"/>
        <v/>
      </c>
      <c r="J85" s="15" t="str">
        <f t="shared" si="14"/>
        <v/>
      </c>
    </row>
    <row r="86" spans="1:10">
      <c r="A86" s="7" t="str">
        <f>IF(子基金及业绩基准周净值!A127="","",子基金及业绩基准周净值!A127)</f>
        <v/>
      </c>
      <c r="B86" s="1" t="str">
        <f>IF(A86="","",VLOOKUP($A86,子基金及业绩基准周净值!$A:$AV,20))</f>
        <v/>
      </c>
      <c r="C86" s="8" t="str">
        <f t="shared" si="11"/>
        <v/>
      </c>
      <c r="D86" s="9" t="str">
        <f>IF(A86="","",C86-(子基金及业绩基准周净值!AH127/子基金及业绩基准周净值!AH126-1))</f>
        <v/>
      </c>
      <c r="E86" s="12" t="str">
        <f>IF(A86="","",(MAX(B$3:B86)-B86)/MAX(B$3:B86))</f>
        <v/>
      </c>
      <c r="F86" s="12" t="str">
        <f>IF(A86="","",MAX(E$4:E86))</f>
        <v/>
      </c>
      <c r="G86" s="13"/>
      <c r="H86" s="14" t="str">
        <f t="shared" si="12"/>
        <v/>
      </c>
      <c r="I86" s="14" t="str">
        <f t="shared" si="13"/>
        <v/>
      </c>
      <c r="J86" s="15" t="str">
        <f t="shared" si="14"/>
        <v/>
      </c>
    </row>
    <row r="87" spans="1:10">
      <c r="A87" s="7" t="str">
        <f>IF(子基金及业绩基准周净值!A128="","",子基金及业绩基准周净值!A128)</f>
        <v/>
      </c>
      <c r="B87" s="1" t="str">
        <f>IF(A87="","",VLOOKUP($A87,子基金及业绩基准周净值!$A:$AV,20))</f>
        <v/>
      </c>
      <c r="C87" s="8" t="str">
        <f t="shared" si="11"/>
        <v/>
      </c>
      <c r="D87" s="9" t="str">
        <f>IF(A87="","",C87-(子基金及业绩基准周净值!AH128/子基金及业绩基准周净值!AH127-1))</f>
        <v/>
      </c>
      <c r="E87" s="12" t="str">
        <f>IF(A87="","",(MAX(B$3:B87)-B87)/MAX(B$3:B87))</f>
        <v/>
      </c>
      <c r="F87" s="12" t="str">
        <f>IF(A87="","",MAX(E$4:E87))</f>
        <v/>
      </c>
      <c r="G87" s="13"/>
      <c r="H87" s="14" t="str">
        <f t="shared" si="12"/>
        <v/>
      </c>
      <c r="I87" s="14" t="str">
        <f t="shared" si="13"/>
        <v/>
      </c>
      <c r="J87" s="15" t="str">
        <f t="shared" si="14"/>
        <v/>
      </c>
    </row>
    <row r="88" spans="1:10">
      <c r="A88" s="7" t="str">
        <f>IF(子基金及业绩基准周净值!A129="","",子基金及业绩基准周净值!A129)</f>
        <v/>
      </c>
      <c r="B88" s="1" t="str">
        <f>IF(A88="","",VLOOKUP($A88,子基金及业绩基准周净值!$A:$AV,20))</f>
        <v/>
      </c>
      <c r="C88" s="8" t="str">
        <f t="shared" si="11"/>
        <v/>
      </c>
      <c r="D88" s="9" t="str">
        <f>IF(A88="","",C88-(子基金及业绩基准周净值!AH129/子基金及业绩基准周净值!AH128-1))</f>
        <v/>
      </c>
      <c r="E88" s="12" t="str">
        <f>IF(A88="","",(MAX(B$3:B88)-B88)/MAX(B$3:B88))</f>
        <v/>
      </c>
      <c r="F88" s="12" t="str">
        <f>IF(A88="","",MAX(E$4:E88))</f>
        <v/>
      </c>
      <c r="G88" s="13"/>
      <c r="H88" s="14" t="str">
        <f t="shared" si="12"/>
        <v/>
      </c>
      <c r="I88" s="14" t="str">
        <f t="shared" si="13"/>
        <v/>
      </c>
      <c r="J88" s="15" t="str">
        <f t="shared" si="14"/>
        <v/>
      </c>
    </row>
    <row r="89" spans="1:10">
      <c r="A89" s="7" t="str">
        <f>IF(子基金及业绩基准周净值!A130="","",子基金及业绩基准周净值!A130)</f>
        <v/>
      </c>
      <c r="B89" s="1" t="str">
        <f>IF(A89="","",VLOOKUP($A89,子基金及业绩基准周净值!$A:$AV,20))</f>
        <v/>
      </c>
      <c r="C89" s="8" t="str">
        <f t="shared" si="11"/>
        <v/>
      </c>
      <c r="D89" s="9" t="str">
        <f>IF(A89="","",C89-(子基金及业绩基准周净值!AH130/子基金及业绩基准周净值!AH129-1))</f>
        <v/>
      </c>
      <c r="E89" s="12" t="str">
        <f>IF(A89="","",(MAX(B$3:B89)-B89)/MAX(B$3:B89))</f>
        <v/>
      </c>
      <c r="F89" s="12" t="str">
        <f>IF(A89="","",MAX(E$4:E89))</f>
        <v/>
      </c>
      <c r="G89" s="13"/>
      <c r="H89" s="14" t="str">
        <f t="shared" si="12"/>
        <v/>
      </c>
      <c r="I89" s="14" t="str">
        <f t="shared" si="13"/>
        <v/>
      </c>
      <c r="J89" s="15" t="str">
        <f t="shared" si="14"/>
        <v/>
      </c>
    </row>
    <row r="90" spans="1:10">
      <c r="A90" s="7" t="str">
        <f>IF(子基金及业绩基准周净值!A131="","",子基金及业绩基准周净值!A131)</f>
        <v/>
      </c>
      <c r="B90" s="1" t="str">
        <f>IF(A90="","",VLOOKUP($A90,子基金及业绩基准周净值!$A:$AV,20))</f>
        <v/>
      </c>
      <c r="C90" s="8" t="str">
        <f t="shared" si="11"/>
        <v/>
      </c>
      <c r="D90" s="9" t="str">
        <f>IF(A90="","",C90-(子基金及业绩基准周净值!AH131/子基金及业绩基准周净值!AH130-1))</f>
        <v/>
      </c>
      <c r="E90" s="12" t="str">
        <f>IF(A90="","",(MAX(B$3:B90)-B90)/MAX(B$3:B90))</f>
        <v/>
      </c>
      <c r="F90" s="12" t="str">
        <f>IF(A90="","",MAX(E$4:E90))</f>
        <v/>
      </c>
      <c r="G90" s="13"/>
      <c r="H90" s="14" t="str">
        <f t="shared" si="12"/>
        <v/>
      </c>
      <c r="I90" s="14" t="str">
        <f t="shared" si="13"/>
        <v/>
      </c>
      <c r="J90" s="15" t="str">
        <f t="shared" si="14"/>
        <v/>
      </c>
    </row>
    <row r="91" spans="1:10">
      <c r="A91" s="7" t="str">
        <f>IF(子基金及业绩基准周净值!A132="","",子基金及业绩基准周净值!A132)</f>
        <v/>
      </c>
      <c r="B91" s="1" t="str">
        <f>IF(A91="","",VLOOKUP($A91,子基金及业绩基准周净值!$A:$AV,20))</f>
        <v/>
      </c>
      <c r="C91" s="8" t="str">
        <f t="shared" si="11"/>
        <v/>
      </c>
      <c r="D91" s="9" t="str">
        <f>IF(A91="","",C91-(子基金及业绩基准周净值!AH132/子基金及业绩基准周净值!AH131-1))</f>
        <v/>
      </c>
      <c r="E91" s="12" t="str">
        <f>IF(A91="","",(MAX(B$3:B91)-B91)/MAX(B$3:B91))</f>
        <v/>
      </c>
      <c r="F91" s="12" t="str">
        <f>IF(A91="","",MAX(E$4:E91))</f>
        <v/>
      </c>
      <c r="G91" s="13"/>
      <c r="H91" s="14" t="str">
        <f t="shared" si="12"/>
        <v/>
      </c>
      <c r="I91" s="14" t="str">
        <f t="shared" si="13"/>
        <v/>
      </c>
      <c r="J91" s="15" t="str">
        <f t="shared" si="14"/>
        <v/>
      </c>
    </row>
    <row r="92" spans="1:10">
      <c r="A92" s="7" t="str">
        <f>IF(子基金及业绩基准周净值!A133="","",子基金及业绩基准周净值!A133)</f>
        <v/>
      </c>
      <c r="B92" s="1" t="str">
        <f>IF(A92="","",VLOOKUP($A92,子基金及业绩基准周净值!$A:$AV,20))</f>
        <v/>
      </c>
      <c r="C92" s="8" t="str">
        <f t="shared" si="11"/>
        <v/>
      </c>
      <c r="D92" s="9" t="str">
        <f>IF(A92="","",C92-(子基金及业绩基准周净值!AH133/子基金及业绩基准周净值!AH132-1))</f>
        <v/>
      </c>
      <c r="E92" s="12" t="str">
        <f>IF(A92="","",(MAX(B$3:B92)-B92)/MAX(B$3:B92))</f>
        <v/>
      </c>
      <c r="F92" s="12" t="str">
        <f>IF(A92="","",MAX(E$4:E92))</f>
        <v/>
      </c>
      <c r="G92" s="13"/>
      <c r="H92" s="14" t="str">
        <f t="shared" si="12"/>
        <v/>
      </c>
      <c r="I92" s="14" t="str">
        <f t="shared" si="13"/>
        <v/>
      </c>
      <c r="J92" s="15" t="str">
        <f t="shared" si="14"/>
        <v/>
      </c>
    </row>
    <row r="93" spans="1:10">
      <c r="A93" s="7" t="str">
        <f>IF(子基金及业绩基准周净值!A134="","",子基金及业绩基准周净值!A134)</f>
        <v/>
      </c>
      <c r="B93" s="1" t="str">
        <f>IF(A93="","",VLOOKUP($A93,子基金及业绩基准周净值!$A:$AV,20))</f>
        <v/>
      </c>
      <c r="C93" s="8" t="str">
        <f t="shared" si="11"/>
        <v/>
      </c>
      <c r="D93" s="9" t="str">
        <f>IF(A93="","",C93-(子基金及业绩基准周净值!AH134/子基金及业绩基准周净值!AH133-1))</f>
        <v/>
      </c>
      <c r="E93" s="12" t="str">
        <f>IF(A93="","",(MAX(B$3:B93)-B93)/MAX(B$3:B93))</f>
        <v/>
      </c>
      <c r="F93" s="12" t="str">
        <f>IF(A93="","",MAX(E$4:E93))</f>
        <v/>
      </c>
      <c r="G93" s="13"/>
      <c r="H93" s="14" t="str">
        <f t="shared" si="12"/>
        <v/>
      </c>
      <c r="I93" s="14" t="str">
        <f t="shared" si="13"/>
        <v/>
      </c>
      <c r="J93" s="15" t="str">
        <f t="shared" si="14"/>
        <v/>
      </c>
    </row>
    <row r="94" spans="1:10">
      <c r="A94" s="7" t="str">
        <f>IF(子基金及业绩基准周净值!A135="","",子基金及业绩基准周净值!A135)</f>
        <v/>
      </c>
      <c r="B94" s="1" t="str">
        <f>IF(A94="","",VLOOKUP($A94,子基金及业绩基准周净值!$A:$AV,20))</f>
        <v/>
      </c>
      <c r="C94" s="8" t="str">
        <f t="shared" si="11"/>
        <v/>
      </c>
      <c r="D94" s="9" t="str">
        <f>IF(A94="","",C94-(子基金及业绩基准周净值!AH135/子基金及业绩基准周净值!AH134-1))</f>
        <v/>
      </c>
      <c r="E94" s="12" t="str">
        <f>IF(A94="","",(MAX(B$3:B94)-B94)/MAX(B$3:B94))</f>
        <v/>
      </c>
      <c r="F94" s="12" t="str">
        <f>IF(A94="","",MAX(E$4:E94))</f>
        <v/>
      </c>
      <c r="G94" s="13"/>
      <c r="H94" s="14" t="str">
        <f t="shared" si="12"/>
        <v/>
      </c>
      <c r="I94" s="14" t="str">
        <f t="shared" si="13"/>
        <v/>
      </c>
      <c r="J94" s="15" t="str">
        <f t="shared" si="14"/>
        <v/>
      </c>
    </row>
    <row r="95" spans="1:10">
      <c r="A95" s="7" t="str">
        <f>IF(子基金及业绩基准周净值!A136="","",子基金及业绩基准周净值!A136)</f>
        <v/>
      </c>
      <c r="B95" s="1" t="str">
        <f>IF(A95="","",VLOOKUP($A95,子基金及业绩基准周净值!$A:$AV,20))</f>
        <v/>
      </c>
      <c r="C95" s="8" t="str">
        <f t="shared" si="11"/>
        <v/>
      </c>
      <c r="D95" s="9" t="str">
        <f>IF(A95="","",C95-(子基金及业绩基准周净值!AH136/子基金及业绩基准周净值!AH135-1))</f>
        <v/>
      </c>
      <c r="E95" s="12" t="str">
        <f>IF(A95="","",(MAX(B$3:B95)-B95)/MAX(B$3:B95))</f>
        <v/>
      </c>
      <c r="F95" s="12" t="str">
        <f>IF(A95="","",MAX(E$4:E95))</f>
        <v/>
      </c>
      <c r="G95" s="13"/>
      <c r="H95" s="14" t="str">
        <f t="shared" si="12"/>
        <v/>
      </c>
      <c r="I95" s="14" t="str">
        <f t="shared" si="13"/>
        <v/>
      </c>
      <c r="J95" s="15" t="str">
        <f t="shared" si="14"/>
        <v/>
      </c>
    </row>
    <row r="96" spans="1:10">
      <c r="A96" s="7" t="str">
        <f>IF(子基金及业绩基准周净值!A137="","",子基金及业绩基准周净值!A137)</f>
        <v/>
      </c>
      <c r="B96" s="1" t="str">
        <f>IF(A96="","",VLOOKUP($A96,子基金及业绩基准周净值!$A:$AV,20))</f>
        <v/>
      </c>
      <c r="C96" s="8" t="str">
        <f t="shared" si="11"/>
        <v/>
      </c>
      <c r="D96" s="9" t="str">
        <f>IF(A96="","",C96-(子基金及业绩基准周净值!AH137/子基金及业绩基准周净值!AH136-1))</f>
        <v/>
      </c>
      <c r="E96" s="12" t="str">
        <f>IF(A96="","",(MAX(B$3:B96)-B96)/MAX(B$3:B96))</f>
        <v/>
      </c>
      <c r="F96" s="12" t="str">
        <f>IF(A96="","",MAX(E$4:E96))</f>
        <v/>
      </c>
      <c r="G96" s="13"/>
      <c r="H96" s="14" t="str">
        <f t="shared" si="12"/>
        <v/>
      </c>
      <c r="I96" s="14" t="str">
        <f t="shared" si="13"/>
        <v/>
      </c>
      <c r="J96" s="15" t="str">
        <f t="shared" si="14"/>
        <v/>
      </c>
    </row>
    <row r="97" spans="1:10">
      <c r="A97" s="7" t="str">
        <f>IF(子基金及业绩基准周净值!A138="","",子基金及业绩基准周净值!A138)</f>
        <v/>
      </c>
      <c r="B97" s="1" t="str">
        <f>IF(A97="","",VLOOKUP($A97,子基金及业绩基准周净值!$A:$AV,20))</f>
        <v/>
      </c>
      <c r="C97" s="8" t="str">
        <f t="shared" si="11"/>
        <v/>
      </c>
      <c r="D97" s="9" t="str">
        <f>IF(A97="","",C97-(子基金及业绩基准周净值!AH138/子基金及业绩基准周净值!AH137-1))</f>
        <v/>
      </c>
      <c r="E97" s="12" t="str">
        <f>IF(A97="","",(MAX(B$3:B97)-B97)/MAX(B$3:B97))</f>
        <v/>
      </c>
      <c r="F97" s="12" t="str">
        <f>IF(A97="","",MAX(E$4:E97))</f>
        <v/>
      </c>
      <c r="G97" s="13"/>
      <c r="H97" s="14" t="str">
        <f t="shared" si="12"/>
        <v/>
      </c>
      <c r="I97" s="14" t="str">
        <f t="shared" si="13"/>
        <v/>
      </c>
      <c r="J97" s="15" t="str">
        <f t="shared" si="14"/>
        <v/>
      </c>
    </row>
    <row r="98" spans="1:10">
      <c r="A98" s="7" t="str">
        <f>IF(子基金及业绩基准周净值!A139="","",子基金及业绩基准周净值!A139)</f>
        <v/>
      </c>
      <c r="B98" s="1" t="str">
        <f>IF(A98="","",VLOOKUP($A98,子基金及业绩基准周净值!$A:$AV,20))</f>
        <v/>
      </c>
      <c r="C98" s="8" t="str">
        <f t="shared" si="11"/>
        <v/>
      </c>
      <c r="D98" s="9" t="str">
        <f>IF(A98="","",C98-(子基金及业绩基准周净值!AH139/子基金及业绩基准周净值!AH138-1))</f>
        <v/>
      </c>
      <c r="E98" s="12" t="str">
        <f>IF(A98="","",(MAX(B$3:B98)-B98)/MAX(B$3:B98))</f>
        <v/>
      </c>
      <c r="F98" s="12" t="str">
        <f>IF(A98="","",MAX(E$4:E98))</f>
        <v/>
      </c>
      <c r="G98" s="13"/>
      <c r="H98" s="14" t="str">
        <f t="shared" si="12"/>
        <v/>
      </c>
      <c r="I98" s="14" t="str">
        <f t="shared" si="13"/>
        <v/>
      </c>
      <c r="J98" s="15" t="str">
        <f t="shared" si="14"/>
        <v/>
      </c>
    </row>
    <row r="99" spans="1:10">
      <c r="A99" s="7" t="str">
        <f>IF(子基金及业绩基准周净值!A140="","",子基金及业绩基准周净值!A140)</f>
        <v/>
      </c>
      <c r="B99" s="1" t="str">
        <f>IF(A99="","",VLOOKUP($A99,子基金及业绩基准周净值!$A:$AV,20))</f>
        <v/>
      </c>
      <c r="C99" s="8" t="str">
        <f t="shared" si="11"/>
        <v/>
      </c>
      <c r="D99" s="9" t="str">
        <f>IF(A99="","",C99-(子基金及业绩基准周净值!AH140/子基金及业绩基准周净值!AH139-1))</f>
        <v/>
      </c>
      <c r="E99" s="12" t="str">
        <f>IF(A99="","",(MAX(B$3:B99)-B99)/MAX(B$3:B99))</f>
        <v/>
      </c>
      <c r="F99" s="12" t="str">
        <f>IF(A99="","",MAX(E$4:E99))</f>
        <v/>
      </c>
      <c r="G99" s="13"/>
      <c r="H99" s="14" t="str">
        <f t="shared" si="12"/>
        <v/>
      </c>
      <c r="I99" s="14" t="str">
        <f t="shared" si="13"/>
        <v/>
      </c>
      <c r="J99" s="15" t="str">
        <f t="shared" si="14"/>
        <v/>
      </c>
    </row>
    <row r="100" spans="1:10">
      <c r="A100" s="7" t="str">
        <f>IF(子基金及业绩基准周净值!A141="","",子基金及业绩基准周净值!A141)</f>
        <v/>
      </c>
      <c r="B100" s="1" t="str">
        <f>IF(A100="","",VLOOKUP($A100,子基金及业绩基准周净值!$A:$AV,20))</f>
        <v/>
      </c>
      <c r="C100" s="8" t="str">
        <f t="shared" si="11"/>
        <v/>
      </c>
      <c r="D100" s="9" t="str">
        <f>IF(A100="","",C100-(子基金及业绩基准周净值!AH141/子基金及业绩基准周净值!AH140-1))</f>
        <v/>
      </c>
      <c r="E100" s="12" t="str">
        <f>IF(A100="","",(MAX(B$3:B100)-B100)/MAX(B$3:B100))</f>
        <v/>
      </c>
      <c r="F100" s="12" t="str">
        <f>IF(A100="","",MAX(E$4:E100))</f>
        <v/>
      </c>
      <c r="G100" s="13"/>
      <c r="H100" s="14" t="str">
        <f t="shared" si="12"/>
        <v/>
      </c>
      <c r="I100" s="14" t="str">
        <f t="shared" si="13"/>
        <v/>
      </c>
      <c r="J100" s="15" t="str">
        <f t="shared" si="14"/>
        <v/>
      </c>
    </row>
    <row r="101" spans="1:10">
      <c r="A101" s="7" t="str">
        <f>IF(子基金及业绩基准周净值!A142="","",子基金及业绩基准周净值!A142)</f>
        <v/>
      </c>
      <c r="B101" s="1" t="str">
        <f>IF(A101="","",VLOOKUP($A101,子基金及业绩基准周净值!$A:$AV,20))</f>
        <v/>
      </c>
      <c r="C101" s="8" t="str">
        <f t="shared" si="11"/>
        <v/>
      </c>
      <c r="D101" s="9" t="str">
        <f>IF(A101="","",C101-(子基金及业绩基准周净值!AH142/子基金及业绩基准周净值!AH141-1))</f>
        <v/>
      </c>
      <c r="E101" s="12" t="str">
        <f>IF(A101="","",(MAX(B$3:B101)-B101)/MAX(B$3:B101))</f>
        <v/>
      </c>
      <c r="F101" s="12" t="str">
        <f>IF(A101="","",MAX(E$4:E101))</f>
        <v/>
      </c>
      <c r="G101" s="13"/>
      <c r="H101" s="14" t="str">
        <f t="shared" si="12"/>
        <v/>
      </c>
      <c r="I101" s="14" t="str">
        <f t="shared" si="13"/>
        <v/>
      </c>
      <c r="J101" s="15" t="str">
        <f t="shared" si="14"/>
        <v/>
      </c>
    </row>
    <row r="102" spans="1:10">
      <c r="A102" s="7" t="str">
        <f>IF(子基金及业绩基准周净值!A143="","",子基金及业绩基准周净值!A143)</f>
        <v/>
      </c>
      <c r="B102" s="1" t="str">
        <f>IF(A102="","",VLOOKUP($A102,子基金及业绩基准周净值!$A:$AV,20))</f>
        <v/>
      </c>
      <c r="C102" s="8" t="str">
        <f t="shared" si="11"/>
        <v/>
      </c>
      <c r="D102" s="9" t="str">
        <f>IF(A102="","",C102-(子基金及业绩基准周净值!AH143/子基金及业绩基准周净值!AH142-1))</f>
        <v/>
      </c>
      <c r="E102" s="12" t="str">
        <f>IF(A102="","",(MAX(B$3:B102)-B102)/MAX(B$3:B102))</f>
        <v/>
      </c>
      <c r="F102" s="12" t="str">
        <f>IF(A102="","",MAX(E$4:E102))</f>
        <v/>
      </c>
      <c r="G102" s="13"/>
      <c r="H102" s="14" t="str">
        <f t="shared" si="12"/>
        <v/>
      </c>
      <c r="I102" s="14" t="str">
        <f t="shared" si="13"/>
        <v/>
      </c>
      <c r="J102" s="15" t="str">
        <f t="shared" si="14"/>
        <v/>
      </c>
    </row>
    <row r="103" spans="1:10">
      <c r="A103" s="7" t="str">
        <f>IF(子基金及业绩基准周净值!A144="","",子基金及业绩基准周净值!A144)</f>
        <v/>
      </c>
      <c r="B103" s="1" t="str">
        <f>IF(A103="","",VLOOKUP($A103,子基金及业绩基准周净值!$A:$AV,20))</f>
        <v/>
      </c>
      <c r="C103" s="8" t="str">
        <f t="shared" si="11"/>
        <v/>
      </c>
      <c r="D103" s="9" t="str">
        <f>IF(A103="","",C103-(子基金及业绩基准周净值!AH144/子基金及业绩基准周净值!AH143-1))</f>
        <v/>
      </c>
      <c r="E103" s="12" t="str">
        <f>IF(A103="","",(MAX(B$3:B103)-B103)/MAX(B$3:B103))</f>
        <v/>
      </c>
      <c r="F103" s="12" t="str">
        <f>IF(A103="","",MAX(E$4:E103))</f>
        <v/>
      </c>
      <c r="G103" s="13"/>
      <c r="H103" s="14" t="str">
        <f t="shared" si="12"/>
        <v/>
      </c>
      <c r="I103" s="14" t="str">
        <f t="shared" si="13"/>
        <v/>
      </c>
      <c r="J103" s="15" t="str">
        <f t="shared" si="14"/>
        <v/>
      </c>
    </row>
    <row r="104" spans="1:10">
      <c r="A104" s="7" t="str">
        <f>IF(子基金及业绩基准周净值!A145="","",子基金及业绩基准周净值!A145)</f>
        <v/>
      </c>
      <c r="B104" s="1" t="str">
        <f>IF(A104="","",VLOOKUP($A104,子基金及业绩基准周净值!$A:$AV,20))</f>
        <v/>
      </c>
      <c r="C104" s="8" t="str">
        <f t="shared" si="11"/>
        <v/>
      </c>
      <c r="D104" s="9" t="str">
        <f>IF(A104="","",C104-(子基金及业绩基准周净值!AH145/子基金及业绩基准周净值!AH144-1))</f>
        <v/>
      </c>
      <c r="E104" s="12" t="str">
        <f>IF(A104="","",(MAX(B$3:B104)-B104)/MAX(B$3:B104))</f>
        <v/>
      </c>
      <c r="F104" s="12" t="str">
        <f>IF(A104="","",MAX(E$4:E104))</f>
        <v/>
      </c>
      <c r="G104" s="13"/>
      <c r="H104" s="14" t="str">
        <f t="shared" si="12"/>
        <v/>
      </c>
      <c r="I104" s="14" t="str">
        <f t="shared" si="13"/>
        <v/>
      </c>
      <c r="J104" s="15" t="str">
        <f t="shared" si="14"/>
        <v/>
      </c>
    </row>
    <row r="105" spans="1:10">
      <c r="A105" s="7" t="str">
        <f>IF(子基金及业绩基准周净值!A146="","",子基金及业绩基准周净值!A146)</f>
        <v/>
      </c>
      <c r="B105" s="1" t="str">
        <f>IF(A105="","",VLOOKUP($A105,子基金及业绩基准周净值!$A:$AV,20))</f>
        <v/>
      </c>
      <c r="C105" s="8" t="str">
        <f t="shared" si="11"/>
        <v/>
      </c>
      <c r="D105" s="9" t="str">
        <f>IF(A105="","",C105-(子基金及业绩基准周净值!AH146/子基金及业绩基准周净值!AH145-1))</f>
        <v/>
      </c>
      <c r="E105" s="12" t="str">
        <f>IF(A105="","",(MAX(B$3:B105)-B105)/MAX(B$3:B105))</f>
        <v/>
      </c>
      <c r="F105" s="12" t="str">
        <f>IF(A105="","",MAX(E$4:E105))</f>
        <v/>
      </c>
      <c r="G105" s="13"/>
      <c r="H105" s="14" t="str">
        <f t="shared" si="12"/>
        <v/>
      </c>
      <c r="I105" s="14" t="str">
        <f t="shared" si="13"/>
        <v/>
      </c>
      <c r="J105" s="15" t="str">
        <f t="shared" si="14"/>
        <v/>
      </c>
    </row>
    <row r="106" spans="1:10">
      <c r="A106" s="7" t="str">
        <f>IF(子基金及业绩基准周净值!A147="","",子基金及业绩基准周净值!A147)</f>
        <v/>
      </c>
      <c r="B106" s="1" t="str">
        <f>IF(A106="","",VLOOKUP($A106,子基金及业绩基准周净值!$A:$AV,20))</f>
        <v/>
      </c>
      <c r="C106" s="8" t="str">
        <f t="shared" si="11"/>
        <v/>
      </c>
      <c r="D106" s="9" t="str">
        <f>IF(A106="","",C106-(子基金及业绩基准周净值!AH147/子基金及业绩基准周净值!AH146-1))</f>
        <v/>
      </c>
      <c r="E106" s="12" t="str">
        <f>IF(A106="","",(MAX(B$3:B106)-B106)/MAX(B$3:B106))</f>
        <v/>
      </c>
      <c r="F106" s="12" t="str">
        <f>IF(A106="","",MAX(E$4:E106))</f>
        <v/>
      </c>
      <c r="G106" s="13"/>
      <c r="H106" s="14" t="str">
        <f t="shared" si="12"/>
        <v/>
      </c>
      <c r="I106" s="14" t="str">
        <f t="shared" si="13"/>
        <v/>
      </c>
      <c r="J106" s="15" t="str">
        <f t="shared" si="14"/>
        <v/>
      </c>
    </row>
    <row r="107" spans="1:10">
      <c r="A107" s="7" t="str">
        <f>IF(子基金及业绩基准周净值!A148="","",子基金及业绩基准周净值!A148)</f>
        <v/>
      </c>
      <c r="B107" s="1" t="str">
        <f>IF(A107="","",VLOOKUP($A107,子基金及业绩基准周净值!$A:$AV,20))</f>
        <v/>
      </c>
      <c r="C107" s="8" t="str">
        <f t="shared" si="11"/>
        <v/>
      </c>
      <c r="D107" s="9" t="str">
        <f>IF(A107="","",C107-(子基金及业绩基准周净值!AH148/子基金及业绩基准周净值!AH147-1))</f>
        <v/>
      </c>
      <c r="E107" s="12" t="str">
        <f>IF(A107="","",(MAX(B$3:B107)-B107)/MAX(B$3:B107))</f>
        <v/>
      </c>
      <c r="F107" s="12" t="str">
        <f>IF(A107="","",MAX(E$4:E107))</f>
        <v/>
      </c>
      <c r="G107" s="13"/>
      <c r="H107" s="14" t="str">
        <f t="shared" si="12"/>
        <v/>
      </c>
      <c r="I107" s="14" t="str">
        <f t="shared" si="13"/>
        <v/>
      </c>
      <c r="J107" s="15" t="str">
        <f t="shared" si="14"/>
        <v/>
      </c>
    </row>
    <row r="108" spans="1:10">
      <c r="A108" s="7" t="str">
        <f>IF(子基金及业绩基准周净值!A149="","",子基金及业绩基准周净值!A149)</f>
        <v/>
      </c>
      <c r="B108" s="1" t="str">
        <f>IF(A108="","",VLOOKUP($A108,子基金及业绩基准周净值!$A:$AV,20))</f>
        <v/>
      </c>
      <c r="C108" s="8" t="str">
        <f t="shared" si="11"/>
        <v/>
      </c>
      <c r="D108" s="9" t="str">
        <f>IF(A108="","",C108-(子基金及业绩基准周净值!AH149/子基金及业绩基准周净值!AH148-1))</f>
        <v/>
      </c>
      <c r="E108" s="12" t="str">
        <f>IF(A108="","",(MAX(B$3:B108)-B108)/MAX(B$3:B108))</f>
        <v/>
      </c>
      <c r="F108" s="12" t="str">
        <f>IF(A108="","",MAX(E$4:E108))</f>
        <v/>
      </c>
      <c r="G108" s="13"/>
      <c r="H108" s="14" t="str">
        <f t="shared" si="12"/>
        <v/>
      </c>
      <c r="I108" s="14" t="str">
        <f t="shared" si="13"/>
        <v/>
      </c>
      <c r="J108" s="15" t="str">
        <f t="shared" si="14"/>
        <v/>
      </c>
    </row>
    <row r="109" spans="1:10">
      <c r="A109" s="7" t="str">
        <f>IF(子基金及业绩基准周净值!A150="","",子基金及业绩基准周净值!A150)</f>
        <v/>
      </c>
      <c r="B109" s="1" t="str">
        <f>IF(A109="","",VLOOKUP($A109,子基金及业绩基准周净值!$A:$AV,20))</f>
        <v/>
      </c>
      <c r="C109" s="8" t="str">
        <f t="shared" si="11"/>
        <v/>
      </c>
      <c r="D109" s="9" t="str">
        <f>IF(A109="","",C109-(子基金及业绩基准周净值!AH150/子基金及业绩基准周净值!AH149-1))</f>
        <v/>
      </c>
      <c r="E109" s="12" t="str">
        <f>IF(A109="","",(MAX(B$3:B109)-B109)/MAX(B$3:B109))</f>
        <v/>
      </c>
      <c r="F109" s="12" t="str">
        <f>IF(A109="","",MAX(E$4:E109))</f>
        <v/>
      </c>
      <c r="G109" s="13"/>
      <c r="H109" s="14" t="str">
        <f t="shared" si="12"/>
        <v/>
      </c>
      <c r="I109" s="14" t="str">
        <f t="shared" si="13"/>
        <v/>
      </c>
      <c r="J109" s="15" t="str">
        <f t="shared" si="14"/>
        <v/>
      </c>
    </row>
    <row r="110" spans="1:10">
      <c r="A110" s="7" t="str">
        <f>IF(子基金及业绩基准周净值!A151="","",子基金及业绩基准周净值!A151)</f>
        <v/>
      </c>
      <c r="B110" s="1" t="str">
        <f>IF(A110="","",VLOOKUP($A110,子基金及业绩基准周净值!$A:$AV,20))</f>
        <v/>
      </c>
      <c r="C110" s="8" t="str">
        <f t="shared" si="11"/>
        <v/>
      </c>
      <c r="D110" s="9" t="str">
        <f>IF(A110="","",C110-(子基金及业绩基准周净值!AH151/子基金及业绩基准周净值!AH150-1))</f>
        <v/>
      </c>
      <c r="E110" s="12" t="str">
        <f>IF(A110="","",(MAX(B$3:B110)-B110)/MAX(B$3:B110))</f>
        <v/>
      </c>
      <c r="F110" s="12" t="str">
        <f>IF(A110="","",MAX(E$4:E110))</f>
        <v/>
      </c>
      <c r="G110" s="13"/>
      <c r="H110" s="14" t="str">
        <f t="shared" si="12"/>
        <v/>
      </c>
      <c r="I110" s="14" t="str">
        <f t="shared" si="13"/>
        <v/>
      </c>
      <c r="J110" s="15" t="str">
        <f t="shared" si="14"/>
        <v/>
      </c>
    </row>
    <row r="111" spans="1:10">
      <c r="A111" s="7" t="str">
        <f>IF(子基金及业绩基准周净值!A152="","",子基金及业绩基准周净值!A152)</f>
        <v/>
      </c>
      <c r="B111" s="1" t="str">
        <f>IF(A111="","",VLOOKUP($A111,子基金及业绩基准周净值!$A:$AV,20))</f>
        <v/>
      </c>
      <c r="C111" s="8" t="str">
        <f t="shared" si="11"/>
        <v/>
      </c>
      <c r="D111" s="9" t="str">
        <f>IF(A111="","",C111-(子基金及业绩基准周净值!AH152/子基金及业绩基准周净值!AH151-1))</f>
        <v/>
      </c>
      <c r="E111" s="12" t="str">
        <f>IF(A111="","",(MAX(B$3:B111)-B111)/MAX(B$3:B111))</f>
        <v/>
      </c>
      <c r="F111" s="12" t="str">
        <f>IF(A111="","",MAX(E$4:E111))</f>
        <v/>
      </c>
      <c r="G111" s="13"/>
      <c r="H111" s="14" t="str">
        <f t="shared" si="12"/>
        <v/>
      </c>
      <c r="I111" s="14" t="str">
        <f t="shared" si="13"/>
        <v/>
      </c>
      <c r="J111" s="15" t="str">
        <f t="shared" si="14"/>
        <v/>
      </c>
    </row>
    <row r="112" spans="1:10">
      <c r="A112" s="7" t="str">
        <f>IF(子基金及业绩基准周净值!A153="","",子基金及业绩基准周净值!A153)</f>
        <v/>
      </c>
      <c r="B112" s="1" t="str">
        <f>IF(A112="","",VLOOKUP($A112,子基金及业绩基准周净值!$A:$AV,20))</f>
        <v/>
      </c>
      <c r="C112" s="8" t="str">
        <f t="shared" si="11"/>
        <v/>
      </c>
      <c r="D112" s="9" t="str">
        <f>IF(A112="","",C112-(子基金及业绩基准周净值!AH153/子基金及业绩基准周净值!AH152-1))</f>
        <v/>
      </c>
      <c r="E112" s="12" t="str">
        <f>IF(A112="","",(MAX(B$3:B112)-B112)/MAX(B$3:B112))</f>
        <v/>
      </c>
      <c r="F112" s="12" t="str">
        <f>IF(A112="","",MAX(E$4:E112))</f>
        <v/>
      </c>
      <c r="G112" s="13"/>
      <c r="H112" s="14" t="str">
        <f t="shared" si="12"/>
        <v/>
      </c>
      <c r="I112" s="14" t="str">
        <f t="shared" si="13"/>
        <v/>
      </c>
      <c r="J112" s="15" t="str">
        <f t="shared" si="14"/>
        <v/>
      </c>
    </row>
    <row r="113" spans="1:10">
      <c r="A113" s="7" t="str">
        <f>IF(子基金及业绩基准周净值!A154="","",子基金及业绩基准周净值!A154)</f>
        <v/>
      </c>
      <c r="B113" s="1" t="str">
        <f>IF(A113="","",VLOOKUP($A113,子基金及业绩基准周净值!$A:$AV,20))</f>
        <v/>
      </c>
      <c r="C113" s="8" t="str">
        <f t="shared" si="11"/>
        <v/>
      </c>
      <c r="D113" s="9" t="str">
        <f>IF(A113="","",C113-(子基金及业绩基准周净值!AH154/子基金及业绩基准周净值!AH153-1))</f>
        <v/>
      </c>
      <c r="E113" s="12" t="str">
        <f>IF(A113="","",(MAX(B$3:B113)-B113)/MAX(B$3:B113))</f>
        <v/>
      </c>
      <c r="F113" s="12" t="str">
        <f>IF(A113="","",MAX(E$4:E113))</f>
        <v/>
      </c>
      <c r="G113" s="13"/>
      <c r="H113" s="14" t="str">
        <f t="shared" si="12"/>
        <v/>
      </c>
      <c r="I113" s="14" t="str">
        <f t="shared" si="13"/>
        <v/>
      </c>
      <c r="J113" s="15" t="str">
        <f t="shared" si="14"/>
        <v/>
      </c>
    </row>
    <row r="114" spans="1:10">
      <c r="A114" s="7" t="str">
        <f>IF(子基金及业绩基准周净值!A155="","",子基金及业绩基准周净值!A155)</f>
        <v/>
      </c>
      <c r="B114" s="1" t="str">
        <f>IF(A114="","",VLOOKUP($A114,子基金及业绩基准周净值!$A:$AV,20))</f>
        <v/>
      </c>
      <c r="C114" s="8" t="str">
        <f t="shared" si="11"/>
        <v/>
      </c>
      <c r="D114" s="9" t="str">
        <f>IF(A114="","",C114-(子基金及业绩基准周净值!AH155/子基金及业绩基准周净值!AH154-1))</f>
        <v/>
      </c>
      <c r="E114" s="12" t="str">
        <f>IF(A114="","",(MAX(B$3:B114)-B114)/MAX(B$3:B114))</f>
        <v/>
      </c>
      <c r="F114" s="12" t="str">
        <f>IF(A114="","",MAX(E$4:E114))</f>
        <v/>
      </c>
      <c r="G114" s="13"/>
      <c r="H114" s="14" t="str">
        <f t="shared" si="12"/>
        <v/>
      </c>
      <c r="I114" s="14" t="str">
        <f t="shared" si="13"/>
        <v/>
      </c>
      <c r="J114" s="15" t="str">
        <f t="shared" si="14"/>
        <v/>
      </c>
    </row>
    <row r="115" spans="1:10">
      <c r="A115" s="7" t="str">
        <f>IF(子基金及业绩基准周净值!A156="","",子基金及业绩基准周净值!A156)</f>
        <v/>
      </c>
      <c r="B115" s="1" t="str">
        <f>IF(A115="","",VLOOKUP($A115,子基金及业绩基准周净值!$A:$AV,20))</f>
        <v/>
      </c>
      <c r="C115" s="8" t="str">
        <f t="shared" si="11"/>
        <v/>
      </c>
      <c r="D115" s="9" t="str">
        <f>IF(A115="","",C115-(子基金及业绩基准周净值!AH156/子基金及业绩基准周净值!AH155-1))</f>
        <v/>
      </c>
      <c r="E115" s="12" t="str">
        <f>IF(A115="","",(MAX(B$3:B115)-B115)/MAX(B$3:B115))</f>
        <v/>
      </c>
      <c r="F115" s="12" t="str">
        <f>IF(A115="","",MAX(E$4:E115))</f>
        <v/>
      </c>
      <c r="G115" s="13"/>
      <c r="H115" s="14" t="str">
        <f t="shared" si="12"/>
        <v/>
      </c>
      <c r="I115" s="14" t="str">
        <f t="shared" si="13"/>
        <v/>
      </c>
      <c r="J115" s="15" t="str">
        <f t="shared" si="14"/>
        <v/>
      </c>
    </row>
    <row r="116" spans="1:10">
      <c r="A116" s="7" t="str">
        <f>IF(子基金及业绩基准周净值!A157="","",子基金及业绩基准周净值!A157)</f>
        <v/>
      </c>
      <c r="B116" s="1" t="str">
        <f>IF(A116="","",VLOOKUP($A116,子基金及业绩基准周净值!$A:$AV,20))</f>
        <v/>
      </c>
      <c r="C116" s="8" t="str">
        <f t="shared" si="11"/>
        <v/>
      </c>
      <c r="D116" s="9" t="str">
        <f>IF(A116="","",C116-(子基金及业绩基准周净值!AH157/子基金及业绩基准周净值!AH156-1))</f>
        <v/>
      </c>
      <c r="E116" s="12" t="str">
        <f>IF(A116="","",(MAX(B$3:B116)-B116)/MAX(B$3:B116))</f>
        <v/>
      </c>
      <c r="F116" s="12" t="str">
        <f>IF(A116="","",MAX(E$4:E116))</f>
        <v/>
      </c>
      <c r="G116" s="13"/>
      <c r="H116" s="14" t="str">
        <f t="shared" si="12"/>
        <v/>
      </c>
      <c r="I116" s="14" t="str">
        <f t="shared" si="13"/>
        <v/>
      </c>
      <c r="J116" s="15" t="str">
        <f t="shared" si="14"/>
        <v/>
      </c>
    </row>
    <row r="117" spans="1:10">
      <c r="A117" s="7" t="str">
        <f>IF(子基金及业绩基准周净值!A158="","",子基金及业绩基准周净值!A158)</f>
        <v/>
      </c>
      <c r="B117" s="1" t="str">
        <f>IF(A117="","",VLOOKUP($A117,子基金及业绩基准周净值!$A:$AV,20))</f>
        <v/>
      </c>
      <c r="C117" s="8" t="str">
        <f t="shared" si="11"/>
        <v/>
      </c>
      <c r="D117" s="9" t="str">
        <f>IF(A117="","",C117-(子基金及业绩基准周净值!AH158/子基金及业绩基准周净值!AH157-1))</f>
        <v/>
      </c>
      <c r="E117" s="12" t="str">
        <f>IF(A117="","",(MAX(B$3:B117)-B117)/MAX(B$3:B117))</f>
        <v/>
      </c>
      <c r="F117" s="12" t="str">
        <f>IF(A117="","",MAX(E$4:E117))</f>
        <v/>
      </c>
      <c r="G117" s="13"/>
      <c r="H117" s="14" t="str">
        <f t="shared" si="12"/>
        <v/>
      </c>
      <c r="I117" s="14" t="str">
        <f t="shared" si="13"/>
        <v/>
      </c>
      <c r="J117" s="15" t="str">
        <f t="shared" si="14"/>
        <v/>
      </c>
    </row>
    <row r="118" spans="1:10">
      <c r="A118" s="7" t="str">
        <f>IF(子基金及业绩基准周净值!A159="","",子基金及业绩基准周净值!A159)</f>
        <v/>
      </c>
      <c r="B118" s="1" t="str">
        <f>IF(A118="","",VLOOKUP($A118,子基金及业绩基准周净值!$A:$AV,20))</f>
        <v/>
      </c>
      <c r="C118" s="8" t="str">
        <f t="shared" si="11"/>
        <v/>
      </c>
      <c r="D118" s="9" t="str">
        <f>IF(A118="","",C118-(子基金及业绩基准周净值!AH159/子基金及业绩基准周净值!AH158-1))</f>
        <v/>
      </c>
      <c r="E118" s="12" t="str">
        <f>IF(A118="","",(MAX(B$3:B118)-B118)/MAX(B$3:B118))</f>
        <v/>
      </c>
      <c r="F118" s="12" t="str">
        <f>IF(A118="","",MAX(E$4:E118))</f>
        <v/>
      </c>
      <c r="G118" s="13"/>
      <c r="H118" s="14" t="str">
        <f t="shared" si="12"/>
        <v/>
      </c>
      <c r="I118" s="14" t="str">
        <f t="shared" si="13"/>
        <v/>
      </c>
      <c r="J118" s="15" t="str">
        <f t="shared" si="14"/>
        <v/>
      </c>
    </row>
    <row r="119" spans="1:10">
      <c r="A119" s="7" t="str">
        <f>IF(子基金及业绩基准周净值!A160="","",子基金及业绩基准周净值!A160)</f>
        <v/>
      </c>
      <c r="B119" s="1" t="str">
        <f>IF(A119="","",VLOOKUP($A119,子基金及业绩基准周净值!$A:$AV,20))</f>
        <v/>
      </c>
      <c r="C119" s="8" t="str">
        <f t="shared" si="11"/>
        <v/>
      </c>
      <c r="D119" s="9" t="str">
        <f>IF(A119="","",C119-(子基金及业绩基准周净值!AH160/子基金及业绩基准周净值!AH159-1))</f>
        <v/>
      </c>
      <c r="E119" s="12" t="str">
        <f>IF(A119="","",(MAX(B$3:B119)-B119)/MAX(B$3:B119))</f>
        <v/>
      </c>
      <c r="F119" s="12" t="str">
        <f>IF(A119="","",MAX(E$4:E119))</f>
        <v/>
      </c>
      <c r="G119" s="13"/>
      <c r="H119" s="14" t="str">
        <f t="shared" si="12"/>
        <v/>
      </c>
      <c r="I119" s="14" t="str">
        <f t="shared" si="13"/>
        <v/>
      </c>
      <c r="J119" s="15" t="str">
        <f t="shared" si="14"/>
        <v/>
      </c>
    </row>
    <row r="120" spans="1:10">
      <c r="A120" s="7" t="str">
        <f>IF(子基金及业绩基准周净值!A161="","",子基金及业绩基准周净值!A161)</f>
        <v/>
      </c>
      <c r="B120" s="1" t="str">
        <f>IF(A120="","",VLOOKUP($A120,子基金及业绩基准周净值!$A:$AV,20))</f>
        <v/>
      </c>
      <c r="C120" s="8" t="str">
        <f t="shared" si="11"/>
        <v/>
      </c>
      <c r="D120" s="9" t="str">
        <f>IF(A120="","",C120-(子基金及业绩基准周净值!AH161/子基金及业绩基准周净值!AH160-1))</f>
        <v/>
      </c>
      <c r="E120" s="12" t="str">
        <f>IF(A120="","",(MAX(B$3:B120)-B120)/MAX(B$3:B120))</f>
        <v/>
      </c>
      <c r="F120" s="12" t="str">
        <f>IF(A120="","",MAX(E$4:E120))</f>
        <v/>
      </c>
      <c r="G120" s="13"/>
      <c r="H120" s="14" t="str">
        <f t="shared" si="12"/>
        <v/>
      </c>
      <c r="I120" s="14" t="str">
        <f t="shared" si="13"/>
        <v/>
      </c>
      <c r="J120" s="15" t="str">
        <f t="shared" si="14"/>
        <v/>
      </c>
    </row>
    <row r="121" spans="1:10">
      <c r="A121" s="7" t="str">
        <f>IF(子基金及业绩基准周净值!A162="","",子基金及业绩基准周净值!A162)</f>
        <v/>
      </c>
      <c r="B121" s="1" t="str">
        <f>IF(A121="","",VLOOKUP($A121,子基金及业绩基准周净值!$A:$AV,20))</f>
        <v/>
      </c>
      <c r="C121" s="8" t="str">
        <f t="shared" si="11"/>
        <v/>
      </c>
      <c r="D121" s="9" t="str">
        <f>IF(A121="","",C121-(子基金及业绩基准周净值!AH162/子基金及业绩基准周净值!AH161-1))</f>
        <v/>
      </c>
      <c r="E121" s="12" t="str">
        <f>IF(A121="","",(MAX(B$3:B121)-B121)/MAX(B$3:B121))</f>
        <v/>
      </c>
      <c r="F121" s="12" t="str">
        <f>IF(A121="","",MAX(E$4:E121))</f>
        <v/>
      </c>
      <c r="G121" s="13"/>
      <c r="H121" s="14" t="str">
        <f t="shared" si="12"/>
        <v/>
      </c>
      <c r="I121" s="14" t="str">
        <f t="shared" si="13"/>
        <v/>
      </c>
      <c r="J121" s="15" t="str">
        <f t="shared" si="14"/>
        <v/>
      </c>
    </row>
    <row r="122" spans="1:10">
      <c r="A122" s="7" t="str">
        <f>IF(子基金及业绩基准周净值!A163="","",子基金及业绩基准周净值!A163)</f>
        <v/>
      </c>
      <c r="B122" s="1" t="str">
        <f>IF(A122="","",VLOOKUP($A122,子基金及业绩基准周净值!$A:$AV,20))</f>
        <v/>
      </c>
      <c r="C122" s="8" t="str">
        <f t="shared" si="11"/>
        <v/>
      </c>
      <c r="D122" s="9" t="str">
        <f>IF(A122="","",C122-(子基金及业绩基准周净值!AH163/子基金及业绩基准周净值!AH162-1))</f>
        <v/>
      </c>
      <c r="E122" s="12" t="str">
        <f>IF(A122="","",(MAX(B$3:B122)-B122)/MAX(B$3:B122))</f>
        <v/>
      </c>
      <c r="F122" s="12" t="str">
        <f>IF(A122="","",MAX(E$4:E122))</f>
        <v/>
      </c>
      <c r="G122" s="13"/>
      <c r="H122" s="14" t="str">
        <f t="shared" si="12"/>
        <v/>
      </c>
      <c r="I122" s="14" t="str">
        <f t="shared" si="13"/>
        <v/>
      </c>
      <c r="J122" s="15" t="str">
        <f t="shared" si="14"/>
        <v/>
      </c>
    </row>
    <row r="123" spans="1:10">
      <c r="A123" s="7" t="str">
        <f>IF(子基金及业绩基准周净值!A164="","",子基金及业绩基准周净值!A164)</f>
        <v/>
      </c>
      <c r="B123" s="1" t="str">
        <f>IF(A123="","",VLOOKUP($A123,子基金及业绩基准周净值!$A:$AV,20))</f>
        <v/>
      </c>
      <c r="C123" s="8" t="str">
        <f t="shared" si="11"/>
        <v/>
      </c>
      <c r="D123" s="9" t="str">
        <f>IF(A123="","",C123-(子基金及业绩基准周净值!AH164/子基金及业绩基准周净值!AH163-1))</f>
        <v/>
      </c>
      <c r="E123" s="12" t="str">
        <f>IF(A123="","",(MAX(B$3:B123)-B123)/MAX(B$3:B123))</f>
        <v/>
      </c>
      <c r="F123" s="12" t="str">
        <f>IF(A123="","",MAX(E$4:E123))</f>
        <v/>
      </c>
      <c r="G123" s="13"/>
      <c r="H123" s="14" t="str">
        <f t="shared" si="12"/>
        <v/>
      </c>
      <c r="I123" s="14" t="str">
        <f t="shared" si="13"/>
        <v/>
      </c>
      <c r="J123" s="15" t="str">
        <f t="shared" si="14"/>
        <v/>
      </c>
    </row>
    <row r="124" spans="1:10">
      <c r="A124" s="7" t="str">
        <f>IF(子基金及业绩基准周净值!A165="","",子基金及业绩基准周净值!A165)</f>
        <v/>
      </c>
      <c r="B124" s="1" t="str">
        <f>IF(A124="","",VLOOKUP($A124,子基金及业绩基准周净值!$A:$AV,20))</f>
        <v/>
      </c>
      <c r="C124" s="8" t="str">
        <f t="shared" si="11"/>
        <v/>
      </c>
      <c r="D124" s="9" t="str">
        <f>IF(A124="","",C124-(子基金及业绩基准周净值!AH165/子基金及业绩基准周净值!AH164-1))</f>
        <v/>
      </c>
      <c r="E124" s="12" t="str">
        <f>IF(A124="","",(MAX(B$3:B124)-B124)/MAX(B$3:B124))</f>
        <v/>
      </c>
      <c r="F124" s="12" t="str">
        <f>IF(A124="","",MAX(E$4:E124))</f>
        <v/>
      </c>
      <c r="G124" s="13"/>
      <c r="H124" s="14" t="str">
        <f t="shared" si="12"/>
        <v/>
      </c>
      <c r="I124" s="14" t="str">
        <f t="shared" si="13"/>
        <v/>
      </c>
      <c r="J124" s="15" t="str">
        <f t="shared" si="14"/>
        <v/>
      </c>
    </row>
    <row r="125" spans="1:10">
      <c r="A125" s="7" t="str">
        <f>IF(子基金及业绩基准周净值!A166="","",子基金及业绩基准周净值!A166)</f>
        <v/>
      </c>
      <c r="B125" s="1" t="str">
        <f>IF(A125="","",VLOOKUP($A125,子基金及业绩基准周净值!$A:$AV,20))</f>
        <v/>
      </c>
      <c r="C125" s="8" t="str">
        <f t="shared" si="11"/>
        <v/>
      </c>
      <c r="D125" s="9" t="str">
        <f>IF(A125="","",C125-(子基金及业绩基准周净值!AH166/子基金及业绩基准周净值!AH165-1))</f>
        <v/>
      </c>
      <c r="E125" s="12" t="str">
        <f>IF(A125="","",(MAX(B$3:B125)-B125)/MAX(B$3:B125))</f>
        <v/>
      </c>
      <c r="F125" s="12" t="str">
        <f>IF(A125="","",MAX(E$4:E125))</f>
        <v/>
      </c>
      <c r="G125" s="13"/>
      <c r="H125" s="14" t="str">
        <f t="shared" si="12"/>
        <v/>
      </c>
      <c r="I125" s="14" t="str">
        <f t="shared" si="13"/>
        <v/>
      </c>
      <c r="J125" s="15" t="str">
        <f t="shared" si="14"/>
        <v/>
      </c>
    </row>
    <row r="126" spans="1:10">
      <c r="A126" s="7" t="str">
        <f>IF(子基金及业绩基准周净值!A167="","",子基金及业绩基准周净值!A167)</f>
        <v/>
      </c>
      <c r="B126" s="1" t="str">
        <f>IF(A126="","",VLOOKUP($A126,子基金及业绩基准周净值!$A:$AV,20))</f>
        <v/>
      </c>
      <c r="C126" s="8" t="str">
        <f t="shared" si="11"/>
        <v/>
      </c>
      <c r="D126" s="9" t="str">
        <f>IF(A126="","",C126-(子基金及业绩基准周净值!AH167/子基金及业绩基准周净值!AH166-1))</f>
        <v/>
      </c>
      <c r="E126" s="12" t="str">
        <f>IF(A126="","",(MAX(B$3:B126)-B126)/MAX(B$3:B126))</f>
        <v/>
      </c>
      <c r="F126" s="12" t="str">
        <f>IF(A126="","",MAX(E$4:E126))</f>
        <v/>
      </c>
      <c r="G126" s="13"/>
      <c r="H126" s="14" t="str">
        <f t="shared" si="12"/>
        <v/>
      </c>
      <c r="I126" s="14" t="str">
        <f t="shared" si="13"/>
        <v/>
      </c>
      <c r="J126" s="15" t="str">
        <f t="shared" si="14"/>
        <v/>
      </c>
    </row>
    <row r="127" spans="1:10">
      <c r="A127" s="7" t="str">
        <f>IF(子基金及业绩基准周净值!A168="","",子基金及业绩基准周净值!A168)</f>
        <v/>
      </c>
      <c r="B127" s="1" t="str">
        <f>IF(A127="","",VLOOKUP($A127,子基金及业绩基准周净值!$A:$AV,20))</f>
        <v/>
      </c>
      <c r="C127" s="8" t="str">
        <f t="shared" si="11"/>
        <v/>
      </c>
      <c r="D127" s="9" t="str">
        <f>IF(A127="","",C127-(子基金及业绩基准周净值!AH168/子基金及业绩基准周净值!AH167-1))</f>
        <v/>
      </c>
      <c r="E127" s="12" t="str">
        <f>IF(A127="","",(MAX(B$3:B127)-B127)/MAX(B$3:B127))</f>
        <v/>
      </c>
      <c r="F127" s="12" t="str">
        <f>IF(A127="","",MAX(E$4:E127))</f>
        <v/>
      </c>
      <c r="G127" s="13"/>
      <c r="H127" s="14" t="str">
        <f t="shared" si="12"/>
        <v/>
      </c>
      <c r="I127" s="14" t="str">
        <f t="shared" si="13"/>
        <v/>
      </c>
      <c r="J127" s="15" t="str">
        <f t="shared" si="14"/>
        <v/>
      </c>
    </row>
    <row r="128" spans="1:10">
      <c r="A128" s="7" t="str">
        <f>IF(子基金及业绩基准周净值!A169="","",子基金及业绩基准周净值!A169)</f>
        <v/>
      </c>
      <c r="B128" s="1" t="str">
        <f>IF(A128="","",VLOOKUP($A128,子基金及业绩基准周净值!$A:$AV,20))</f>
        <v/>
      </c>
      <c r="C128" s="8" t="str">
        <f t="shared" si="11"/>
        <v/>
      </c>
      <c r="D128" s="9" t="str">
        <f>IF(A128="","",C128-(子基金及业绩基准周净值!AH169/子基金及业绩基准周净值!AH168-1))</f>
        <v/>
      </c>
      <c r="E128" s="12" t="str">
        <f>IF(A128="","",(MAX(B$3:B128)-B128)/MAX(B$3:B128))</f>
        <v/>
      </c>
      <c r="F128" s="12" t="str">
        <f>IF(A128="","",MAX(E$4:E128))</f>
        <v/>
      </c>
      <c r="G128" s="13"/>
      <c r="H128" s="14" t="str">
        <f t="shared" si="12"/>
        <v/>
      </c>
      <c r="I128" s="14" t="str">
        <f t="shared" si="13"/>
        <v/>
      </c>
      <c r="J128" s="15" t="str">
        <f t="shared" si="14"/>
        <v/>
      </c>
    </row>
    <row r="129" spans="1:10">
      <c r="A129" s="7" t="str">
        <f>IF(子基金及业绩基准周净值!A170="","",子基金及业绩基准周净值!A170)</f>
        <v/>
      </c>
      <c r="B129" s="1" t="str">
        <f>IF(A129="","",VLOOKUP($A129,子基金及业绩基准周净值!$A:$AV,20))</f>
        <v/>
      </c>
      <c r="C129" s="8" t="str">
        <f t="shared" si="11"/>
        <v/>
      </c>
      <c r="D129" s="9" t="str">
        <f>IF(A129="","",C129-(子基金及业绩基准周净值!AH170/子基金及业绩基准周净值!AH169-1))</f>
        <v/>
      </c>
      <c r="E129" s="12" t="str">
        <f>IF(A129="","",(MAX(B$3:B129)-B129)/MAX(B$3:B129))</f>
        <v/>
      </c>
      <c r="F129" s="12" t="str">
        <f>IF(A129="","",MAX(E$4:E129))</f>
        <v/>
      </c>
      <c r="G129" s="13"/>
      <c r="H129" s="14" t="str">
        <f t="shared" si="12"/>
        <v/>
      </c>
      <c r="I129" s="14" t="str">
        <f t="shared" si="13"/>
        <v/>
      </c>
      <c r="J129" s="15" t="str">
        <f t="shared" si="14"/>
        <v/>
      </c>
    </row>
    <row r="130" spans="1:10">
      <c r="A130" s="7" t="str">
        <f>IF(子基金及业绩基准周净值!A171="","",子基金及业绩基准周净值!A171)</f>
        <v/>
      </c>
      <c r="B130" s="1" t="str">
        <f>IF(A130="","",VLOOKUP($A130,子基金及业绩基准周净值!$A:$AV,20))</f>
        <v/>
      </c>
      <c r="C130" s="8" t="str">
        <f t="shared" si="11"/>
        <v/>
      </c>
      <c r="D130" s="9" t="str">
        <f>IF(A130="","",C130-(子基金及业绩基准周净值!AH171/子基金及业绩基准周净值!AH170-1))</f>
        <v/>
      </c>
      <c r="E130" s="12" t="str">
        <f>IF(A130="","",(MAX(B$3:B130)-B130)/MAX(B$3:B130))</f>
        <v/>
      </c>
      <c r="F130" s="12" t="str">
        <f>IF(A130="","",MAX(E$4:E130))</f>
        <v/>
      </c>
      <c r="G130" s="13"/>
      <c r="H130" s="14" t="str">
        <f t="shared" si="12"/>
        <v/>
      </c>
      <c r="I130" s="14" t="str">
        <f t="shared" si="13"/>
        <v/>
      </c>
      <c r="J130" s="15" t="str">
        <f t="shared" si="14"/>
        <v/>
      </c>
    </row>
    <row r="131" spans="1:10">
      <c r="A131" s="7" t="str">
        <f>IF(子基金及业绩基准周净值!A172="","",子基金及业绩基准周净值!A172)</f>
        <v/>
      </c>
      <c r="B131" s="1" t="str">
        <f>IF(A131="","",VLOOKUP($A131,子基金及业绩基准周净值!$A:$AV,20))</f>
        <v/>
      </c>
      <c r="C131" s="8" t="str">
        <f t="shared" si="11"/>
        <v/>
      </c>
      <c r="D131" s="9" t="str">
        <f>IF(A131="","",C131-(子基金及业绩基准周净值!AH172/子基金及业绩基准周净值!AH171-1))</f>
        <v/>
      </c>
      <c r="E131" s="12" t="str">
        <f>IF(A131="","",(MAX(B$3:B131)-B131)/MAX(B$3:B131))</f>
        <v/>
      </c>
      <c r="F131" s="12" t="str">
        <f>IF(A131="","",MAX(E$4:E131))</f>
        <v/>
      </c>
      <c r="G131" s="13"/>
      <c r="H131" s="14" t="str">
        <f t="shared" si="12"/>
        <v/>
      </c>
      <c r="I131" s="14" t="str">
        <f t="shared" si="13"/>
        <v/>
      </c>
      <c r="J131" s="15" t="str">
        <f t="shared" si="14"/>
        <v/>
      </c>
    </row>
    <row r="132" spans="1:10">
      <c r="A132" s="7" t="str">
        <f>IF(子基金及业绩基准周净值!A173="","",子基金及业绩基准周净值!A173)</f>
        <v/>
      </c>
      <c r="B132" s="1" t="str">
        <f>IF(A132="","",VLOOKUP($A132,子基金及业绩基准周净值!$A:$AV,20))</f>
        <v/>
      </c>
      <c r="C132" s="8" t="str">
        <f t="shared" si="11"/>
        <v/>
      </c>
      <c r="D132" s="9" t="str">
        <f>IF(A132="","",C132-(子基金及业绩基准周净值!AH173/子基金及业绩基准周净值!AH172-1))</f>
        <v/>
      </c>
      <c r="E132" s="12" t="str">
        <f>IF(A132="","",(MAX(B$3:B132)-B132)/MAX(B$3:B132))</f>
        <v/>
      </c>
      <c r="F132" s="12" t="str">
        <f>IF(A132="","",MAX(E$4:E132))</f>
        <v/>
      </c>
      <c r="G132" s="13"/>
      <c r="H132" s="14" t="str">
        <f t="shared" si="12"/>
        <v/>
      </c>
      <c r="I132" s="14" t="str">
        <f t="shared" si="13"/>
        <v/>
      </c>
      <c r="J132" s="15" t="str">
        <f t="shared" si="14"/>
        <v/>
      </c>
    </row>
    <row r="133" spans="1:10">
      <c r="A133" s="7" t="str">
        <f>IF(子基金及业绩基准周净值!A174="","",子基金及业绩基准周净值!A174)</f>
        <v/>
      </c>
      <c r="B133" s="1" t="str">
        <f>IF(A133="","",VLOOKUP($A133,子基金及业绩基准周净值!$A:$AV,20))</f>
        <v/>
      </c>
      <c r="C133" s="8" t="str">
        <f t="shared" ref="C133:C196" si="15">IF(A133="","",(B133-B132)/B132)</f>
        <v/>
      </c>
      <c r="D133" s="9" t="str">
        <f>IF(A133="","",C133-(子基金及业绩基准周净值!AH174/子基金及业绩基准周净值!AH173-1))</f>
        <v/>
      </c>
      <c r="E133" s="12" t="str">
        <f>IF(A133="","",(MAX(B$3:B133)-B133)/MAX(B$3:B133))</f>
        <v/>
      </c>
      <c r="F133" s="12" t="str">
        <f>IF(A133="","",MAX(E$4:E133))</f>
        <v/>
      </c>
      <c r="G133" s="13"/>
      <c r="H133" s="14" t="str">
        <f t="shared" ref="H133:H196" si="16">IF(A133="","",IF(E133&lt;3%,"否","是"))</f>
        <v/>
      </c>
      <c r="I133" s="14" t="str">
        <f t="shared" ref="I133:I196" si="17">IF(A133="","",IF(F133&gt;5%,"是","否"))</f>
        <v/>
      </c>
      <c r="J133" s="15" t="str">
        <f t="shared" ref="J133:J196" si="18">IF(A133="","",IF(G133&gt;=4,"是","否"))</f>
        <v/>
      </c>
    </row>
    <row r="134" spans="1:10">
      <c r="A134" s="7" t="str">
        <f>IF(子基金及业绩基准周净值!A175="","",子基金及业绩基准周净值!A175)</f>
        <v/>
      </c>
      <c r="B134" s="1" t="str">
        <f>IF(A134="","",VLOOKUP($A134,子基金及业绩基准周净值!$A:$AV,20))</f>
        <v/>
      </c>
      <c r="C134" s="8" t="str">
        <f t="shared" si="15"/>
        <v/>
      </c>
      <c r="D134" s="9" t="str">
        <f>IF(A134="","",C134-(子基金及业绩基准周净值!AH175/子基金及业绩基准周净值!AH174-1))</f>
        <v/>
      </c>
      <c r="E134" s="12" t="str">
        <f>IF(A134="","",(MAX(B$3:B134)-B134)/MAX(B$3:B134))</f>
        <v/>
      </c>
      <c r="F134" s="12" t="str">
        <f>IF(A134="","",MAX(E$4:E134))</f>
        <v/>
      </c>
      <c r="G134" s="13"/>
      <c r="H134" s="14" t="str">
        <f t="shared" si="16"/>
        <v/>
      </c>
      <c r="I134" s="14" t="str">
        <f t="shared" si="17"/>
        <v/>
      </c>
      <c r="J134" s="15" t="str">
        <f t="shared" si="18"/>
        <v/>
      </c>
    </row>
    <row r="135" spans="1:10">
      <c r="A135" s="7" t="str">
        <f>IF(子基金及业绩基准周净值!A176="","",子基金及业绩基准周净值!A176)</f>
        <v/>
      </c>
      <c r="B135" s="1" t="str">
        <f>IF(A135="","",VLOOKUP($A135,子基金及业绩基准周净值!$A:$AV,20))</f>
        <v/>
      </c>
      <c r="C135" s="8" t="str">
        <f t="shared" si="15"/>
        <v/>
      </c>
      <c r="D135" s="9" t="str">
        <f>IF(A135="","",C135-(子基金及业绩基准周净值!AH176/子基金及业绩基准周净值!AH175-1))</f>
        <v/>
      </c>
      <c r="E135" s="12" t="str">
        <f>IF(A135="","",(MAX(B$3:B135)-B135)/MAX(B$3:B135))</f>
        <v/>
      </c>
      <c r="F135" s="12" t="str">
        <f>IF(A135="","",MAX(E$4:E135))</f>
        <v/>
      </c>
      <c r="G135" s="13"/>
      <c r="H135" s="14" t="str">
        <f t="shared" si="16"/>
        <v/>
      </c>
      <c r="I135" s="14" t="str">
        <f t="shared" si="17"/>
        <v/>
      </c>
      <c r="J135" s="15" t="str">
        <f t="shared" si="18"/>
        <v/>
      </c>
    </row>
    <row r="136" spans="1:10">
      <c r="A136" s="7" t="str">
        <f>IF(子基金及业绩基准周净值!A177="","",子基金及业绩基准周净值!A177)</f>
        <v/>
      </c>
      <c r="B136" s="1" t="str">
        <f>IF(A136="","",VLOOKUP($A136,子基金及业绩基准周净值!$A:$AV,20))</f>
        <v/>
      </c>
      <c r="C136" s="8" t="str">
        <f t="shared" si="15"/>
        <v/>
      </c>
      <c r="D136" s="9" t="str">
        <f>IF(A136="","",C136-(子基金及业绩基准周净值!AH177/子基金及业绩基准周净值!AH176-1))</f>
        <v/>
      </c>
      <c r="E136" s="12" t="str">
        <f>IF(A136="","",(MAX(B$3:B136)-B136)/MAX(B$3:B136))</f>
        <v/>
      </c>
      <c r="F136" s="12" t="str">
        <f>IF(A136="","",MAX(E$4:E136))</f>
        <v/>
      </c>
      <c r="G136" s="13"/>
      <c r="H136" s="14" t="str">
        <f t="shared" si="16"/>
        <v/>
      </c>
      <c r="I136" s="14" t="str">
        <f t="shared" si="17"/>
        <v/>
      </c>
      <c r="J136" s="15" t="str">
        <f t="shared" si="18"/>
        <v/>
      </c>
    </row>
    <row r="137" spans="1:10">
      <c r="A137" s="7" t="str">
        <f>IF(子基金及业绩基准周净值!A178="","",子基金及业绩基准周净值!A178)</f>
        <v/>
      </c>
      <c r="B137" s="1" t="str">
        <f>IF(A137="","",VLOOKUP($A137,子基金及业绩基准周净值!$A:$AV,20))</f>
        <v/>
      </c>
      <c r="C137" s="8" t="str">
        <f t="shared" si="15"/>
        <v/>
      </c>
      <c r="D137" s="9" t="str">
        <f>IF(A137="","",C137-(子基金及业绩基准周净值!AH178/子基金及业绩基准周净值!AH177-1))</f>
        <v/>
      </c>
      <c r="E137" s="12" t="str">
        <f>IF(A137="","",(MAX(B$3:B137)-B137)/MAX(B$3:B137))</f>
        <v/>
      </c>
      <c r="F137" s="12" t="str">
        <f>IF(A137="","",MAX(E$4:E137))</f>
        <v/>
      </c>
      <c r="G137" s="13"/>
      <c r="H137" s="14" t="str">
        <f t="shared" si="16"/>
        <v/>
      </c>
      <c r="I137" s="14" t="str">
        <f t="shared" si="17"/>
        <v/>
      </c>
      <c r="J137" s="15" t="str">
        <f t="shared" si="18"/>
        <v/>
      </c>
    </row>
    <row r="138" spans="1:10">
      <c r="A138" s="7" t="str">
        <f>IF(子基金及业绩基准周净值!A179="","",子基金及业绩基准周净值!A179)</f>
        <v/>
      </c>
      <c r="B138" s="1" t="str">
        <f>IF(A138="","",VLOOKUP($A138,子基金及业绩基准周净值!$A:$AV,20))</f>
        <v/>
      </c>
      <c r="C138" s="8" t="str">
        <f t="shared" si="15"/>
        <v/>
      </c>
      <c r="D138" s="9" t="str">
        <f>IF(A138="","",C138-(子基金及业绩基准周净值!AH179/子基金及业绩基准周净值!AH178-1))</f>
        <v/>
      </c>
      <c r="E138" s="12" t="str">
        <f>IF(A138="","",(MAX(B$3:B138)-B138)/MAX(B$3:B138))</f>
        <v/>
      </c>
      <c r="F138" s="12" t="str">
        <f>IF(A138="","",MAX(E$4:E138))</f>
        <v/>
      </c>
      <c r="G138" s="13"/>
      <c r="H138" s="14" t="str">
        <f t="shared" si="16"/>
        <v/>
      </c>
      <c r="I138" s="14" t="str">
        <f t="shared" si="17"/>
        <v/>
      </c>
      <c r="J138" s="15" t="str">
        <f t="shared" si="18"/>
        <v/>
      </c>
    </row>
    <row r="139" spans="1:10">
      <c r="A139" s="7" t="str">
        <f>IF(子基金及业绩基准周净值!A180="","",子基金及业绩基准周净值!A180)</f>
        <v/>
      </c>
      <c r="B139" s="1" t="str">
        <f>IF(A139="","",VLOOKUP($A139,子基金及业绩基准周净值!$A:$AV,20))</f>
        <v/>
      </c>
      <c r="C139" s="8" t="str">
        <f t="shared" si="15"/>
        <v/>
      </c>
      <c r="D139" s="9" t="str">
        <f>IF(A139="","",C139-(子基金及业绩基准周净值!AH180/子基金及业绩基准周净值!AH179-1))</f>
        <v/>
      </c>
      <c r="E139" s="12" t="str">
        <f>IF(A139="","",(MAX(B$3:B139)-B139)/MAX(B$3:B139))</f>
        <v/>
      </c>
      <c r="F139" s="12" t="str">
        <f>IF(A139="","",MAX(E$4:E139))</f>
        <v/>
      </c>
      <c r="G139" s="13"/>
      <c r="H139" s="14" t="str">
        <f t="shared" si="16"/>
        <v/>
      </c>
      <c r="I139" s="14" t="str">
        <f t="shared" si="17"/>
        <v/>
      </c>
      <c r="J139" s="15" t="str">
        <f t="shared" si="18"/>
        <v/>
      </c>
    </row>
    <row r="140" spans="1:10">
      <c r="A140" s="7" t="str">
        <f>IF(子基金及业绩基准周净值!A181="","",子基金及业绩基准周净值!A181)</f>
        <v/>
      </c>
      <c r="B140" s="1" t="str">
        <f>IF(A140="","",VLOOKUP($A140,子基金及业绩基准周净值!$A:$AV,20))</f>
        <v/>
      </c>
      <c r="C140" s="8" t="str">
        <f t="shared" si="15"/>
        <v/>
      </c>
      <c r="D140" s="9" t="str">
        <f>IF(A140="","",C140-(子基金及业绩基准周净值!AH181/子基金及业绩基准周净值!AH180-1))</f>
        <v/>
      </c>
      <c r="E140" s="12" t="str">
        <f>IF(A140="","",(MAX(B$3:B140)-B140)/MAX(B$3:B140))</f>
        <v/>
      </c>
      <c r="F140" s="12" t="str">
        <f>IF(A140="","",MAX(E$4:E140))</f>
        <v/>
      </c>
      <c r="G140" s="13"/>
      <c r="H140" s="14" t="str">
        <f t="shared" si="16"/>
        <v/>
      </c>
      <c r="I140" s="14" t="str">
        <f t="shared" si="17"/>
        <v/>
      </c>
      <c r="J140" s="15" t="str">
        <f t="shared" si="18"/>
        <v/>
      </c>
    </row>
    <row r="141" spans="1:10">
      <c r="A141" s="7" t="str">
        <f>IF(子基金及业绩基准周净值!A182="","",子基金及业绩基准周净值!A182)</f>
        <v/>
      </c>
      <c r="B141" s="1" t="str">
        <f>IF(A141="","",VLOOKUP($A141,子基金及业绩基准周净值!$A:$AV,20))</f>
        <v/>
      </c>
      <c r="C141" s="8" t="str">
        <f t="shared" si="15"/>
        <v/>
      </c>
      <c r="D141" s="9" t="str">
        <f>IF(A141="","",C141-(子基金及业绩基准周净值!AH182/子基金及业绩基准周净值!AH181-1))</f>
        <v/>
      </c>
      <c r="E141" s="12" t="str">
        <f>IF(A141="","",(MAX(B$3:B141)-B141)/MAX(B$3:B141))</f>
        <v/>
      </c>
      <c r="F141" s="12" t="str">
        <f>IF(A141="","",MAX(E$4:E141))</f>
        <v/>
      </c>
      <c r="G141" s="13"/>
      <c r="H141" s="14" t="str">
        <f t="shared" si="16"/>
        <v/>
      </c>
      <c r="I141" s="14" t="str">
        <f t="shared" si="17"/>
        <v/>
      </c>
      <c r="J141" s="15" t="str">
        <f t="shared" si="18"/>
        <v/>
      </c>
    </row>
    <row r="142" spans="1:10">
      <c r="A142" s="7" t="str">
        <f>IF(子基金及业绩基准周净值!A183="","",子基金及业绩基准周净值!A183)</f>
        <v/>
      </c>
      <c r="B142" s="1" t="str">
        <f>IF(A142="","",VLOOKUP($A142,子基金及业绩基准周净值!$A:$AV,20))</f>
        <v/>
      </c>
      <c r="C142" s="8" t="str">
        <f t="shared" si="15"/>
        <v/>
      </c>
      <c r="D142" s="9" t="str">
        <f>IF(A142="","",C142-(子基金及业绩基准周净值!AH183/子基金及业绩基准周净值!AH182-1))</f>
        <v/>
      </c>
      <c r="E142" s="12" t="str">
        <f>IF(A142="","",(MAX(B$3:B142)-B142)/MAX(B$3:B142))</f>
        <v/>
      </c>
      <c r="F142" s="12" t="str">
        <f>IF(A142="","",MAX(E$4:E142))</f>
        <v/>
      </c>
      <c r="G142" s="13"/>
      <c r="H142" s="14" t="str">
        <f t="shared" si="16"/>
        <v/>
      </c>
      <c r="I142" s="14" t="str">
        <f t="shared" si="17"/>
        <v/>
      </c>
      <c r="J142" s="15" t="str">
        <f t="shared" si="18"/>
        <v/>
      </c>
    </row>
    <row r="143" spans="1:10">
      <c r="A143" s="7" t="str">
        <f>IF(子基金及业绩基准周净值!A184="","",子基金及业绩基准周净值!A184)</f>
        <v/>
      </c>
      <c r="B143" s="1" t="str">
        <f>IF(A143="","",VLOOKUP($A143,子基金及业绩基准周净值!$A:$AV,20))</f>
        <v/>
      </c>
      <c r="C143" s="8" t="str">
        <f t="shared" si="15"/>
        <v/>
      </c>
      <c r="D143" s="9" t="str">
        <f>IF(A143="","",C143-(子基金及业绩基准周净值!AH184/子基金及业绩基准周净值!AH183-1))</f>
        <v/>
      </c>
      <c r="E143" s="12" t="str">
        <f>IF(A143="","",(MAX(B$3:B143)-B143)/MAX(B$3:B143))</f>
        <v/>
      </c>
      <c r="F143" s="12" t="str">
        <f>IF(A143="","",MAX(E$4:E143))</f>
        <v/>
      </c>
      <c r="G143" s="13"/>
      <c r="H143" s="14" t="str">
        <f t="shared" si="16"/>
        <v/>
      </c>
      <c r="I143" s="14" t="str">
        <f t="shared" si="17"/>
        <v/>
      </c>
      <c r="J143" s="15" t="str">
        <f t="shared" si="18"/>
        <v/>
      </c>
    </row>
    <row r="144" spans="1:10">
      <c r="A144" s="7" t="str">
        <f>IF(子基金及业绩基准周净值!A185="","",子基金及业绩基准周净值!A185)</f>
        <v/>
      </c>
      <c r="B144" s="1" t="str">
        <f>IF(A144="","",VLOOKUP($A144,子基金及业绩基准周净值!$A:$AV,20))</f>
        <v/>
      </c>
      <c r="C144" s="8" t="str">
        <f t="shared" si="15"/>
        <v/>
      </c>
      <c r="D144" s="9" t="str">
        <f>IF(A144="","",C144-(子基金及业绩基准周净值!AH185/子基金及业绩基准周净值!AH184-1))</f>
        <v/>
      </c>
      <c r="E144" s="12" t="str">
        <f>IF(A144="","",(MAX(B$3:B144)-B144)/MAX(B$3:B144))</f>
        <v/>
      </c>
      <c r="F144" s="12" t="str">
        <f>IF(A144="","",MAX(E$4:E144))</f>
        <v/>
      </c>
      <c r="G144" s="13"/>
      <c r="H144" s="14" t="str">
        <f t="shared" si="16"/>
        <v/>
      </c>
      <c r="I144" s="14" t="str">
        <f t="shared" si="17"/>
        <v/>
      </c>
      <c r="J144" s="15" t="str">
        <f t="shared" si="18"/>
        <v/>
      </c>
    </row>
    <row r="145" spans="1:10">
      <c r="A145" s="7" t="str">
        <f>IF(子基金及业绩基准周净值!A186="","",子基金及业绩基准周净值!A186)</f>
        <v/>
      </c>
      <c r="B145" s="1" t="str">
        <f>IF(A145="","",VLOOKUP($A145,子基金及业绩基准周净值!$A:$AV,20))</f>
        <v/>
      </c>
      <c r="C145" s="8" t="str">
        <f t="shared" si="15"/>
        <v/>
      </c>
      <c r="D145" s="9" t="str">
        <f>IF(A145="","",C145-(子基金及业绩基准周净值!AH186/子基金及业绩基准周净值!AH185-1))</f>
        <v/>
      </c>
      <c r="E145" s="12" t="str">
        <f>IF(A145="","",(MAX(B$3:B145)-B145)/MAX(B$3:B145))</f>
        <v/>
      </c>
      <c r="F145" s="12" t="str">
        <f>IF(A145="","",MAX(E$4:E145))</f>
        <v/>
      </c>
      <c r="G145" s="13"/>
      <c r="H145" s="14" t="str">
        <f t="shared" si="16"/>
        <v/>
      </c>
      <c r="I145" s="14" t="str">
        <f t="shared" si="17"/>
        <v/>
      </c>
      <c r="J145" s="15" t="str">
        <f t="shared" si="18"/>
        <v/>
      </c>
    </row>
    <row r="146" spans="1:10">
      <c r="A146" s="7" t="str">
        <f>IF(子基金及业绩基准周净值!A187="","",子基金及业绩基准周净值!A187)</f>
        <v/>
      </c>
      <c r="B146" s="1" t="str">
        <f>IF(A146="","",VLOOKUP($A146,子基金及业绩基准周净值!$A:$AV,20))</f>
        <v/>
      </c>
      <c r="C146" s="8" t="str">
        <f t="shared" si="15"/>
        <v/>
      </c>
      <c r="D146" s="9" t="str">
        <f>IF(A146="","",C146-(子基金及业绩基准周净值!AH187/子基金及业绩基准周净值!AH186-1))</f>
        <v/>
      </c>
      <c r="E146" s="12" t="str">
        <f>IF(A146="","",(MAX(B$3:B146)-B146)/MAX(B$3:B146))</f>
        <v/>
      </c>
      <c r="F146" s="12" t="str">
        <f>IF(A146="","",MAX(E$4:E146))</f>
        <v/>
      </c>
      <c r="G146" s="13"/>
      <c r="H146" s="14" t="str">
        <f t="shared" si="16"/>
        <v/>
      </c>
      <c r="I146" s="14" t="str">
        <f t="shared" si="17"/>
        <v/>
      </c>
      <c r="J146" s="15" t="str">
        <f t="shared" si="18"/>
        <v/>
      </c>
    </row>
    <row r="147" spans="1:10">
      <c r="A147" s="7" t="str">
        <f>IF(子基金及业绩基准周净值!A188="","",子基金及业绩基准周净值!A188)</f>
        <v/>
      </c>
      <c r="B147" s="1" t="str">
        <f>IF(A147="","",VLOOKUP($A147,子基金及业绩基准周净值!$A:$AV,20))</f>
        <v/>
      </c>
      <c r="C147" s="8" t="str">
        <f t="shared" si="15"/>
        <v/>
      </c>
      <c r="D147" s="9" t="str">
        <f>IF(A147="","",C147-(子基金及业绩基准周净值!AH188/子基金及业绩基准周净值!AH187-1))</f>
        <v/>
      </c>
      <c r="E147" s="12" t="str">
        <f>IF(A147="","",(MAX(B$3:B147)-B147)/MAX(B$3:B147))</f>
        <v/>
      </c>
      <c r="F147" s="12" t="str">
        <f>IF(A147="","",MAX(E$4:E147))</f>
        <v/>
      </c>
      <c r="G147" s="13"/>
      <c r="H147" s="14" t="str">
        <f t="shared" si="16"/>
        <v/>
      </c>
      <c r="I147" s="14" t="str">
        <f t="shared" si="17"/>
        <v/>
      </c>
      <c r="J147" s="15" t="str">
        <f t="shared" si="18"/>
        <v/>
      </c>
    </row>
    <row r="148" spans="1:10">
      <c r="A148" s="7" t="str">
        <f>IF(子基金及业绩基准周净值!A189="","",子基金及业绩基准周净值!A189)</f>
        <v/>
      </c>
      <c r="B148" s="1" t="str">
        <f>IF(A148="","",VLOOKUP($A148,子基金及业绩基准周净值!$A:$AV,20))</f>
        <v/>
      </c>
      <c r="C148" s="8" t="str">
        <f t="shared" si="15"/>
        <v/>
      </c>
      <c r="D148" s="9" t="str">
        <f>IF(A148="","",C148-(子基金及业绩基准周净值!AH189/子基金及业绩基准周净值!AH188-1))</f>
        <v/>
      </c>
      <c r="E148" s="12" t="str">
        <f>IF(A148="","",(MAX(B$3:B148)-B148)/MAX(B$3:B148))</f>
        <v/>
      </c>
      <c r="F148" s="12" t="str">
        <f>IF(A148="","",MAX(E$4:E148))</f>
        <v/>
      </c>
      <c r="H148" s="14" t="str">
        <f t="shared" si="16"/>
        <v/>
      </c>
      <c r="I148" s="14" t="str">
        <f t="shared" si="17"/>
        <v/>
      </c>
      <c r="J148" s="15" t="str">
        <f t="shared" si="18"/>
        <v/>
      </c>
    </row>
    <row r="149" spans="1:10">
      <c r="A149" s="7" t="str">
        <f>IF(子基金及业绩基准周净值!A190="","",子基金及业绩基准周净值!A190)</f>
        <v/>
      </c>
      <c r="B149" s="1" t="str">
        <f>IF(A149="","",VLOOKUP($A149,子基金及业绩基准周净值!$A:$AV,20))</f>
        <v/>
      </c>
      <c r="C149" s="8" t="str">
        <f t="shared" si="15"/>
        <v/>
      </c>
      <c r="D149" s="9" t="str">
        <f>IF(A149="","",C149-(子基金及业绩基准周净值!AH190/子基金及业绩基准周净值!AH189-1))</f>
        <v/>
      </c>
      <c r="E149" s="12" t="str">
        <f>IF(A149="","",(MAX(B$3:B149)-B149)/MAX(B$3:B149))</f>
        <v/>
      </c>
      <c r="F149" s="12" t="str">
        <f>IF(A149="","",MAX(E$4:E149))</f>
        <v/>
      </c>
      <c r="H149" s="14" t="str">
        <f t="shared" si="16"/>
        <v/>
      </c>
      <c r="I149" s="14" t="str">
        <f t="shared" si="17"/>
        <v/>
      </c>
      <c r="J149" s="15" t="str">
        <f t="shared" si="18"/>
        <v/>
      </c>
    </row>
    <row r="150" spans="1:10">
      <c r="A150" s="7" t="str">
        <f>IF(子基金及业绩基准周净值!A191="","",子基金及业绩基准周净值!A191)</f>
        <v/>
      </c>
      <c r="B150" s="1" t="str">
        <f>IF(A150="","",VLOOKUP($A150,子基金及业绩基准周净值!$A:$AV,20))</f>
        <v/>
      </c>
      <c r="C150" s="8" t="str">
        <f t="shared" si="15"/>
        <v/>
      </c>
      <c r="D150" s="9" t="str">
        <f>IF(A150="","",C150-(子基金及业绩基准周净值!AH191/子基金及业绩基准周净值!AH190-1))</f>
        <v/>
      </c>
      <c r="E150" s="12" t="str">
        <f>IF(A150="","",(MAX(B$3:B150)-B150)/MAX(B$3:B150))</f>
        <v/>
      </c>
      <c r="F150" s="12" t="str">
        <f>IF(A150="","",MAX(E$4:E150))</f>
        <v/>
      </c>
      <c r="H150" s="14" t="str">
        <f t="shared" si="16"/>
        <v/>
      </c>
      <c r="I150" s="14" t="str">
        <f t="shared" si="17"/>
        <v/>
      </c>
      <c r="J150" s="15" t="str">
        <f t="shared" si="18"/>
        <v/>
      </c>
    </row>
    <row r="151" spans="1:10">
      <c r="A151" s="7" t="str">
        <f>IF(子基金及业绩基准周净值!A192="","",子基金及业绩基准周净值!A192)</f>
        <v/>
      </c>
      <c r="B151" s="1" t="str">
        <f>IF(A151="","",VLOOKUP($A151,子基金及业绩基准周净值!$A:$AV,20))</f>
        <v/>
      </c>
      <c r="C151" s="8" t="str">
        <f t="shared" si="15"/>
        <v/>
      </c>
      <c r="D151" s="9" t="str">
        <f>IF(A151="","",C151-(子基金及业绩基准周净值!AH192/子基金及业绩基准周净值!AH191-1))</f>
        <v/>
      </c>
      <c r="E151" s="12" t="str">
        <f>IF(A151="","",(MAX(B$3:B151)-B151)/MAX(B$3:B151))</f>
        <v/>
      </c>
      <c r="F151" s="12" t="str">
        <f>IF(A151="","",MAX(E$4:E151))</f>
        <v/>
      </c>
      <c r="H151" s="14" t="str">
        <f t="shared" si="16"/>
        <v/>
      </c>
      <c r="I151" s="14" t="str">
        <f t="shared" si="17"/>
        <v/>
      </c>
      <c r="J151" s="15" t="str">
        <f t="shared" si="18"/>
        <v/>
      </c>
    </row>
    <row r="152" spans="1:10">
      <c r="A152" s="7" t="str">
        <f>IF(子基金及业绩基准周净值!A193="","",子基金及业绩基准周净值!A193)</f>
        <v/>
      </c>
      <c r="B152" s="1" t="str">
        <f>IF(A152="","",VLOOKUP($A152,子基金及业绩基准周净值!$A:$AV,20))</f>
        <v/>
      </c>
      <c r="C152" s="8" t="str">
        <f t="shared" si="15"/>
        <v/>
      </c>
      <c r="D152" s="9" t="str">
        <f>IF(A152="","",C152-(子基金及业绩基准周净值!AH193/子基金及业绩基准周净值!AH192-1))</f>
        <v/>
      </c>
      <c r="E152" s="12" t="str">
        <f>IF(A152="","",(MAX(B$3:B152)-B152)/MAX(B$3:B152))</f>
        <v/>
      </c>
      <c r="F152" s="12" t="str">
        <f>IF(A152="","",MAX(E$4:E152))</f>
        <v/>
      </c>
      <c r="H152" s="14" t="str">
        <f t="shared" si="16"/>
        <v/>
      </c>
      <c r="I152" s="14" t="str">
        <f t="shared" si="17"/>
        <v/>
      </c>
      <c r="J152" s="15" t="str">
        <f t="shared" si="18"/>
        <v/>
      </c>
    </row>
    <row r="153" spans="1:10">
      <c r="A153" s="7" t="str">
        <f>IF(子基金及业绩基准周净值!A194="","",子基金及业绩基准周净值!A194)</f>
        <v/>
      </c>
      <c r="B153" s="1" t="str">
        <f>IF(A153="","",VLOOKUP($A153,子基金及业绩基准周净值!$A:$AV,20))</f>
        <v/>
      </c>
      <c r="C153" s="8" t="str">
        <f t="shared" si="15"/>
        <v/>
      </c>
      <c r="D153" s="9" t="str">
        <f>IF(A153="","",C153-(子基金及业绩基准周净值!AH194/子基金及业绩基准周净值!AH193-1))</f>
        <v/>
      </c>
      <c r="E153" s="12" t="str">
        <f>IF(A153="","",(MAX(B$3:B153)-B153)/MAX(B$3:B153))</f>
        <v/>
      </c>
      <c r="F153" s="12" t="str">
        <f>IF(A153="","",MAX(E$4:E153))</f>
        <v/>
      </c>
      <c r="H153" s="14" t="str">
        <f t="shared" si="16"/>
        <v/>
      </c>
      <c r="I153" s="14" t="str">
        <f t="shared" si="17"/>
        <v/>
      </c>
      <c r="J153" s="15" t="str">
        <f t="shared" si="18"/>
        <v/>
      </c>
    </row>
    <row r="154" spans="1:10">
      <c r="A154" s="7" t="str">
        <f>IF(子基金及业绩基准周净值!A195="","",子基金及业绩基准周净值!A195)</f>
        <v/>
      </c>
      <c r="B154" s="1" t="str">
        <f>IF(A154="","",VLOOKUP($A154,子基金及业绩基准周净值!$A:$AV,20))</f>
        <v/>
      </c>
      <c r="C154" s="8" t="str">
        <f t="shared" si="15"/>
        <v/>
      </c>
      <c r="D154" s="9" t="str">
        <f>IF(A154="","",C154-(子基金及业绩基准周净值!AH195/子基金及业绩基准周净值!AH194-1))</f>
        <v/>
      </c>
      <c r="E154" s="12" t="str">
        <f>IF(A154="","",(MAX(B$3:B154)-B154)/MAX(B$3:B154))</f>
        <v/>
      </c>
      <c r="F154" s="12" t="str">
        <f>IF(A154="","",MAX(E$4:E154))</f>
        <v/>
      </c>
      <c r="H154" s="14" t="str">
        <f t="shared" si="16"/>
        <v/>
      </c>
      <c r="I154" s="14" t="str">
        <f t="shared" si="17"/>
        <v/>
      </c>
      <c r="J154" s="15" t="str">
        <f t="shared" si="18"/>
        <v/>
      </c>
    </row>
    <row r="155" spans="1:10">
      <c r="A155" s="7" t="str">
        <f>IF(子基金及业绩基准周净值!A196="","",子基金及业绩基准周净值!A196)</f>
        <v/>
      </c>
      <c r="B155" s="1" t="str">
        <f>IF(A155="","",VLOOKUP($A155,子基金及业绩基准周净值!$A:$AV,20))</f>
        <v/>
      </c>
      <c r="C155" s="8" t="str">
        <f t="shared" si="15"/>
        <v/>
      </c>
      <c r="D155" s="9" t="str">
        <f>IF(A155="","",C155-(子基金及业绩基准周净值!AH196/子基金及业绩基准周净值!AH195-1))</f>
        <v/>
      </c>
      <c r="E155" s="12" t="str">
        <f>IF(A155="","",(MAX(B$3:B155)-B155)/MAX(B$3:B155))</f>
        <v/>
      </c>
      <c r="F155" s="12" t="str">
        <f>IF(A155="","",MAX(E$4:E155))</f>
        <v/>
      </c>
      <c r="H155" s="14" t="str">
        <f t="shared" si="16"/>
        <v/>
      </c>
      <c r="I155" s="14" t="str">
        <f t="shared" si="17"/>
        <v/>
      </c>
      <c r="J155" s="15" t="str">
        <f t="shared" si="18"/>
        <v/>
      </c>
    </row>
    <row r="156" spans="1:10">
      <c r="A156" s="7" t="str">
        <f>IF(子基金及业绩基准周净值!A197="","",子基金及业绩基准周净值!A197)</f>
        <v/>
      </c>
      <c r="B156" s="1" t="str">
        <f>IF(A156="","",VLOOKUP($A156,子基金及业绩基准周净值!$A:$AV,20))</f>
        <v/>
      </c>
      <c r="C156" s="8" t="str">
        <f t="shared" si="15"/>
        <v/>
      </c>
      <c r="D156" s="9" t="str">
        <f>IF(A156="","",C156-(子基金及业绩基准周净值!AH197/子基金及业绩基准周净值!AH196-1))</f>
        <v/>
      </c>
      <c r="E156" s="12" t="str">
        <f>IF(A156="","",(MAX(B$3:B156)-B156)/MAX(B$3:B156))</f>
        <v/>
      </c>
      <c r="F156" s="12" t="str">
        <f>IF(A156="","",MAX(E$4:E156))</f>
        <v/>
      </c>
      <c r="H156" s="14" t="str">
        <f t="shared" si="16"/>
        <v/>
      </c>
      <c r="I156" s="14" t="str">
        <f t="shared" si="17"/>
        <v/>
      </c>
      <c r="J156" s="15" t="str">
        <f t="shared" si="18"/>
        <v/>
      </c>
    </row>
    <row r="157" spans="1:10">
      <c r="A157" s="7" t="str">
        <f>IF(子基金及业绩基准周净值!A198="","",子基金及业绩基准周净值!A198)</f>
        <v/>
      </c>
      <c r="B157" s="1" t="str">
        <f>IF(A157="","",VLOOKUP($A157,子基金及业绩基准周净值!$A:$AV,20))</f>
        <v/>
      </c>
      <c r="C157" s="8" t="str">
        <f t="shared" si="15"/>
        <v/>
      </c>
      <c r="D157" s="9" t="str">
        <f>IF(A157="","",C157-(子基金及业绩基准周净值!AH198/子基金及业绩基准周净值!AH197-1))</f>
        <v/>
      </c>
      <c r="E157" s="12" t="str">
        <f>IF(A157="","",(MAX(B$3:B157)-B157)/MAX(B$3:B157))</f>
        <v/>
      </c>
      <c r="F157" s="12" t="str">
        <f>IF(A157="","",MAX(E$4:E157))</f>
        <v/>
      </c>
      <c r="H157" s="14" t="str">
        <f t="shared" si="16"/>
        <v/>
      </c>
      <c r="I157" s="14" t="str">
        <f t="shared" si="17"/>
        <v/>
      </c>
      <c r="J157" s="15" t="str">
        <f t="shared" si="18"/>
        <v/>
      </c>
    </row>
    <row r="158" spans="1:10">
      <c r="A158" s="7" t="str">
        <f>IF(子基金及业绩基准周净值!A199="","",子基金及业绩基准周净值!A199)</f>
        <v/>
      </c>
      <c r="B158" s="1" t="str">
        <f>IF(A158="","",VLOOKUP($A158,子基金及业绩基准周净值!$A:$AV,20))</f>
        <v/>
      </c>
      <c r="C158" s="8" t="str">
        <f t="shared" si="15"/>
        <v/>
      </c>
      <c r="D158" s="9" t="str">
        <f>IF(A158="","",C158-(子基金及业绩基准周净值!AH199/子基金及业绩基准周净值!AH198-1))</f>
        <v/>
      </c>
      <c r="E158" s="12" t="str">
        <f>IF(A158="","",(MAX(B$3:B158)-B158)/MAX(B$3:B158))</f>
        <v/>
      </c>
      <c r="F158" s="12" t="str">
        <f>IF(A158="","",MAX(E$4:E158))</f>
        <v/>
      </c>
      <c r="H158" s="14" t="str">
        <f t="shared" si="16"/>
        <v/>
      </c>
      <c r="I158" s="14" t="str">
        <f t="shared" si="17"/>
        <v/>
      </c>
      <c r="J158" s="15" t="str">
        <f t="shared" si="18"/>
        <v/>
      </c>
    </row>
    <row r="159" spans="1:10">
      <c r="A159" s="7" t="str">
        <f>IF(子基金及业绩基准周净值!A200="","",子基金及业绩基准周净值!A200)</f>
        <v/>
      </c>
      <c r="B159" s="1" t="str">
        <f>IF(A159="","",VLOOKUP($A159,子基金及业绩基准周净值!$A:$AV,20))</f>
        <v/>
      </c>
      <c r="C159" s="8" t="str">
        <f t="shared" si="15"/>
        <v/>
      </c>
      <c r="D159" s="9" t="str">
        <f>IF(A159="","",C159-(子基金及业绩基准周净值!AH200/子基金及业绩基准周净值!AH199-1))</f>
        <v/>
      </c>
      <c r="E159" s="12" t="str">
        <f>IF(A159="","",(MAX(B$3:B159)-B159)/MAX(B$3:B159))</f>
        <v/>
      </c>
      <c r="F159" s="12" t="str">
        <f>IF(A159="","",MAX(E$4:E159))</f>
        <v/>
      </c>
      <c r="H159" s="14" t="str">
        <f t="shared" si="16"/>
        <v/>
      </c>
      <c r="I159" s="14" t="str">
        <f t="shared" si="17"/>
        <v/>
      </c>
      <c r="J159" s="15" t="str">
        <f t="shared" si="18"/>
        <v/>
      </c>
    </row>
    <row r="160" spans="1:10">
      <c r="A160" s="7" t="str">
        <f>IF(子基金及业绩基准周净值!A201="","",子基金及业绩基准周净值!A201)</f>
        <v/>
      </c>
      <c r="B160" s="1" t="str">
        <f>IF(A160="","",VLOOKUP($A160,子基金及业绩基准周净值!$A:$AV,20))</f>
        <v/>
      </c>
      <c r="C160" s="8" t="str">
        <f t="shared" si="15"/>
        <v/>
      </c>
      <c r="D160" s="9" t="str">
        <f>IF(A160="","",C160-(子基金及业绩基准周净值!AH201/子基金及业绩基准周净值!AH200-1))</f>
        <v/>
      </c>
      <c r="E160" s="12" t="str">
        <f>IF(A160="","",(MAX(B$3:B160)-B160)/MAX(B$3:B160))</f>
        <v/>
      </c>
      <c r="F160" s="12" t="str">
        <f>IF(A160="","",MAX(E$4:E160))</f>
        <v/>
      </c>
      <c r="H160" s="14" t="str">
        <f t="shared" si="16"/>
        <v/>
      </c>
      <c r="I160" s="14" t="str">
        <f t="shared" si="17"/>
        <v/>
      </c>
      <c r="J160" s="15" t="str">
        <f t="shared" si="18"/>
        <v/>
      </c>
    </row>
    <row r="161" spans="1:10">
      <c r="A161" s="7" t="str">
        <f>IF(子基金及业绩基准周净值!A202="","",子基金及业绩基准周净值!A202)</f>
        <v/>
      </c>
      <c r="B161" s="1" t="str">
        <f>IF(A161="","",VLOOKUP($A161,子基金及业绩基准周净值!$A:$AV,20))</f>
        <v/>
      </c>
      <c r="C161" s="8" t="str">
        <f t="shared" si="15"/>
        <v/>
      </c>
      <c r="D161" s="9" t="str">
        <f>IF(A161="","",C161-(子基金及业绩基准周净值!AH202/子基金及业绩基准周净值!AH201-1))</f>
        <v/>
      </c>
      <c r="E161" s="12" t="str">
        <f>IF(A161="","",(MAX(B$3:B161)-B161)/MAX(B$3:B161))</f>
        <v/>
      </c>
      <c r="F161" s="12" t="str">
        <f>IF(A161="","",MAX(E$4:E161))</f>
        <v/>
      </c>
      <c r="H161" s="14" t="str">
        <f t="shared" si="16"/>
        <v/>
      </c>
      <c r="I161" s="14" t="str">
        <f t="shared" si="17"/>
        <v/>
      </c>
      <c r="J161" s="15" t="str">
        <f t="shared" si="18"/>
        <v/>
      </c>
    </row>
    <row r="162" spans="1:10">
      <c r="A162" s="7" t="str">
        <f>IF(子基金及业绩基准周净值!A203="","",子基金及业绩基准周净值!A203)</f>
        <v/>
      </c>
      <c r="B162" s="1" t="str">
        <f>IF(A162="","",VLOOKUP($A162,子基金及业绩基准周净值!$A:$AV,20))</f>
        <v/>
      </c>
      <c r="C162" s="8" t="str">
        <f t="shared" si="15"/>
        <v/>
      </c>
      <c r="D162" s="9" t="str">
        <f>IF(A162="","",C162-(子基金及业绩基准周净值!AH203/子基金及业绩基准周净值!AH202-1))</f>
        <v/>
      </c>
      <c r="E162" s="12" t="str">
        <f>IF(A162="","",(MAX(B$3:B162)-B162)/MAX(B$3:B162))</f>
        <v/>
      </c>
      <c r="F162" s="12" t="str">
        <f>IF(A162="","",MAX(E$4:E162))</f>
        <v/>
      </c>
      <c r="H162" s="14" t="str">
        <f t="shared" si="16"/>
        <v/>
      </c>
      <c r="I162" s="14" t="str">
        <f t="shared" si="17"/>
        <v/>
      </c>
      <c r="J162" s="15" t="str">
        <f t="shared" si="18"/>
        <v/>
      </c>
    </row>
    <row r="163" spans="1:10">
      <c r="A163" s="7" t="str">
        <f>IF(子基金及业绩基准周净值!A204="","",子基金及业绩基准周净值!A204)</f>
        <v/>
      </c>
      <c r="B163" s="1" t="str">
        <f>IF(A163="","",VLOOKUP($A163,子基金及业绩基准周净值!$A:$AV,20))</f>
        <v/>
      </c>
      <c r="C163" s="8" t="str">
        <f t="shared" si="15"/>
        <v/>
      </c>
      <c r="D163" s="9" t="str">
        <f>IF(A163="","",C163-(子基金及业绩基准周净值!AH204/子基金及业绩基准周净值!AH203-1))</f>
        <v/>
      </c>
      <c r="E163" s="12" t="str">
        <f>IF(A163="","",(MAX(B$3:B163)-B163)/MAX(B$3:B163))</f>
        <v/>
      </c>
      <c r="F163" s="12" t="str">
        <f>IF(A163="","",MAX(E$4:E163))</f>
        <v/>
      </c>
      <c r="H163" s="14" t="str">
        <f t="shared" si="16"/>
        <v/>
      </c>
      <c r="I163" s="14" t="str">
        <f t="shared" si="17"/>
        <v/>
      </c>
      <c r="J163" s="15" t="str">
        <f t="shared" si="18"/>
        <v/>
      </c>
    </row>
    <row r="164" spans="1:10">
      <c r="A164" s="7" t="str">
        <f>IF(子基金及业绩基准周净值!A205="","",子基金及业绩基准周净值!A205)</f>
        <v/>
      </c>
      <c r="B164" s="1" t="str">
        <f>IF(A164="","",VLOOKUP($A164,子基金及业绩基准周净值!$A:$AV,20))</f>
        <v/>
      </c>
      <c r="C164" s="8" t="str">
        <f t="shared" si="15"/>
        <v/>
      </c>
      <c r="D164" s="9" t="str">
        <f>IF(A164="","",C164-(子基金及业绩基准周净值!AH205/子基金及业绩基准周净值!AH204-1))</f>
        <v/>
      </c>
      <c r="E164" s="12" t="str">
        <f>IF(A164="","",(MAX(B$3:B164)-B164)/MAX(B$3:B164))</f>
        <v/>
      </c>
      <c r="F164" s="12" t="str">
        <f>IF(A164="","",MAX(E$4:E164))</f>
        <v/>
      </c>
      <c r="H164" s="14" t="str">
        <f t="shared" si="16"/>
        <v/>
      </c>
      <c r="I164" s="14" t="str">
        <f t="shared" si="17"/>
        <v/>
      </c>
      <c r="J164" s="15" t="str">
        <f t="shared" si="18"/>
        <v/>
      </c>
    </row>
    <row r="165" spans="1:10">
      <c r="A165" s="7" t="str">
        <f>IF(子基金及业绩基准周净值!A206="","",子基金及业绩基准周净值!A206)</f>
        <v/>
      </c>
      <c r="B165" s="1" t="str">
        <f>IF(A165="","",VLOOKUP($A165,子基金及业绩基准周净值!$A:$AV,20))</f>
        <v/>
      </c>
      <c r="C165" s="8" t="str">
        <f t="shared" si="15"/>
        <v/>
      </c>
      <c r="D165" s="9" t="str">
        <f>IF(A165="","",C165-(子基金及业绩基准周净值!AH206/子基金及业绩基准周净值!AH205-1))</f>
        <v/>
      </c>
      <c r="E165" s="12" t="str">
        <f>IF(A165="","",(MAX(B$3:B165)-B165)/MAX(B$3:B165))</f>
        <v/>
      </c>
      <c r="F165" s="12" t="str">
        <f>IF(A165="","",MAX(E$4:E165))</f>
        <v/>
      </c>
      <c r="H165" s="14" t="str">
        <f t="shared" si="16"/>
        <v/>
      </c>
      <c r="I165" s="14" t="str">
        <f t="shared" si="17"/>
        <v/>
      </c>
      <c r="J165" s="15" t="str">
        <f t="shared" si="18"/>
        <v/>
      </c>
    </row>
    <row r="166" spans="1:10">
      <c r="A166" s="7" t="str">
        <f>IF(子基金及业绩基准周净值!A207="","",子基金及业绩基准周净值!A207)</f>
        <v/>
      </c>
      <c r="B166" s="1" t="str">
        <f>IF(A166="","",VLOOKUP($A166,子基金及业绩基准周净值!$A:$AV,20))</f>
        <v/>
      </c>
      <c r="C166" s="8" t="str">
        <f t="shared" si="15"/>
        <v/>
      </c>
      <c r="D166" s="9" t="str">
        <f>IF(A166="","",C166-(子基金及业绩基准周净值!AH207/子基金及业绩基准周净值!AH206-1))</f>
        <v/>
      </c>
      <c r="E166" s="12" t="str">
        <f>IF(A166="","",(MAX(B$3:B166)-B166)/MAX(B$3:B166))</f>
        <v/>
      </c>
      <c r="F166" s="12" t="str">
        <f>IF(A166="","",MAX(E$4:E166))</f>
        <v/>
      </c>
      <c r="H166" s="14" t="str">
        <f t="shared" si="16"/>
        <v/>
      </c>
      <c r="I166" s="14" t="str">
        <f t="shared" si="17"/>
        <v/>
      </c>
      <c r="J166" s="15" t="str">
        <f t="shared" si="18"/>
        <v/>
      </c>
    </row>
    <row r="167" spans="1:10">
      <c r="A167" s="7" t="str">
        <f>IF(子基金及业绩基准周净值!A208="","",子基金及业绩基准周净值!A208)</f>
        <v/>
      </c>
      <c r="B167" s="1" t="str">
        <f>IF(A167="","",VLOOKUP($A167,子基金及业绩基准周净值!$A:$AV,20))</f>
        <v/>
      </c>
      <c r="C167" s="8" t="str">
        <f t="shared" si="15"/>
        <v/>
      </c>
      <c r="D167" s="9" t="str">
        <f>IF(A167="","",C167-(子基金及业绩基准周净值!AH208/子基金及业绩基准周净值!AH207-1))</f>
        <v/>
      </c>
      <c r="E167" s="12" t="str">
        <f>IF(A167="","",(MAX(B$3:B167)-B167)/MAX(B$3:B167))</f>
        <v/>
      </c>
      <c r="F167" s="12" t="str">
        <f>IF(A167="","",MAX(E$4:E167))</f>
        <v/>
      </c>
      <c r="H167" s="14" t="str">
        <f t="shared" si="16"/>
        <v/>
      </c>
      <c r="I167" s="14" t="str">
        <f t="shared" si="17"/>
        <v/>
      </c>
      <c r="J167" s="15" t="str">
        <f t="shared" si="18"/>
        <v/>
      </c>
    </row>
    <row r="168" spans="1:10">
      <c r="A168" s="7" t="str">
        <f>IF(子基金及业绩基准周净值!A209="","",子基金及业绩基准周净值!A209)</f>
        <v/>
      </c>
      <c r="B168" s="1" t="str">
        <f>IF(A168="","",VLOOKUP($A168,子基金及业绩基准周净值!$A:$AV,20))</f>
        <v/>
      </c>
      <c r="C168" s="8" t="str">
        <f t="shared" si="15"/>
        <v/>
      </c>
      <c r="D168" s="9" t="str">
        <f>IF(A168="","",C168-(子基金及业绩基准周净值!AH209/子基金及业绩基准周净值!AH208-1))</f>
        <v/>
      </c>
      <c r="E168" s="12" t="str">
        <f>IF(A168="","",(MAX(B$3:B168)-B168)/MAX(B$3:B168))</f>
        <v/>
      </c>
      <c r="F168" s="12" t="str">
        <f>IF(A168="","",MAX(E$4:E168))</f>
        <v/>
      </c>
      <c r="H168" s="14" t="str">
        <f t="shared" si="16"/>
        <v/>
      </c>
      <c r="I168" s="14" t="str">
        <f t="shared" si="17"/>
        <v/>
      </c>
      <c r="J168" s="15" t="str">
        <f t="shared" si="18"/>
        <v/>
      </c>
    </row>
    <row r="169" spans="1:10">
      <c r="A169" s="7" t="str">
        <f>IF(子基金及业绩基准周净值!A210="","",子基金及业绩基准周净值!A210)</f>
        <v/>
      </c>
      <c r="B169" s="1" t="str">
        <f>IF(A169="","",VLOOKUP($A169,子基金及业绩基准周净值!$A:$AV,20))</f>
        <v/>
      </c>
      <c r="C169" s="8" t="str">
        <f t="shared" si="15"/>
        <v/>
      </c>
      <c r="D169" s="9" t="str">
        <f>IF(A169="","",C169-(子基金及业绩基准周净值!AH210/子基金及业绩基准周净值!AH209-1))</f>
        <v/>
      </c>
      <c r="E169" s="12" t="str">
        <f>IF(A169="","",(MAX(B$3:B169)-B169)/MAX(B$3:B169))</f>
        <v/>
      </c>
      <c r="F169" s="12" t="str">
        <f>IF(A169="","",MAX(E$4:E169))</f>
        <v/>
      </c>
      <c r="H169" s="14" t="str">
        <f t="shared" si="16"/>
        <v/>
      </c>
      <c r="I169" s="14" t="str">
        <f t="shared" si="17"/>
        <v/>
      </c>
      <c r="J169" s="15" t="str">
        <f t="shared" si="18"/>
        <v/>
      </c>
    </row>
    <row r="170" spans="1:10">
      <c r="A170" s="7" t="str">
        <f>IF(子基金及业绩基准周净值!A211="","",子基金及业绩基准周净值!A211)</f>
        <v/>
      </c>
      <c r="B170" s="1" t="str">
        <f>IF(A170="","",VLOOKUP($A170,子基金及业绩基准周净值!$A:$AV,20))</f>
        <v/>
      </c>
      <c r="C170" s="8" t="str">
        <f t="shared" si="15"/>
        <v/>
      </c>
      <c r="D170" s="9" t="str">
        <f>IF(A170="","",C170-(子基金及业绩基准周净值!AH211/子基金及业绩基准周净值!AH210-1))</f>
        <v/>
      </c>
      <c r="E170" s="12" t="str">
        <f>IF(A170="","",(MAX(B$3:B170)-B170)/MAX(B$3:B170))</f>
        <v/>
      </c>
      <c r="F170" s="12" t="str">
        <f>IF(A170="","",MAX(E$4:E170))</f>
        <v/>
      </c>
      <c r="H170" s="14" t="str">
        <f t="shared" si="16"/>
        <v/>
      </c>
      <c r="I170" s="14" t="str">
        <f t="shared" si="17"/>
        <v/>
      </c>
      <c r="J170" s="15" t="str">
        <f t="shared" si="18"/>
        <v/>
      </c>
    </row>
    <row r="171" spans="1:10">
      <c r="A171" s="7" t="str">
        <f>IF(子基金及业绩基准周净值!A212="","",子基金及业绩基准周净值!A212)</f>
        <v/>
      </c>
      <c r="B171" s="1" t="str">
        <f>IF(A171="","",VLOOKUP($A171,子基金及业绩基准周净值!$A:$AV,20))</f>
        <v/>
      </c>
      <c r="C171" s="8" t="str">
        <f t="shared" si="15"/>
        <v/>
      </c>
      <c r="D171" s="9" t="str">
        <f>IF(A171="","",C171-(子基金及业绩基准周净值!AH212/子基金及业绩基准周净值!AH211-1))</f>
        <v/>
      </c>
      <c r="E171" s="12" t="str">
        <f>IF(A171="","",(MAX(B$3:B171)-B171)/MAX(B$3:B171))</f>
        <v/>
      </c>
      <c r="F171" s="12" t="str">
        <f>IF(A171="","",MAX(E$4:E171))</f>
        <v/>
      </c>
      <c r="H171" s="14" t="str">
        <f t="shared" si="16"/>
        <v/>
      </c>
      <c r="I171" s="14" t="str">
        <f t="shared" si="17"/>
        <v/>
      </c>
      <c r="J171" s="15" t="str">
        <f t="shared" si="18"/>
        <v/>
      </c>
    </row>
    <row r="172" spans="1:10">
      <c r="A172" s="7" t="str">
        <f>IF(子基金及业绩基准周净值!A213="","",子基金及业绩基准周净值!A213)</f>
        <v/>
      </c>
      <c r="B172" s="1" t="str">
        <f>IF(A172="","",VLOOKUP($A172,子基金及业绩基准周净值!$A:$AV,20))</f>
        <v/>
      </c>
      <c r="C172" s="8" t="str">
        <f t="shared" si="15"/>
        <v/>
      </c>
      <c r="D172" s="9" t="str">
        <f>IF(A172="","",C172-(子基金及业绩基准周净值!AH213/子基金及业绩基准周净值!AH212-1))</f>
        <v/>
      </c>
      <c r="E172" s="12" t="str">
        <f>IF(A172="","",(MAX(B$3:B172)-B172)/MAX(B$3:B172))</f>
        <v/>
      </c>
      <c r="F172" s="12" t="str">
        <f>IF(A172="","",MAX(E$4:E172))</f>
        <v/>
      </c>
      <c r="H172" s="14" t="str">
        <f t="shared" si="16"/>
        <v/>
      </c>
      <c r="I172" s="14" t="str">
        <f t="shared" si="17"/>
        <v/>
      </c>
      <c r="J172" s="15" t="str">
        <f t="shared" si="18"/>
        <v/>
      </c>
    </row>
    <row r="173" spans="1:10">
      <c r="A173" s="7" t="str">
        <f>IF(子基金及业绩基准周净值!A214="","",子基金及业绩基准周净值!A214)</f>
        <v/>
      </c>
      <c r="B173" s="1" t="str">
        <f>IF(A173="","",VLOOKUP($A173,子基金及业绩基准周净值!$A:$AV,20))</f>
        <v/>
      </c>
      <c r="C173" s="8" t="str">
        <f t="shared" si="15"/>
        <v/>
      </c>
      <c r="D173" s="9" t="str">
        <f>IF(A173="","",C173-(子基金及业绩基准周净值!AH214/子基金及业绩基准周净值!AH213-1))</f>
        <v/>
      </c>
      <c r="E173" s="12" t="str">
        <f>IF(A173="","",(MAX(B$3:B173)-B173)/MAX(B$3:B173))</f>
        <v/>
      </c>
      <c r="F173" s="12" t="str">
        <f>IF(A173="","",MAX(E$4:E173))</f>
        <v/>
      </c>
      <c r="H173" s="14" t="str">
        <f t="shared" si="16"/>
        <v/>
      </c>
      <c r="I173" s="14" t="str">
        <f t="shared" si="17"/>
        <v/>
      </c>
      <c r="J173" s="15" t="str">
        <f t="shared" si="18"/>
        <v/>
      </c>
    </row>
    <row r="174" spans="1:10">
      <c r="A174" s="7" t="str">
        <f>IF(子基金及业绩基准周净值!A215="","",子基金及业绩基准周净值!A215)</f>
        <v/>
      </c>
      <c r="B174" s="1" t="str">
        <f>IF(A174="","",VLOOKUP($A174,子基金及业绩基准周净值!$A:$AV,20))</f>
        <v/>
      </c>
      <c r="C174" s="8" t="str">
        <f t="shared" si="15"/>
        <v/>
      </c>
      <c r="D174" s="9" t="str">
        <f>IF(A174="","",C174-(子基金及业绩基准周净值!AH215/子基金及业绩基准周净值!AH214-1))</f>
        <v/>
      </c>
      <c r="E174" s="12" t="str">
        <f>IF(A174="","",(MAX(B$3:B174)-B174)/MAX(B$3:B174))</f>
        <v/>
      </c>
      <c r="F174" s="12" t="str">
        <f>IF(A174="","",MAX(E$4:E174))</f>
        <v/>
      </c>
      <c r="H174" s="14" t="str">
        <f t="shared" si="16"/>
        <v/>
      </c>
      <c r="I174" s="14" t="str">
        <f t="shared" si="17"/>
        <v/>
      </c>
      <c r="J174" s="15" t="str">
        <f t="shared" si="18"/>
        <v/>
      </c>
    </row>
    <row r="175" spans="1:10">
      <c r="A175" s="7" t="str">
        <f>IF(子基金及业绩基准周净值!A216="","",子基金及业绩基准周净值!A216)</f>
        <v/>
      </c>
      <c r="B175" s="1" t="str">
        <f>IF(A175="","",VLOOKUP($A175,子基金及业绩基准周净值!$A:$AV,20))</f>
        <v/>
      </c>
      <c r="C175" s="8" t="str">
        <f t="shared" si="15"/>
        <v/>
      </c>
      <c r="D175" s="9" t="str">
        <f>IF(A175="","",C175-(子基金及业绩基准周净值!AH216/子基金及业绩基准周净值!AH215-1))</f>
        <v/>
      </c>
      <c r="E175" s="12" t="str">
        <f>IF(A175="","",(MAX(B$3:B175)-B175)/MAX(B$3:B175))</f>
        <v/>
      </c>
      <c r="F175" s="12" t="str">
        <f>IF(A175="","",MAX(E$4:E175))</f>
        <v/>
      </c>
      <c r="H175" s="14" t="str">
        <f t="shared" si="16"/>
        <v/>
      </c>
      <c r="I175" s="14" t="str">
        <f t="shared" si="17"/>
        <v/>
      </c>
      <c r="J175" s="15" t="str">
        <f t="shared" si="18"/>
        <v/>
      </c>
    </row>
    <row r="176" spans="1:10">
      <c r="A176" s="7" t="str">
        <f>IF(子基金及业绩基准周净值!A217="","",子基金及业绩基准周净值!A217)</f>
        <v/>
      </c>
      <c r="B176" s="1" t="str">
        <f>IF(A176="","",VLOOKUP($A176,子基金及业绩基准周净值!$A:$AV,20))</f>
        <v/>
      </c>
      <c r="C176" s="8" t="str">
        <f t="shared" si="15"/>
        <v/>
      </c>
      <c r="D176" s="9" t="str">
        <f>IF(A176="","",C176-(子基金及业绩基准周净值!AH217/子基金及业绩基准周净值!AH216-1))</f>
        <v/>
      </c>
      <c r="E176" s="12" t="str">
        <f>IF(A176="","",(MAX(B$3:B176)-B176)/MAX(B$3:B176))</f>
        <v/>
      </c>
      <c r="F176" s="12" t="str">
        <f>IF(A176="","",MAX(E$4:E176))</f>
        <v/>
      </c>
      <c r="H176" s="14" t="str">
        <f t="shared" si="16"/>
        <v/>
      </c>
      <c r="I176" s="14" t="str">
        <f t="shared" si="17"/>
        <v/>
      </c>
      <c r="J176" s="15" t="str">
        <f t="shared" si="18"/>
        <v/>
      </c>
    </row>
    <row r="177" spans="1:10">
      <c r="A177" s="7" t="str">
        <f>IF(子基金及业绩基准周净值!A218="","",子基金及业绩基准周净值!A218)</f>
        <v/>
      </c>
      <c r="B177" s="1" t="str">
        <f>IF(A177="","",VLOOKUP($A177,子基金及业绩基准周净值!$A:$AV,20))</f>
        <v/>
      </c>
      <c r="C177" s="8" t="str">
        <f t="shared" si="15"/>
        <v/>
      </c>
      <c r="D177" s="9" t="str">
        <f>IF(A177="","",C177-(子基金及业绩基准周净值!AH218/子基金及业绩基准周净值!AH217-1))</f>
        <v/>
      </c>
      <c r="E177" s="12" t="str">
        <f>IF(A177="","",(MAX(B$3:B177)-B177)/MAX(B$3:B177))</f>
        <v/>
      </c>
      <c r="F177" s="12" t="str">
        <f>IF(A177="","",MAX(E$4:E177))</f>
        <v/>
      </c>
      <c r="H177" s="14" t="str">
        <f t="shared" si="16"/>
        <v/>
      </c>
      <c r="I177" s="14" t="str">
        <f t="shared" si="17"/>
        <v/>
      </c>
      <c r="J177" s="15" t="str">
        <f t="shared" si="18"/>
        <v/>
      </c>
    </row>
    <row r="178" spans="1:10">
      <c r="A178" s="7" t="str">
        <f>IF(子基金及业绩基准周净值!A219="","",子基金及业绩基准周净值!A219)</f>
        <v/>
      </c>
      <c r="B178" s="1" t="str">
        <f>IF(A178="","",VLOOKUP($A178,子基金及业绩基准周净值!$A:$AV,20))</f>
        <v/>
      </c>
      <c r="C178" s="8" t="str">
        <f t="shared" si="15"/>
        <v/>
      </c>
      <c r="D178" s="9" t="str">
        <f>IF(A178="","",C178-(子基金及业绩基准周净值!AH219/子基金及业绩基准周净值!AH218-1))</f>
        <v/>
      </c>
      <c r="E178" s="12" t="str">
        <f>IF(A178="","",(MAX(B$3:B178)-B178)/MAX(B$3:B178))</f>
        <v/>
      </c>
      <c r="F178" s="12" t="str">
        <f>IF(A178="","",MAX(E$4:E178))</f>
        <v/>
      </c>
      <c r="H178" s="14" t="str">
        <f t="shared" si="16"/>
        <v/>
      </c>
      <c r="I178" s="14" t="str">
        <f t="shared" si="17"/>
        <v/>
      </c>
      <c r="J178" s="15" t="str">
        <f t="shared" si="18"/>
        <v/>
      </c>
    </row>
    <row r="179" spans="1:10">
      <c r="A179" s="7" t="str">
        <f>IF(子基金及业绩基准周净值!A220="","",子基金及业绩基准周净值!A220)</f>
        <v/>
      </c>
      <c r="B179" s="1" t="str">
        <f>IF(A179="","",VLOOKUP($A179,子基金及业绩基准周净值!$A:$AV,20))</f>
        <v/>
      </c>
      <c r="C179" s="8" t="str">
        <f t="shared" si="15"/>
        <v/>
      </c>
      <c r="D179" s="9" t="str">
        <f>IF(A179="","",C179-(子基金及业绩基准周净值!AH220/子基金及业绩基准周净值!AH219-1))</f>
        <v/>
      </c>
      <c r="E179" s="12" t="str">
        <f>IF(A179="","",(MAX(B$3:B179)-B179)/MAX(B$3:B179))</f>
        <v/>
      </c>
      <c r="F179" s="12" t="str">
        <f>IF(A179="","",MAX(E$4:E179))</f>
        <v/>
      </c>
      <c r="H179" s="14" t="str">
        <f t="shared" si="16"/>
        <v/>
      </c>
      <c r="I179" s="14" t="str">
        <f t="shared" si="17"/>
        <v/>
      </c>
      <c r="J179" s="15" t="str">
        <f t="shared" si="18"/>
        <v/>
      </c>
    </row>
    <row r="180" spans="1:10">
      <c r="A180" s="7" t="str">
        <f>IF(子基金及业绩基准周净值!A221="","",子基金及业绩基准周净值!A221)</f>
        <v/>
      </c>
      <c r="B180" s="1" t="str">
        <f>IF(A180="","",VLOOKUP($A180,子基金及业绩基准周净值!$A:$AV,20))</f>
        <v/>
      </c>
      <c r="C180" s="8" t="str">
        <f t="shared" si="15"/>
        <v/>
      </c>
      <c r="D180" s="9" t="str">
        <f>IF(A180="","",C180-(子基金及业绩基准周净值!AH221/子基金及业绩基准周净值!AH220-1))</f>
        <v/>
      </c>
      <c r="E180" s="12" t="str">
        <f>IF(A180="","",(MAX(B$3:B180)-B180)/MAX(B$3:B180))</f>
        <v/>
      </c>
      <c r="F180" s="12" t="str">
        <f>IF(A180="","",MAX(E$4:E180))</f>
        <v/>
      </c>
      <c r="H180" s="14" t="str">
        <f t="shared" si="16"/>
        <v/>
      </c>
      <c r="I180" s="14" t="str">
        <f t="shared" si="17"/>
        <v/>
      </c>
      <c r="J180" s="15" t="str">
        <f t="shared" si="18"/>
        <v/>
      </c>
    </row>
    <row r="181" spans="1:10">
      <c r="A181" s="7" t="str">
        <f>IF(子基金及业绩基准周净值!A222="","",子基金及业绩基准周净值!A222)</f>
        <v/>
      </c>
      <c r="B181" s="1" t="str">
        <f>IF(A181="","",VLOOKUP($A181,子基金及业绩基准周净值!$A:$AV,20))</f>
        <v/>
      </c>
      <c r="C181" s="8" t="str">
        <f t="shared" si="15"/>
        <v/>
      </c>
      <c r="D181" s="9" t="str">
        <f>IF(A181="","",C181-(子基金及业绩基准周净值!AH222/子基金及业绩基准周净值!AH221-1))</f>
        <v/>
      </c>
      <c r="E181" s="12" t="str">
        <f>IF(A181="","",(MAX(B$3:B181)-B181)/MAX(B$3:B181))</f>
        <v/>
      </c>
      <c r="F181" s="12" t="str">
        <f>IF(A181="","",MAX(E$4:E181))</f>
        <v/>
      </c>
      <c r="H181" s="14" t="str">
        <f t="shared" si="16"/>
        <v/>
      </c>
      <c r="I181" s="14" t="str">
        <f t="shared" si="17"/>
        <v/>
      </c>
      <c r="J181" s="15" t="str">
        <f t="shared" si="18"/>
        <v/>
      </c>
    </row>
    <row r="182" spans="1:10">
      <c r="A182" s="7" t="str">
        <f>IF(子基金及业绩基准周净值!A223="","",子基金及业绩基准周净值!A223)</f>
        <v/>
      </c>
      <c r="B182" s="1" t="str">
        <f>IF(A182="","",VLOOKUP($A182,子基金及业绩基准周净值!$A:$AV,20))</f>
        <v/>
      </c>
      <c r="C182" s="8" t="str">
        <f t="shared" si="15"/>
        <v/>
      </c>
      <c r="D182" s="9" t="str">
        <f>IF(A182="","",C182-(子基金及业绩基准周净值!AH223/子基金及业绩基准周净值!AH222-1))</f>
        <v/>
      </c>
      <c r="E182" s="12" t="str">
        <f>IF(A182="","",(MAX(B$3:B182)-B182)/MAX(B$3:B182))</f>
        <v/>
      </c>
      <c r="F182" s="12" t="str">
        <f>IF(A182="","",MAX(E$4:E182))</f>
        <v/>
      </c>
      <c r="H182" s="14" t="str">
        <f t="shared" si="16"/>
        <v/>
      </c>
      <c r="I182" s="14" t="str">
        <f t="shared" si="17"/>
        <v/>
      </c>
      <c r="J182" s="15" t="str">
        <f t="shared" si="18"/>
        <v/>
      </c>
    </row>
    <row r="183" spans="1:10">
      <c r="A183" s="7" t="str">
        <f>IF(子基金及业绩基准周净值!A224="","",子基金及业绩基准周净值!A224)</f>
        <v/>
      </c>
      <c r="B183" s="1" t="str">
        <f>IF(A183="","",VLOOKUP($A183,子基金及业绩基准周净值!$A:$AV,20))</f>
        <v/>
      </c>
      <c r="C183" s="8" t="str">
        <f t="shared" si="15"/>
        <v/>
      </c>
      <c r="D183" s="9" t="str">
        <f>IF(A183="","",C183-(子基金及业绩基准周净值!AH224/子基金及业绩基准周净值!AH223-1))</f>
        <v/>
      </c>
      <c r="E183" s="12" t="str">
        <f>IF(A183="","",(MAX(B$3:B183)-B183)/MAX(B$3:B183))</f>
        <v/>
      </c>
      <c r="F183" s="12" t="str">
        <f>IF(A183="","",MAX(E$4:E183))</f>
        <v/>
      </c>
      <c r="H183" s="14" t="str">
        <f t="shared" si="16"/>
        <v/>
      </c>
      <c r="I183" s="14" t="str">
        <f t="shared" si="17"/>
        <v/>
      </c>
      <c r="J183" s="15" t="str">
        <f t="shared" si="18"/>
        <v/>
      </c>
    </row>
    <row r="184" spans="1:10">
      <c r="A184" s="7" t="str">
        <f>IF(子基金及业绩基准周净值!A225="","",子基金及业绩基准周净值!A225)</f>
        <v/>
      </c>
      <c r="B184" s="1" t="str">
        <f>IF(A184="","",VLOOKUP($A184,子基金及业绩基准周净值!$A:$AV,20))</f>
        <v/>
      </c>
      <c r="C184" s="8" t="str">
        <f t="shared" si="15"/>
        <v/>
      </c>
      <c r="D184" s="9" t="str">
        <f>IF(A184="","",C184-(子基金及业绩基准周净值!AH225/子基金及业绩基准周净值!AH224-1))</f>
        <v/>
      </c>
      <c r="E184" s="12" t="str">
        <f>IF(A184="","",(MAX(B$3:B184)-B184)/MAX(B$3:B184))</f>
        <v/>
      </c>
      <c r="F184" s="12" t="str">
        <f>IF(A184="","",MAX(E$4:E184))</f>
        <v/>
      </c>
      <c r="H184" s="14" t="str">
        <f t="shared" si="16"/>
        <v/>
      </c>
      <c r="I184" s="14" t="str">
        <f t="shared" si="17"/>
        <v/>
      </c>
      <c r="J184" s="15" t="str">
        <f t="shared" si="18"/>
        <v/>
      </c>
    </row>
    <row r="185" spans="1:10">
      <c r="A185" s="7" t="str">
        <f>IF(子基金及业绩基准周净值!A226="","",子基金及业绩基准周净值!A226)</f>
        <v/>
      </c>
      <c r="B185" s="1" t="str">
        <f>IF(A185="","",VLOOKUP($A185,子基金及业绩基准周净值!$A:$AV,20))</f>
        <v/>
      </c>
      <c r="C185" s="8" t="str">
        <f t="shared" si="15"/>
        <v/>
      </c>
      <c r="D185" s="9" t="str">
        <f>IF(A185="","",C185-(子基金及业绩基准周净值!AH226/子基金及业绩基准周净值!AH225-1))</f>
        <v/>
      </c>
      <c r="E185" s="12" t="str">
        <f>IF(A185="","",(MAX(B$3:B185)-B185)/MAX(B$3:B185))</f>
        <v/>
      </c>
      <c r="F185" s="12" t="str">
        <f>IF(A185="","",MAX(E$4:E185))</f>
        <v/>
      </c>
      <c r="H185" s="14" t="str">
        <f t="shared" si="16"/>
        <v/>
      </c>
      <c r="I185" s="14" t="str">
        <f t="shared" si="17"/>
        <v/>
      </c>
      <c r="J185" s="15" t="str">
        <f t="shared" si="18"/>
        <v/>
      </c>
    </row>
    <row r="186" spans="1:10">
      <c r="A186" s="7" t="str">
        <f>IF(子基金及业绩基准周净值!A227="","",子基金及业绩基准周净值!A227)</f>
        <v/>
      </c>
      <c r="B186" s="1" t="str">
        <f>IF(A186="","",VLOOKUP($A186,子基金及业绩基准周净值!$A:$AV,20))</f>
        <v/>
      </c>
      <c r="C186" s="8" t="str">
        <f t="shared" si="15"/>
        <v/>
      </c>
      <c r="D186" s="9" t="str">
        <f>IF(A186="","",C186-(子基金及业绩基准周净值!AH227/子基金及业绩基准周净值!AH226-1))</f>
        <v/>
      </c>
      <c r="E186" s="12" t="str">
        <f>IF(A186="","",(MAX(B$3:B186)-B186)/MAX(B$3:B186))</f>
        <v/>
      </c>
      <c r="F186" s="12" t="str">
        <f>IF(A186="","",MAX(E$4:E186))</f>
        <v/>
      </c>
      <c r="H186" s="14" t="str">
        <f t="shared" si="16"/>
        <v/>
      </c>
      <c r="I186" s="14" t="str">
        <f t="shared" si="17"/>
        <v/>
      </c>
      <c r="J186" s="15" t="str">
        <f t="shared" si="18"/>
        <v/>
      </c>
    </row>
    <row r="187" spans="1:10">
      <c r="A187" s="7" t="str">
        <f>IF(子基金及业绩基准周净值!A228="","",子基金及业绩基准周净值!A228)</f>
        <v/>
      </c>
      <c r="B187" s="1" t="str">
        <f>IF(A187="","",VLOOKUP($A187,子基金及业绩基准周净值!$A:$AV,20))</f>
        <v/>
      </c>
      <c r="C187" s="8" t="str">
        <f t="shared" si="15"/>
        <v/>
      </c>
      <c r="D187" s="9" t="str">
        <f>IF(A187="","",C187-(子基金及业绩基准周净值!AH228/子基金及业绩基准周净值!AH227-1))</f>
        <v/>
      </c>
      <c r="E187" s="12" t="str">
        <f>IF(A187="","",(MAX(B$3:B187)-B187)/MAX(B$3:B187))</f>
        <v/>
      </c>
      <c r="F187" s="12" t="str">
        <f>IF(A187="","",MAX(E$4:E187))</f>
        <v/>
      </c>
      <c r="H187" s="14" t="str">
        <f t="shared" si="16"/>
        <v/>
      </c>
      <c r="I187" s="14" t="str">
        <f t="shared" si="17"/>
        <v/>
      </c>
      <c r="J187" s="15" t="str">
        <f t="shared" si="18"/>
        <v/>
      </c>
    </row>
    <row r="188" spans="1:10">
      <c r="A188" s="7" t="str">
        <f>IF(子基金及业绩基准周净值!A229="","",子基金及业绩基准周净值!A229)</f>
        <v/>
      </c>
      <c r="B188" s="1" t="str">
        <f>IF(A188="","",VLOOKUP($A188,子基金及业绩基准周净值!$A:$AV,20))</f>
        <v/>
      </c>
      <c r="C188" s="8" t="str">
        <f t="shared" si="15"/>
        <v/>
      </c>
      <c r="D188" s="9" t="str">
        <f>IF(A188="","",C188-(子基金及业绩基准周净值!AH229/子基金及业绩基准周净值!AH228-1))</f>
        <v/>
      </c>
      <c r="E188" s="12" t="str">
        <f>IF(A188="","",(MAX(B$3:B188)-B188)/MAX(B$3:B188))</f>
        <v/>
      </c>
      <c r="F188" s="12" t="str">
        <f>IF(A188="","",MAX(E$4:E188))</f>
        <v/>
      </c>
      <c r="H188" s="14" t="str">
        <f t="shared" si="16"/>
        <v/>
      </c>
      <c r="I188" s="14" t="str">
        <f t="shared" si="17"/>
        <v/>
      </c>
      <c r="J188" s="15" t="str">
        <f t="shared" si="18"/>
        <v/>
      </c>
    </row>
    <row r="189" spans="1:10">
      <c r="A189" s="7" t="str">
        <f>IF(子基金及业绩基准周净值!A230="","",子基金及业绩基准周净值!A230)</f>
        <v/>
      </c>
      <c r="B189" s="1" t="str">
        <f>IF(A189="","",VLOOKUP($A189,子基金及业绩基准周净值!$A:$AV,20))</f>
        <v/>
      </c>
      <c r="C189" s="8" t="str">
        <f t="shared" si="15"/>
        <v/>
      </c>
      <c r="D189" s="9" t="str">
        <f>IF(A189="","",C189-(子基金及业绩基准周净值!AH230/子基金及业绩基准周净值!AH229-1))</f>
        <v/>
      </c>
      <c r="E189" s="12" t="str">
        <f>IF(A189="","",(MAX(B$3:B189)-B189)/MAX(B$3:B189))</f>
        <v/>
      </c>
      <c r="F189" s="12" t="str">
        <f>IF(A189="","",MAX(E$4:E189))</f>
        <v/>
      </c>
      <c r="H189" s="14" t="str">
        <f t="shared" si="16"/>
        <v/>
      </c>
      <c r="I189" s="14" t="str">
        <f t="shared" si="17"/>
        <v/>
      </c>
      <c r="J189" s="15" t="str">
        <f t="shared" si="18"/>
        <v/>
      </c>
    </row>
    <row r="190" spans="1:10">
      <c r="A190" s="7" t="str">
        <f>IF(子基金及业绩基准周净值!A231="","",子基金及业绩基准周净值!A231)</f>
        <v/>
      </c>
      <c r="B190" s="1" t="str">
        <f>IF(A190="","",VLOOKUP($A190,子基金及业绩基准周净值!$A:$AV,20))</f>
        <v/>
      </c>
      <c r="C190" s="8" t="str">
        <f t="shared" si="15"/>
        <v/>
      </c>
      <c r="D190" s="9" t="str">
        <f>IF(A190="","",C190-(子基金及业绩基准周净值!AH231/子基金及业绩基准周净值!AH230-1))</f>
        <v/>
      </c>
      <c r="E190" s="12" t="str">
        <f>IF(A190="","",(MAX(B$3:B190)-B190)/MAX(B$3:B190))</f>
        <v/>
      </c>
      <c r="F190" s="12" t="str">
        <f>IF(A190="","",MAX(E$4:E190))</f>
        <v/>
      </c>
      <c r="H190" s="14" t="str">
        <f t="shared" si="16"/>
        <v/>
      </c>
      <c r="I190" s="14" t="str">
        <f t="shared" si="17"/>
        <v/>
      </c>
      <c r="J190" s="15" t="str">
        <f t="shared" si="18"/>
        <v/>
      </c>
    </row>
    <row r="191" spans="1:10">
      <c r="A191" s="7" t="str">
        <f>IF(子基金及业绩基准周净值!A232="","",子基金及业绩基准周净值!A232)</f>
        <v/>
      </c>
      <c r="B191" s="1" t="str">
        <f>IF(A191="","",VLOOKUP($A191,子基金及业绩基准周净值!$A:$AV,20))</f>
        <v/>
      </c>
      <c r="C191" s="8" t="str">
        <f t="shared" si="15"/>
        <v/>
      </c>
      <c r="D191" s="9" t="str">
        <f>IF(A191="","",C191-(子基金及业绩基准周净值!AH232/子基金及业绩基准周净值!AH231-1))</f>
        <v/>
      </c>
      <c r="E191" s="12" t="str">
        <f>IF(A191="","",(MAX(B$3:B191)-B191)/MAX(B$3:B191))</f>
        <v/>
      </c>
      <c r="F191" s="12" t="str">
        <f>IF(A191="","",MAX(E$4:E191))</f>
        <v/>
      </c>
      <c r="H191" s="14" t="str">
        <f t="shared" si="16"/>
        <v/>
      </c>
      <c r="I191" s="14" t="str">
        <f t="shared" si="17"/>
        <v/>
      </c>
      <c r="J191" s="15" t="str">
        <f t="shared" si="18"/>
        <v/>
      </c>
    </row>
    <row r="192" spans="1:10">
      <c r="A192" s="7" t="str">
        <f>IF(子基金及业绩基准周净值!A233="","",子基金及业绩基准周净值!A233)</f>
        <v/>
      </c>
      <c r="B192" s="1" t="str">
        <f>IF(A192="","",VLOOKUP($A192,子基金及业绩基准周净值!$A:$AV,20))</f>
        <v/>
      </c>
      <c r="C192" s="8" t="str">
        <f t="shared" si="15"/>
        <v/>
      </c>
      <c r="D192" s="9" t="str">
        <f>IF(A192="","",C192-(子基金及业绩基准周净值!AH233/子基金及业绩基准周净值!AH232-1))</f>
        <v/>
      </c>
      <c r="E192" s="12" t="str">
        <f>IF(A192="","",(MAX(B$3:B192)-B192)/MAX(B$3:B192))</f>
        <v/>
      </c>
      <c r="F192" s="12" t="str">
        <f>IF(A192="","",MAX(E$4:E192))</f>
        <v/>
      </c>
      <c r="H192" s="14" t="str">
        <f t="shared" si="16"/>
        <v/>
      </c>
      <c r="I192" s="14" t="str">
        <f t="shared" si="17"/>
        <v/>
      </c>
      <c r="J192" s="15" t="str">
        <f t="shared" si="18"/>
        <v/>
      </c>
    </row>
    <row r="193" spans="1:10">
      <c r="A193" s="7" t="str">
        <f>IF(子基金及业绩基准周净值!A234="","",子基金及业绩基准周净值!A234)</f>
        <v/>
      </c>
      <c r="B193" s="1" t="str">
        <f>IF(A193="","",VLOOKUP($A193,子基金及业绩基准周净值!$A:$AV,20))</f>
        <v/>
      </c>
      <c r="C193" s="8" t="str">
        <f t="shared" si="15"/>
        <v/>
      </c>
      <c r="D193" s="9" t="str">
        <f>IF(A193="","",C193-(子基金及业绩基准周净值!AH234/子基金及业绩基准周净值!AH233-1))</f>
        <v/>
      </c>
      <c r="E193" s="12" t="str">
        <f>IF(A193="","",(MAX(B$3:B193)-B193)/MAX(B$3:B193))</f>
        <v/>
      </c>
      <c r="F193" s="12" t="str">
        <f>IF(A193="","",MAX(E$4:E193))</f>
        <v/>
      </c>
      <c r="H193" s="14" t="str">
        <f t="shared" si="16"/>
        <v/>
      </c>
      <c r="I193" s="14" t="str">
        <f t="shared" si="17"/>
        <v/>
      </c>
      <c r="J193" s="15" t="str">
        <f t="shared" si="18"/>
        <v/>
      </c>
    </row>
    <row r="194" spans="1:10">
      <c r="A194" s="7" t="str">
        <f>IF(子基金及业绩基准周净值!A235="","",子基金及业绩基准周净值!A235)</f>
        <v/>
      </c>
      <c r="B194" s="1" t="str">
        <f>IF(A194="","",VLOOKUP($A194,子基金及业绩基准周净值!$A:$AV,20))</f>
        <v/>
      </c>
      <c r="C194" s="8" t="str">
        <f t="shared" si="15"/>
        <v/>
      </c>
      <c r="D194" s="9" t="str">
        <f>IF(A194="","",C194-(子基金及业绩基准周净值!AH235/子基金及业绩基准周净值!AH234-1))</f>
        <v/>
      </c>
      <c r="E194" s="12" t="str">
        <f>IF(A194="","",(MAX(B$3:B194)-B194)/MAX(B$3:B194))</f>
        <v/>
      </c>
      <c r="F194" s="12" t="str">
        <f>IF(A194="","",MAX(E$4:E194))</f>
        <v/>
      </c>
      <c r="H194" s="14" t="str">
        <f t="shared" si="16"/>
        <v/>
      </c>
      <c r="I194" s="14" t="str">
        <f t="shared" si="17"/>
        <v/>
      </c>
      <c r="J194" s="15" t="str">
        <f t="shared" si="18"/>
        <v/>
      </c>
    </row>
    <row r="195" spans="1:10">
      <c r="A195" s="7" t="str">
        <f>IF(子基金及业绩基准周净值!A236="","",子基金及业绩基准周净值!A236)</f>
        <v/>
      </c>
      <c r="B195" s="1" t="str">
        <f>IF(A195="","",VLOOKUP($A195,子基金及业绩基准周净值!$A:$AV,20))</f>
        <v/>
      </c>
      <c r="C195" s="8" t="str">
        <f t="shared" si="15"/>
        <v/>
      </c>
      <c r="D195" s="9" t="str">
        <f>IF(A195="","",C195-(子基金及业绩基准周净值!AH236/子基金及业绩基准周净值!AH235-1))</f>
        <v/>
      </c>
      <c r="E195" s="12" t="str">
        <f>IF(A195="","",(MAX(B$3:B195)-B195)/MAX(B$3:B195))</f>
        <v/>
      </c>
      <c r="F195" s="12" t="str">
        <f>IF(A195="","",MAX(E$4:E195))</f>
        <v/>
      </c>
      <c r="H195" s="14" t="str">
        <f t="shared" si="16"/>
        <v/>
      </c>
      <c r="I195" s="14" t="str">
        <f t="shared" si="17"/>
        <v/>
      </c>
      <c r="J195" s="15" t="str">
        <f t="shared" si="18"/>
        <v/>
      </c>
    </row>
    <row r="196" spans="1:10">
      <c r="A196" s="7" t="str">
        <f>IF(子基金及业绩基准周净值!A237="","",子基金及业绩基准周净值!A237)</f>
        <v/>
      </c>
      <c r="B196" s="1" t="str">
        <f>IF(A196="","",VLOOKUP($A196,子基金及业绩基准周净值!$A:$AV,20))</f>
        <v/>
      </c>
      <c r="C196" s="8" t="str">
        <f t="shared" si="15"/>
        <v/>
      </c>
      <c r="D196" s="9" t="str">
        <f>IF(A196="","",C196-(子基金及业绩基准周净值!AH237/子基金及业绩基准周净值!AH236-1))</f>
        <v/>
      </c>
      <c r="E196" s="12" t="str">
        <f>IF(A196="","",(MAX(B$3:B196)-B196)/MAX(B$3:B196))</f>
        <v/>
      </c>
      <c r="F196" s="12" t="str">
        <f>IF(A196="","",MAX(E$4:E196))</f>
        <v/>
      </c>
      <c r="H196" s="14" t="str">
        <f t="shared" si="16"/>
        <v/>
      </c>
      <c r="I196" s="14" t="str">
        <f t="shared" si="17"/>
        <v/>
      </c>
      <c r="J196" s="15" t="str">
        <f t="shared" si="18"/>
        <v/>
      </c>
    </row>
    <row r="197" spans="1:10">
      <c r="A197" s="7" t="str">
        <f>IF(子基金及业绩基准周净值!A238="","",子基金及业绩基准周净值!A238)</f>
        <v/>
      </c>
      <c r="B197" s="1" t="str">
        <f>IF(A197="","",VLOOKUP($A197,子基金及业绩基准周净值!$A:$AV,20))</f>
        <v/>
      </c>
      <c r="C197" s="8" t="str">
        <f t="shared" ref="C197:C260" si="19">IF(A197="","",(B197-B196)/B196)</f>
        <v/>
      </c>
      <c r="D197" s="9" t="str">
        <f>IF(A197="","",C197-(子基金及业绩基准周净值!AH238/子基金及业绩基准周净值!AH237-1))</f>
        <v/>
      </c>
      <c r="E197" s="12" t="str">
        <f>IF(A197="","",(MAX(B$3:B197)-B197)/MAX(B$3:B197))</f>
        <v/>
      </c>
      <c r="F197" s="12" t="str">
        <f>IF(A197="","",MAX(E$4:E197))</f>
        <v/>
      </c>
      <c r="H197" s="14" t="str">
        <f t="shared" ref="H197:H260" si="20">IF(A197="","",IF(E197&lt;3%,"否","是"))</f>
        <v/>
      </c>
      <c r="I197" s="14" t="str">
        <f t="shared" ref="I197:I260" si="21">IF(A197="","",IF(F197&gt;5%,"是","否"))</f>
        <v/>
      </c>
      <c r="J197" s="15" t="str">
        <f t="shared" ref="J197:J260" si="22">IF(A197="","",IF(G197&gt;=4,"是","否"))</f>
        <v/>
      </c>
    </row>
    <row r="198" spans="1:10">
      <c r="A198" s="7" t="str">
        <f>IF(子基金及业绩基准周净值!A239="","",子基金及业绩基准周净值!A239)</f>
        <v/>
      </c>
      <c r="B198" s="1" t="str">
        <f>IF(A198="","",VLOOKUP($A198,子基金及业绩基准周净值!$A:$AV,20))</f>
        <v/>
      </c>
      <c r="C198" s="8" t="str">
        <f t="shared" si="19"/>
        <v/>
      </c>
      <c r="D198" s="9" t="str">
        <f>IF(A198="","",C198-(子基金及业绩基准周净值!AH239/子基金及业绩基准周净值!AH238-1))</f>
        <v/>
      </c>
      <c r="E198" s="12" t="str">
        <f>IF(A198="","",(MAX(B$3:B198)-B198)/MAX(B$3:B198))</f>
        <v/>
      </c>
      <c r="F198" s="12" t="str">
        <f>IF(A198="","",MAX(E$4:E198))</f>
        <v/>
      </c>
      <c r="H198" s="14" t="str">
        <f t="shared" si="20"/>
        <v/>
      </c>
      <c r="I198" s="14" t="str">
        <f t="shared" si="21"/>
        <v/>
      </c>
      <c r="J198" s="15" t="str">
        <f t="shared" si="22"/>
        <v/>
      </c>
    </row>
    <row r="199" spans="1:10">
      <c r="A199" s="7" t="str">
        <f>IF(子基金及业绩基准周净值!A240="","",子基金及业绩基准周净值!A240)</f>
        <v/>
      </c>
      <c r="B199" s="1" t="str">
        <f>IF(A199="","",VLOOKUP($A199,子基金及业绩基准周净值!$A:$AV,20))</f>
        <v/>
      </c>
      <c r="C199" s="8" t="str">
        <f t="shared" si="19"/>
        <v/>
      </c>
      <c r="D199" s="9" t="str">
        <f>IF(A199="","",C199-(子基金及业绩基准周净值!AH240/子基金及业绩基准周净值!AH239-1))</f>
        <v/>
      </c>
      <c r="E199" s="12" t="str">
        <f>IF(A199="","",(MAX(B$3:B199)-B199)/MAX(B$3:B199))</f>
        <v/>
      </c>
      <c r="F199" s="12" t="str">
        <f>IF(A199="","",MAX(E$4:E199))</f>
        <v/>
      </c>
      <c r="H199" s="14" t="str">
        <f t="shared" si="20"/>
        <v/>
      </c>
      <c r="I199" s="14" t="str">
        <f t="shared" si="21"/>
        <v/>
      </c>
      <c r="J199" s="15" t="str">
        <f t="shared" si="22"/>
        <v/>
      </c>
    </row>
    <row r="200" spans="1:10">
      <c r="A200" s="7" t="str">
        <f>IF(子基金及业绩基准周净值!A241="","",子基金及业绩基准周净值!A241)</f>
        <v/>
      </c>
      <c r="B200" s="1" t="str">
        <f>IF(A200="","",VLOOKUP($A200,子基金及业绩基准周净值!$A:$AV,20))</f>
        <v/>
      </c>
      <c r="C200" s="8" t="str">
        <f t="shared" si="19"/>
        <v/>
      </c>
      <c r="D200" s="9" t="str">
        <f>IF(A200="","",C200-(子基金及业绩基准周净值!AH241/子基金及业绩基准周净值!AH240-1))</f>
        <v/>
      </c>
      <c r="E200" s="12" t="str">
        <f>IF(A200="","",(MAX(B$3:B200)-B200)/MAX(B$3:B200))</f>
        <v/>
      </c>
      <c r="F200" s="12" t="str">
        <f>IF(A200="","",MAX(E$4:E200))</f>
        <v/>
      </c>
      <c r="H200" s="14" t="str">
        <f t="shared" si="20"/>
        <v/>
      </c>
      <c r="I200" s="14" t="str">
        <f t="shared" si="21"/>
        <v/>
      </c>
      <c r="J200" s="15" t="str">
        <f t="shared" si="22"/>
        <v/>
      </c>
    </row>
    <row r="201" spans="1:10">
      <c r="A201" s="7" t="str">
        <f>IF(子基金及业绩基准周净值!A242="","",子基金及业绩基准周净值!A242)</f>
        <v/>
      </c>
      <c r="B201" s="1" t="str">
        <f>IF(A201="","",VLOOKUP($A201,子基金及业绩基准周净值!$A:$AV,20))</f>
        <v/>
      </c>
      <c r="C201" s="8" t="str">
        <f t="shared" si="19"/>
        <v/>
      </c>
      <c r="D201" s="9" t="str">
        <f>IF(A201="","",C201-(子基金及业绩基准周净值!AH242/子基金及业绩基准周净值!AH241-1))</f>
        <v/>
      </c>
      <c r="E201" s="12" t="str">
        <f>IF(A201="","",(MAX(B$3:B201)-B201)/MAX(B$3:B201))</f>
        <v/>
      </c>
      <c r="F201" s="12" t="str">
        <f>IF(A201="","",MAX(E$4:E201))</f>
        <v/>
      </c>
      <c r="H201" s="14" t="str">
        <f t="shared" si="20"/>
        <v/>
      </c>
      <c r="I201" s="14" t="str">
        <f t="shared" si="21"/>
        <v/>
      </c>
      <c r="J201" s="15" t="str">
        <f t="shared" si="22"/>
        <v/>
      </c>
    </row>
    <row r="202" spans="1:10">
      <c r="A202" s="7" t="str">
        <f>IF(子基金及业绩基准周净值!A243="","",子基金及业绩基准周净值!A243)</f>
        <v/>
      </c>
      <c r="B202" s="1" t="str">
        <f>IF(A202="","",VLOOKUP($A202,子基金及业绩基准周净值!$A:$AV,20))</f>
        <v/>
      </c>
      <c r="C202" s="8" t="str">
        <f t="shared" si="19"/>
        <v/>
      </c>
      <c r="D202" s="9" t="str">
        <f>IF(A202="","",C202-(子基金及业绩基准周净值!AH243/子基金及业绩基准周净值!AH242-1))</f>
        <v/>
      </c>
      <c r="E202" s="12" t="str">
        <f>IF(A202="","",(MAX(B$3:B202)-B202)/MAX(B$3:B202))</f>
        <v/>
      </c>
      <c r="F202" s="12" t="str">
        <f>IF(A202="","",MAX(E$4:E202))</f>
        <v/>
      </c>
      <c r="H202" s="14" t="str">
        <f t="shared" si="20"/>
        <v/>
      </c>
      <c r="I202" s="14" t="str">
        <f t="shared" si="21"/>
        <v/>
      </c>
      <c r="J202" s="15" t="str">
        <f t="shared" si="22"/>
        <v/>
      </c>
    </row>
    <row r="203" spans="1:10">
      <c r="A203" s="7" t="str">
        <f>IF(子基金及业绩基准周净值!A244="","",子基金及业绩基准周净值!A244)</f>
        <v/>
      </c>
      <c r="B203" s="1" t="str">
        <f>IF(A203="","",VLOOKUP($A203,子基金及业绩基准周净值!$A:$AV,20))</f>
        <v/>
      </c>
      <c r="C203" s="8" t="str">
        <f t="shared" si="19"/>
        <v/>
      </c>
      <c r="D203" s="9" t="str">
        <f>IF(A203="","",C203-(子基金及业绩基准周净值!AH244/子基金及业绩基准周净值!AH243-1))</f>
        <v/>
      </c>
      <c r="E203" s="12" t="str">
        <f>IF(A203="","",(MAX(B$3:B203)-B203)/MAX(B$3:B203))</f>
        <v/>
      </c>
      <c r="F203" s="12" t="str">
        <f>IF(A203="","",MAX(E$4:E203))</f>
        <v/>
      </c>
      <c r="H203" s="14" t="str">
        <f t="shared" si="20"/>
        <v/>
      </c>
      <c r="I203" s="14" t="str">
        <f t="shared" si="21"/>
        <v/>
      </c>
      <c r="J203" s="15" t="str">
        <f t="shared" si="22"/>
        <v/>
      </c>
    </row>
    <row r="204" spans="1:10">
      <c r="A204" s="7" t="str">
        <f>IF(子基金及业绩基准周净值!A245="","",子基金及业绩基准周净值!A245)</f>
        <v/>
      </c>
      <c r="B204" s="1" t="str">
        <f>IF(A204="","",VLOOKUP($A204,子基金及业绩基准周净值!$A:$AV,20))</f>
        <v/>
      </c>
      <c r="C204" s="8" t="str">
        <f t="shared" si="19"/>
        <v/>
      </c>
      <c r="D204" s="9" t="str">
        <f>IF(A204="","",C204-(子基金及业绩基准周净值!AH245/子基金及业绩基准周净值!AH244-1))</f>
        <v/>
      </c>
      <c r="E204" s="12" t="str">
        <f>IF(A204="","",(MAX(B$3:B204)-B204)/MAX(B$3:B204))</f>
        <v/>
      </c>
      <c r="F204" s="12" t="str">
        <f>IF(A204="","",MAX(E$4:E204))</f>
        <v/>
      </c>
      <c r="H204" s="14" t="str">
        <f t="shared" si="20"/>
        <v/>
      </c>
      <c r="I204" s="14" t="str">
        <f t="shared" si="21"/>
        <v/>
      </c>
      <c r="J204" s="15" t="str">
        <f t="shared" si="22"/>
        <v/>
      </c>
    </row>
    <row r="205" spans="1:10">
      <c r="A205" s="7" t="str">
        <f>IF(子基金及业绩基准周净值!A246="","",子基金及业绩基准周净值!A246)</f>
        <v/>
      </c>
      <c r="B205" s="1" t="str">
        <f>IF(A205="","",VLOOKUP($A205,子基金及业绩基准周净值!$A:$AV,20))</f>
        <v/>
      </c>
      <c r="C205" s="8" t="str">
        <f t="shared" si="19"/>
        <v/>
      </c>
      <c r="D205" s="9" t="str">
        <f>IF(A205="","",C205-(子基金及业绩基准周净值!AH246/子基金及业绩基准周净值!AH245-1))</f>
        <v/>
      </c>
      <c r="E205" s="12" t="str">
        <f>IF(A205="","",(MAX(B$3:B205)-B205)/MAX(B$3:B205))</f>
        <v/>
      </c>
      <c r="F205" s="12" t="str">
        <f>IF(A205="","",MAX(E$4:E205))</f>
        <v/>
      </c>
      <c r="H205" s="14" t="str">
        <f t="shared" si="20"/>
        <v/>
      </c>
      <c r="I205" s="14" t="str">
        <f t="shared" si="21"/>
        <v/>
      </c>
      <c r="J205" s="15" t="str">
        <f t="shared" si="22"/>
        <v/>
      </c>
    </row>
    <row r="206" spans="1:10">
      <c r="A206" s="7" t="str">
        <f>IF(子基金及业绩基准周净值!A247="","",子基金及业绩基准周净值!A247)</f>
        <v/>
      </c>
      <c r="B206" s="1" t="str">
        <f>IF(A206="","",VLOOKUP($A206,子基金及业绩基准周净值!$A:$AV,20))</f>
        <v/>
      </c>
      <c r="C206" s="8" t="str">
        <f t="shared" si="19"/>
        <v/>
      </c>
      <c r="D206" s="9" t="str">
        <f>IF(A206="","",C206-(子基金及业绩基准周净值!AH247/子基金及业绩基准周净值!AH246-1))</f>
        <v/>
      </c>
      <c r="E206" s="12" t="str">
        <f>IF(A206="","",(MAX(B$3:B206)-B206)/MAX(B$3:B206))</f>
        <v/>
      </c>
      <c r="F206" s="12" t="str">
        <f>IF(A206="","",MAX(E$4:E206))</f>
        <v/>
      </c>
      <c r="H206" s="14" t="str">
        <f t="shared" si="20"/>
        <v/>
      </c>
      <c r="I206" s="14" t="str">
        <f t="shared" si="21"/>
        <v/>
      </c>
      <c r="J206" s="15" t="str">
        <f t="shared" si="22"/>
        <v/>
      </c>
    </row>
    <row r="207" spans="1:10">
      <c r="A207" s="7" t="str">
        <f>IF(子基金及业绩基准周净值!A248="","",子基金及业绩基准周净值!A248)</f>
        <v/>
      </c>
      <c r="B207" s="1" t="str">
        <f>IF(A207="","",VLOOKUP($A207,子基金及业绩基准周净值!$A:$AV,20))</f>
        <v/>
      </c>
      <c r="C207" s="8" t="str">
        <f t="shared" si="19"/>
        <v/>
      </c>
      <c r="D207" s="9" t="str">
        <f>IF(A207="","",C207-(子基金及业绩基准周净值!AH248/子基金及业绩基准周净值!AH247-1))</f>
        <v/>
      </c>
      <c r="E207" s="12" t="str">
        <f>IF(A207="","",(MAX(B$3:B207)-B207)/MAX(B$3:B207))</f>
        <v/>
      </c>
      <c r="F207" s="12" t="str">
        <f>IF(A207="","",MAX(E$4:E207))</f>
        <v/>
      </c>
      <c r="H207" s="14" t="str">
        <f t="shared" si="20"/>
        <v/>
      </c>
      <c r="I207" s="14" t="str">
        <f t="shared" si="21"/>
        <v/>
      </c>
      <c r="J207" s="15" t="str">
        <f t="shared" si="22"/>
        <v/>
      </c>
    </row>
    <row r="208" spans="1:10">
      <c r="A208" s="7" t="str">
        <f>IF(子基金及业绩基准周净值!A249="","",子基金及业绩基准周净值!A249)</f>
        <v/>
      </c>
      <c r="B208" s="1" t="str">
        <f>IF(A208="","",VLOOKUP($A208,子基金及业绩基准周净值!$A:$AV,20))</f>
        <v/>
      </c>
      <c r="C208" s="8" t="str">
        <f t="shared" si="19"/>
        <v/>
      </c>
      <c r="D208" s="9" t="str">
        <f>IF(A208="","",C208-(子基金及业绩基准周净值!AH249/子基金及业绩基准周净值!AH248-1))</f>
        <v/>
      </c>
      <c r="E208" s="12" t="str">
        <f>IF(A208="","",(MAX(B$3:B208)-B208)/MAX(B$3:B208))</f>
        <v/>
      </c>
      <c r="F208" s="12" t="str">
        <f>IF(A208="","",MAX(E$4:E208))</f>
        <v/>
      </c>
      <c r="H208" s="14" t="str">
        <f t="shared" si="20"/>
        <v/>
      </c>
      <c r="I208" s="14" t="str">
        <f t="shared" si="21"/>
        <v/>
      </c>
      <c r="J208" s="15" t="str">
        <f t="shared" si="22"/>
        <v/>
      </c>
    </row>
    <row r="209" spans="1:10">
      <c r="A209" s="7" t="str">
        <f>IF(子基金及业绩基准周净值!A250="","",子基金及业绩基准周净值!A250)</f>
        <v/>
      </c>
      <c r="B209" s="1" t="str">
        <f>IF(A209="","",VLOOKUP($A209,子基金及业绩基准周净值!$A:$AV,20))</f>
        <v/>
      </c>
      <c r="C209" s="8" t="str">
        <f t="shared" si="19"/>
        <v/>
      </c>
      <c r="D209" s="9" t="str">
        <f>IF(A209="","",C209-(子基金及业绩基准周净值!AH250/子基金及业绩基准周净值!AH249-1))</f>
        <v/>
      </c>
      <c r="E209" s="12" t="str">
        <f>IF(A209="","",(MAX(B$3:B209)-B209)/MAX(B$3:B209))</f>
        <v/>
      </c>
      <c r="F209" s="12" t="str">
        <f>IF(A209="","",MAX(E$4:E209))</f>
        <v/>
      </c>
      <c r="H209" s="14" t="str">
        <f t="shared" si="20"/>
        <v/>
      </c>
      <c r="I209" s="14" t="str">
        <f t="shared" si="21"/>
        <v/>
      </c>
      <c r="J209" s="15" t="str">
        <f t="shared" si="22"/>
        <v/>
      </c>
    </row>
    <row r="210" spans="1:10">
      <c r="A210" s="7" t="str">
        <f>IF(子基金及业绩基准周净值!A251="","",子基金及业绩基准周净值!A251)</f>
        <v/>
      </c>
      <c r="B210" s="1" t="str">
        <f>IF(A210="","",VLOOKUP($A210,子基金及业绩基准周净值!$A:$AV,20))</f>
        <v/>
      </c>
      <c r="C210" s="8" t="str">
        <f t="shared" si="19"/>
        <v/>
      </c>
      <c r="D210" s="9" t="str">
        <f>IF(A210="","",C210-(子基金及业绩基准周净值!AH251/子基金及业绩基准周净值!AH250-1))</f>
        <v/>
      </c>
      <c r="E210" s="12" t="str">
        <f>IF(A210="","",(MAX(B$3:B210)-B210)/MAX(B$3:B210))</f>
        <v/>
      </c>
      <c r="F210" s="12" t="str">
        <f>IF(A210="","",MAX(E$4:E210))</f>
        <v/>
      </c>
      <c r="H210" s="14" t="str">
        <f t="shared" si="20"/>
        <v/>
      </c>
      <c r="I210" s="14" t="str">
        <f t="shared" si="21"/>
        <v/>
      </c>
      <c r="J210" s="15" t="str">
        <f t="shared" si="22"/>
        <v/>
      </c>
    </row>
    <row r="211" spans="1:10">
      <c r="A211" s="7" t="str">
        <f>IF(子基金及业绩基准周净值!A252="","",子基金及业绩基准周净值!A252)</f>
        <v/>
      </c>
      <c r="B211" s="1" t="str">
        <f>IF(A211="","",VLOOKUP($A211,子基金及业绩基准周净值!$A:$AV,20))</f>
        <v/>
      </c>
      <c r="C211" s="8" t="str">
        <f t="shared" si="19"/>
        <v/>
      </c>
      <c r="D211" s="9" t="str">
        <f>IF(A211="","",C211-(子基金及业绩基准周净值!AH252/子基金及业绩基准周净值!AH251-1))</f>
        <v/>
      </c>
      <c r="E211" s="12" t="str">
        <f>IF(A211="","",(MAX(B$3:B211)-B211)/MAX(B$3:B211))</f>
        <v/>
      </c>
      <c r="F211" s="12" t="str">
        <f>IF(A211="","",MAX(E$4:E211))</f>
        <v/>
      </c>
      <c r="H211" s="14" t="str">
        <f t="shared" si="20"/>
        <v/>
      </c>
      <c r="I211" s="14" t="str">
        <f t="shared" si="21"/>
        <v/>
      </c>
      <c r="J211" s="15" t="str">
        <f t="shared" si="22"/>
        <v/>
      </c>
    </row>
    <row r="212" spans="1:10">
      <c r="A212" s="7" t="str">
        <f>IF(子基金及业绩基准周净值!A253="","",子基金及业绩基准周净值!A253)</f>
        <v/>
      </c>
      <c r="B212" s="1" t="str">
        <f>IF(A212="","",VLOOKUP($A212,子基金及业绩基准周净值!$A:$AV,20))</f>
        <v/>
      </c>
      <c r="C212" s="8" t="str">
        <f t="shared" si="19"/>
        <v/>
      </c>
      <c r="D212" s="9" t="str">
        <f>IF(A212="","",C212-(子基金及业绩基准周净值!AH253/子基金及业绩基准周净值!AH252-1))</f>
        <v/>
      </c>
      <c r="E212" s="12" t="str">
        <f>IF(A212="","",(MAX(B$3:B212)-B212)/MAX(B$3:B212))</f>
        <v/>
      </c>
      <c r="F212" s="12" t="str">
        <f>IF(A212="","",MAX(E$4:E212))</f>
        <v/>
      </c>
      <c r="H212" s="14" t="str">
        <f t="shared" si="20"/>
        <v/>
      </c>
      <c r="I212" s="14" t="str">
        <f t="shared" si="21"/>
        <v/>
      </c>
      <c r="J212" s="15" t="str">
        <f t="shared" si="22"/>
        <v/>
      </c>
    </row>
    <row r="213" spans="1:10">
      <c r="A213" s="7" t="str">
        <f>IF(子基金及业绩基准周净值!A254="","",子基金及业绩基准周净值!A254)</f>
        <v/>
      </c>
      <c r="B213" s="1" t="str">
        <f>IF(A213="","",VLOOKUP($A213,子基金及业绩基准周净值!$A:$AV,20))</f>
        <v/>
      </c>
      <c r="C213" s="8" t="str">
        <f t="shared" si="19"/>
        <v/>
      </c>
      <c r="D213" s="9" t="str">
        <f>IF(A213="","",C213-(子基金及业绩基准周净值!AH254/子基金及业绩基准周净值!AH253-1))</f>
        <v/>
      </c>
      <c r="E213" s="12" t="str">
        <f>IF(A213="","",(MAX(B$3:B213)-B213)/MAX(B$3:B213))</f>
        <v/>
      </c>
      <c r="F213" s="12" t="str">
        <f>IF(A213="","",MAX(E$4:E213))</f>
        <v/>
      </c>
      <c r="H213" s="14" t="str">
        <f t="shared" si="20"/>
        <v/>
      </c>
      <c r="I213" s="14" t="str">
        <f t="shared" si="21"/>
        <v/>
      </c>
      <c r="J213" s="15" t="str">
        <f t="shared" si="22"/>
        <v/>
      </c>
    </row>
    <row r="214" spans="1:10">
      <c r="A214" s="7" t="str">
        <f>IF(子基金及业绩基准周净值!A255="","",子基金及业绩基准周净值!A255)</f>
        <v/>
      </c>
      <c r="B214" s="1" t="str">
        <f>IF(A214="","",VLOOKUP($A214,子基金及业绩基准周净值!$A:$AV,20))</f>
        <v/>
      </c>
      <c r="C214" s="8" t="str">
        <f t="shared" si="19"/>
        <v/>
      </c>
      <c r="D214" s="9" t="str">
        <f>IF(A214="","",C214-(子基金及业绩基准周净值!AH255/子基金及业绩基准周净值!AH254-1))</f>
        <v/>
      </c>
      <c r="E214" s="12" t="str">
        <f>IF(A214="","",(MAX(B$3:B214)-B214)/MAX(B$3:B214))</f>
        <v/>
      </c>
      <c r="F214" s="12" t="str">
        <f>IF(A214="","",MAX(E$4:E214))</f>
        <v/>
      </c>
      <c r="H214" s="14" t="str">
        <f t="shared" si="20"/>
        <v/>
      </c>
      <c r="I214" s="14" t="str">
        <f t="shared" si="21"/>
        <v/>
      </c>
      <c r="J214" s="15" t="str">
        <f t="shared" si="22"/>
        <v/>
      </c>
    </row>
    <row r="215" spans="1:10">
      <c r="A215" s="7" t="str">
        <f>IF(子基金及业绩基准周净值!A256="","",子基金及业绩基准周净值!A256)</f>
        <v/>
      </c>
      <c r="B215" s="1" t="str">
        <f>IF(A215="","",VLOOKUP($A215,子基金及业绩基准周净值!$A:$AV,20))</f>
        <v/>
      </c>
      <c r="C215" s="8" t="str">
        <f t="shared" si="19"/>
        <v/>
      </c>
      <c r="D215" s="9" t="str">
        <f>IF(A215="","",C215-(子基金及业绩基准周净值!AH256/子基金及业绩基准周净值!AH255-1))</f>
        <v/>
      </c>
      <c r="E215" s="12" t="str">
        <f>IF(A215="","",(MAX(B$3:B215)-B215)/MAX(B$3:B215))</f>
        <v/>
      </c>
      <c r="F215" s="12" t="str">
        <f>IF(A215="","",MAX(E$4:E215))</f>
        <v/>
      </c>
      <c r="H215" s="14" t="str">
        <f t="shared" si="20"/>
        <v/>
      </c>
      <c r="I215" s="14" t="str">
        <f t="shared" si="21"/>
        <v/>
      </c>
      <c r="J215" s="15" t="str">
        <f t="shared" si="22"/>
        <v/>
      </c>
    </row>
    <row r="216" spans="1:10">
      <c r="A216" s="7" t="str">
        <f>IF(子基金及业绩基准周净值!A257="","",子基金及业绩基准周净值!A257)</f>
        <v/>
      </c>
      <c r="B216" s="1" t="str">
        <f>IF(A216="","",VLOOKUP($A216,子基金及业绩基准周净值!$A:$AV,20))</f>
        <v/>
      </c>
      <c r="C216" s="8" t="str">
        <f t="shared" si="19"/>
        <v/>
      </c>
      <c r="D216" s="9" t="str">
        <f>IF(A216="","",C216-(子基金及业绩基准周净值!AH257/子基金及业绩基准周净值!AH256-1))</f>
        <v/>
      </c>
      <c r="E216" s="12" t="str">
        <f>IF(A216="","",(MAX(B$3:B216)-B216)/MAX(B$3:B216))</f>
        <v/>
      </c>
      <c r="F216" s="12" t="str">
        <f>IF(A216="","",MAX(E$4:E216))</f>
        <v/>
      </c>
      <c r="H216" s="14" t="str">
        <f t="shared" si="20"/>
        <v/>
      </c>
      <c r="I216" s="14" t="str">
        <f t="shared" si="21"/>
        <v/>
      </c>
      <c r="J216" s="15" t="str">
        <f t="shared" si="22"/>
        <v/>
      </c>
    </row>
    <row r="217" spans="1:10">
      <c r="A217" s="7" t="str">
        <f>IF(子基金及业绩基准周净值!A258="","",子基金及业绩基准周净值!A258)</f>
        <v/>
      </c>
      <c r="B217" s="1" t="str">
        <f>IF(A217="","",VLOOKUP($A217,子基金及业绩基准周净值!$A:$AV,20))</f>
        <v/>
      </c>
      <c r="C217" s="8" t="str">
        <f t="shared" si="19"/>
        <v/>
      </c>
      <c r="D217" s="9" t="str">
        <f>IF(A217="","",C217-(子基金及业绩基准周净值!AH258/子基金及业绩基准周净值!AH257-1))</f>
        <v/>
      </c>
      <c r="E217" s="12" t="str">
        <f>IF(A217="","",(MAX(B$3:B217)-B217)/MAX(B$3:B217))</f>
        <v/>
      </c>
      <c r="F217" s="12" t="str">
        <f>IF(A217="","",MAX(E$4:E217))</f>
        <v/>
      </c>
      <c r="H217" s="14" t="str">
        <f t="shared" si="20"/>
        <v/>
      </c>
      <c r="I217" s="14" t="str">
        <f t="shared" si="21"/>
        <v/>
      </c>
      <c r="J217" s="15" t="str">
        <f t="shared" si="22"/>
        <v/>
      </c>
    </row>
    <row r="218" spans="1:10">
      <c r="A218" s="7" t="str">
        <f>IF(子基金及业绩基准周净值!A259="","",子基金及业绩基准周净值!A259)</f>
        <v/>
      </c>
      <c r="B218" s="1" t="str">
        <f>IF(A218="","",VLOOKUP($A218,子基金及业绩基准周净值!$A:$AV,20))</f>
        <v/>
      </c>
      <c r="C218" s="8" t="str">
        <f t="shared" si="19"/>
        <v/>
      </c>
      <c r="D218" s="9" t="str">
        <f>IF(A218="","",C218-(子基金及业绩基准周净值!AH259/子基金及业绩基准周净值!AH258-1))</f>
        <v/>
      </c>
      <c r="E218" s="12" t="str">
        <f>IF(A218="","",(MAX(B$3:B218)-B218)/MAX(B$3:B218))</f>
        <v/>
      </c>
      <c r="F218" s="12" t="str">
        <f>IF(A218="","",MAX(E$4:E218))</f>
        <v/>
      </c>
      <c r="H218" s="14" t="str">
        <f t="shared" si="20"/>
        <v/>
      </c>
      <c r="I218" s="14" t="str">
        <f t="shared" si="21"/>
        <v/>
      </c>
      <c r="J218" s="15" t="str">
        <f t="shared" si="22"/>
        <v/>
      </c>
    </row>
    <row r="219" spans="1:10">
      <c r="A219" s="7" t="str">
        <f>IF(子基金及业绩基准周净值!A260="","",子基金及业绩基准周净值!A260)</f>
        <v/>
      </c>
      <c r="B219" s="1" t="str">
        <f>IF(A219="","",VLOOKUP($A219,子基金及业绩基准周净值!$A:$AV,20))</f>
        <v/>
      </c>
      <c r="C219" s="8" t="str">
        <f t="shared" si="19"/>
        <v/>
      </c>
      <c r="D219" s="9" t="str">
        <f>IF(A219="","",C219-(子基金及业绩基准周净值!AH260/子基金及业绩基准周净值!AH259-1))</f>
        <v/>
      </c>
      <c r="E219" s="12" t="str">
        <f>IF(A219="","",(MAX(B$3:B219)-B219)/MAX(B$3:B219))</f>
        <v/>
      </c>
      <c r="F219" s="12" t="str">
        <f>IF(A219="","",MAX(E$4:E219))</f>
        <v/>
      </c>
      <c r="H219" s="14" t="str">
        <f t="shared" si="20"/>
        <v/>
      </c>
      <c r="I219" s="14" t="str">
        <f t="shared" si="21"/>
        <v/>
      </c>
      <c r="J219" s="15" t="str">
        <f t="shared" si="22"/>
        <v/>
      </c>
    </row>
    <row r="220" spans="1:10">
      <c r="A220" s="7" t="str">
        <f>IF(子基金及业绩基准周净值!A261="","",子基金及业绩基准周净值!A261)</f>
        <v/>
      </c>
      <c r="B220" s="1" t="str">
        <f>IF(A220="","",VLOOKUP($A220,子基金及业绩基准周净值!$A:$AV,20))</f>
        <v/>
      </c>
      <c r="C220" s="8" t="str">
        <f t="shared" si="19"/>
        <v/>
      </c>
      <c r="D220" s="9" t="str">
        <f>IF(A220="","",C220-(子基金及业绩基准周净值!AH261/子基金及业绩基准周净值!AH260-1))</f>
        <v/>
      </c>
      <c r="E220" s="12" t="str">
        <f>IF(A220="","",(MAX(B$3:B220)-B220)/MAX(B$3:B220))</f>
        <v/>
      </c>
      <c r="F220" s="12" t="str">
        <f>IF(A220="","",MAX(E$4:E220))</f>
        <v/>
      </c>
      <c r="H220" s="14" t="str">
        <f t="shared" si="20"/>
        <v/>
      </c>
      <c r="I220" s="14" t="str">
        <f t="shared" si="21"/>
        <v/>
      </c>
      <c r="J220" s="15" t="str">
        <f t="shared" si="22"/>
        <v/>
      </c>
    </row>
    <row r="221" spans="1:10">
      <c r="A221" s="7" t="str">
        <f>IF(子基金及业绩基准周净值!A262="","",子基金及业绩基准周净值!A262)</f>
        <v/>
      </c>
      <c r="B221" s="1" t="str">
        <f>IF(A221="","",VLOOKUP($A221,子基金及业绩基准周净值!$A:$AV,20))</f>
        <v/>
      </c>
      <c r="C221" s="8" t="str">
        <f t="shared" si="19"/>
        <v/>
      </c>
      <c r="D221" s="9" t="str">
        <f>IF(A221="","",C221-(子基金及业绩基准周净值!AH262/子基金及业绩基准周净值!AH261-1))</f>
        <v/>
      </c>
      <c r="E221" s="12" t="str">
        <f>IF(A221="","",(MAX(B$3:B221)-B221)/MAX(B$3:B221))</f>
        <v/>
      </c>
      <c r="F221" s="12" t="str">
        <f>IF(A221="","",MAX(E$4:E221))</f>
        <v/>
      </c>
      <c r="H221" s="14" t="str">
        <f t="shared" si="20"/>
        <v/>
      </c>
      <c r="I221" s="14" t="str">
        <f t="shared" si="21"/>
        <v/>
      </c>
      <c r="J221" s="15" t="str">
        <f t="shared" si="22"/>
        <v/>
      </c>
    </row>
    <row r="222" spans="1:10">
      <c r="A222" s="7" t="str">
        <f>IF(子基金及业绩基准周净值!A263="","",子基金及业绩基准周净值!A263)</f>
        <v/>
      </c>
      <c r="B222" s="1" t="str">
        <f>IF(A222="","",VLOOKUP($A222,子基金及业绩基准周净值!$A:$AV,20))</f>
        <v/>
      </c>
      <c r="C222" s="8" t="str">
        <f t="shared" si="19"/>
        <v/>
      </c>
      <c r="D222" s="9" t="str">
        <f>IF(A222="","",C222-(子基金及业绩基准周净值!AH263/子基金及业绩基准周净值!AH262-1))</f>
        <v/>
      </c>
      <c r="E222" s="12" t="str">
        <f>IF(A222="","",(MAX(B$3:B222)-B222)/MAX(B$3:B222))</f>
        <v/>
      </c>
      <c r="F222" s="12" t="str">
        <f>IF(A222="","",MAX(E$4:E222))</f>
        <v/>
      </c>
      <c r="H222" s="14" t="str">
        <f t="shared" si="20"/>
        <v/>
      </c>
      <c r="I222" s="14" t="str">
        <f t="shared" si="21"/>
        <v/>
      </c>
      <c r="J222" s="15" t="str">
        <f t="shared" si="22"/>
        <v/>
      </c>
    </row>
    <row r="223" spans="1:10">
      <c r="A223" s="7" t="str">
        <f>IF(子基金及业绩基准周净值!A264="","",子基金及业绩基准周净值!A264)</f>
        <v/>
      </c>
      <c r="B223" s="1" t="str">
        <f>IF(A223="","",VLOOKUP($A223,子基金及业绩基准周净值!$A:$AV,20))</f>
        <v/>
      </c>
      <c r="C223" s="8" t="str">
        <f t="shared" si="19"/>
        <v/>
      </c>
      <c r="D223" s="9" t="str">
        <f>IF(A223="","",C223-(子基金及业绩基准周净值!AH264/子基金及业绩基准周净值!AH263-1))</f>
        <v/>
      </c>
      <c r="E223" s="12" t="str">
        <f>IF(A223="","",(MAX(B$3:B223)-B223)/MAX(B$3:B223))</f>
        <v/>
      </c>
      <c r="F223" s="12" t="str">
        <f>IF(A223="","",MAX(E$4:E223))</f>
        <v/>
      </c>
      <c r="H223" s="14" t="str">
        <f t="shared" si="20"/>
        <v/>
      </c>
      <c r="I223" s="14" t="str">
        <f t="shared" si="21"/>
        <v/>
      </c>
      <c r="J223" s="15" t="str">
        <f t="shared" si="22"/>
        <v/>
      </c>
    </row>
    <row r="224" spans="1:10">
      <c r="A224" s="7" t="str">
        <f>IF(子基金及业绩基准周净值!A265="","",子基金及业绩基准周净值!A265)</f>
        <v/>
      </c>
      <c r="B224" s="1" t="str">
        <f>IF(A224="","",VLOOKUP($A224,子基金及业绩基准周净值!$A:$AV,20))</f>
        <v/>
      </c>
      <c r="C224" s="8" t="str">
        <f t="shared" si="19"/>
        <v/>
      </c>
      <c r="D224" s="9" t="str">
        <f>IF(A224="","",C224-(子基金及业绩基准周净值!AH265/子基金及业绩基准周净值!AH264-1))</f>
        <v/>
      </c>
      <c r="E224" s="12" t="str">
        <f>IF(A224="","",(MAX(B$3:B224)-B224)/MAX(B$3:B224))</f>
        <v/>
      </c>
      <c r="F224" s="12" t="str">
        <f>IF(A224="","",MAX(E$4:E224))</f>
        <v/>
      </c>
      <c r="H224" s="14" t="str">
        <f t="shared" si="20"/>
        <v/>
      </c>
      <c r="I224" s="14" t="str">
        <f t="shared" si="21"/>
        <v/>
      </c>
      <c r="J224" s="15" t="str">
        <f t="shared" si="22"/>
        <v/>
      </c>
    </row>
    <row r="225" spans="1:10">
      <c r="A225" s="7" t="str">
        <f>IF(子基金及业绩基准周净值!A266="","",子基金及业绩基准周净值!A266)</f>
        <v/>
      </c>
      <c r="B225" s="1" t="str">
        <f>IF(A225="","",VLOOKUP($A225,子基金及业绩基准周净值!$A:$AV,20))</f>
        <v/>
      </c>
      <c r="C225" s="8" t="str">
        <f t="shared" si="19"/>
        <v/>
      </c>
      <c r="D225" s="9" t="str">
        <f>IF(A225="","",C225-(子基金及业绩基准周净值!AH266/子基金及业绩基准周净值!AH265-1))</f>
        <v/>
      </c>
      <c r="E225" s="12" t="str">
        <f>IF(A225="","",(MAX(B$3:B225)-B225)/MAX(B$3:B225))</f>
        <v/>
      </c>
      <c r="F225" s="12" t="str">
        <f>IF(A225="","",MAX(E$4:E225))</f>
        <v/>
      </c>
      <c r="H225" s="14" t="str">
        <f t="shared" si="20"/>
        <v/>
      </c>
      <c r="I225" s="14" t="str">
        <f t="shared" si="21"/>
        <v/>
      </c>
      <c r="J225" s="15" t="str">
        <f t="shared" si="22"/>
        <v/>
      </c>
    </row>
    <row r="226" spans="1:10">
      <c r="A226" s="7" t="str">
        <f>IF(子基金及业绩基准周净值!A267="","",子基金及业绩基准周净值!A267)</f>
        <v/>
      </c>
      <c r="B226" s="1" t="str">
        <f>IF(A226="","",VLOOKUP($A226,子基金及业绩基准周净值!$A:$AV,20))</f>
        <v/>
      </c>
      <c r="C226" s="8" t="str">
        <f t="shared" si="19"/>
        <v/>
      </c>
      <c r="D226" s="9" t="str">
        <f>IF(A226="","",C226-(子基金及业绩基准周净值!AH267/子基金及业绩基准周净值!AH266-1))</f>
        <v/>
      </c>
      <c r="E226" s="12" t="str">
        <f>IF(A226="","",(MAX(B$3:B226)-B226)/MAX(B$3:B226))</f>
        <v/>
      </c>
      <c r="F226" s="12" t="str">
        <f>IF(A226="","",MAX(E$4:E226))</f>
        <v/>
      </c>
      <c r="H226" s="14" t="str">
        <f t="shared" si="20"/>
        <v/>
      </c>
      <c r="I226" s="14" t="str">
        <f t="shared" si="21"/>
        <v/>
      </c>
      <c r="J226" s="15" t="str">
        <f t="shared" si="22"/>
        <v/>
      </c>
    </row>
    <row r="227" spans="1:10">
      <c r="A227" s="7" t="str">
        <f>IF(子基金及业绩基准周净值!A268="","",子基金及业绩基准周净值!A268)</f>
        <v/>
      </c>
      <c r="B227" s="1" t="str">
        <f>IF(A227="","",VLOOKUP($A227,子基金及业绩基准周净值!$A:$AV,20))</f>
        <v/>
      </c>
      <c r="C227" s="8" t="str">
        <f t="shared" si="19"/>
        <v/>
      </c>
      <c r="D227" s="9" t="str">
        <f>IF(A227="","",C227-(子基金及业绩基准周净值!AH268/子基金及业绩基准周净值!AH267-1))</f>
        <v/>
      </c>
      <c r="E227" s="12" t="str">
        <f>IF(A227="","",(MAX(B$3:B227)-B227)/MAX(B$3:B227))</f>
        <v/>
      </c>
      <c r="F227" s="12" t="str">
        <f>IF(A227="","",MAX(E$4:E227))</f>
        <v/>
      </c>
      <c r="H227" s="14" t="str">
        <f t="shared" si="20"/>
        <v/>
      </c>
      <c r="I227" s="14" t="str">
        <f t="shared" si="21"/>
        <v/>
      </c>
      <c r="J227" s="15" t="str">
        <f t="shared" si="22"/>
        <v/>
      </c>
    </row>
    <row r="228" spans="1:10">
      <c r="A228" s="7" t="str">
        <f>IF(子基金及业绩基准周净值!A269="","",子基金及业绩基准周净值!A269)</f>
        <v/>
      </c>
      <c r="B228" s="1" t="str">
        <f>IF(A228="","",VLOOKUP($A228,子基金及业绩基准周净值!$A:$AV,20))</f>
        <v/>
      </c>
      <c r="C228" s="8" t="str">
        <f t="shared" si="19"/>
        <v/>
      </c>
      <c r="D228" s="9" t="str">
        <f>IF(A228="","",C228-(子基金及业绩基准周净值!AH269/子基金及业绩基准周净值!AH268-1))</f>
        <v/>
      </c>
      <c r="E228" s="12" t="str">
        <f>IF(A228="","",(MAX(B$3:B228)-B228)/MAX(B$3:B228))</f>
        <v/>
      </c>
      <c r="F228" s="12" t="str">
        <f>IF(A228="","",MAX(E$4:E228))</f>
        <v/>
      </c>
      <c r="H228" s="14" t="str">
        <f t="shared" si="20"/>
        <v/>
      </c>
      <c r="I228" s="14" t="str">
        <f t="shared" si="21"/>
        <v/>
      </c>
      <c r="J228" s="15" t="str">
        <f t="shared" si="22"/>
        <v/>
      </c>
    </row>
    <row r="229" spans="1:10">
      <c r="A229" s="7" t="str">
        <f>IF(子基金及业绩基准周净值!A270="","",子基金及业绩基准周净值!A270)</f>
        <v/>
      </c>
      <c r="B229" s="1" t="str">
        <f>IF(A229="","",VLOOKUP($A229,子基金及业绩基准周净值!$A:$AV,20))</f>
        <v/>
      </c>
      <c r="C229" s="8" t="str">
        <f t="shared" si="19"/>
        <v/>
      </c>
      <c r="D229" s="9" t="str">
        <f>IF(A229="","",C229-(子基金及业绩基准周净值!AH270/子基金及业绩基准周净值!AH269-1))</f>
        <v/>
      </c>
      <c r="E229" s="12" t="str">
        <f>IF(A229="","",(MAX(B$3:B229)-B229)/MAX(B$3:B229))</f>
        <v/>
      </c>
      <c r="F229" s="12" t="str">
        <f>IF(A229="","",MAX(E$4:E229))</f>
        <v/>
      </c>
      <c r="H229" s="14" t="str">
        <f t="shared" si="20"/>
        <v/>
      </c>
      <c r="I229" s="14" t="str">
        <f t="shared" si="21"/>
        <v/>
      </c>
      <c r="J229" s="15" t="str">
        <f t="shared" si="22"/>
        <v/>
      </c>
    </row>
    <row r="230" spans="1:10">
      <c r="A230" s="7" t="str">
        <f>IF(子基金及业绩基准周净值!A271="","",子基金及业绩基准周净值!A271)</f>
        <v/>
      </c>
      <c r="B230" s="1" t="str">
        <f>IF(A230="","",VLOOKUP($A230,子基金及业绩基准周净值!$A:$AV,20))</f>
        <v/>
      </c>
      <c r="C230" s="8" t="str">
        <f t="shared" si="19"/>
        <v/>
      </c>
      <c r="D230" s="9" t="str">
        <f>IF(A230="","",C230-(子基金及业绩基准周净值!AH271/子基金及业绩基准周净值!AH270-1))</f>
        <v/>
      </c>
      <c r="E230" s="12" t="str">
        <f>IF(A230="","",(MAX(B$3:B230)-B230)/MAX(B$3:B230))</f>
        <v/>
      </c>
      <c r="F230" s="12" t="str">
        <f>IF(A230="","",MAX(E$4:E230))</f>
        <v/>
      </c>
      <c r="H230" s="14" t="str">
        <f t="shared" si="20"/>
        <v/>
      </c>
      <c r="I230" s="14" t="str">
        <f t="shared" si="21"/>
        <v/>
      </c>
      <c r="J230" s="15" t="str">
        <f t="shared" si="22"/>
        <v/>
      </c>
    </row>
    <row r="231" spans="1:10">
      <c r="A231" s="7" t="str">
        <f>IF(子基金及业绩基准周净值!A272="","",子基金及业绩基准周净值!A272)</f>
        <v/>
      </c>
      <c r="B231" s="1" t="str">
        <f>IF(A231="","",VLOOKUP($A231,子基金及业绩基准周净值!$A:$AV,20))</f>
        <v/>
      </c>
      <c r="C231" s="8" t="str">
        <f t="shared" si="19"/>
        <v/>
      </c>
      <c r="D231" s="9" t="str">
        <f>IF(A231="","",C231-(子基金及业绩基准周净值!AH272/子基金及业绩基准周净值!AH271-1))</f>
        <v/>
      </c>
      <c r="E231" s="12" t="str">
        <f>IF(A231="","",(MAX(B$3:B231)-B231)/MAX(B$3:B231))</f>
        <v/>
      </c>
      <c r="F231" s="12" t="str">
        <f>IF(A231="","",MAX(E$4:E231))</f>
        <v/>
      </c>
      <c r="H231" s="14" t="str">
        <f t="shared" si="20"/>
        <v/>
      </c>
      <c r="I231" s="14" t="str">
        <f t="shared" si="21"/>
        <v/>
      </c>
      <c r="J231" s="15" t="str">
        <f t="shared" si="22"/>
        <v/>
      </c>
    </row>
    <row r="232" spans="1:10">
      <c r="A232" s="7" t="str">
        <f>IF(子基金及业绩基准周净值!A273="","",子基金及业绩基准周净值!A273)</f>
        <v/>
      </c>
      <c r="B232" s="1" t="str">
        <f>IF(A232="","",VLOOKUP($A232,子基金及业绩基准周净值!$A:$AV,20))</f>
        <v/>
      </c>
      <c r="C232" s="8" t="str">
        <f t="shared" si="19"/>
        <v/>
      </c>
      <c r="D232" s="9" t="str">
        <f>IF(A232="","",C232-(子基金及业绩基准周净值!AH273/子基金及业绩基准周净值!AH272-1))</f>
        <v/>
      </c>
      <c r="E232" s="12" t="str">
        <f>IF(A232="","",(MAX(B$3:B232)-B232)/MAX(B$3:B232))</f>
        <v/>
      </c>
      <c r="F232" s="12" t="str">
        <f>IF(A232="","",MAX(E$4:E232))</f>
        <v/>
      </c>
      <c r="H232" s="14" t="str">
        <f t="shared" si="20"/>
        <v/>
      </c>
      <c r="I232" s="14" t="str">
        <f t="shared" si="21"/>
        <v/>
      </c>
      <c r="J232" s="15" t="str">
        <f t="shared" si="22"/>
        <v/>
      </c>
    </row>
    <row r="233" spans="1:10">
      <c r="A233" s="7" t="str">
        <f>IF(子基金及业绩基准周净值!A274="","",子基金及业绩基准周净值!A274)</f>
        <v/>
      </c>
      <c r="B233" s="1" t="str">
        <f>IF(A233="","",VLOOKUP($A233,子基金及业绩基准周净值!$A:$AV,20))</f>
        <v/>
      </c>
      <c r="C233" s="8" t="str">
        <f t="shared" si="19"/>
        <v/>
      </c>
      <c r="D233" s="9" t="str">
        <f>IF(A233="","",C233-(子基金及业绩基准周净值!AH274/子基金及业绩基准周净值!AH273-1))</f>
        <v/>
      </c>
      <c r="E233" s="12" t="str">
        <f>IF(A233="","",(MAX(B$3:B233)-B233)/MAX(B$3:B233))</f>
        <v/>
      </c>
      <c r="F233" s="12" t="str">
        <f>IF(A233="","",MAX(E$4:E233))</f>
        <v/>
      </c>
      <c r="H233" s="14" t="str">
        <f t="shared" si="20"/>
        <v/>
      </c>
      <c r="I233" s="14" t="str">
        <f t="shared" si="21"/>
        <v/>
      </c>
      <c r="J233" s="15" t="str">
        <f t="shared" si="22"/>
        <v/>
      </c>
    </row>
    <row r="234" spans="1:10">
      <c r="A234" s="7" t="str">
        <f>IF(子基金及业绩基准周净值!A275="","",子基金及业绩基准周净值!A275)</f>
        <v/>
      </c>
      <c r="B234" s="1" t="str">
        <f>IF(A234="","",VLOOKUP($A234,子基金及业绩基准周净值!$A:$AV,20))</f>
        <v/>
      </c>
      <c r="C234" s="8" t="str">
        <f t="shared" si="19"/>
        <v/>
      </c>
      <c r="D234" s="9" t="str">
        <f>IF(A234="","",C234-(子基金及业绩基准周净值!AH275/子基金及业绩基准周净值!AH274-1))</f>
        <v/>
      </c>
      <c r="E234" s="12" t="str">
        <f>IF(A234="","",(MAX(B$3:B234)-B234)/MAX(B$3:B234))</f>
        <v/>
      </c>
      <c r="F234" s="12" t="str">
        <f>IF(A234="","",MAX(E$4:E234))</f>
        <v/>
      </c>
      <c r="H234" s="14" t="str">
        <f t="shared" si="20"/>
        <v/>
      </c>
      <c r="I234" s="14" t="str">
        <f t="shared" si="21"/>
        <v/>
      </c>
      <c r="J234" s="15" t="str">
        <f t="shared" si="22"/>
        <v/>
      </c>
    </row>
    <row r="235" spans="1:10">
      <c r="A235" s="7" t="str">
        <f>IF(子基金及业绩基准周净值!A276="","",子基金及业绩基准周净值!A276)</f>
        <v/>
      </c>
      <c r="B235" s="1" t="str">
        <f>IF(A235="","",VLOOKUP($A235,子基金及业绩基准周净值!$A:$AV,20))</f>
        <v/>
      </c>
      <c r="C235" s="8" t="str">
        <f t="shared" si="19"/>
        <v/>
      </c>
      <c r="D235" s="9" t="str">
        <f>IF(A235="","",C235-(子基金及业绩基准周净值!AH276/子基金及业绩基准周净值!AH275-1))</f>
        <v/>
      </c>
      <c r="E235" s="12" t="str">
        <f>IF(A235="","",(MAX(B$3:B235)-B235)/MAX(B$3:B235))</f>
        <v/>
      </c>
      <c r="F235" s="12" t="str">
        <f>IF(A235="","",MAX(E$4:E235))</f>
        <v/>
      </c>
      <c r="H235" s="14" t="str">
        <f t="shared" si="20"/>
        <v/>
      </c>
      <c r="I235" s="14" t="str">
        <f t="shared" si="21"/>
        <v/>
      </c>
      <c r="J235" s="15" t="str">
        <f t="shared" si="22"/>
        <v/>
      </c>
    </row>
    <row r="236" spans="1:10">
      <c r="A236" s="7" t="str">
        <f>IF(子基金及业绩基准周净值!A277="","",子基金及业绩基准周净值!A277)</f>
        <v/>
      </c>
      <c r="B236" s="1" t="str">
        <f>IF(A236="","",VLOOKUP($A236,子基金及业绩基准周净值!$A:$AV,20))</f>
        <v/>
      </c>
      <c r="C236" s="8" t="str">
        <f t="shared" si="19"/>
        <v/>
      </c>
      <c r="D236" s="9" t="str">
        <f>IF(A236="","",C236-(子基金及业绩基准周净值!AH277/子基金及业绩基准周净值!AH276-1))</f>
        <v/>
      </c>
      <c r="E236" s="12" t="str">
        <f>IF(A236="","",(MAX(B$3:B236)-B236)/MAX(B$3:B236))</f>
        <v/>
      </c>
      <c r="F236" s="12" t="str">
        <f>IF(A236="","",MAX(E$4:E236))</f>
        <v/>
      </c>
      <c r="H236" s="14" t="str">
        <f t="shared" si="20"/>
        <v/>
      </c>
      <c r="I236" s="14" t="str">
        <f t="shared" si="21"/>
        <v/>
      </c>
      <c r="J236" s="15" t="str">
        <f t="shared" si="22"/>
        <v/>
      </c>
    </row>
    <row r="237" spans="1:10">
      <c r="A237" s="7" t="str">
        <f>IF(子基金及业绩基准周净值!A278="","",子基金及业绩基准周净值!A278)</f>
        <v/>
      </c>
      <c r="B237" s="1" t="str">
        <f>IF(A237="","",VLOOKUP($A237,子基金及业绩基准周净值!$A:$AV,20))</f>
        <v/>
      </c>
      <c r="C237" s="8" t="str">
        <f t="shared" si="19"/>
        <v/>
      </c>
      <c r="D237" s="9" t="str">
        <f>IF(A237="","",C237-(子基金及业绩基准周净值!AH278/子基金及业绩基准周净值!AH277-1))</f>
        <v/>
      </c>
      <c r="E237" s="12" t="str">
        <f>IF(A237="","",(MAX(B$3:B237)-B237)/MAX(B$3:B237))</f>
        <v/>
      </c>
      <c r="F237" s="12" t="str">
        <f>IF(A237="","",MAX(E$4:E237))</f>
        <v/>
      </c>
      <c r="H237" s="14" t="str">
        <f t="shared" si="20"/>
        <v/>
      </c>
      <c r="I237" s="14" t="str">
        <f t="shared" si="21"/>
        <v/>
      </c>
      <c r="J237" s="15" t="str">
        <f t="shared" si="22"/>
        <v/>
      </c>
    </row>
    <row r="238" spans="1:10">
      <c r="A238" s="7" t="str">
        <f>IF(子基金及业绩基准周净值!A279="","",子基金及业绩基准周净值!A279)</f>
        <v/>
      </c>
      <c r="B238" s="1" t="str">
        <f>IF(A238="","",VLOOKUP($A238,子基金及业绩基准周净值!$A:$AV,20))</f>
        <v/>
      </c>
      <c r="C238" s="8" t="str">
        <f t="shared" si="19"/>
        <v/>
      </c>
      <c r="D238" s="9" t="str">
        <f>IF(A238="","",C238-(子基金及业绩基准周净值!AH279/子基金及业绩基准周净值!AH278-1))</f>
        <v/>
      </c>
      <c r="E238" s="12" t="str">
        <f>IF(A238="","",(MAX(B$3:B238)-B238)/MAX(B$3:B238))</f>
        <v/>
      </c>
      <c r="F238" s="12" t="str">
        <f>IF(A238="","",MAX(E$4:E238))</f>
        <v/>
      </c>
      <c r="H238" s="14" t="str">
        <f t="shared" si="20"/>
        <v/>
      </c>
      <c r="I238" s="14" t="str">
        <f t="shared" si="21"/>
        <v/>
      </c>
      <c r="J238" s="15" t="str">
        <f t="shared" si="22"/>
        <v/>
      </c>
    </row>
    <row r="239" spans="1:10">
      <c r="A239" s="7" t="str">
        <f>IF(子基金及业绩基准周净值!A280="","",子基金及业绩基准周净值!A280)</f>
        <v/>
      </c>
      <c r="B239" s="1" t="str">
        <f>IF(A239="","",VLOOKUP($A239,子基金及业绩基准周净值!$A:$AV,20))</f>
        <v/>
      </c>
      <c r="C239" s="8" t="str">
        <f t="shared" si="19"/>
        <v/>
      </c>
      <c r="D239" s="9" t="str">
        <f>IF(A239="","",C239-(子基金及业绩基准周净值!AH280/子基金及业绩基准周净值!AH279-1))</f>
        <v/>
      </c>
      <c r="E239" s="12" t="str">
        <f>IF(A239="","",(MAX(B$3:B239)-B239)/MAX(B$3:B239))</f>
        <v/>
      </c>
      <c r="F239" s="12" t="str">
        <f>IF(A239="","",MAX(E$4:E239))</f>
        <v/>
      </c>
      <c r="H239" s="14" t="str">
        <f t="shared" si="20"/>
        <v/>
      </c>
      <c r="I239" s="14" t="str">
        <f t="shared" si="21"/>
        <v/>
      </c>
      <c r="J239" s="15" t="str">
        <f t="shared" si="22"/>
        <v/>
      </c>
    </row>
    <row r="240" spans="1:10">
      <c r="A240" s="7" t="str">
        <f>IF(子基金及业绩基准周净值!A281="","",子基金及业绩基准周净值!A281)</f>
        <v/>
      </c>
      <c r="B240" s="1" t="str">
        <f>IF(A240="","",VLOOKUP($A240,子基金及业绩基准周净值!$A:$AV,20))</f>
        <v/>
      </c>
      <c r="C240" s="8" t="str">
        <f t="shared" si="19"/>
        <v/>
      </c>
      <c r="D240" s="9" t="str">
        <f>IF(A240="","",C240-(子基金及业绩基准周净值!AH281/子基金及业绩基准周净值!AH280-1))</f>
        <v/>
      </c>
      <c r="E240" s="12" t="str">
        <f>IF(A240="","",(MAX(B$3:B240)-B240)/MAX(B$3:B240))</f>
        <v/>
      </c>
      <c r="F240" s="12" t="str">
        <f>IF(A240="","",MAX(E$4:E240))</f>
        <v/>
      </c>
      <c r="H240" s="14" t="str">
        <f t="shared" si="20"/>
        <v/>
      </c>
      <c r="I240" s="14" t="str">
        <f t="shared" si="21"/>
        <v/>
      </c>
      <c r="J240" s="15" t="str">
        <f t="shared" si="22"/>
        <v/>
      </c>
    </row>
    <row r="241" spans="1:10">
      <c r="A241" s="7" t="str">
        <f>IF(子基金及业绩基准周净值!A282="","",子基金及业绩基准周净值!A282)</f>
        <v/>
      </c>
      <c r="B241" s="1" t="str">
        <f>IF(A241="","",VLOOKUP($A241,子基金及业绩基准周净值!$A:$AV,20))</f>
        <v/>
      </c>
      <c r="C241" s="8" t="str">
        <f t="shared" si="19"/>
        <v/>
      </c>
      <c r="D241" s="9" t="str">
        <f>IF(A241="","",C241-(子基金及业绩基准周净值!AH282/子基金及业绩基准周净值!AH281-1))</f>
        <v/>
      </c>
      <c r="E241" s="12" t="str">
        <f>IF(A241="","",(MAX(B$3:B241)-B241)/MAX(B$3:B241))</f>
        <v/>
      </c>
      <c r="F241" s="12" t="str">
        <f>IF(A241="","",MAX(E$4:E241))</f>
        <v/>
      </c>
      <c r="H241" s="14" t="str">
        <f t="shared" si="20"/>
        <v/>
      </c>
      <c r="I241" s="14" t="str">
        <f t="shared" si="21"/>
        <v/>
      </c>
      <c r="J241" s="15" t="str">
        <f t="shared" si="22"/>
        <v/>
      </c>
    </row>
    <row r="242" spans="1:10">
      <c r="A242" s="7" t="str">
        <f>IF(子基金及业绩基准周净值!A283="","",子基金及业绩基准周净值!A283)</f>
        <v/>
      </c>
      <c r="B242" s="1" t="str">
        <f>IF(A242="","",VLOOKUP($A242,子基金及业绩基准周净值!$A:$AV,20))</f>
        <v/>
      </c>
      <c r="C242" s="8" t="str">
        <f t="shared" si="19"/>
        <v/>
      </c>
      <c r="D242" s="9" t="str">
        <f>IF(A242="","",C242-(子基金及业绩基准周净值!AH283/子基金及业绩基准周净值!AH282-1))</f>
        <v/>
      </c>
      <c r="E242" s="12" t="str">
        <f>IF(A242="","",(MAX(B$3:B242)-B242)/MAX(B$3:B242))</f>
        <v/>
      </c>
      <c r="F242" s="12" t="str">
        <f>IF(A242="","",MAX(E$4:E242))</f>
        <v/>
      </c>
      <c r="H242" s="14" t="str">
        <f t="shared" si="20"/>
        <v/>
      </c>
      <c r="I242" s="14" t="str">
        <f t="shared" si="21"/>
        <v/>
      </c>
      <c r="J242" s="15" t="str">
        <f t="shared" si="22"/>
        <v/>
      </c>
    </row>
    <row r="243" spans="1:10">
      <c r="A243" s="7" t="str">
        <f>IF(子基金及业绩基准周净值!A284="","",子基金及业绩基准周净值!A284)</f>
        <v/>
      </c>
      <c r="B243" s="1" t="str">
        <f>IF(A243="","",VLOOKUP($A243,子基金及业绩基准周净值!$A:$AV,20))</f>
        <v/>
      </c>
      <c r="C243" s="8" t="str">
        <f t="shared" si="19"/>
        <v/>
      </c>
      <c r="D243" s="9" t="str">
        <f>IF(A243="","",C243-(子基金及业绩基准周净值!AH284/子基金及业绩基准周净值!AH283-1))</f>
        <v/>
      </c>
      <c r="E243" s="12" t="str">
        <f>IF(A243="","",(MAX(B$3:B243)-B243)/MAX(B$3:B243))</f>
        <v/>
      </c>
      <c r="F243" s="12" t="str">
        <f>IF(A243="","",MAX(E$4:E243))</f>
        <v/>
      </c>
      <c r="H243" s="14" t="str">
        <f t="shared" si="20"/>
        <v/>
      </c>
      <c r="I243" s="14" t="str">
        <f t="shared" si="21"/>
        <v/>
      </c>
      <c r="J243" s="15" t="str">
        <f t="shared" si="22"/>
        <v/>
      </c>
    </row>
    <row r="244" spans="1:10">
      <c r="A244" s="7" t="str">
        <f>IF(子基金及业绩基准周净值!A285="","",子基金及业绩基准周净值!A285)</f>
        <v/>
      </c>
      <c r="B244" s="1" t="str">
        <f>IF(A244="","",VLOOKUP($A244,子基金及业绩基准周净值!$A:$AV,20))</f>
        <v/>
      </c>
      <c r="C244" s="8" t="str">
        <f t="shared" si="19"/>
        <v/>
      </c>
      <c r="D244" s="9" t="str">
        <f>IF(A244="","",C244-(子基金及业绩基准周净值!AH285/子基金及业绩基准周净值!AH284-1))</f>
        <v/>
      </c>
      <c r="E244" s="12" t="str">
        <f>IF(A244="","",(MAX(B$3:B244)-B244)/MAX(B$3:B244))</f>
        <v/>
      </c>
      <c r="F244" s="12" t="str">
        <f>IF(A244="","",MAX(E$4:E244))</f>
        <v/>
      </c>
      <c r="H244" s="14" t="str">
        <f t="shared" si="20"/>
        <v/>
      </c>
      <c r="I244" s="14" t="str">
        <f t="shared" si="21"/>
        <v/>
      </c>
      <c r="J244" s="15" t="str">
        <f t="shared" si="22"/>
        <v/>
      </c>
    </row>
    <row r="245" spans="1:10">
      <c r="A245" s="7" t="str">
        <f>IF(子基金及业绩基准周净值!A286="","",子基金及业绩基准周净值!A286)</f>
        <v/>
      </c>
      <c r="B245" s="1" t="str">
        <f>IF(A245="","",VLOOKUP($A245,子基金及业绩基准周净值!$A:$AV,20))</f>
        <v/>
      </c>
      <c r="C245" s="8" t="str">
        <f t="shared" si="19"/>
        <v/>
      </c>
      <c r="D245" s="9" t="str">
        <f>IF(A245="","",C245-(子基金及业绩基准周净值!AH286/子基金及业绩基准周净值!AH285-1))</f>
        <v/>
      </c>
      <c r="E245" s="12" t="str">
        <f>IF(A245="","",(MAX(B$3:B245)-B245)/MAX(B$3:B245))</f>
        <v/>
      </c>
      <c r="F245" s="12" t="str">
        <f>IF(A245="","",MAX(E$4:E245))</f>
        <v/>
      </c>
      <c r="H245" s="14" t="str">
        <f t="shared" si="20"/>
        <v/>
      </c>
      <c r="I245" s="14" t="str">
        <f t="shared" si="21"/>
        <v/>
      </c>
      <c r="J245" s="15" t="str">
        <f t="shared" si="22"/>
        <v/>
      </c>
    </row>
    <row r="246" spans="1:10">
      <c r="A246" s="7" t="str">
        <f>IF(子基金及业绩基准周净值!A287="","",子基金及业绩基准周净值!A287)</f>
        <v/>
      </c>
      <c r="B246" s="1" t="str">
        <f>IF(A246="","",VLOOKUP($A246,子基金及业绩基准周净值!$A:$AV,20))</f>
        <v/>
      </c>
      <c r="C246" s="8" t="str">
        <f t="shared" si="19"/>
        <v/>
      </c>
      <c r="D246" s="9" t="str">
        <f>IF(A246="","",C246-(子基金及业绩基准周净值!AH287/子基金及业绩基准周净值!AH286-1))</f>
        <v/>
      </c>
      <c r="E246" s="12" t="str">
        <f>IF(A246="","",(MAX(B$3:B246)-B246)/MAX(B$3:B246))</f>
        <v/>
      </c>
      <c r="F246" s="12" t="str">
        <f>IF(A246="","",MAX(E$4:E246))</f>
        <v/>
      </c>
      <c r="H246" s="14" t="str">
        <f t="shared" si="20"/>
        <v/>
      </c>
      <c r="I246" s="14" t="str">
        <f t="shared" si="21"/>
        <v/>
      </c>
      <c r="J246" s="15" t="str">
        <f t="shared" si="22"/>
        <v/>
      </c>
    </row>
    <row r="247" spans="1:10">
      <c r="A247" s="7" t="str">
        <f>IF(子基金及业绩基准周净值!A288="","",子基金及业绩基准周净值!A288)</f>
        <v/>
      </c>
      <c r="B247" s="1" t="str">
        <f>IF(A247="","",VLOOKUP($A247,子基金及业绩基准周净值!$A:$AV,20))</f>
        <v/>
      </c>
      <c r="C247" s="8" t="str">
        <f t="shared" si="19"/>
        <v/>
      </c>
      <c r="D247" s="9" t="str">
        <f>IF(A247="","",C247-(子基金及业绩基准周净值!AH288/子基金及业绩基准周净值!AH287-1))</f>
        <v/>
      </c>
      <c r="E247" s="12" t="str">
        <f>IF(A247="","",(MAX(B$3:B247)-B247)/MAX(B$3:B247))</f>
        <v/>
      </c>
      <c r="F247" s="12" t="str">
        <f>IF(A247="","",MAX(E$4:E247))</f>
        <v/>
      </c>
      <c r="H247" s="14" t="str">
        <f t="shared" si="20"/>
        <v/>
      </c>
      <c r="I247" s="14" t="str">
        <f t="shared" si="21"/>
        <v/>
      </c>
      <c r="J247" s="15" t="str">
        <f t="shared" si="22"/>
        <v/>
      </c>
    </row>
    <row r="248" spans="1:10">
      <c r="A248" s="7" t="str">
        <f>IF(子基金及业绩基准周净值!A289="","",子基金及业绩基准周净值!A289)</f>
        <v/>
      </c>
      <c r="B248" s="1" t="str">
        <f>IF(A248="","",VLOOKUP($A248,子基金及业绩基准周净值!$A:$AV,20))</f>
        <v/>
      </c>
      <c r="C248" s="8" t="str">
        <f t="shared" si="19"/>
        <v/>
      </c>
      <c r="D248" s="9" t="str">
        <f>IF(A248="","",C248-(子基金及业绩基准周净值!AH289/子基金及业绩基准周净值!AH288-1))</f>
        <v/>
      </c>
      <c r="E248" s="12" t="str">
        <f>IF(A248="","",(MAX(B$3:B248)-B248)/MAX(B$3:B248))</f>
        <v/>
      </c>
      <c r="F248" s="12" t="str">
        <f>IF(A248="","",MAX(E$4:E248))</f>
        <v/>
      </c>
      <c r="H248" s="14" t="str">
        <f t="shared" si="20"/>
        <v/>
      </c>
      <c r="I248" s="14" t="str">
        <f t="shared" si="21"/>
        <v/>
      </c>
      <c r="J248" s="15" t="str">
        <f t="shared" si="22"/>
        <v/>
      </c>
    </row>
    <row r="249" spans="1:10">
      <c r="A249" s="7" t="str">
        <f>IF(子基金及业绩基准周净值!A290="","",子基金及业绩基准周净值!A290)</f>
        <v/>
      </c>
      <c r="B249" s="1" t="str">
        <f>IF(A249="","",VLOOKUP($A249,子基金及业绩基准周净值!$A:$AV,20))</f>
        <v/>
      </c>
      <c r="C249" s="8" t="str">
        <f t="shared" si="19"/>
        <v/>
      </c>
      <c r="D249" s="9" t="str">
        <f>IF(A249="","",C249-(子基金及业绩基准周净值!AH290/子基金及业绩基准周净值!AH289-1))</f>
        <v/>
      </c>
      <c r="E249" s="12" t="str">
        <f>IF(A249="","",(MAX(B$3:B249)-B249)/MAX(B$3:B249))</f>
        <v/>
      </c>
      <c r="F249" s="12" t="str">
        <f>IF(A249="","",MAX(E$4:E249))</f>
        <v/>
      </c>
      <c r="H249" s="14" t="str">
        <f t="shared" si="20"/>
        <v/>
      </c>
      <c r="I249" s="14" t="str">
        <f t="shared" si="21"/>
        <v/>
      </c>
      <c r="J249" s="15" t="str">
        <f t="shared" si="22"/>
        <v/>
      </c>
    </row>
    <row r="250" spans="1:10">
      <c r="A250" s="7" t="str">
        <f>IF(子基金及业绩基准周净值!A291="","",子基金及业绩基准周净值!A291)</f>
        <v/>
      </c>
      <c r="B250" s="1" t="str">
        <f>IF(A250="","",VLOOKUP($A250,子基金及业绩基准周净值!$A:$AV,20))</f>
        <v/>
      </c>
      <c r="C250" s="8" t="str">
        <f t="shared" si="19"/>
        <v/>
      </c>
      <c r="D250" s="9" t="str">
        <f>IF(A250="","",C250-(子基金及业绩基准周净值!AH291/子基金及业绩基准周净值!AH290-1))</f>
        <v/>
      </c>
      <c r="E250" s="12" t="str">
        <f>IF(A250="","",(MAX(B$3:B250)-B250)/MAX(B$3:B250))</f>
        <v/>
      </c>
      <c r="F250" s="12" t="str">
        <f>IF(A250="","",MAX(E$4:E250))</f>
        <v/>
      </c>
      <c r="H250" s="14" t="str">
        <f t="shared" si="20"/>
        <v/>
      </c>
      <c r="I250" s="14" t="str">
        <f t="shared" si="21"/>
        <v/>
      </c>
      <c r="J250" s="15" t="str">
        <f t="shared" si="22"/>
        <v/>
      </c>
    </row>
    <row r="251" spans="1:10">
      <c r="A251" s="7" t="str">
        <f>IF(子基金及业绩基准周净值!A292="","",子基金及业绩基准周净值!A292)</f>
        <v/>
      </c>
      <c r="B251" s="1" t="str">
        <f>IF(A251="","",VLOOKUP($A251,子基金及业绩基准周净值!$A:$AV,20))</f>
        <v/>
      </c>
      <c r="C251" s="8" t="str">
        <f t="shared" si="19"/>
        <v/>
      </c>
      <c r="D251" s="9" t="str">
        <f>IF(A251="","",C251-(子基金及业绩基准周净值!AH292/子基金及业绩基准周净值!AH291-1))</f>
        <v/>
      </c>
      <c r="E251" s="12" t="str">
        <f>IF(A251="","",(MAX(B$3:B251)-B251)/MAX(B$3:B251))</f>
        <v/>
      </c>
      <c r="F251" s="12" t="str">
        <f>IF(A251="","",MAX(E$4:E251))</f>
        <v/>
      </c>
      <c r="H251" s="14" t="str">
        <f t="shared" si="20"/>
        <v/>
      </c>
      <c r="I251" s="14" t="str">
        <f t="shared" si="21"/>
        <v/>
      </c>
      <c r="J251" s="15" t="str">
        <f t="shared" si="22"/>
        <v/>
      </c>
    </row>
    <row r="252" spans="1:10">
      <c r="A252" s="7" t="str">
        <f>IF(子基金及业绩基准周净值!A293="","",子基金及业绩基准周净值!A293)</f>
        <v/>
      </c>
      <c r="B252" s="1" t="str">
        <f>IF(A252="","",VLOOKUP($A252,子基金及业绩基准周净值!$A:$AV,20))</f>
        <v/>
      </c>
      <c r="C252" s="8" t="str">
        <f t="shared" si="19"/>
        <v/>
      </c>
      <c r="D252" s="9" t="str">
        <f>IF(A252="","",C252-(子基金及业绩基准周净值!AH293/子基金及业绩基准周净值!AH292-1))</f>
        <v/>
      </c>
      <c r="E252" s="12" t="str">
        <f>IF(A252="","",(MAX(B$3:B252)-B252)/MAX(B$3:B252))</f>
        <v/>
      </c>
      <c r="F252" s="12" t="str">
        <f>IF(A252="","",MAX(E$4:E252))</f>
        <v/>
      </c>
      <c r="H252" s="14" t="str">
        <f t="shared" si="20"/>
        <v/>
      </c>
      <c r="I252" s="14" t="str">
        <f t="shared" si="21"/>
        <v/>
      </c>
      <c r="J252" s="15" t="str">
        <f t="shared" si="22"/>
        <v/>
      </c>
    </row>
    <row r="253" spans="1:10">
      <c r="A253" s="7" t="str">
        <f>IF(子基金及业绩基准周净值!A294="","",子基金及业绩基准周净值!A294)</f>
        <v/>
      </c>
      <c r="B253" s="1" t="str">
        <f>IF(A253="","",VLOOKUP($A253,子基金及业绩基准周净值!$A:$AV,20))</f>
        <v/>
      </c>
      <c r="C253" s="8" t="str">
        <f t="shared" si="19"/>
        <v/>
      </c>
      <c r="D253" s="9" t="str">
        <f>IF(A253="","",C253-(子基金及业绩基准周净值!AH294/子基金及业绩基准周净值!AH293-1))</f>
        <v/>
      </c>
      <c r="E253" s="12" t="str">
        <f>IF(A253="","",(MAX(B$3:B253)-B253)/MAX(B$3:B253))</f>
        <v/>
      </c>
      <c r="F253" s="12" t="str">
        <f>IF(A253="","",MAX(E$4:E253))</f>
        <v/>
      </c>
      <c r="H253" s="14" t="str">
        <f t="shared" si="20"/>
        <v/>
      </c>
      <c r="I253" s="14" t="str">
        <f t="shared" si="21"/>
        <v/>
      </c>
      <c r="J253" s="15" t="str">
        <f t="shared" si="22"/>
        <v/>
      </c>
    </row>
    <row r="254" spans="1:10">
      <c r="A254" s="7" t="str">
        <f>IF(子基金及业绩基准周净值!A295="","",子基金及业绩基准周净值!A295)</f>
        <v/>
      </c>
      <c r="B254" s="1" t="str">
        <f>IF(A254="","",VLOOKUP($A254,子基金及业绩基准周净值!$A:$AV,20))</f>
        <v/>
      </c>
      <c r="C254" s="8" t="str">
        <f t="shared" si="19"/>
        <v/>
      </c>
      <c r="D254" s="9" t="str">
        <f>IF(A254="","",C254-(子基金及业绩基准周净值!AH295/子基金及业绩基准周净值!AH294-1))</f>
        <v/>
      </c>
      <c r="E254" s="12" t="str">
        <f>IF(A254="","",(MAX(B$3:B254)-B254)/MAX(B$3:B254))</f>
        <v/>
      </c>
      <c r="F254" s="12" t="str">
        <f>IF(A254="","",MAX(E$4:E254))</f>
        <v/>
      </c>
      <c r="H254" s="14" t="str">
        <f t="shared" si="20"/>
        <v/>
      </c>
      <c r="I254" s="14" t="str">
        <f t="shared" si="21"/>
        <v/>
      </c>
      <c r="J254" s="15" t="str">
        <f t="shared" si="22"/>
        <v/>
      </c>
    </row>
    <row r="255" spans="1:10">
      <c r="A255" s="7" t="str">
        <f>IF(子基金及业绩基准周净值!A296="","",子基金及业绩基准周净值!A296)</f>
        <v/>
      </c>
      <c r="B255" s="1" t="str">
        <f>IF(A255="","",VLOOKUP($A255,子基金及业绩基准周净值!$A:$AV,20))</f>
        <v/>
      </c>
      <c r="C255" s="8" t="str">
        <f t="shared" si="19"/>
        <v/>
      </c>
      <c r="D255" s="9" t="str">
        <f>IF(A255="","",C255-(子基金及业绩基准周净值!AH296/子基金及业绩基准周净值!AH295-1))</f>
        <v/>
      </c>
      <c r="E255" s="12" t="str">
        <f>IF(A255="","",(MAX(B$3:B255)-B255)/MAX(B$3:B255))</f>
        <v/>
      </c>
      <c r="F255" s="12" t="str">
        <f>IF(A255="","",MAX(E$4:E255))</f>
        <v/>
      </c>
      <c r="H255" s="14" t="str">
        <f t="shared" si="20"/>
        <v/>
      </c>
      <c r="I255" s="14" t="str">
        <f t="shared" si="21"/>
        <v/>
      </c>
      <c r="J255" s="15" t="str">
        <f t="shared" si="22"/>
        <v/>
      </c>
    </row>
    <row r="256" spans="1:10">
      <c r="A256" s="7" t="str">
        <f>IF(子基金及业绩基准周净值!A297="","",子基金及业绩基准周净值!A297)</f>
        <v/>
      </c>
      <c r="B256" s="1" t="str">
        <f>IF(A256="","",VLOOKUP($A256,子基金及业绩基准周净值!$A:$AV,20))</f>
        <v/>
      </c>
      <c r="C256" s="8" t="str">
        <f t="shared" si="19"/>
        <v/>
      </c>
      <c r="D256" s="9" t="str">
        <f>IF(A256="","",C256-(子基金及业绩基准周净值!AH297/子基金及业绩基准周净值!AH296-1))</f>
        <v/>
      </c>
      <c r="E256" s="12" t="str">
        <f>IF(A256="","",(MAX(B$3:B256)-B256)/MAX(B$3:B256))</f>
        <v/>
      </c>
      <c r="F256" s="12" t="str">
        <f>IF(A256="","",MAX(E$4:E256))</f>
        <v/>
      </c>
      <c r="H256" s="14" t="str">
        <f t="shared" si="20"/>
        <v/>
      </c>
      <c r="I256" s="14" t="str">
        <f t="shared" si="21"/>
        <v/>
      </c>
      <c r="J256" s="15" t="str">
        <f t="shared" si="22"/>
        <v/>
      </c>
    </row>
    <row r="257" spans="1:10">
      <c r="A257" s="7" t="str">
        <f>IF(子基金及业绩基准周净值!A298="","",子基金及业绩基准周净值!A298)</f>
        <v/>
      </c>
      <c r="B257" s="1" t="str">
        <f>IF(A257="","",VLOOKUP($A257,子基金及业绩基准周净值!$A:$AV,20))</f>
        <v/>
      </c>
      <c r="C257" s="8" t="str">
        <f t="shared" si="19"/>
        <v/>
      </c>
      <c r="D257" s="9" t="str">
        <f>IF(A257="","",C257-(子基金及业绩基准周净值!AH298/子基金及业绩基准周净值!AH297-1))</f>
        <v/>
      </c>
      <c r="E257" s="12" t="str">
        <f>IF(A257="","",(MAX(B$3:B257)-B257)/MAX(B$3:B257))</f>
        <v/>
      </c>
      <c r="F257" s="12" t="str">
        <f>IF(A257="","",MAX(E$4:E257))</f>
        <v/>
      </c>
      <c r="H257" s="14" t="str">
        <f t="shared" si="20"/>
        <v/>
      </c>
      <c r="I257" s="14" t="str">
        <f t="shared" si="21"/>
        <v/>
      </c>
      <c r="J257" s="15" t="str">
        <f t="shared" si="22"/>
        <v/>
      </c>
    </row>
    <row r="258" spans="1:10">
      <c r="A258" s="7" t="str">
        <f>IF(子基金及业绩基准周净值!A299="","",子基金及业绩基准周净值!A299)</f>
        <v/>
      </c>
      <c r="B258" s="1" t="str">
        <f>IF(A258="","",VLOOKUP($A258,子基金及业绩基准周净值!$A:$AV,20))</f>
        <v/>
      </c>
      <c r="C258" s="8" t="str">
        <f t="shared" si="19"/>
        <v/>
      </c>
      <c r="D258" s="9" t="str">
        <f>IF(A258="","",C258-(子基金及业绩基准周净值!AH299/子基金及业绩基准周净值!AH298-1))</f>
        <v/>
      </c>
      <c r="E258" s="12" t="str">
        <f>IF(A258="","",(MAX(B$3:B258)-B258)/MAX(B$3:B258))</f>
        <v/>
      </c>
      <c r="F258" s="12" t="str">
        <f>IF(A258="","",MAX(E$4:E258))</f>
        <v/>
      </c>
      <c r="H258" s="14" t="str">
        <f t="shared" si="20"/>
        <v/>
      </c>
      <c r="I258" s="14" t="str">
        <f t="shared" si="21"/>
        <v/>
      </c>
      <c r="J258" s="15" t="str">
        <f t="shared" si="22"/>
        <v/>
      </c>
    </row>
    <row r="259" spans="1:10">
      <c r="A259" s="7" t="str">
        <f>IF(子基金及业绩基准周净值!A300="","",子基金及业绩基准周净值!A300)</f>
        <v/>
      </c>
      <c r="B259" s="1" t="str">
        <f>IF(A259="","",VLOOKUP($A259,子基金及业绩基准周净值!$A:$AV,20))</f>
        <v/>
      </c>
      <c r="C259" s="8" t="str">
        <f t="shared" si="19"/>
        <v/>
      </c>
      <c r="D259" s="9" t="str">
        <f>IF(A259="","",C259-(子基金及业绩基准周净值!AH300/子基金及业绩基准周净值!AH299-1))</f>
        <v/>
      </c>
      <c r="E259" s="12" t="str">
        <f>IF(A259="","",(MAX(B$3:B259)-B259)/MAX(B$3:B259))</f>
        <v/>
      </c>
      <c r="F259" s="12" t="str">
        <f>IF(A259="","",MAX(E$4:E259))</f>
        <v/>
      </c>
      <c r="H259" s="14" t="str">
        <f t="shared" si="20"/>
        <v/>
      </c>
      <c r="I259" s="14" t="str">
        <f t="shared" si="21"/>
        <v/>
      </c>
      <c r="J259" s="15" t="str">
        <f t="shared" si="22"/>
        <v/>
      </c>
    </row>
    <row r="260" spans="1:10">
      <c r="A260" s="7" t="str">
        <f>IF(子基金及业绩基准周净值!A301="","",子基金及业绩基准周净值!A301)</f>
        <v/>
      </c>
      <c r="B260" s="1" t="str">
        <f>IF(A260="","",VLOOKUP($A260,子基金及业绩基准周净值!$A:$AV,20))</f>
        <v/>
      </c>
      <c r="C260" s="8" t="str">
        <f t="shared" si="19"/>
        <v/>
      </c>
      <c r="D260" s="9" t="str">
        <f>IF(A260="","",C260-(子基金及业绩基准周净值!AH301/子基金及业绩基准周净值!AH300-1))</f>
        <v/>
      </c>
      <c r="E260" s="12" t="str">
        <f>IF(A260="","",(MAX(B$3:B260)-B260)/MAX(B$3:B260))</f>
        <v/>
      </c>
      <c r="F260" s="12" t="str">
        <f>IF(A260="","",MAX(E$4:E260))</f>
        <v/>
      </c>
      <c r="H260" s="14" t="str">
        <f t="shared" si="20"/>
        <v/>
      </c>
      <c r="I260" s="14" t="str">
        <f t="shared" si="21"/>
        <v/>
      </c>
      <c r="J260" s="15" t="str">
        <f t="shared" si="22"/>
        <v/>
      </c>
    </row>
    <row r="261" spans="1:10">
      <c r="A261" s="7" t="str">
        <f>IF(子基金及业绩基准周净值!A302="","",子基金及业绩基准周净值!A302)</f>
        <v/>
      </c>
      <c r="B261" s="1" t="str">
        <f>IF(A261="","",VLOOKUP($A261,子基金及业绩基准周净值!$A:$AV,20))</f>
        <v/>
      </c>
      <c r="C261" s="8" t="str">
        <f t="shared" ref="C261:C308" si="23">IF(A261="","",(B261-B260)/B260)</f>
        <v/>
      </c>
      <c r="D261" s="9" t="str">
        <f>IF(A261="","",C261-(子基金及业绩基准周净值!AH302/子基金及业绩基准周净值!AH301-1))</f>
        <v/>
      </c>
      <c r="E261" s="12" t="str">
        <f>IF(A261="","",(MAX(B$3:B261)-B261)/MAX(B$3:B261))</f>
        <v/>
      </c>
      <c r="F261" s="12" t="str">
        <f>IF(A261="","",MAX(E$4:E261))</f>
        <v/>
      </c>
      <c r="H261" s="14" t="str">
        <f t="shared" ref="H261:H308" si="24">IF(A261="","",IF(E261&lt;3%,"否","是"))</f>
        <v/>
      </c>
      <c r="I261" s="14" t="str">
        <f t="shared" ref="I261:I308" si="25">IF(A261="","",IF(F261&gt;5%,"是","否"))</f>
        <v/>
      </c>
      <c r="J261" s="15" t="str">
        <f t="shared" ref="J261:J308" si="26">IF(A261="","",IF(G261&gt;=4,"是","否"))</f>
        <v/>
      </c>
    </row>
    <row r="262" spans="1:10">
      <c r="A262" s="7" t="str">
        <f>IF(子基金及业绩基准周净值!A303="","",子基金及业绩基准周净值!A303)</f>
        <v/>
      </c>
      <c r="B262" s="1" t="str">
        <f>IF(A262="","",VLOOKUP($A262,子基金及业绩基准周净值!$A:$AV,20))</f>
        <v/>
      </c>
      <c r="C262" s="8" t="str">
        <f t="shared" si="23"/>
        <v/>
      </c>
      <c r="D262" s="9" t="str">
        <f>IF(A262="","",C262-(子基金及业绩基准周净值!AH303/子基金及业绩基准周净值!AH302-1))</f>
        <v/>
      </c>
      <c r="E262" s="12" t="str">
        <f>IF(A262="","",(MAX(B$3:B262)-B262)/MAX(B$3:B262))</f>
        <v/>
      </c>
      <c r="F262" s="12" t="str">
        <f>IF(A262="","",MAX(E$4:E262))</f>
        <v/>
      </c>
      <c r="H262" s="14" t="str">
        <f t="shared" si="24"/>
        <v/>
      </c>
      <c r="I262" s="14" t="str">
        <f t="shared" si="25"/>
        <v/>
      </c>
      <c r="J262" s="15" t="str">
        <f t="shared" si="26"/>
        <v/>
      </c>
    </row>
    <row r="263" spans="1:10">
      <c r="A263" s="7" t="str">
        <f>IF(子基金及业绩基准周净值!A304="","",子基金及业绩基准周净值!A304)</f>
        <v/>
      </c>
      <c r="B263" s="1" t="str">
        <f>IF(A263="","",VLOOKUP($A263,子基金及业绩基准周净值!$A:$AV,20))</f>
        <v/>
      </c>
      <c r="C263" s="8" t="str">
        <f t="shared" si="23"/>
        <v/>
      </c>
      <c r="D263" s="9" t="str">
        <f>IF(A263="","",C263-(子基金及业绩基准周净值!AH304/子基金及业绩基准周净值!AH303-1))</f>
        <v/>
      </c>
      <c r="E263" s="12" t="str">
        <f>IF(A263="","",(MAX(B$3:B263)-B263)/MAX(B$3:B263))</f>
        <v/>
      </c>
      <c r="F263" s="12" t="str">
        <f>IF(A263="","",MAX(E$4:E263))</f>
        <v/>
      </c>
      <c r="H263" s="14" t="str">
        <f t="shared" si="24"/>
        <v/>
      </c>
      <c r="I263" s="14" t="str">
        <f t="shared" si="25"/>
        <v/>
      </c>
      <c r="J263" s="15" t="str">
        <f t="shared" si="26"/>
        <v/>
      </c>
    </row>
    <row r="264" spans="1:10">
      <c r="A264" s="7" t="str">
        <f>IF(子基金及业绩基准周净值!A305="","",子基金及业绩基准周净值!A305)</f>
        <v/>
      </c>
      <c r="B264" s="1" t="str">
        <f>IF(A264="","",VLOOKUP($A264,子基金及业绩基准周净值!$A:$AV,20))</f>
        <v/>
      </c>
      <c r="C264" s="8" t="str">
        <f t="shared" si="23"/>
        <v/>
      </c>
      <c r="D264" s="9" t="str">
        <f>IF(A264="","",C264-(子基金及业绩基准周净值!AH305/子基金及业绩基准周净值!AH304-1))</f>
        <v/>
      </c>
      <c r="E264" s="12" t="str">
        <f>IF(A264="","",(MAX(B$3:B264)-B264)/MAX(B$3:B264))</f>
        <v/>
      </c>
      <c r="F264" s="12" t="str">
        <f>IF(A264="","",MAX(E$4:E264))</f>
        <v/>
      </c>
      <c r="H264" s="14" t="str">
        <f t="shared" si="24"/>
        <v/>
      </c>
      <c r="I264" s="14" t="str">
        <f t="shared" si="25"/>
        <v/>
      </c>
      <c r="J264" s="15" t="str">
        <f t="shared" si="26"/>
        <v/>
      </c>
    </row>
    <row r="265" spans="1:10">
      <c r="A265" s="7" t="str">
        <f>IF(子基金及业绩基准周净值!A306="","",子基金及业绩基准周净值!A306)</f>
        <v/>
      </c>
      <c r="B265" s="1" t="str">
        <f>IF(A265="","",VLOOKUP($A265,子基金及业绩基准周净值!$A:$AV,20))</f>
        <v/>
      </c>
      <c r="C265" s="8" t="str">
        <f t="shared" si="23"/>
        <v/>
      </c>
      <c r="D265" s="9" t="str">
        <f>IF(A265="","",C265-(子基金及业绩基准周净值!AH306/子基金及业绩基准周净值!AH305-1))</f>
        <v/>
      </c>
      <c r="E265" s="12" t="str">
        <f>IF(A265="","",(MAX(B$3:B265)-B265)/MAX(B$3:B265))</f>
        <v/>
      </c>
      <c r="F265" s="12" t="str">
        <f>IF(A265="","",MAX(E$4:E265))</f>
        <v/>
      </c>
      <c r="H265" s="14" t="str">
        <f t="shared" si="24"/>
        <v/>
      </c>
      <c r="I265" s="14" t="str">
        <f t="shared" si="25"/>
        <v/>
      </c>
      <c r="J265" s="15" t="str">
        <f t="shared" si="26"/>
        <v/>
      </c>
    </row>
    <row r="266" spans="1:10">
      <c r="A266" s="7" t="str">
        <f>IF(子基金及业绩基准周净值!A307="","",子基金及业绩基准周净值!A307)</f>
        <v/>
      </c>
      <c r="B266" s="1" t="str">
        <f>IF(A266="","",VLOOKUP($A266,子基金及业绩基准周净值!$A:$AV,20))</f>
        <v/>
      </c>
      <c r="C266" s="8" t="str">
        <f t="shared" si="23"/>
        <v/>
      </c>
      <c r="D266" s="9" t="str">
        <f>IF(A266="","",C266-(子基金及业绩基准周净值!AH307/子基金及业绩基准周净值!AH306-1))</f>
        <v/>
      </c>
      <c r="E266" s="12" t="str">
        <f>IF(A266="","",(MAX(B$3:B266)-B266)/MAX(B$3:B266))</f>
        <v/>
      </c>
      <c r="F266" s="12" t="str">
        <f>IF(A266="","",MAX(E$4:E266))</f>
        <v/>
      </c>
      <c r="H266" s="14" t="str">
        <f t="shared" si="24"/>
        <v/>
      </c>
      <c r="I266" s="14" t="str">
        <f t="shared" si="25"/>
        <v/>
      </c>
      <c r="J266" s="15" t="str">
        <f t="shared" si="26"/>
        <v/>
      </c>
    </row>
    <row r="267" spans="1:10">
      <c r="A267" s="7" t="str">
        <f>IF(子基金及业绩基准周净值!A308="","",子基金及业绩基准周净值!A308)</f>
        <v/>
      </c>
      <c r="B267" s="1" t="str">
        <f>IF(A267="","",VLOOKUP($A267,子基金及业绩基准周净值!$A:$AV,20))</f>
        <v/>
      </c>
      <c r="C267" s="8" t="str">
        <f t="shared" si="23"/>
        <v/>
      </c>
      <c r="D267" s="9" t="str">
        <f>IF(A267="","",C267-(子基金及业绩基准周净值!AH308/子基金及业绩基准周净值!AH307-1))</f>
        <v/>
      </c>
      <c r="E267" s="12" t="str">
        <f>IF(A267="","",(MAX(B$3:B267)-B267)/MAX(B$3:B267))</f>
        <v/>
      </c>
      <c r="F267" s="12" t="str">
        <f>IF(A267="","",MAX(E$4:E267))</f>
        <v/>
      </c>
      <c r="H267" s="14" t="str">
        <f t="shared" si="24"/>
        <v/>
      </c>
      <c r="I267" s="14" t="str">
        <f t="shared" si="25"/>
        <v/>
      </c>
      <c r="J267" s="15" t="str">
        <f t="shared" si="26"/>
        <v/>
      </c>
    </row>
    <row r="268" spans="1:10">
      <c r="A268" s="7" t="str">
        <f>IF(子基金及业绩基准周净值!A309="","",子基金及业绩基准周净值!A309)</f>
        <v/>
      </c>
      <c r="B268" s="1" t="str">
        <f>IF(A268="","",VLOOKUP($A268,子基金及业绩基准周净值!$A:$AV,20))</f>
        <v/>
      </c>
      <c r="C268" s="8" t="str">
        <f t="shared" si="23"/>
        <v/>
      </c>
      <c r="D268" s="9" t="str">
        <f>IF(A268="","",C268-(子基金及业绩基准周净值!AH309/子基金及业绩基准周净值!AH308-1))</f>
        <v/>
      </c>
      <c r="E268" s="12" t="str">
        <f>IF(A268="","",(MAX(B$3:B268)-B268)/MAX(B$3:B268))</f>
        <v/>
      </c>
      <c r="F268" s="12" t="str">
        <f>IF(A268="","",MAX(E$4:E268))</f>
        <v/>
      </c>
      <c r="H268" s="14" t="str">
        <f t="shared" si="24"/>
        <v/>
      </c>
      <c r="I268" s="14" t="str">
        <f t="shared" si="25"/>
        <v/>
      </c>
      <c r="J268" s="15" t="str">
        <f t="shared" si="26"/>
        <v/>
      </c>
    </row>
    <row r="269" spans="1:10">
      <c r="A269" s="7" t="str">
        <f>IF(子基金及业绩基准周净值!A310="","",子基金及业绩基准周净值!A310)</f>
        <v/>
      </c>
      <c r="B269" s="1" t="str">
        <f>IF(A269="","",VLOOKUP($A269,子基金及业绩基准周净值!$A:$AV,20))</f>
        <v/>
      </c>
      <c r="C269" s="8" t="str">
        <f t="shared" si="23"/>
        <v/>
      </c>
      <c r="D269" s="9" t="str">
        <f>IF(A269="","",C269-(子基金及业绩基准周净值!AH310/子基金及业绩基准周净值!AH309-1))</f>
        <v/>
      </c>
      <c r="E269" s="12" t="str">
        <f>IF(A269="","",(MAX(B$3:B269)-B269)/MAX(B$3:B269))</f>
        <v/>
      </c>
      <c r="F269" s="12" t="str">
        <f>IF(A269="","",MAX(E$4:E269))</f>
        <v/>
      </c>
      <c r="H269" s="14" t="str">
        <f t="shared" si="24"/>
        <v/>
      </c>
      <c r="I269" s="14" t="str">
        <f t="shared" si="25"/>
        <v/>
      </c>
      <c r="J269" s="15" t="str">
        <f t="shared" si="26"/>
        <v/>
      </c>
    </row>
    <row r="270" spans="1:10">
      <c r="A270" s="7" t="str">
        <f>IF(子基金及业绩基准周净值!A311="","",子基金及业绩基准周净值!A311)</f>
        <v/>
      </c>
      <c r="B270" s="1" t="str">
        <f>IF(A270="","",VLOOKUP($A270,子基金及业绩基准周净值!$A:$AV,20))</f>
        <v/>
      </c>
      <c r="C270" s="8" t="str">
        <f t="shared" si="23"/>
        <v/>
      </c>
      <c r="D270" s="9" t="str">
        <f>IF(A270="","",C270-(子基金及业绩基准周净值!AH311/子基金及业绩基准周净值!AH310-1))</f>
        <v/>
      </c>
      <c r="E270" s="12" t="str">
        <f>IF(A270="","",(MAX(B$3:B270)-B270)/MAX(B$3:B270))</f>
        <v/>
      </c>
      <c r="F270" s="12" t="str">
        <f>IF(A270="","",MAX(E$4:E270))</f>
        <v/>
      </c>
      <c r="H270" s="14" t="str">
        <f t="shared" si="24"/>
        <v/>
      </c>
      <c r="I270" s="14" t="str">
        <f t="shared" si="25"/>
        <v/>
      </c>
      <c r="J270" s="15" t="str">
        <f t="shared" si="26"/>
        <v/>
      </c>
    </row>
    <row r="271" spans="1:10">
      <c r="A271" s="7" t="str">
        <f>IF(子基金及业绩基准周净值!A312="","",子基金及业绩基准周净值!A312)</f>
        <v/>
      </c>
      <c r="B271" s="1" t="str">
        <f>IF(A271="","",VLOOKUP($A271,子基金及业绩基准周净值!$A:$AV,20))</f>
        <v/>
      </c>
      <c r="C271" s="8" t="str">
        <f t="shared" si="23"/>
        <v/>
      </c>
      <c r="D271" s="9" t="str">
        <f>IF(A271="","",C271-(子基金及业绩基准周净值!AH312/子基金及业绩基准周净值!AH311-1))</f>
        <v/>
      </c>
      <c r="E271" s="12" t="str">
        <f>IF(A271="","",(MAX(B$3:B271)-B271)/MAX(B$3:B271))</f>
        <v/>
      </c>
      <c r="F271" s="12" t="str">
        <f>IF(A271="","",MAX(E$4:E271))</f>
        <v/>
      </c>
      <c r="H271" s="14" t="str">
        <f t="shared" si="24"/>
        <v/>
      </c>
      <c r="I271" s="14" t="str">
        <f t="shared" si="25"/>
        <v/>
      </c>
      <c r="J271" s="15" t="str">
        <f t="shared" si="26"/>
        <v/>
      </c>
    </row>
    <row r="272" spans="1:10">
      <c r="A272" s="7" t="str">
        <f>IF(子基金及业绩基准周净值!A313="","",子基金及业绩基准周净值!A313)</f>
        <v/>
      </c>
      <c r="B272" s="1" t="str">
        <f>IF(A272="","",VLOOKUP($A272,子基金及业绩基准周净值!$A:$AV,20))</f>
        <v/>
      </c>
      <c r="C272" s="8" t="str">
        <f t="shared" si="23"/>
        <v/>
      </c>
      <c r="D272" s="9" t="str">
        <f>IF(A272="","",C272-(子基金及业绩基准周净值!AH313/子基金及业绩基准周净值!AH312-1))</f>
        <v/>
      </c>
      <c r="E272" s="12" t="str">
        <f>IF(A272="","",(MAX(B$3:B272)-B272)/MAX(B$3:B272))</f>
        <v/>
      </c>
      <c r="F272" s="12" t="str">
        <f>IF(A272="","",MAX(E$4:E272))</f>
        <v/>
      </c>
      <c r="H272" s="14" t="str">
        <f t="shared" si="24"/>
        <v/>
      </c>
      <c r="I272" s="14" t="str">
        <f t="shared" si="25"/>
        <v/>
      </c>
      <c r="J272" s="15" t="str">
        <f t="shared" si="26"/>
        <v/>
      </c>
    </row>
    <row r="273" spans="1:10">
      <c r="A273" s="7" t="str">
        <f>IF(子基金及业绩基准周净值!A314="","",子基金及业绩基准周净值!A314)</f>
        <v/>
      </c>
      <c r="B273" s="1" t="str">
        <f>IF(A273="","",VLOOKUP($A273,子基金及业绩基准周净值!$A:$AV,20))</f>
        <v/>
      </c>
      <c r="C273" s="8" t="str">
        <f t="shared" si="23"/>
        <v/>
      </c>
      <c r="D273" s="9" t="str">
        <f>IF(A273="","",C273-(子基金及业绩基准周净值!AH314/子基金及业绩基准周净值!AH313-1))</f>
        <v/>
      </c>
      <c r="E273" s="12" t="str">
        <f>IF(A273="","",(MAX(B$3:B273)-B273)/MAX(B$3:B273))</f>
        <v/>
      </c>
      <c r="F273" s="12" t="str">
        <f>IF(A273="","",MAX(E$4:E273))</f>
        <v/>
      </c>
      <c r="H273" s="14" t="str">
        <f t="shared" si="24"/>
        <v/>
      </c>
      <c r="I273" s="14" t="str">
        <f t="shared" si="25"/>
        <v/>
      </c>
      <c r="J273" s="15" t="str">
        <f t="shared" si="26"/>
        <v/>
      </c>
    </row>
    <row r="274" spans="1:10">
      <c r="A274" s="7" t="str">
        <f>IF(子基金及业绩基准周净值!A315="","",子基金及业绩基准周净值!A315)</f>
        <v/>
      </c>
      <c r="B274" s="1" t="str">
        <f>IF(A274="","",VLOOKUP($A274,子基金及业绩基准周净值!$A:$AV,20))</f>
        <v/>
      </c>
      <c r="C274" s="8" t="str">
        <f t="shared" si="23"/>
        <v/>
      </c>
      <c r="D274" s="9" t="str">
        <f>IF(A274="","",C274-(子基金及业绩基准周净值!AH315/子基金及业绩基准周净值!AH314-1))</f>
        <v/>
      </c>
      <c r="E274" s="12" t="str">
        <f>IF(A274="","",(MAX(B$3:B274)-B274)/MAX(B$3:B274))</f>
        <v/>
      </c>
      <c r="F274" s="12" t="str">
        <f>IF(A274="","",MAX(E$4:E274))</f>
        <v/>
      </c>
      <c r="H274" s="14" t="str">
        <f t="shared" si="24"/>
        <v/>
      </c>
      <c r="I274" s="14" t="str">
        <f t="shared" si="25"/>
        <v/>
      </c>
      <c r="J274" s="15" t="str">
        <f t="shared" si="26"/>
        <v/>
      </c>
    </row>
    <row r="275" spans="1:10">
      <c r="A275" s="7" t="str">
        <f>IF(子基金及业绩基准周净值!A316="","",子基金及业绩基准周净值!A316)</f>
        <v/>
      </c>
      <c r="B275" s="1" t="str">
        <f>IF(A275="","",VLOOKUP($A275,子基金及业绩基准周净值!$A:$AV,20))</f>
        <v/>
      </c>
      <c r="C275" s="8" t="str">
        <f t="shared" si="23"/>
        <v/>
      </c>
      <c r="D275" s="9" t="str">
        <f>IF(A275="","",C275-(子基金及业绩基准周净值!AH316/子基金及业绩基准周净值!AH315-1))</f>
        <v/>
      </c>
      <c r="E275" s="12" t="str">
        <f>IF(A275="","",(MAX(B$3:B275)-B275)/MAX(B$3:B275))</f>
        <v/>
      </c>
      <c r="F275" s="12" t="str">
        <f>IF(A275="","",MAX(E$4:E275))</f>
        <v/>
      </c>
      <c r="H275" s="14" t="str">
        <f t="shared" si="24"/>
        <v/>
      </c>
      <c r="I275" s="14" t="str">
        <f t="shared" si="25"/>
        <v/>
      </c>
      <c r="J275" s="15" t="str">
        <f t="shared" si="26"/>
        <v/>
      </c>
    </row>
    <row r="276" spans="1:10">
      <c r="A276" s="7" t="str">
        <f>IF(子基金及业绩基准周净值!A317="","",子基金及业绩基准周净值!A317)</f>
        <v/>
      </c>
      <c r="B276" s="1" t="str">
        <f>IF(A276="","",VLOOKUP($A276,子基金及业绩基准周净值!$A:$AV,20))</f>
        <v/>
      </c>
      <c r="C276" s="8" t="str">
        <f t="shared" si="23"/>
        <v/>
      </c>
      <c r="D276" s="9" t="str">
        <f>IF(A276="","",C276-(子基金及业绩基准周净值!AH317/子基金及业绩基准周净值!AH316-1))</f>
        <v/>
      </c>
      <c r="E276" s="12" t="str">
        <f>IF(A276="","",(MAX(B$3:B276)-B276)/MAX(B$3:B276))</f>
        <v/>
      </c>
      <c r="F276" s="12" t="str">
        <f>IF(A276="","",MAX(E$4:E276))</f>
        <v/>
      </c>
      <c r="H276" s="14" t="str">
        <f t="shared" si="24"/>
        <v/>
      </c>
      <c r="I276" s="14" t="str">
        <f t="shared" si="25"/>
        <v/>
      </c>
      <c r="J276" s="15" t="str">
        <f t="shared" si="26"/>
        <v/>
      </c>
    </row>
    <row r="277" spans="1:10">
      <c r="A277" s="7" t="str">
        <f>IF(子基金及业绩基准周净值!A318="","",子基金及业绩基准周净值!A318)</f>
        <v/>
      </c>
      <c r="B277" s="1" t="str">
        <f>IF(A277="","",VLOOKUP($A277,子基金及业绩基准周净值!$A:$AV,20))</f>
        <v/>
      </c>
      <c r="C277" s="8" t="str">
        <f t="shared" si="23"/>
        <v/>
      </c>
      <c r="D277" s="9" t="str">
        <f>IF(A277="","",C277-(子基金及业绩基准周净值!AH318/子基金及业绩基准周净值!AH317-1))</f>
        <v/>
      </c>
      <c r="E277" s="12" t="str">
        <f>IF(A277="","",(MAX(B$3:B277)-B277)/MAX(B$3:B277))</f>
        <v/>
      </c>
      <c r="F277" s="12" t="str">
        <f>IF(A277="","",MAX(E$4:E277))</f>
        <v/>
      </c>
      <c r="H277" s="14" t="str">
        <f t="shared" si="24"/>
        <v/>
      </c>
      <c r="I277" s="14" t="str">
        <f t="shared" si="25"/>
        <v/>
      </c>
      <c r="J277" s="15" t="str">
        <f t="shared" si="26"/>
        <v/>
      </c>
    </row>
    <row r="278" spans="1:10">
      <c r="A278" s="7" t="str">
        <f>IF(子基金及业绩基准周净值!A319="","",子基金及业绩基准周净值!A319)</f>
        <v/>
      </c>
      <c r="B278" s="1" t="str">
        <f>IF(A278="","",VLOOKUP($A278,子基金及业绩基准周净值!$A:$AV,20))</f>
        <v/>
      </c>
      <c r="C278" s="8" t="str">
        <f t="shared" si="23"/>
        <v/>
      </c>
      <c r="D278" s="9" t="str">
        <f>IF(A278="","",C278-(子基金及业绩基准周净值!AH319/子基金及业绩基准周净值!AH318-1))</f>
        <v/>
      </c>
      <c r="E278" s="12" t="str">
        <f>IF(A278="","",(MAX(B$3:B278)-B278)/MAX(B$3:B278))</f>
        <v/>
      </c>
      <c r="F278" s="12" t="str">
        <f>IF(A278="","",MAX(E$4:E278))</f>
        <v/>
      </c>
      <c r="H278" s="14" t="str">
        <f t="shared" si="24"/>
        <v/>
      </c>
      <c r="I278" s="14" t="str">
        <f t="shared" si="25"/>
        <v/>
      </c>
      <c r="J278" s="15" t="str">
        <f t="shared" si="26"/>
        <v/>
      </c>
    </row>
    <row r="279" spans="1:10">
      <c r="A279" s="7" t="str">
        <f>IF(子基金及业绩基准周净值!A320="","",子基金及业绩基准周净值!A320)</f>
        <v/>
      </c>
      <c r="B279" s="1" t="str">
        <f>IF(A279="","",VLOOKUP($A279,子基金及业绩基准周净值!$A:$AV,20))</f>
        <v/>
      </c>
      <c r="C279" s="8" t="str">
        <f t="shared" si="23"/>
        <v/>
      </c>
      <c r="D279" s="9" t="str">
        <f>IF(A279="","",C279-(子基金及业绩基准周净值!AH320/子基金及业绩基准周净值!AH319-1))</f>
        <v/>
      </c>
      <c r="E279" s="12" t="str">
        <f>IF(A279="","",(MAX(B$3:B279)-B279)/MAX(B$3:B279))</f>
        <v/>
      </c>
      <c r="F279" s="12" t="str">
        <f>IF(A279="","",MAX(E$4:E279))</f>
        <v/>
      </c>
      <c r="H279" s="14" t="str">
        <f t="shared" si="24"/>
        <v/>
      </c>
      <c r="I279" s="14" t="str">
        <f t="shared" si="25"/>
        <v/>
      </c>
      <c r="J279" s="15" t="str">
        <f t="shared" si="26"/>
        <v/>
      </c>
    </row>
    <row r="280" spans="1:10">
      <c r="A280" s="7" t="str">
        <f>IF(子基金及业绩基准周净值!A321="","",子基金及业绩基准周净值!A321)</f>
        <v/>
      </c>
      <c r="B280" s="1" t="str">
        <f>IF(A280="","",VLOOKUP($A280,子基金及业绩基准周净值!$A:$AV,20))</f>
        <v/>
      </c>
      <c r="C280" s="8" t="str">
        <f t="shared" si="23"/>
        <v/>
      </c>
      <c r="D280" s="9" t="str">
        <f>IF(A280="","",C280-(子基金及业绩基准周净值!AH321/子基金及业绩基准周净值!AH320-1))</f>
        <v/>
      </c>
      <c r="E280" s="12" t="str">
        <f>IF(A280="","",(MAX(B$3:B280)-B280)/MAX(B$3:B280))</f>
        <v/>
      </c>
      <c r="F280" s="12" t="str">
        <f>IF(A280="","",MAX(E$4:E280))</f>
        <v/>
      </c>
      <c r="H280" s="14" t="str">
        <f t="shared" si="24"/>
        <v/>
      </c>
      <c r="I280" s="14" t="str">
        <f t="shared" si="25"/>
        <v/>
      </c>
      <c r="J280" s="15" t="str">
        <f t="shared" si="26"/>
        <v/>
      </c>
    </row>
    <row r="281" spans="1:10">
      <c r="A281" s="7" t="str">
        <f>IF(子基金及业绩基准周净值!A322="","",子基金及业绩基准周净值!A322)</f>
        <v/>
      </c>
      <c r="B281" s="1" t="str">
        <f>IF(A281="","",VLOOKUP($A281,子基金及业绩基准周净值!$A:$AV,20))</f>
        <v/>
      </c>
      <c r="C281" s="8" t="str">
        <f t="shared" si="23"/>
        <v/>
      </c>
      <c r="D281" s="9" t="str">
        <f>IF(A281="","",C281-(子基金及业绩基准周净值!AH322/子基金及业绩基准周净值!AH321-1))</f>
        <v/>
      </c>
      <c r="E281" s="12" t="str">
        <f>IF(A281="","",(MAX(B$3:B281)-B281)/MAX(B$3:B281))</f>
        <v/>
      </c>
      <c r="F281" s="12" t="str">
        <f>IF(A281="","",MAX(E$4:E281))</f>
        <v/>
      </c>
      <c r="H281" s="14" t="str">
        <f t="shared" si="24"/>
        <v/>
      </c>
      <c r="I281" s="14" t="str">
        <f t="shared" si="25"/>
        <v/>
      </c>
      <c r="J281" s="15" t="str">
        <f t="shared" si="26"/>
        <v/>
      </c>
    </row>
    <row r="282" spans="1:10">
      <c r="A282" s="7" t="str">
        <f>IF(子基金及业绩基准周净值!A323="","",子基金及业绩基准周净值!A323)</f>
        <v/>
      </c>
      <c r="B282" s="1" t="str">
        <f>IF(A282="","",VLOOKUP($A282,子基金及业绩基准周净值!$A:$AV,20))</f>
        <v/>
      </c>
      <c r="C282" s="8" t="str">
        <f t="shared" si="23"/>
        <v/>
      </c>
      <c r="D282" s="9" t="str">
        <f>IF(A282="","",C282-(子基金及业绩基准周净值!AH323/子基金及业绩基准周净值!AH322-1))</f>
        <v/>
      </c>
      <c r="E282" s="12" t="str">
        <f>IF(A282="","",(MAX(B$3:B282)-B282)/MAX(B$3:B282))</f>
        <v/>
      </c>
      <c r="F282" s="12" t="str">
        <f>IF(A282="","",MAX(E$4:E282))</f>
        <v/>
      </c>
      <c r="H282" s="14" t="str">
        <f t="shared" si="24"/>
        <v/>
      </c>
      <c r="I282" s="14" t="str">
        <f t="shared" si="25"/>
        <v/>
      </c>
      <c r="J282" s="15" t="str">
        <f t="shared" si="26"/>
        <v/>
      </c>
    </row>
    <row r="283" spans="1:10">
      <c r="A283" s="7" t="str">
        <f>IF(子基金及业绩基准周净值!A324="","",子基金及业绩基准周净值!A324)</f>
        <v/>
      </c>
      <c r="B283" s="1" t="str">
        <f>IF(A283="","",VLOOKUP($A283,子基金及业绩基准周净值!$A:$AV,20))</f>
        <v/>
      </c>
      <c r="C283" s="8" t="str">
        <f t="shared" si="23"/>
        <v/>
      </c>
      <c r="D283" s="9" t="str">
        <f>IF(A283="","",C283-(子基金及业绩基准周净值!AH324/子基金及业绩基准周净值!AH323-1))</f>
        <v/>
      </c>
      <c r="E283" s="12" t="str">
        <f>IF(A283="","",(MAX(B$3:B283)-B283)/MAX(B$3:B283))</f>
        <v/>
      </c>
      <c r="F283" s="12" t="str">
        <f>IF(A283="","",MAX(E$4:E283))</f>
        <v/>
      </c>
      <c r="H283" s="14" t="str">
        <f t="shared" si="24"/>
        <v/>
      </c>
      <c r="I283" s="14" t="str">
        <f t="shared" si="25"/>
        <v/>
      </c>
      <c r="J283" s="15" t="str">
        <f t="shared" si="26"/>
        <v/>
      </c>
    </row>
    <row r="284" spans="1:10">
      <c r="A284" s="7" t="str">
        <f>IF(子基金及业绩基准周净值!A325="","",子基金及业绩基准周净值!A325)</f>
        <v/>
      </c>
      <c r="B284" s="1" t="str">
        <f>IF(A284="","",VLOOKUP($A284,子基金及业绩基准周净值!$A:$AV,20))</f>
        <v/>
      </c>
      <c r="C284" s="8" t="str">
        <f t="shared" si="23"/>
        <v/>
      </c>
      <c r="D284" s="9" t="str">
        <f>IF(A284="","",C284-(子基金及业绩基准周净值!AH325/子基金及业绩基准周净值!AH324-1))</f>
        <v/>
      </c>
      <c r="E284" s="12" t="str">
        <f>IF(A284="","",(MAX(B$3:B284)-B284)/MAX(B$3:B284))</f>
        <v/>
      </c>
      <c r="F284" s="12" t="str">
        <f>IF(A284="","",MAX(E$4:E284))</f>
        <v/>
      </c>
      <c r="H284" s="14" t="str">
        <f t="shared" si="24"/>
        <v/>
      </c>
      <c r="I284" s="14" t="str">
        <f t="shared" si="25"/>
        <v/>
      </c>
      <c r="J284" s="15" t="str">
        <f t="shared" si="26"/>
        <v/>
      </c>
    </row>
    <row r="285" spans="1:10">
      <c r="A285" s="7" t="str">
        <f>IF(子基金及业绩基准周净值!A326="","",子基金及业绩基准周净值!A326)</f>
        <v/>
      </c>
      <c r="B285" s="1" t="str">
        <f>IF(A285="","",VLOOKUP($A285,子基金及业绩基准周净值!$A:$AV,20))</f>
        <v/>
      </c>
      <c r="C285" s="8" t="str">
        <f t="shared" si="23"/>
        <v/>
      </c>
      <c r="D285" s="9" t="str">
        <f>IF(A285="","",C285-(子基金及业绩基准周净值!AH326/子基金及业绩基准周净值!AH325-1))</f>
        <v/>
      </c>
      <c r="E285" s="12" t="str">
        <f>IF(A285="","",(MAX(B$3:B285)-B285)/MAX(B$3:B285))</f>
        <v/>
      </c>
      <c r="F285" s="12" t="str">
        <f>IF(A285="","",MAX(E$4:E285))</f>
        <v/>
      </c>
      <c r="H285" s="14" t="str">
        <f t="shared" si="24"/>
        <v/>
      </c>
      <c r="I285" s="14" t="str">
        <f t="shared" si="25"/>
        <v/>
      </c>
      <c r="J285" s="15" t="str">
        <f t="shared" si="26"/>
        <v/>
      </c>
    </row>
    <row r="286" spans="1:10">
      <c r="A286" s="7" t="str">
        <f>IF(子基金及业绩基准周净值!A327="","",子基金及业绩基准周净值!A327)</f>
        <v/>
      </c>
      <c r="B286" s="1" t="str">
        <f>IF(A286="","",VLOOKUP($A286,子基金及业绩基准周净值!$A:$AV,20))</f>
        <v/>
      </c>
      <c r="C286" s="8" t="str">
        <f t="shared" si="23"/>
        <v/>
      </c>
      <c r="D286" s="9" t="str">
        <f>IF(A286="","",C286-(子基金及业绩基准周净值!AH327/子基金及业绩基准周净值!AH326-1))</f>
        <v/>
      </c>
      <c r="E286" s="12" t="str">
        <f>IF(A286="","",(MAX(B$3:B286)-B286)/MAX(B$3:B286))</f>
        <v/>
      </c>
      <c r="F286" s="12" t="str">
        <f>IF(A286="","",MAX(E$4:E286))</f>
        <v/>
      </c>
      <c r="H286" s="14" t="str">
        <f t="shared" si="24"/>
        <v/>
      </c>
      <c r="I286" s="14" t="str">
        <f t="shared" si="25"/>
        <v/>
      </c>
      <c r="J286" s="15" t="str">
        <f t="shared" si="26"/>
        <v/>
      </c>
    </row>
    <row r="287" spans="1:10">
      <c r="A287" s="7" t="str">
        <f>IF(子基金及业绩基准周净值!A328="","",子基金及业绩基准周净值!A328)</f>
        <v/>
      </c>
      <c r="B287" s="1" t="str">
        <f>IF(A287="","",VLOOKUP($A287,子基金及业绩基准周净值!$A:$AV,20))</f>
        <v/>
      </c>
      <c r="C287" s="8" t="str">
        <f t="shared" si="23"/>
        <v/>
      </c>
      <c r="D287" s="9" t="str">
        <f>IF(A287="","",C287-(子基金及业绩基准周净值!AH328/子基金及业绩基准周净值!AH327-1))</f>
        <v/>
      </c>
      <c r="E287" s="12" t="str">
        <f>IF(A287="","",(MAX(B$3:B287)-B287)/MAX(B$3:B287))</f>
        <v/>
      </c>
      <c r="F287" s="12" t="str">
        <f>IF(A287="","",MAX(E$4:E287))</f>
        <v/>
      </c>
      <c r="H287" s="14" t="str">
        <f t="shared" si="24"/>
        <v/>
      </c>
      <c r="I287" s="14" t="str">
        <f t="shared" si="25"/>
        <v/>
      </c>
      <c r="J287" s="15" t="str">
        <f t="shared" si="26"/>
        <v/>
      </c>
    </row>
    <row r="288" spans="1:10">
      <c r="A288" s="7" t="str">
        <f>IF(子基金及业绩基准周净值!A329="","",子基金及业绩基准周净值!A329)</f>
        <v/>
      </c>
      <c r="B288" s="1" t="str">
        <f>IF(A288="","",VLOOKUP($A288,子基金及业绩基准周净值!$A:$AV,20))</f>
        <v/>
      </c>
      <c r="C288" s="8" t="str">
        <f t="shared" si="23"/>
        <v/>
      </c>
      <c r="D288" s="9" t="str">
        <f>IF(A288="","",C288-(子基金及业绩基准周净值!AH329/子基金及业绩基准周净值!AH328-1))</f>
        <v/>
      </c>
      <c r="E288" s="12" t="str">
        <f>IF(A288="","",(MAX(B$3:B288)-B288)/MAX(B$3:B288))</f>
        <v/>
      </c>
      <c r="F288" s="12" t="str">
        <f>IF(A288="","",MAX(E$4:E288))</f>
        <v/>
      </c>
      <c r="H288" s="14" t="str">
        <f t="shared" si="24"/>
        <v/>
      </c>
      <c r="I288" s="14" t="str">
        <f t="shared" si="25"/>
        <v/>
      </c>
      <c r="J288" s="15" t="str">
        <f t="shared" si="26"/>
        <v/>
      </c>
    </row>
    <row r="289" spans="1:10">
      <c r="A289" s="7" t="str">
        <f>IF(子基金及业绩基准周净值!A330="","",子基金及业绩基准周净值!A330)</f>
        <v/>
      </c>
      <c r="B289" s="1" t="str">
        <f>IF(A289="","",VLOOKUP($A289,子基金及业绩基准周净值!$A:$AV,20))</f>
        <v/>
      </c>
      <c r="C289" s="8" t="str">
        <f t="shared" si="23"/>
        <v/>
      </c>
      <c r="D289" s="9" t="str">
        <f>IF(A289="","",C289-(子基金及业绩基准周净值!AH330/子基金及业绩基准周净值!AH329-1))</f>
        <v/>
      </c>
      <c r="E289" s="12" t="str">
        <f>IF(A289="","",(MAX(B$3:B289)-B289)/MAX(B$3:B289))</f>
        <v/>
      </c>
      <c r="F289" s="12" t="str">
        <f>IF(A289="","",MAX(E$4:E289))</f>
        <v/>
      </c>
      <c r="H289" s="14" t="str">
        <f t="shared" si="24"/>
        <v/>
      </c>
      <c r="I289" s="14" t="str">
        <f t="shared" si="25"/>
        <v/>
      </c>
      <c r="J289" s="15" t="str">
        <f t="shared" si="26"/>
        <v/>
      </c>
    </row>
    <row r="290" spans="1:10">
      <c r="A290" s="7" t="str">
        <f>IF(子基金及业绩基准周净值!A331="","",子基金及业绩基准周净值!A331)</f>
        <v/>
      </c>
      <c r="B290" s="1" t="str">
        <f>IF(A290="","",VLOOKUP($A290,子基金及业绩基准周净值!$A:$AV,20))</f>
        <v/>
      </c>
      <c r="C290" s="8" t="str">
        <f t="shared" si="23"/>
        <v/>
      </c>
      <c r="D290" s="9" t="str">
        <f>IF(A290="","",C290-(子基金及业绩基准周净值!AH331/子基金及业绩基准周净值!AH330-1))</f>
        <v/>
      </c>
      <c r="E290" s="12" t="str">
        <f>IF(A290="","",(MAX(B$3:B290)-B290)/MAX(B$3:B290))</f>
        <v/>
      </c>
      <c r="F290" s="12" t="str">
        <f>IF(A290="","",MAX(E$4:E290))</f>
        <v/>
      </c>
      <c r="H290" s="14" t="str">
        <f t="shared" si="24"/>
        <v/>
      </c>
      <c r="I290" s="14" t="str">
        <f t="shared" si="25"/>
        <v/>
      </c>
      <c r="J290" s="15" t="str">
        <f t="shared" si="26"/>
        <v/>
      </c>
    </row>
    <row r="291" spans="1:10">
      <c r="A291" s="7" t="str">
        <f>IF(子基金及业绩基准周净值!A332="","",子基金及业绩基准周净值!A332)</f>
        <v/>
      </c>
      <c r="B291" s="1" t="str">
        <f>IF(A291="","",VLOOKUP($A291,子基金及业绩基准周净值!$A:$AV,20))</f>
        <v/>
      </c>
      <c r="C291" s="8" t="str">
        <f t="shared" si="23"/>
        <v/>
      </c>
      <c r="D291" s="9" t="str">
        <f>IF(A291="","",C291-(子基金及业绩基准周净值!AH332/子基金及业绩基准周净值!AH331-1))</f>
        <v/>
      </c>
      <c r="E291" s="12" t="str">
        <f>IF(A291="","",(MAX(B$3:B291)-B291)/MAX(B$3:B291))</f>
        <v/>
      </c>
      <c r="F291" s="12" t="str">
        <f>IF(A291="","",MAX(E$4:E291))</f>
        <v/>
      </c>
      <c r="H291" s="14" t="str">
        <f t="shared" si="24"/>
        <v/>
      </c>
      <c r="I291" s="14" t="str">
        <f t="shared" si="25"/>
        <v/>
      </c>
      <c r="J291" s="15" t="str">
        <f t="shared" si="26"/>
        <v/>
      </c>
    </row>
    <row r="292" spans="1:10">
      <c r="A292" s="7" t="str">
        <f>IF(子基金及业绩基准周净值!A333="","",子基金及业绩基准周净值!A333)</f>
        <v/>
      </c>
      <c r="B292" s="1" t="str">
        <f>IF(A292="","",VLOOKUP($A292,子基金及业绩基准周净值!$A:$AV,20))</f>
        <v/>
      </c>
      <c r="C292" s="8" t="str">
        <f t="shared" si="23"/>
        <v/>
      </c>
      <c r="D292" s="9" t="str">
        <f>IF(A292="","",C292-(子基金及业绩基准周净值!AH333/子基金及业绩基准周净值!AH332-1))</f>
        <v/>
      </c>
      <c r="E292" s="12" t="str">
        <f>IF(A292="","",(MAX(B$3:B292)-B292)/MAX(B$3:B292))</f>
        <v/>
      </c>
      <c r="F292" s="12" t="str">
        <f>IF(A292="","",MAX(E$4:E292))</f>
        <v/>
      </c>
      <c r="H292" s="14" t="str">
        <f t="shared" si="24"/>
        <v/>
      </c>
      <c r="I292" s="14" t="str">
        <f t="shared" si="25"/>
        <v/>
      </c>
      <c r="J292" s="15" t="str">
        <f t="shared" si="26"/>
        <v/>
      </c>
    </row>
    <row r="293" spans="1:10">
      <c r="A293" s="7" t="str">
        <f>IF(子基金及业绩基准周净值!A334="","",子基金及业绩基准周净值!A334)</f>
        <v/>
      </c>
      <c r="B293" s="1" t="str">
        <f>IF(A293="","",VLOOKUP($A293,子基金及业绩基准周净值!$A:$AV,20))</f>
        <v/>
      </c>
      <c r="C293" s="8" t="str">
        <f t="shared" si="23"/>
        <v/>
      </c>
      <c r="D293" s="9" t="str">
        <f>IF(A293="","",C293-(子基金及业绩基准周净值!AH334/子基金及业绩基准周净值!AH333-1))</f>
        <v/>
      </c>
      <c r="E293" s="12" t="str">
        <f>IF(A293="","",(MAX(B$3:B293)-B293)/MAX(B$3:B293))</f>
        <v/>
      </c>
      <c r="F293" s="12" t="str">
        <f>IF(A293="","",MAX(E$4:E293))</f>
        <v/>
      </c>
      <c r="H293" s="14" t="str">
        <f t="shared" si="24"/>
        <v/>
      </c>
      <c r="I293" s="14" t="str">
        <f t="shared" si="25"/>
        <v/>
      </c>
      <c r="J293" s="15" t="str">
        <f t="shared" si="26"/>
        <v/>
      </c>
    </row>
    <row r="294" spans="1:10">
      <c r="A294" s="7" t="str">
        <f>IF(子基金及业绩基准周净值!A335="","",子基金及业绩基准周净值!A335)</f>
        <v/>
      </c>
      <c r="B294" s="1" t="str">
        <f>IF(A294="","",VLOOKUP($A294,子基金及业绩基准周净值!$A:$AV,20))</f>
        <v/>
      </c>
      <c r="C294" s="8" t="str">
        <f t="shared" si="23"/>
        <v/>
      </c>
      <c r="D294" s="9" t="str">
        <f>IF(A294="","",C294-(子基金及业绩基准周净值!AH335/子基金及业绩基准周净值!AH334-1))</f>
        <v/>
      </c>
      <c r="E294" s="12" t="str">
        <f>IF(A294="","",(MAX(B$3:B294)-B294)/MAX(B$3:B294))</f>
        <v/>
      </c>
      <c r="F294" s="12" t="str">
        <f>IF(A294="","",MAX(E$4:E294))</f>
        <v/>
      </c>
      <c r="H294" s="14" t="str">
        <f t="shared" si="24"/>
        <v/>
      </c>
      <c r="I294" s="14" t="str">
        <f t="shared" si="25"/>
        <v/>
      </c>
      <c r="J294" s="15" t="str">
        <f t="shared" si="26"/>
        <v/>
      </c>
    </row>
    <row r="295" spans="1:10">
      <c r="A295" s="7" t="str">
        <f>IF(子基金及业绩基准周净值!A336="","",子基金及业绩基准周净值!A336)</f>
        <v/>
      </c>
      <c r="B295" s="1" t="str">
        <f>IF(A295="","",VLOOKUP($A295,子基金及业绩基准周净值!$A:$AV,20))</f>
        <v/>
      </c>
      <c r="C295" s="8" t="str">
        <f t="shared" si="23"/>
        <v/>
      </c>
      <c r="D295" s="9" t="str">
        <f>IF(A295="","",C295-(子基金及业绩基准周净值!AH336/子基金及业绩基准周净值!AH335-1))</f>
        <v/>
      </c>
      <c r="E295" s="12" t="str">
        <f>IF(A295="","",(MAX(B$3:B295)-B295)/MAX(B$3:B295))</f>
        <v/>
      </c>
      <c r="F295" s="12" t="str">
        <f>IF(A295="","",MAX(E$4:E295))</f>
        <v/>
      </c>
      <c r="H295" s="14" t="str">
        <f t="shared" si="24"/>
        <v/>
      </c>
      <c r="I295" s="14" t="str">
        <f t="shared" si="25"/>
        <v/>
      </c>
      <c r="J295" s="15" t="str">
        <f t="shared" si="26"/>
        <v/>
      </c>
    </row>
    <row r="296" spans="1:10">
      <c r="A296" s="7" t="str">
        <f>IF(子基金及业绩基准周净值!A337="","",子基金及业绩基准周净值!A337)</f>
        <v/>
      </c>
      <c r="B296" s="1" t="str">
        <f>IF(A296="","",VLOOKUP($A296,子基金及业绩基准周净值!$A:$AV,20))</f>
        <v/>
      </c>
      <c r="C296" s="8" t="str">
        <f t="shared" si="23"/>
        <v/>
      </c>
      <c r="D296" s="9" t="str">
        <f>IF(A296="","",C296-(子基金及业绩基准周净值!AH337/子基金及业绩基准周净值!AH336-1))</f>
        <v/>
      </c>
      <c r="E296" s="12" t="str">
        <f>IF(A296="","",(MAX(B$3:B296)-B296)/MAX(B$3:B296))</f>
        <v/>
      </c>
      <c r="F296" s="12" t="str">
        <f>IF(A296="","",MAX(E$4:E296))</f>
        <v/>
      </c>
      <c r="H296" s="14" t="str">
        <f t="shared" si="24"/>
        <v/>
      </c>
      <c r="I296" s="14" t="str">
        <f t="shared" si="25"/>
        <v/>
      </c>
      <c r="J296" s="15" t="str">
        <f t="shared" si="26"/>
        <v/>
      </c>
    </row>
    <row r="297" spans="1:10">
      <c r="A297" s="7" t="str">
        <f>IF(子基金及业绩基准周净值!A338="","",子基金及业绩基准周净值!A338)</f>
        <v/>
      </c>
      <c r="B297" s="1" t="str">
        <f>IF(A297="","",VLOOKUP($A297,子基金及业绩基准周净值!$A:$AV,20))</f>
        <v/>
      </c>
      <c r="C297" s="8" t="str">
        <f t="shared" si="23"/>
        <v/>
      </c>
      <c r="D297" s="9" t="str">
        <f>IF(A297="","",C297-(子基金及业绩基准周净值!AH338/子基金及业绩基准周净值!AH337-1))</f>
        <v/>
      </c>
      <c r="E297" s="12" t="str">
        <f>IF(A297="","",(MAX(B$3:B297)-B297)/MAX(B$3:B297))</f>
        <v/>
      </c>
      <c r="F297" s="12" t="str">
        <f>IF(A297="","",MAX(E$4:E297))</f>
        <v/>
      </c>
      <c r="H297" s="14" t="str">
        <f t="shared" si="24"/>
        <v/>
      </c>
      <c r="I297" s="14" t="str">
        <f t="shared" si="25"/>
        <v/>
      </c>
      <c r="J297" s="15" t="str">
        <f t="shared" si="26"/>
        <v/>
      </c>
    </row>
    <row r="298" spans="1:10">
      <c r="A298" s="7" t="str">
        <f>IF(子基金及业绩基准周净值!A339="","",子基金及业绩基准周净值!A339)</f>
        <v/>
      </c>
      <c r="B298" s="1" t="str">
        <f>IF(A298="","",VLOOKUP($A298,子基金及业绩基准周净值!$A:$AV,20))</f>
        <v/>
      </c>
      <c r="C298" s="8" t="str">
        <f t="shared" si="23"/>
        <v/>
      </c>
      <c r="D298" s="9" t="str">
        <f>IF(A298="","",C298-(子基金及业绩基准周净值!AH339/子基金及业绩基准周净值!AH338-1))</f>
        <v/>
      </c>
      <c r="E298" s="12" t="str">
        <f>IF(A298="","",(MAX(B$3:B298)-B298)/MAX(B$3:B298))</f>
        <v/>
      </c>
      <c r="F298" s="12" t="str">
        <f>IF(A298="","",MAX(E$4:E298))</f>
        <v/>
      </c>
      <c r="H298" s="14" t="str">
        <f t="shared" si="24"/>
        <v/>
      </c>
      <c r="I298" s="14" t="str">
        <f t="shared" si="25"/>
        <v/>
      </c>
      <c r="J298" s="15" t="str">
        <f t="shared" si="26"/>
        <v/>
      </c>
    </row>
    <row r="299" spans="1:10">
      <c r="A299" s="7" t="str">
        <f>IF(子基金及业绩基准周净值!A340="","",子基金及业绩基准周净值!A340)</f>
        <v/>
      </c>
      <c r="B299" s="1" t="str">
        <f>IF(A299="","",VLOOKUP($A299,子基金及业绩基准周净值!$A:$AV,20))</f>
        <v/>
      </c>
      <c r="C299" s="8" t="str">
        <f t="shared" si="23"/>
        <v/>
      </c>
      <c r="D299" s="9" t="str">
        <f>IF(A299="","",C299-(子基金及业绩基准周净值!AH340/子基金及业绩基准周净值!AH339-1))</f>
        <v/>
      </c>
      <c r="E299" s="12" t="str">
        <f>IF(A299="","",(MAX(B$3:B299)-B299)/MAX(B$3:B299))</f>
        <v/>
      </c>
      <c r="F299" s="12" t="str">
        <f>IF(A299="","",MAX(E$4:E299))</f>
        <v/>
      </c>
      <c r="H299" s="14" t="str">
        <f t="shared" si="24"/>
        <v/>
      </c>
      <c r="I299" s="14" t="str">
        <f t="shared" si="25"/>
        <v/>
      </c>
      <c r="J299" s="15" t="str">
        <f t="shared" si="26"/>
        <v/>
      </c>
    </row>
    <row r="300" spans="1:10">
      <c r="A300" s="7" t="str">
        <f>IF(子基金及业绩基准周净值!A341="","",子基金及业绩基准周净值!A341)</f>
        <v/>
      </c>
      <c r="B300" s="1" t="str">
        <f>IF(A300="","",VLOOKUP($A300,子基金及业绩基准周净值!$A:$AV,20))</f>
        <v/>
      </c>
      <c r="C300" s="8" t="str">
        <f t="shared" si="23"/>
        <v/>
      </c>
      <c r="D300" s="9" t="str">
        <f>IF(A300="","",C300-(子基金及业绩基准周净值!AH341/子基金及业绩基准周净值!AH340-1))</f>
        <v/>
      </c>
      <c r="E300" s="12" t="str">
        <f>IF(A300="","",(MAX(B$3:B300)-B300)/MAX(B$3:B300))</f>
        <v/>
      </c>
      <c r="F300" s="12" t="str">
        <f>IF(A300="","",MAX(E$4:E300))</f>
        <v/>
      </c>
      <c r="H300" s="14" t="str">
        <f t="shared" si="24"/>
        <v/>
      </c>
      <c r="I300" s="14" t="str">
        <f t="shared" si="25"/>
        <v/>
      </c>
      <c r="J300" s="15" t="str">
        <f t="shared" si="26"/>
        <v/>
      </c>
    </row>
    <row r="301" spans="1:10">
      <c r="A301" s="7" t="str">
        <f>IF(子基金及业绩基准周净值!A342="","",子基金及业绩基准周净值!A342)</f>
        <v/>
      </c>
      <c r="B301" s="1" t="str">
        <f>IF(A301="","",VLOOKUP($A301,子基金及业绩基准周净值!$A:$AV,20))</f>
        <v/>
      </c>
      <c r="C301" s="8" t="str">
        <f t="shared" si="23"/>
        <v/>
      </c>
      <c r="D301" s="9" t="str">
        <f>IF(A301="","",C301-(子基金及业绩基准周净值!AH342/子基金及业绩基准周净值!AH341-1))</f>
        <v/>
      </c>
      <c r="E301" s="12" t="str">
        <f>IF(A301="","",(MAX(B$3:B301)-B301)/MAX(B$3:B301))</f>
        <v/>
      </c>
      <c r="F301" s="12" t="str">
        <f>IF(A301="","",MAX(E$4:E301))</f>
        <v/>
      </c>
      <c r="H301" s="14" t="str">
        <f t="shared" si="24"/>
        <v/>
      </c>
      <c r="I301" s="14" t="str">
        <f t="shared" si="25"/>
        <v/>
      </c>
      <c r="J301" s="15" t="str">
        <f t="shared" si="26"/>
        <v/>
      </c>
    </row>
    <row r="302" spans="1:10">
      <c r="A302" s="7" t="str">
        <f>IF(子基金及业绩基准周净值!A343="","",子基金及业绩基准周净值!A343)</f>
        <v/>
      </c>
      <c r="B302" s="1" t="str">
        <f>IF(A302="","",VLOOKUP($A302,子基金及业绩基准周净值!$A:$AV,20))</f>
        <v/>
      </c>
      <c r="C302" s="8" t="str">
        <f t="shared" si="23"/>
        <v/>
      </c>
      <c r="D302" s="9" t="str">
        <f>IF(A302="","",C302-(子基金及业绩基准周净值!AH343/子基金及业绩基准周净值!AH342-1))</f>
        <v/>
      </c>
      <c r="E302" s="12" t="str">
        <f>IF(A302="","",(MAX(B$3:B302)-B302)/MAX(B$3:B302))</f>
        <v/>
      </c>
      <c r="F302" s="12" t="str">
        <f>IF(A302="","",MAX(E$4:E302))</f>
        <v/>
      </c>
      <c r="H302" s="14" t="str">
        <f t="shared" si="24"/>
        <v/>
      </c>
      <c r="I302" s="14" t="str">
        <f t="shared" si="25"/>
        <v/>
      </c>
      <c r="J302" s="15" t="str">
        <f t="shared" si="26"/>
        <v/>
      </c>
    </row>
    <row r="303" spans="1:10">
      <c r="A303" s="7" t="str">
        <f>IF(子基金及业绩基准周净值!A344="","",子基金及业绩基准周净值!A344)</f>
        <v/>
      </c>
      <c r="B303" s="1" t="str">
        <f>IF(A303="","",VLOOKUP($A303,子基金及业绩基准周净值!$A:$AV,20))</f>
        <v/>
      </c>
      <c r="C303" s="8" t="str">
        <f t="shared" si="23"/>
        <v/>
      </c>
      <c r="D303" s="9" t="str">
        <f>IF(A303="","",C303-(子基金及业绩基准周净值!AH344/子基金及业绩基准周净值!AH343-1))</f>
        <v/>
      </c>
      <c r="E303" s="12" t="str">
        <f>IF(A303="","",(MAX(B$3:B303)-B303)/MAX(B$3:B303))</f>
        <v/>
      </c>
      <c r="F303" s="12" t="str">
        <f>IF(A303="","",MAX(E$4:E303))</f>
        <v/>
      </c>
      <c r="H303" s="14" t="str">
        <f t="shared" si="24"/>
        <v/>
      </c>
      <c r="I303" s="14" t="str">
        <f t="shared" si="25"/>
        <v/>
      </c>
      <c r="J303" s="15" t="str">
        <f t="shared" si="26"/>
        <v/>
      </c>
    </row>
    <row r="304" spans="1:10">
      <c r="A304" s="7" t="str">
        <f>IF(子基金及业绩基准周净值!A345="","",子基金及业绩基准周净值!A345)</f>
        <v/>
      </c>
      <c r="B304" s="1" t="str">
        <f>IF(A304="","",VLOOKUP($A304,子基金及业绩基准周净值!$A:$AV,20))</f>
        <v/>
      </c>
      <c r="C304" s="8" t="str">
        <f t="shared" si="23"/>
        <v/>
      </c>
      <c r="D304" s="9" t="str">
        <f>IF(A304="","",C304-(子基金及业绩基准周净值!AH345/子基金及业绩基准周净值!AH344-1))</f>
        <v/>
      </c>
      <c r="E304" s="12" t="str">
        <f>IF(A304="","",(MAX(B$3:B304)-B304)/MAX(B$3:B304))</f>
        <v/>
      </c>
      <c r="F304" s="12" t="str">
        <f>IF(A304="","",MAX(E$4:E304))</f>
        <v/>
      </c>
      <c r="H304" s="14" t="str">
        <f t="shared" si="24"/>
        <v/>
      </c>
      <c r="I304" s="14" t="str">
        <f t="shared" si="25"/>
        <v/>
      </c>
      <c r="J304" s="15" t="str">
        <f t="shared" si="26"/>
        <v/>
      </c>
    </row>
    <row r="305" spans="1:10">
      <c r="A305" s="7" t="str">
        <f>IF(子基金及业绩基准周净值!A346="","",子基金及业绩基准周净值!A346)</f>
        <v/>
      </c>
      <c r="B305" s="1" t="str">
        <f>IF(A305="","",VLOOKUP($A305,子基金及业绩基准周净值!$A:$AV,20))</f>
        <v/>
      </c>
      <c r="C305" s="8" t="str">
        <f t="shared" si="23"/>
        <v/>
      </c>
      <c r="D305" s="9" t="str">
        <f>IF(A305="","",C305-(子基金及业绩基准周净值!AH346/子基金及业绩基准周净值!AH345-1))</f>
        <v/>
      </c>
      <c r="E305" s="12" t="str">
        <f>IF(A305="","",(MAX(B$3:B305)-B305)/MAX(B$3:B305))</f>
        <v/>
      </c>
      <c r="F305" s="12" t="str">
        <f>IF(A305="","",MAX(E$4:E305))</f>
        <v/>
      </c>
      <c r="H305" s="14" t="str">
        <f t="shared" si="24"/>
        <v/>
      </c>
      <c r="I305" s="14" t="str">
        <f t="shared" si="25"/>
        <v/>
      </c>
      <c r="J305" s="15" t="str">
        <f t="shared" si="26"/>
        <v/>
      </c>
    </row>
    <row r="306" spans="1:10">
      <c r="A306" s="7" t="str">
        <f>IF(子基金及业绩基准周净值!A347="","",子基金及业绩基准周净值!A347)</f>
        <v/>
      </c>
      <c r="B306" s="1" t="str">
        <f>IF(A306="","",VLOOKUP($A306,子基金及业绩基准周净值!$A:$AV,20))</f>
        <v/>
      </c>
      <c r="C306" s="8" t="str">
        <f t="shared" si="23"/>
        <v/>
      </c>
      <c r="D306" s="9" t="str">
        <f>IF(A306="","",C306-(子基金及业绩基准周净值!AH347/子基金及业绩基准周净值!AH346-1))</f>
        <v/>
      </c>
      <c r="E306" s="12" t="str">
        <f>IF(A306="","",(MAX(B$3:B306)-B306)/MAX(B$3:B306))</f>
        <v/>
      </c>
      <c r="F306" s="12" t="str">
        <f>IF(A306="","",MAX(E$4:E306))</f>
        <v/>
      </c>
      <c r="H306" s="14" t="str">
        <f t="shared" si="24"/>
        <v/>
      </c>
      <c r="I306" s="14" t="str">
        <f t="shared" si="25"/>
        <v/>
      </c>
      <c r="J306" s="15" t="str">
        <f t="shared" si="26"/>
        <v/>
      </c>
    </row>
    <row r="307" spans="1:10">
      <c r="A307" s="7" t="str">
        <f>IF(子基金及业绩基准周净值!A348="","",子基金及业绩基准周净值!A348)</f>
        <v/>
      </c>
      <c r="B307" s="1" t="str">
        <f>IF(A307="","",VLOOKUP($A307,子基金及业绩基准周净值!$A:$AV,20))</f>
        <v/>
      </c>
      <c r="C307" s="8" t="str">
        <f t="shared" si="23"/>
        <v/>
      </c>
      <c r="D307" s="9" t="str">
        <f>IF(A307="","",C307-(子基金及业绩基准周净值!AH348/子基金及业绩基准周净值!AH347-1))</f>
        <v/>
      </c>
      <c r="E307" s="12" t="str">
        <f>IF(A307="","",(MAX(B$3:B307)-B307)/MAX(B$3:B307))</f>
        <v/>
      </c>
      <c r="F307" s="12" t="str">
        <f>IF(A307="","",MAX(E$4:E307))</f>
        <v/>
      </c>
      <c r="H307" s="14" t="str">
        <f t="shared" si="24"/>
        <v/>
      </c>
      <c r="I307" s="14" t="str">
        <f t="shared" si="25"/>
        <v/>
      </c>
      <c r="J307" s="15" t="str">
        <f t="shared" si="26"/>
        <v/>
      </c>
    </row>
    <row r="308" spans="1:10">
      <c r="A308" s="7" t="str">
        <f>IF(子基金及业绩基准周净值!A349="","",子基金及业绩基准周净值!A349)</f>
        <v/>
      </c>
      <c r="B308" s="1" t="str">
        <f>IF(A308="","",VLOOKUP($A308,子基金及业绩基准周净值!$A:$AV,20))</f>
        <v/>
      </c>
      <c r="C308" s="8" t="str">
        <f t="shared" si="23"/>
        <v/>
      </c>
      <c r="D308" s="9" t="str">
        <f>IF(A308="","",C308-(子基金及业绩基准周净值!AH349/子基金及业绩基准周净值!AH348-1))</f>
        <v/>
      </c>
      <c r="E308" s="12" t="str">
        <f>IF(A308="","",(MAX(B$3:B308)-B308)/MAX(B$3:B308))</f>
        <v/>
      </c>
      <c r="F308" s="12" t="str">
        <f>IF(A308="","",MAX(E$4:E308))</f>
        <v/>
      </c>
      <c r="H308" s="14" t="str">
        <f t="shared" si="24"/>
        <v/>
      </c>
      <c r="I308" s="14" t="str">
        <f t="shared" si="25"/>
        <v/>
      </c>
      <c r="J308" s="15" t="str">
        <f t="shared" si="26"/>
        <v/>
      </c>
    </row>
  </sheetData>
  <conditionalFormatting sqref="J3:J1048576">
    <cfRule type="containsText" dxfId="0" priority="1" operator="between" text="是">
      <formula>NOT(ISERROR(SEARCH("是",J3)))</formula>
    </cfRule>
  </conditionalFormatting>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K127"/>
  <sheetViews>
    <sheetView topLeftCell="A9" workbookViewId="0">
      <selection activeCell="B51" sqref="B51"/>
    </sheetView>
  </sheetViews>
  <sheetFormatPr defaultColWidth="9" defaultRowHeight="16.8"/>
  <cols>
    <col min="1" max="1" width="21" style="1" customWidth="1"/>
    <col min="2" max="2" width="20.875" style="1" customWidth="1"/>
    <col min="3"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1">
        <v>4</v>
      </c>
      <c r="E1" s="1">
        <v>5</v>
      </c>
      <c r="F1" s="1">
        <v>6</v>
      </c>
      <c r="G1" s="14">
        <v>7</v>
      </c>
      <c r="H1" s="1">
        <v>8</v>
      </c>
      <c r="I1" s="1">
        <v>9</v>
      </c>
      <c r="J1" s="18">
        <v>10</v>
      </c>
      <c r="K1" s="1">
        <v>11</v>
      </c>
    </row>
    <row r="2" ht="16.5" customHeight="1" spans="1:11">
      <c r="A2" s="4" t="s">
        <v>2</v>
      </c>
      <c r="B2" s="4" t="s">
        <v>40</v>
      </c>
      <c r="C2" s="5" t="s">
        <v>310</v>
      </c>
      <c r="D2" s="5" t="s">
        <v>311</v>
      </c>
      <c r="E2" s="5" t="s">
        <v>33</v>
      </c>
      <c r="F2" s="5" t="s">
        <v>22</v>
      </c>
      <c r="G2" s="10" t="s">
        <v>312</v>
      </c>
      <c r="H2" s="11" t="s">
        <v>313</v>
      </c>
      <c r="I2" s="11" t="s">
        <v>314</v>
      </c>
      <c r="J2" s="11" t="s">
        <v>315</v>
      </c>
      <c r="K2" s="5" t="s">
        <v>316</v>
      </c>
    </row>
    <row r="3" spans="1:3">
      <c r="A3" s="7">
        <f>IF(子基金及业绩基准周净值!A3="","",子基金及业绩基准周净值!A3)</f>
        <v>45469</v>
      </c>
      <c r="B3" s="1">
        <f>IF(A3="","",VLOOKUP($A3,子基金及业绩基准周净值!$A:$F,3))</f>
        <v>1.386</v>
      </c>
      <c r="C3" s="8"/>
    </row>
    <row r="4" spans="1:10">
      <c r="A4" s="7">
        <f>IF(子基金及业绩基准周净值!A4="","",子基金及业绩基准周净值!A4)</f>
        <v>45471</v>
      </c>
      <c r="B4" s="1">
        <f>IF(A4="","",VLOOKUP($A4,子基金及业绩基准周净值!$A:$F,3))</f>
        <v>1.386</v>
      </c>
      <c r="C4" s="8">
        <f>IF(A4="","",(B4-B3)/B3)</f>
        <v>0</v>
      </c>
      <c r="D4" s="12" t="e">
        <f>IF(A4="","",C4-(子基金及业绩基准周净值!AH4/子基金及业绩基准周净值!AH3-1))</f>
        <v>#DIV/0!</v>
      </c>
      <c r="E4" s="12">
        <f>IF(A4="","",(MAX(B$3:B4)-B4)/MAX(B$3:B4))</f>
        <v>0</v>
      </c>
      <c r="F4" s="12">
        <f>IF(A4="","",MAX(E$4:E4))</f>
        <v>0</v>
      </c>
      <c r="G4" s="17">
        <v>0</v>
      </c>
      <c r="H4" s="14" t="str">
        <f>IF(A4="","",IF(E4&lt;3%,"否","是"))</f>
        <v>否</v>
      </c>
      <c r="I4" s="14" t="str">
        <f>IF(A4="","",IF(F4&gt;5%,"是","否"))</f>
        <v>否</v>
      </c>
      <c r="J4" s="15" t="str">
        <f>IF(A4="","",IF(G4&gt;=4,"是","否"))</f>
        <v>否</v>
      </c>
    </row>
    <row r="5" spans="1:10">
      <c r="A5" s="7">
        <f>IF(子基金及业绩基准周净值!A5="","",子基金及业绩基准周净值!A5)</f>
        <v>45478</v>
      </c>
      <c r="B5" s="1">
        <f>IF(A5="","",VLOOKUP($A5,子基金及业绩基准周净值!$A:$F,3))</f>
        <v>1.387</v>
      </c>
      <c r="C5" s="8">
        <f>IF(A5="","",(B5-B4)/B4)</f>
        <v>0.000721500721500802</v>
      </c>
      <c r="D5" s="12" t="e">
        <f>IF(A5="","",C5-(子基金及业绩基准周净值!AH5/子基金及业绩基准周净值!AH4-1))</f>
        <v>#DIV/0!</v>
      </c>
      <c r="E5" s="12">
        <f>IF(A5="","",(MAX(B$3:B5)-B5)/MAX(B$3:B5))</f>
        <v>0</v>
      </c>
      <c r="F5" s="12">
        <f>IF(A5="","",MAX(E$4:E5))</f>
        <v>0</v>
      </c>
      <c r="G5" s="17">
        <v>0</v>
      </c>
      <c r="H5" s="14" t="str">
        <f t="shared" ref="H5:H31" si="0">IF(A5="","",IF(E5&lt;3%,"否","是"))</f>
        <v>否</v>
      </c>
      <c r="I5" s="14" t="str">
        <f t="shared" ref="I5:I31" si="1">IF(A5="","",IF(F5&gt;5%,"是","否"))</f>
        <v>否</v>
      </c>
      <c r="J5" s="15" t="str">
        <f t="shared" ref="J5:J31" si="2">IF(A5="","",IF(G5&gt;=4,"是","否"))</f>
        <v>否</v>
      </c>
    </row>
    <row r="6" spans="1:10">
      <c r="A6" s="7">
        <f>IF(子基金及业绩基准周净值!A6="","",子基金及业绩基准周净值!A6)</f>
        <v>45485</v>
      </c>
      <c r="B6" s="1">
        <f>IF(A6="","",VLOOKUP($A6,子基金及业绩基准周净值!$A:$F,3))</f>
        <v>1.385</v>
      </c>
      <c r="C6" s="8">
        <f t="shared" ref="C6:C31" si="3">IF(A6="","",(B6-B5)/B5)</f>
        <v>-0.00144196106705119</v>
      </c>
      <c r="D6" s="12">
        <f>IF(A6="","",C6-(子基金及业绩基准周净值!AH6/子基金及业绩基准周净值!AH5-1))</f>
        <v>-0.00261716152929326</v>
      </c>
      <c r="E6" s="12">
        <f>IF(A6="","",(MAX(B$3:B6)-B6)/MAX(B$3:B6))</f>
        <v>0.00144196106705119</v>
      </c>
      <c r="F6" s="12">
        <f>IF(A6="","",MAX(E$4:E6))</f>
        <v>0.00144196106705119</v>
      </c>
      <c r="G6" s="17">
        <v>2</v>
      </c>
      <c r="H6" s="14" t="str">
        <f t="shared" si="0"/>
        <v>否</v>
      </c>
      <c r="I6" s="14" t="str">
        <f t="shared" si="1"/>
        <v>否</v>
      </c>
      <c r="J6" s="15" t="str">
        <f t="shared" si="2"/>
        <v>否</v>
      </c>
    </row>
    <row r="7" spans="1:10">
      <c r="A7" s="7">
        <f>IF(子基金及业绩基准周净值!A7="","",子基金及业绩基准周净值!A7)</f>
        <v>45492</v>
      </c>
      <c r="B7" s="1">
        <f>IF(A7="","",VLOOKUP($A7,子基金及业绩基准周净值!$A:$F,3))</f>
        <v>1.386</v>
      </c>
      <c r="C7" s="8">
        <f t="shared" si="3"/>
        <v>0.00072202166064974</v>
      </c>
      <c r="D7" s="12">
        <f>IF(A7="","",C7-(子基金及业绩基准周净值!AH7/子基金及业绩基准周净值!AH6-1))</f>
        <v>0.00157812364518086</v>
      </c>
      <c r="E7" s="12">
        <f>IF(A7="","",(MAX(B$3:B7)-B7)/MAX(B$3:B7))</f>
        <v>0.000720980533525676</v>
      </c>
      <c r="F7" s="12">
        <f>IF(A7="","",MAX(E$4:E7))</f>
        <v>0.00144196106705119</v>
      </c>
      <c r="G7" s="17">
        <v>0</v>
      </c>
      <c r="H7" s="14" t="str">
        <f t="shared" si="0"/>
        <v>否</v>
      </c>
      <c r="I7" s="14" t="str">
        <f t="shared" si="1"/>
        <v>否</v>
      </c>
      <c r="J7" s="15" t="str">
        <f t="shared" si="2"/>
        <v>否</v>
      </c>
    </row>
    <row r="8" spans="1:10">
      <c r="A8" s="7">
        <f>IF(子基金及业绩基准周净值!A8="","",子基金及业绩基准周净值!A8)</f>
        <v>45499</v>
      </c>
      <c r="B8" s="1">
        <f>IF(A8="","",VLOOKUP($A8,子基金及业绩基准周净值!$A:$F,3))</f>
        <v>1.388</v>
      </c>
      <c r="C8" s="8">
        <f t="shared" si="3"/>
        <v>0.00144300144300144</v>
      </c>
      <c r="D8" s="12">
        <f>IF(A8="","",C8-(子基金及业绩基准周净值!AH8/子基金及业绩基准周净值!AH7-1))</f>
        <v>0.00437681693715972</v>
      </c>
      <c r="E8" s="12">
        <f>IF(A8="","",(MAX(B$3:B8)-B8)/MAX(B$3:B8))</f>
        <v>0</v>
      </c>
      <c r="F8" s="12">
        <f>IF(A8="","",MAX(E$4:E8))</f>
        <v>0.00144196106705119</v>
      </c>
      <c r="G8" s="17">
        <v>0</v>
      </c>
      <c r="H8" s="14" t="str">
        <f t="shared" si="0"/>
        <v>否</v>
      </c>
      <c r="I8" s="14" t="str">
        <f t="shared" si="1"/>
        <v>否</v>
      </c>
      <c r="J8" s="15" t="str">
        <f t="shared" si="2"/>
        <v>否</v>
      </c>
    </row>
    <row r="9" spans="1:10">
      <c r="A9" s="7">
        <f>IF(子基金及业绩基准周净值!A9="","",子基金及业绩基准周净值!A9)</f>
        <v>45506</v>
      </c>
      <c r="B9" s="1">
        <f>IF(A9="","",VLOOKUP($A9,子基金及业绩基准周净值!$A:$F,3))</f>
        <v>1.385</v>
      </c>
      <c r="C9" s="8">
        <f t="shared" si="3"/>
        <v>-0.00216138328530252</v>
      </c>
      <c r="D9" s="12">
        <f>IF(A9="","",C9-(子基金及业绩基准周净值!AH9/子基金及业绩基准周净值!AH8-1))</f>
        <v>-0.0022666255192621</v>
      </c>
      <c r="E9" s="12">
        <f>IF(A9="","",(MAX(B$3:B9)-B9)/MAX(B$3:B9))</f>
        <v>0.00216138328530252</v>
      </c>
      <c r="F9" s="12">
        <f>IF(A9="","",MAX(E$4:E9))</f>
        <v>0.00216138328530252</v>
      </c>
      <c r="G9" s="17">
        <v>1</v>
      </c>
      <c r="H9" s="14" t="str">
        <f t="shared" si="0"/>
        <v>否</v>
      </c>
      <c r="I9" s="14" t="str">
        <f t="shared" si="1"/>
        <v>否</v>
      </c>
      <c r="J9" s="15" t="str">
        <f t="shared" si="2"/>
        <v>否</v>
      </c>
    </row>
    <row r="10" spans="1:10">
      <c r="A10" s="7">
        <f>IF(子基金及业绩基准周净值!A10="","",子基金及业绩基准周净值!A10)</f>
        <v>45513</v>
      </c>
      <c r="B10" s="1">
        <f>IF(A10="","",VLOOKUP($A10,子基金及业绩基准周净值!$A:$F,3))</f>
        <v>1.388</v>
      </c>
      <c r="C10" s="8">
        <f t="shared" si="3"/>
        <v>0.00216606498194938</v>
      </c>
      <c r="D10" s="12">
        <f>IF(A10="","",C10-(子基金及业绩基准周净值!AH10/子基金及业绩基准周净值!AH9-1))</f>
        <v>0.00446705485557686</v>
      </c>
      <c r="E10" s="12">
        <f>IF(A10="","",(MAX(B$3:B10)-B10)/MAX(B$3:B10))</f>
        <v>0</v>
      </c>
      <c r="F10" s="12">
        <f>IF(A10="","",MAX(E$4:E10))</f>
        <v>0.00216138328530252</v>
      </c>
      <c r="G10" s="17">
        <v>0</v>
      </c>
      <c r="H10" s="14" t="str">
        <f t="shared" si="0"/>
        <v>否</v>
      </c>
      <c r="I10" s="14" t="str">
        <f t="shared" si="1"/>
        <v>否</v>
      </c>
      <c r="J10" s="15" t="str">
        <f t="shared" si="2"/>
        <v>否</v>
      </c>
    </row>
    <row r="11" spans="1:10">
      <c r="A11" s="7">
        <f>IF(子基金及业绩基准周净值!A11="","",子基金及业绩基准周净值!A11)</f>
        <v>45520</v>
      </c>
      <c r="B11" s="1">
        <f>IF(A11="","",VLOOKUP($A11,子基金及业绩基准周净值!$A:$F,3))</f>
        <v>1.388</v>
      </c>
      <c r="C11" s="8">
        <f t="shared" si="3"/>
        <v>0</v>
      </c>
      <c r="D11" s="12">
        <f>IF(A11="","",C11-(子基金及业绩基准周净值!AH11/子基金及业绩基准周净值!AH10-1))</f>
        <v>-0.00354928854475611</v>
      </c>
      <c r="E11" s="12">
        <f>IF(A11="","",(MAX(B$3:B11)-B11)/MAX(B$3:B11))</f>
        <v>0</v>
      </c>
      <c r="F11" s="12">
        <f>IF(A11="","",MAX(E$4:E11))</f>
        <v>0.00216138328530252</v>
      </c>
      <c r="G11" s="17">
        <v>1</v>
      </c>
      <c r="H11" s="14" t="str">
        <f t="shared" si="0"/>
        <v>否</v>
      </c>
      <c r="I11" s="14" t="str">
        <f t="shared" si="1"/>
        <v>否</v>
      </c>
      <c r="J11" s="15" t="str">
        <f t="shared" si="2"/>
        <v>否</v>
      </c>
    </row>
    <row r="12" spans="1:10">
      <c r="A12" s="7">
        <f>IF(子基金及业绩基准周净值!A12="","",子基金及业绩基准周净值!A12)</f>
        <v>45527</v>
      </c>
      <c r="B12" s="1">
        <f>IF(A12="","",VLOOKUP($A12,子基金及业绩基准周净值!$A:$F,3))</f>
        <v>1.388</v>
      </c>
      <c r="C12" s="8">
        <f t="shared" si="3"/>
        <v>0</v>
      </c>
      <c r="D12" s="12">
        <f>IF(A12="","",C12-(子基金及业绩基准周净值!AH12/子基金及业绩基准周净值!AH11-1))</f>
        <v>0.000895015607755179</v>
      </c>
      <c r="E12" s="12">
        <f>IF(A12="","",(MAX(B$3:B12)-B12)/MAX(B$3:B12))</f>
        <v>0</v>
      </c>
      <c r="F12" s="12">
        <f>IF(A12="","",MAX(E$4:E12))</f>
        <v>0.00216138328530252</v>
      </c>
      <c r="G12" s="17">
        <v>0</v>
      </c>
      <c r="H12" s="14" t="str">
        <f t="shared" si="0"/>
        <v>否</v>
      </c>
      <c r="I12" s="14" t="str">
        <f t="shared" si="1"/>
        <v>否</v>
      </c>
      <c r="J12" s="15" t="str">
        <f t="shared" si="2"/>
        <v>否</v>
      </c>
    </row>
    <row r="13" spans="1:10">
      <c r="A13" s="7">
        <f>IF(子基金及业绩基准周净值!A13="","",子基金及业绩基准周净值!A13)</f>
        <v>45534</v>
      </c>
      <c r="B13" s="1">
        <f>IF(A13="","",VLOOKUP($A13,子基金及业绩基准周净值!$A:$F,3))</f>
        <v>1.391</v>
      </c>
      <c r="C13" s="8">
        <f t="shared" si="3"/>
        <v>0.00216138328530268</v>
      </c>
      <c r="D13" s="12">
        <f>IF(A13="","",C13-(子基金及业绩基准周净值!AH13/子基金及业绩基准周净值!AH12-1))</f>
        <v>0.00108096857255079</v>
      </c>
      <c r="E13" s="12">
        <f>IF(A13="","",(MAX(B$3:B13)-B13)/MAX(B$3:B13))</f>
        <v>0</v>
      </c>
      <c r="F13" s="12">
        <f>IF(A13="","",MAX(E$4:E13))</f>
        <v>0.00216138328530252</v>
      </c>
      <c r="G13" s="17">
        <v>0</v>
      </c>
      <c r="H13" s="14" t="str">
        <f t="shared" si="0"/>
        <v>否</v>
      </c>
      <c r="I13" s="14" t="str">
        <f t="shared" si="1"/>
        <v>否</v>
      </c>
      <c r="J13" s="15" t="str">
        <f t="shared" si="2"/>
        <v>否</v>
      </c>
    </row>
    <row r="14" spans="1:10">
      <c r="A14" s="7">
        <f>IF(子基金及业绩基准周净值!A14="","",子基金及业绩基准周净值!A14)</f>
        <v>45541</v>
      </c>
      <c r="B14" s="1">
        <f>IF(A14="","",VLOOKUP($A14,子基金及业绩基准周净值!$A:$F,3))</f>
        <v>1.389</v>
      </c>
      <c r="C14" s="8">
        <f t="shared" si="3"/>
        <v>-0.00143781452192667</v>
      </c>
      <c r="D14" s="12">
        <f>IF(A14="","",C14-(子基金及业绩基准周净值!AH14/子基金及业绩基准周净值!AH13-1))</f>
        <v>2.09488394028786e-5</v>
      </c>
      <c r="E14" s="12">
        <f>IF(A14="","",(MAX(B$3:B14)-B14)/MAX(B$3:B14))</f>
        <v>0.00143781452192667</v>
      </c>
      <c r="F14" s="12">
        <f>IF(A14="","",MAX(E$4:E14))</f>
        <v>0.00216138328530252</v>
      </c>
      <c r="G14" s="17">
        <v>0</v>
      </c>
      <c r="H14" s="14" t="str">
        <f t="shared" si="0"/>
        <v>否</v>
      </c>
      <c r="I14" s="14" t="str">
        <f t="shared" si="1"/>
        <v>否</v>
      </c>
      <c r="J14" s="15" t="str">
        <f t="shared" si="2"/>
        <v>否</v>
      </c>
    </row>
    <row r="15" spans="1:10">
      <c r="A15" s="7">
        <f>IF(子基金及业绩基准周净值!A15="","",子基金及业绩基准周净值!A15)</f>
        <v>45548</v>
      </c>
      <c r="B15" s="1">
        <f>IF(A15="","",VLOOKUP($A15,子基金及业绩基准周净值!$A:$F,3))</f>
        <v>1.39</v>
      </c>
      <c r="C15" s="8">
        <f t="shared" si="3"/>
        <v>0.000719942404607552</v>
      </c>
      <c r="D15" s="12">
        <f>IF(A15="","",C15-(子基金及业绩基准周净值!AH15/子基金及业绩基准周净值!AH14-1))</f>
        <v>0.00262729554503844</v>
      </c>
      <c r="E15" s="12">
        <f>IF(A15="","",(MAX(B$3:B15)-B15)/MAX(B$3:B15))</f>
        <v>0.000718907260963416</v>
      </c>
      <c r="F15" s="12">
        <f>IF(A15="","",MAX(E$4:E15))</f>
        <v>0.00216138328530252</v>
      </c>
      <c r="G15" s="17">
        <v>0</v>
      </c>
      <c r="H15" s="14" t="str">
        <f t="shared" si="0"/>
        <v>否</v>
      </c>
      <c r="I15" s="14" t="str">
        <f t="shared" si="1"/>
        <v>否</v>
      </c>
      <c r="J15" s="15" t="str">
        <f t="shared" si="2"/>
        <v>否</v>
      </c>
    </row>
    <row r="16" spans="1:10">
      <c r="A16" s="7">
        <f>IF(子基金及业绩基准周净值!A16="","",子基金及业绩基准周净值!A16)</f>
        <v>45555</v>
      </c>
      <c r="B16" s="1">
        <f>IF(A16="","",VLOOKUP($A16,子基金及业绩基准周净值!$A:$F,3))</f>
        <v>1.389</v>
      </c>
      <c r="C16" s="8">
        <f t="shared" si="3"/>
        <v>-0.000719424460431576</v>
      </c>
      <c r="D16" s="12">
        <f>IF(A16="","",C16-(子基金及业绩基准周净值!AH16/子基金及业绩基准周净值!AH15-1))</f>
        <v>-0.000225400935691092</v>
      </c>
      <c r="E16" s="12">
        <f>IF(A16="","",(MAX(B$3:B16)-B16)/MAX(B$3:B16))</f>
        <v>0.00143781452192667</v>
      </c>
      <c r="F16" s="12">
        <f>IF(A16="","",MAX(E$4:E16))</f>
        <v>0.00216138328530252</v>
      </c>
      <c r="G16" s="17">
        <v>1</v>
      </c>
      <c r="H16" s="14" t="str">
        <f t="shared" si="0"/>
        <v>否</v>
      </c>
      <c r="I16" s="14" t="str">
        <f t="shared" si="1"/>
        <v>否</v>
      </c>
      <c r="J16" s="15" t="str">
        <f t="shared" si="2"/>
        <v>否</v>
      </c>
    </row>
    <row r="17" spans="1:10">
      <c r="A17" s="7">
        <f>IF(子基金及业绩基准周净值!A17="","",子基金及业绩基准周净值!A17)</f>
        <v>45562</v>
      </c>
      <c r="B17" s="1">
        <f>IF(A17="","",VLOOKUP($A17,子基金及业绩基准周净值!$A:$F,3))</f>
        <v>1.406</v>
      </c>
      <c r="C17" s="8">
        <f t="shared" si="3"/>
        <v>0.0122390208783297</v>
      </c>
      <c r="D17" s="12">
        <f>IF(A17="","",C17-(子基金及业绩基准周净值!AH17/子基金及业绩基准周净值!AH16-1))</f>
        <v>0.0130111796673417</v>
      </c>
      <c r="E17" s="12">
        <f>IF(A17="","",(MAX(B$3:B17)-B17)/MAX(B$3:B17))</f>
        <v>0</v>
      </c>
      <c r="F17" s="12">
        <f>IF(A17="","",MAX(E$4:E17))</f>
        <v>0.00216138328530252</v>
      </c>
      <c r="G17" s="17">
        <v>0</v>
      </c>
      <c r="H17" s="14" t="str">
        <f t="shared" si="0"/>
        <v>否</v>
      </c>
      <c r="I17" s="14" t="str">
        <f t="shared" si="1"/>
        <v>否</v>
      </c>
      <c r="J17" s="15" t="str">
        <f t="shared" si="2"/>
        <v>否</v>
      </c>
    </row>
    <row r="18" spans="1:10">
      <c r="A18" s="7">
        <f>IF(子基金及业绩基准周净值!A18="","",子基金及业绩基准周净值!A18)</f>
        <v>45565</v>
      </c>
      <c r="B18" s="1">
        <f>IF(A18="","",VLOOKUP($A18,子基金及业绩基准周净值!$A:$F,3))</f>
        <v>1.409</v>
      </c>
      <c r="C18" s="8">
        <f t="shared" si="3"/>
        <v>0.00213371266002853</v>
      </c>
      <c r="D18" s="12">
        <f>IF(A18="","",C18-(子基金及业绩基准周净值!AH18/子基金及业绩基准周净值!AH17-1))</f>
        <v>-0.00575329380422525</v>
      </c>
      <c r="E18" s="12">
        <f>IF(A18="","",(MAX(B$3:B18)-B18)/MAX(B$3:B18))</f>
        <v>0</v>
      </c>
      <c r="F18" s="12">
        <f>IF(A18="","",MAX(E$4:E18))</f>
        <v>0.00216138328530252</v>
      </c>
      <c r="G18" s="17">
        <v>1</v>
      </c>
      <c r="H18" s="14" t="str">
        <f t="shared" si="0"/>
        <v>否</v>
      </c>
      <c r="I18" s="14" t="str">
        <f t="shared" si="1"/>
        <v>否</v>
      </c>
      <c r="J18" s="15" t="str">
        <f t="shared" si="2"/>
        <v>否</v>
      </c>
    </row>
    <row r="19" spans="1:10">
      <c r="A19" s="7">
        <f>IF(子基金及业绩基准周净值!A19="","",子基金及业绩基准周净值!A19)</f>
        <v>45576</v>
      </c>
      <c r="B19" s="1">
        <f>IF(A19="","",VLOOKUP($A19,子基金及业绩基准周净值!$A:$F,3))</f>
        <v>1.4162</v>
      </c>
      <c r="C19" s="8">
        <f t="shared" si="3"/>
        <v>0.00511000709723199</v>
      </c>
      <c r="D19" s="12">
        <f>IF(A19="","",C19-(子基金及业绩基准周净值!AH19/子基金及业绩基准周净值!AH18-1))</f>
        <v>-0.00144698898931748</v>
      </c>
      <c r="E19" s="12">
        <f>IF(A19="","",(MAX(B$3:B19)-B19)/MAX(B$3:B19))</f>
        <v>0</v>
      </c>
      <c r="F19" s="12">
        <f>IF(A19="","",MAX(E$4:E19))</f>
        <v>0.00216138328530252</v>
      </c>
      <c r="G19" s="17">
        <v>2</v>
      </c>
      <c r="H19" s="14" t="str">
        <f t="shared" si="0"/>
        <v>否</v>
      </c>
      <c r="I19" s="14" t="str">
        <f t="shared" si="1"/>
        <v>否</v>
      </c>
      <c r="J19" s="15" t="str">
        <f t="shared" si="2"/>
        <v>否</v>
      </c>
    </row>
    <row r="20" spans="1:10">
      <c r="A20" s="7">
        <f>IF(子基金及业绩基准周净值!A20="","",子基金及业绩基准周净值!A20)</f>
        <v>45583</v>
      </c>
      <c r="B20" s="1">
        <f>IF(A20="","",VLOOKUP($A20,子基金及业绩基准周净值!$A:$F,3))</f>
        <v>1.4178</v>
      </c>
      <c r="C20" s="8">
        <f t="shared" si="3"/>
        <v>0.00112978392882364</v>
      </c>
      <c r="D20" s="12">
        <f>IF(A20="","",C20-(子基金及业绩基准周净值!AH20/子基金及业绩基准周净值!AH19-1))</f>
        <v>0.000942810145568039</v>
      </c>
      <c r="E20" s="12">
        <f>IF(A20="","",(MAX(B$3:B20)-B20)/MAX(B$3:B20))</f>
        <v>0</v>
      </c>
      <c r="F20" s="12">
        <f>IF(A20="","",MAX(E$4:E20))</f>
        <v>0.00216138328530252</v>
      </c>
      <c r="G20" s="17">
        <v>0</v>
      </c>
      <c r="H20" s="14" t="str">
        <f t="shared" si="0"/>
        <v>否</v>
      </c>
      <c r="I20" s="14" t="str">
        <f t="shared" si="1"/>
        <v>否</v>
      </c>
      <c r="J20" s="15" t="str">
        <f t="shared" si="2"/>
        <v>否</v>
      </c>
    </row>
    <row r="21" spans="1:10">
      <c r="A21" s="7">
        <f>IF(子基金及业绩基准周净值!A21="","",子基金及业绩基准周净值!A21)</f>
        <v>45590</v>
      </c>
      <c r="B21" s="1">
        <f>IF(A21="","",VLOOKUP($A21,子基金及业绩基准周净值!$A:$F,3))</f>
        <v>1.4194</v>
      </c>
      <c r="C21" s="8">
        <f t="shared" si="3"/>
        <v>0.00112850895753988</v>
      </c>
      <c r="D21" s="12">
        <f>IF(A21="","",C21-(子基金及业绩基准周净值!AH21/子基金及业绩基准周净值!AH20-1))</f>
        <v>-0.00521567754718258</v>
      </c>
      <c r="E21" s="12">
        <f>IF(A21="","",(MAX(B$3:B21)-B21)/MAX(B$3:B21))</f>
        <v>0</v>
      </c>
      <c r="F21" s="12">
        <f>IF(A21="","",MAX(E$4:E21))</f>
        <v>0.00216138328530252</v>
      </c>
      <c r="G21" s="17">
        <v>1</v>
      </c>
      <c r="H21" s="14" t="str">
        <f t="shared" si="0"/>
        <v>否</v>
      </c>
      <c r="I21" s="14" t="str">
        <f t="shared" si="1"/>
        <v>否</v>
      </c>
      <c r="J21" s="15" t="str">
        <f t="shared" si="2"/>
        <v>否</v>
      </c>
    </row>
    <row r="22" spans="1:10">
      <c r="A22" s="7">
        <f>IF(子基金及业绩基准周净值!A22="","",子基金及业绩基准周净值!A22)</f>
        <v>45597</v>
      </c>
      <c r="B22" s="1">
        <f>IF(A22="","",VLOOKUP($A22,子基金及业绩基准周净值!$A:$F,3))</f>
        <v>1.421</v>
      </c>
      <c r="C22" s="8">
        <f t="shared" si="3"/>
        <v>0.00112723686064538</v>
      </c>
      <c r="D22" s="12">
        <f>IF(A22="","",C22-(子基金及业绩基准周净值!AH22/子基金及业绩基准周净值!AH21-1))</f>
        <v>-0.000270900139907981</v>
      </c>
      <c r="E22" s="12">
        <f>IF(A22="","",(MAX(B$3:B22)-B22)/MAX(B$3:B22))</f>
        <v>0</v>
      </c>
      <c r="F22" s="12">
        <f>IF(A22="","",MAX(E$4:E22))</f>
        <v>0.00216138328530252</v>
      </c>
      <c r="G22" s="17">
        <v>2</v>
      </c>
      <c r="H22" s="14" t="str">
        <f t="shared" si="0"/>
        <v>否</v>
      </c>
      <c r="I22" s="14" t="str">
        <f t="shared" si="1"/>
        <v>否</v>
      </c>
      <c r="J22" s="15" t="str">
        <f t="shared" si="2"/>
        <v>否</v>
      </c>
    </row>
    <row r="23" spans="1:10">
      <c r="A23" s="7">
        <f>IF(子基金及业绩基准周净值!A23="","",子基金及业绩基准周净值!A23)</f>
        <v>45604</v>
      </c>
      <c r="B23" s="1">
        <f>IF(A23="","",VLOOKUP($A23,子基金及业绩基准周净值!$A:$F,3))</f>
        <v>1.417</v>
      </c>
      <c r="C23" s="8">
        <f t="shared" si="3"/>
        <v>-0.00281491907107671</v>
      </c>
      <c r="D23" s="12">
        <f>IF(A23="","",C23-(子基金及业绩基准周净值!AH23/子基金及业绩基准周净值!AH22-1))</f>
        <v>-0.0134982334569238</v>
      </c>
      <c r="E23" s="12">
        <f>IF(A23="","",(MAX(B$3:B23)-B23)/MAX(B$3:B23))</f>
        <v>0.00281491907107671</v>
      </c>
      <c r="F23" s="12">
        <f>IF(A23="","",MAX(E$4:E23))</f>
        <v>0.00281491907107671</v>
      </c>
      <c r="G23" s="17">
        <v>3</v>
      </c>
      <c r="H23" s="14" t="str">
        <f t="shared" si="0"/>
        <v>否</v>
      </c>
      <c r="I23" s="14" t="str">
        <f t="shared" si="1"/>
        <v>否</v>
      </c>
      <c r="J23" s="15" t="str">
        <f t="shared" si="2"/>
        <v>否</v>
      </c>
    </row>
    <row r="24" spans="1:10">
      <c r="A24" s="7">
        <f>IF(子基金及业绩基准周净值!A24="","",子基金及业绩基准周净值!A24)</f>
        <v>45611</v>
      </c>
      <c r="B24" s="1">
        <f>IF(A24="","",VLOOKUP($A24,子基金及业绩基准周净值!$A:$F,3))</f>
        <v>1.4122</v>
      </c>
      <c r="C24" s="8">
        <f t="shared" si="3"/>
        <v>-0.00338743824982367</v>
      </c>
      <c r="D24" s="12">
        <f>IF(A24="","",C24-(子基金及业绩基准周净值!AH24/子基金及业绩基准周净值!AH23-1))</f>
        <v>-0.00354667939068852</v>
      </c>
      <c r="E24" s="12">
        <f>IF(A24="","",(MAX(B$3:B24)-B24)/MAX(B$3:B24))</f>
        <v>0.00619282195636885</v>
      </c>
      <c r="F24" s="12">
        <f>IF(A24="","",MAX(E$4:E24))</f>
        <v>0.00619282195636885</v>
      </c>
      <c r="G24" s="17">
        <v>4</v>
      </c>
      <c r="H24" s="14" t="str">
        <f t="shared" si="0"/>
        <v>否</v>
      </c>
      <c r="I24" s="14" t="str">
        <f t="shared" si="1"/>
        <v>否</v>
      </c>
      <c r="J24" s="19" t="str">
        <f t="shared" si="2"/>
        <v>是</v>
      </c>
    </row>
    <row r="25" spans="1:10">
      <c r="A25" s="7">
        <f>IF(子基金及业绩基准周净值!A25="","",子基金及业绩基准周净值!A25)</f>
        <v>45618</v>
      </c>
      <c r="B25" s="1">
        <f>IF(A25="","",VLOOKUP($A25,子基金及业绩基准周净值!$A:$F,3))</f>
        <v>1.4098</v>
      </c>
      <c r="C25" s="8">
        <f t="shared" si="3"/>
        <v>-0.00169947599490154</v>
      </c>
      <c r="D25" s="12">
        <f>IF(A25="","",C25-(子基金及业绩基准周净值!AH25/子基金及业绩基准周净值!AH24-1))</f>
        <v>-0.0022671490730765</v>
      </c>
      <c r="E25" s="12">
        <f>IF(A25="","",(MAX(B$3:B25)-B25)/MAX(B$3:B25))</f>
        <v>0.00788177339901485</v>
      </c>
      <c r="F25" s="12">
        <f>IF(A25="","",MAX(E$4:E25))</f>
        <v>0.00788177339901485</v>
      </c>
      <c r="G25" s="17">
        <v>5</v>
      </c>
      <c r="H25" s="14" t="str">
        <f t="shared" si="0"/>
        <v>否</v>
      </c>
      <c r="I25" s="14" t="str">
        <f t="shared" si="1"/>
        <v>否</v>
      </c>
      <c r="J25" s="19" t="str">
        <f t="shared" si="2"/>
        <v>是</v>
      </c>
    </row>
    <row r="26" spans="1:10">
      <c r="A26" s="7">
        <f>IF(子基金及业绩基准周净值!A26="","",子基金及业绩基准周净值!A26)</f>
        <v>45625</v>
      </c>
      <c r="B26" s="1">
        <f>IF(A26="","",VLOOKUP($A26,子基金及业绩基准周净值!$A:$F,3))</f>
        <v>1.4106</v>
      </c>
      <c r="C26" s="8">
        <f t="shared" si="3"/>
        <v>0.000567456376791129</v>
      </c>
      <c r="D26" s="12">
        <f>IF(A26="","",C26-(子基金及业绩基准周净值!AH26/子基金及业绩基准周净值!AH25-1))</f>
        <v>-0.00338353046820937</v>
      </c>
      <c r="E26" s="12">
        <f>IF(A26="","",(MAX(B$3:B26)-B26)/MAX(B$3:B26))</f>
        <v>0.00731878958479941</v>
      </c>
      <c r="F26" s="12">
        <f>IF(A26="","",MAX(E$4:E26))</f>
        <v>0.00788177339901485</v>
      </c>
      <c r="G26" s="17">
        <v>6</v>
      </c>
      <c r="H26" s="14" t="str">
        <f t="shared" si="0"/>
        <v>否</v>
      </c>
      <c r="I26" s="14" t="str">
        <f t="shared" si="1"/>
        <v>否</v>
      </c>
      <c r="J26" s="19" t="str">
        <f t="shared" si="2"/>
        <v>是</v>
      </c>
    </row>
    <row r="27" spans="1:10">
      <c r="A27" s="7">
        <f>IF(子基金及业绩基准周净值!A27="","",子基金及业绩基准周净值!A27)</f>
        <v>45632</v>
      </c>
      <c r="B27" s="1">
        <f>IF(A27="","",VLOOKUP($A27,子基金及业绩基准周净值!$A:$F,3))</f>
        <v>1.4106</v>
      </c>
      <c r="C27" s="8">
        <f t="shared" si="3"/>
        <v>0</v>
      </c>
      <c r="D27" s="12">
        <f>IF(A27="","",C27-(子基金及业绩基准周净值!AH27/子基金及业绩基准周净值!AH26-1))</f>
        <v>-0.00353997262463968</v>
      </c>
      <c r="E27" s="12">
        <f>IF(A27="","",(MAX(B$3:B27)-B27)/MAX(B$3:B27))</f>
        <v>0.00731878958479941</v>
      </c>
      <c r="F27" s="12">
        <f>IF(A27="","",MAX(E$4:E27))</f>
        <v>0.00788177339901485</v>
      </c>
      <c r="G27" s="17">
        <v>7</v>
      </c>
      <c r="H27" s="14" t="str">
        <f t="shared" si="0"/>
        <v>否</v>
      </c>
      <c r="I27" s="14" t="str">
        <f t="shared" si="1"/>
        <v>否</v>
      </c>
      <c r="J27" s="19" t="str">
        <f t="shared" si="2"/>
        <v>是</v>
      </c>
    </row>
    <row r="28" spans="1:10">
      <c r="A28" s="7">
        <f>IF(子基金及业绩基准周净值!A28="","",子基金及业绩基准周净值!A28)</f>
        <v>45639</v>
      </c>
      <c r="B28" s="1">
        <f>IF(A28="","",VLOOKUP($A28,子基金及业绩基准周净值!$A:$F,3))</f>
        <v>1.4106</v>
      </c>
      <c r="C28" s="8">
        <f t="shared" si="3"/>
        <v>0</v>
      </c>
      <c r="D28" s="12">
        <f>IF(A28="","",C28-(子基金及业绩基准周净值!AH28/子基金及业绩基准周净值!AH27-1))</f>
        <v>-0.00176362571872013</v>
      </c>
      <c r="E28" s="12">
        <f>IF(A28="","",(MAX(B$3:B28)-B28)/MAX(B$3:B28))</f>
        <v>0.00731878958479941</v>
      </c>
      <c r="F28" s="12">
        <f>IF(A28="","",MAX(E$4:E28))</f>
        <v>0.00788177339901485</v>
      </c>
      <c r="G28" s="17">
        <v>8</v>
      </c>
      <c r="H28" s="14" t="str">
        <f t="shared" si="0"/>
        <v>否</v>
      </c>
      <c r="I28" s="14" t="str">
        <f t="shared" si="1"/>
        <v>否</v>
      </c>
      <c r="J28" s="19" t="str">
        <f t="shared" si="2"/>
        <v>是</v>
      </c>
    </row>
    <row r="29" spans="1:10">
      <c r="A29" s="7">
        <f>IF(子基金及业绩基准周净值!A29="","",子基金及业绩基准周净值!A29)</f>
        <v>45646</v>
      </c>
      <c r="B29" s="1">
        <f>IF(A29="","",VLOOKUP($A29,子基金及业绩基准周净值!$A:$F,3))</f>
        <v>1.4106</v>
      </c>
      <c r="C29" s="8">
        <f t="shared" si="3"/>
        <v>0</v>
      </c>
      <c r="D29" s="12">
        <f>IF(A29="","",C29-(子基金及业绩基准周净值!AH29/子基金及业绩基准周净值!AH28-1))</f>
        <v>-0.000412957828745064</v>
      </c>
      <c r="E29" s="12">
        <f>IF(A29="","",(MAX(B$3:B29)-B29)/MAX(B$3:B29))</f>
        <v>0.00731878958479941</v>
      </c>
      <c r="F29" s="12">
        <f>IF(A29="","",MAX(E$4:E29))</f>
        <v>0.00788177339901485</v>
      </c>
      <c r="G29" s="17">
        <v>9</v>
      </c>
      <c r="H29" s="14" t="str">
        <f t="shared" si="0"/>
        <v>否</v>
      </c>
      <c r="I29" s="14" t="str">
        <f t="shared" si="1"/>
        <v>否</v>
      </c>
      <c r="J29" s="15" t="str">
        <f t="shared" si="2"/>
        <v>是</v>
      </c>
    </row>
    <row r="30" spans="1:10">
      <c r="A30" s="7">
        <f>IF(子基金及业绩基准周净值!A30="","",子基金及业绩基准周净值!A30)</f>
        <v>45653</v>
      </c>
      <c r="B30" s="1">
        <f>IF(A30="","",VLOOKUP($A30,子基金及业绩基准周净值!$A:$F,3))</f>
        <v>1.4122</v>
      </c>
      <c r="C30" s="8">
        <f t="shared" si="3"/>
        <v>0.00113426910534512</v>
      </c>
      <c r="D30" s="12">
        <f>IF(A30="","",C30-(子基金及业绩基准周净值!AH30/子基金及业绩基准周净值!AH29-1))</f>
        <v>0.00103827113877445</v>
      </c>
      <c r="E30" s="12">
        <f>IF(A30="","",(MAX(B$3:B30)-B30)/MAX(B$3:B30))</f>
        <v>0.00619282195636885</v>
      </c>
      <c r="F30" s="12">
        <f>IF(A30="","",MAX(E$4:E30))</f>
        <v>0.00788177339901485</v>
      </c>
      <c r="G30" s="17">
        <v>0</v>
      </c>
      <c r="H30" s="14" t="str">
        <f t="shared" si="0"/>
        <v>否</v>
      </c>
      <c r="I30" s="14" t="str">
        <f t="shared" si="1"/>
        <v>否</v>
      </c>
      <c r="J30" s="15" t="str">
        <f t="shared" si="2"/>
        <v>否</v>
      </c>
    </row>
    <row r="31" spans="1:10">
      <c r="A31" s="7" t="s">
        <v>322</v>
      </c>
      <c r="B31" s="1">
        <v>1.4122</v>
      </c>
      <c r="C31" s="8">
        <f t="shared" si="3"/>
        <v>0</v>
      </c>
      <c r="D31" s="12">
        <f>IF(A31="","",C31-(子基金及业绩基准周净值!AH31/子基金及业绩基准周净值!AH30-1))</f>
        <v>0.00435034875005291</v>
      </c>
      <c r="E31" s="12">
        <f>IF(A31="","",(MAX(B$3:B31)-B31)/MAX(B$3:B31))</f>
        <v>0.00619282195636885</v>
      </c>
      <c r="F31" s="12">
        <f>IF(A31="","",MAX(E$4:E31))</f>
        <v>0.00788177339901485</v>
      </c>
      <c r="G31" s="17">
        <v>0</v>
      </c>
      <c r="H31" s="14" t="str">
        <f t="shared" si="0"/>
        <v>否</v>
      </c>
      <c r="I31" s="14" t="str">
        <f t="shared" si="1"/>
        <v>否</v>
      </c>
      <c r="J31" s="15" t="str">
        <f t="shared" si="2"/>
        <v>否</v>
      </c>
    </row>
    <row r="32" spans="1:9">
      <c r="A32" s="7"/>
      <c r="C32" s="8"/>
      <c r="D32" s="12"/>
      <c r="E32" s="12"/>
      <c r="F32" s="12"/>
      <c r="G32" s="17"/>
      <c r="H32" s="14"/>
      <c r="I32" s="14"/>
    </row>
    <row r="33" spans="1:9">
      <c r="A33" s="7"/>
      <c r="C33" s="8"/>
      <c r="D33" s="12"/>
      <c r="E33" s="12"/>
      <c r="F33" s="12"/>
      <c r="G33" s="17"/>
      <c r="H33" s="14"/>
      <c r="I33" s="14"/>
    </row>
    <row r="34" spans="1:9">
      <c r="A34" s="7"/>
      <c r="C34" s="8"/>
      <c r="D34" s="12"/>
      <c r="E34" s="12"/>
      <c r="F34" s="12"/>
      <c r="G34" s="17"/>
      <c r="H34" s="14"/>
      <c r="I34" s="14"/>
    </row>
    <row r="35" spans="1:9">
      <c r="A35" s="7"/>
      <c r="C35" s="8"/>
      <c r="D35" s="12"/>
      <c r="E35" s="12"/>
      <c r="F35" s="12"/>
      <c r="G35" s="17"/>
      <c r="H35" s="14"/>
      <c r="I35" s="14"/>
    </row>
    <row r="36" spans="1:9">
      <c r="A36" s="7"/>
      <c r="C36" s="8"/>
      <c r="D36" s="12"/>
      <c r="E36" s="12"/>
      <c r="F36" s="12"/>
      <c r="G36" s="17"/>
      <c r="H36" s="14"/>
      <c r="I36" s="14"/>
    </row>
    <row r="37" spans="1:9">
      <c r="A37" s="7"/>
      <c r="C37" s="8"/>
      <c r="D37" s="12"/>
      <c r="E37" s="12"/>
      <c r="F37" s="12"/>
      <c r="G37" s="17"/>
      <c r="H37" s="14"/>
      <c r="I37" s="14"/>
    </row>
    <row r="38" spans="1:9">
      <c r="A38" s="7"/>
      <c r="C38" s="8"/>
      <c r="D38" s="12"/>
      <c r="E38" s="12"/>
      <c r="F38" s="12"/>
      <c r="G38" s="17"/>
      <c r="H38" s="14"/>
      <c r="I38" s="14"/>
    </row>
    <row r="39" spans="1:9">
      <c r="A39" s="7"/>
      <c r="C39" s="8"/>
      <c r="D39" s="12"/>
      <c r="E39" s="12"/>
      <c r="F39" s="12"/>
      <c r="G39" s="17"/>
      <c r="H39" s="14"/>
      <c r="I39" s="14"/>
    </row>
    <row r="40" spans="1:9">
      <c r="A40" s="7"/>
      <c r="C40" s="8"/>
      <c r="D40" s="12"/>
      <c r="E40" s="12"/>
      <c r="F40" s="12"/>
      <c r="G40" s="17"/>
      <c r="H40" s="14"/>
      <c r="I40" s="14"/>
    </row>
    <row r="41" spans="1:9">
      <c r="A41" s="7"/>
      <c r="C41" s="8"/>
      <c r="D41" s="12"/>
      <c r="E41" s="12"/>
      <c r="F41" s="12"/>
      <c r="G41" s="17"/>
      <c r="H41" s="14"/>
      <c r="I41" s="14"/>
    </row>
    <row r="42" spans="1:9">
      <c r="A42" s="7"/>
      <c r="C42" s="8"/>
      <c r="D42" s="12"/>
      <c r="E42" s="12"/>
      <c r="F42" s="12"/>
      <c r="G42" s="17"/>
      <c r="H42" s="14"/>
      <c r="I42" s="14"/>
    </row>
    <row r="43" spans="1:9">
      <c r="A43" s="7"/>
      <c r="C43" s="8"/>
      <c r="D43" s="12"/>
      <c r="E43" s="12"/>
      <c r="F43" s="12"/>
      <c r="G43" s="17"/>
      <c r="H43" s="14"/>
      <c r="I43" s="14"/>
    </row>
    <row r="44" spans="1:9">
      <c r="A44" s="7"/>
      <c r="C44" s="8"/>
      <c r="D44" s="12"/>
      <c r="E44" s="12"/>
      <c r="F44" s="12"/>
      <c r="G44" s="17"/>
      <c r="H44" s="14"/>
      <c r="I44" s="14"/>
    </row>
    <row r="45" spans="1:9">
      <c r="A45" s="7"/>
      <c r="C45" s="8"/>
      <c r="D45" s="12"/>
      <c r="E45" s="12"/>
      <c r="F45" s="12"/>
      <c r="G45" s="17"/>
      <c r="H45" s="14"/>
      <c r="I45" s="14"/>
    </row>
    <row r="46" spans="1:9">
      <c r="A46" s="7"/>
      <c r="C46" s="8"/>
      <c r="D46" s="12"/>
      <c r="E46" s="12"/>
      <c r="F46" s="12"/>
      <c r="G46" s="17"/>
      <c r="H46" s="14"/>
      <c r="I46" s="14"/>
    </row>
    <row r="47" spans="1:9">
      <c r="A47" s="7"/>
      <c r="C47" s="8"/>
      <c r="D47" s="12"/>
      <c r="E47" s="12"/>
      <c r="F47" s="12"/>
      <c r="G47" s="17"/>
      <c r="H47" s="14"/>
      <c r="I47" s="14"/>
    </row>
    <row r="48" spans="1:9">
      <c r="A48" s="7"/>
      <c r="C48" s="8"/>
      <c r="D48" s="12"/>
      <c r="E48" s="12"/>
      <c r="F48" s="12"/>
      <c r="G48" s="17"/>
      <c r="H48" s="14"/>
      <c r="I48" s="14"/>
    </row>
    <row r="49" spans="1:9">
      <c r="A49" s="7"/>
      <c r="C49" s="8"/>
      <c r="D49" s="12"/>
      <c r="E49" s="12"/>
      <c r="F49" s="12"/>
      <c r="G49" s="17"/>
      <c r="H49" s="14"/>
      <c r="I49" s="14"/>
    </row>
    <row r="50" spans="1:9">
      <c r="A50" s="7"/>
      <c r="C50" s="8"/>
      <c r="D50" s="12"/>
      <c r="E50" s="12"/>
      <c r="F50" s="12"/>
      <c r="G50" s="17"/>
      <c r="H50" s="14"/>
      <c r="I50" s="14"/>
    </row>
    <row r="51" spans="1:9">
      <c r="A51" s="7"/>
      <c r="C51" s="8"/>
      <c r="D51" s="12"/>
      <c r="E51" s="12"/>
      <c r="F51" s="12"/>
      <c r="G51" s="17"/>
      <c r="H51" s="14"/>
      <c r="I51" s="14"/>
    </row>
    <row r="52" spans="1:9">
      <c r="A52" s="7"/>
      <c r="C52" s="8"/>
      <c r="D52" s="12"/>
      <c r="E52" s="12"/>
      <c r="F52" s="12"/>
      <c r="G52" s="17"/>
      <c r="H52" s="14"/>
      <c r="I52" s="14"/>
    </row>
    <row r="53" spans="1:9">
      <c r="A53" s="7"/>
      <c r="C53" s="8"/>
      <c r="D53" s="12"/>
      <c r="E53" s="12"/>
      <c r="F53" s="12"/>
      <c r="G53" s="17"/>
      <c r="H53" s="14"/>
      <c r="I53" s="14"/>
    </row>
    <row r="54" spans="1:9">
      <c r="A54" s="7"/>
      <c r="C54" s="8"/>
      <c r="D54" s="12"/>
      <c r="E54" s="12"/>
      <c r="F54" s="12"/>
      <c r="G54" s="17"/>
      <c r="H54" s="14"/>
      <c r="I54" s="14"/>
    </row>
    <row r="55" spans="1:9">
      <c r="A55" s="7"/>
      <c r="C55" s="8"/>
      <c r="D55" s="12"/>
      <c r="E55" s="12"/>
      <c r="F55" s="12"/>
      <c r="G55" s="17"/>
      <c r="H55" s="14"/>
      <c r="I55" s="14"/>
    </row>
    <row r="56" spans="1:9">
      <c r="A56" s="7"/>
      <c r="C56" s="8"/>
      <c r="D56" s="12"/>
      <c r="E56" s="12"/>
      <c r="F56" s="12"/>
      <c r="G56" s="17"/>
      <c r="H56" s="14"/>
      <c r="I56" s="14"/>
    </row>
    <row r="57" spans="1:9">
      <c r="A57" s="7"/>
      <c r="C57" s="8"/>
      <c r="D57" s="12"/>
      <c r="E57" s="12"/>
      <c r="F57" s="12"/>
      <c r="G57" s="17"/>
      <c r="H57" s="14"/>
      <c r="I57" s="14"/>
    </row>
    <row r="58" spans="1:9">
      <c r="A58" s="7"/>
      <c r="C58" s="8"/>
      <c r="D58" s="12"/>
      <c r="E58" s="12"/>
      <c r="F58" s="12"/>
      <c r="G58" s="17"/>
      <c r="H58" s="14"/>
      <c r="I58" s="14"/>
    </row>
    <row r="59" spans="1:9">
      <c r="A59" s="7"/>
      <c r="C59" s="8"/>
      <c r="D59" s="12"/>
      <c r="E59" s="12"/>
      <c r="F59" s="12"/>
      <c r="G59" s="17"/>
      <c r="H59" s="14"/>
      <c r="I59" s="14"/>
    </row>
    <row r="60" spans="1:9">
      <c r="A60" s="7"/>
      <c r="C60" s="8"/>
      <c r="D60" s="12"/>
      <c r="E60" s="12"/>
      <c r="F60" s="12"/>
      <c r="G60" s="17"/>
      <c r="H60" s="14"/>
      <c r="I60" s="14"/>
    </row>
    <row r="61" spans="1:9">
      <c r="A61" s="7"/>
      <c r="C61" s="8"/>
      <c r="D61" s="12"/>
      <c r="E61" s="12"/>
      <c r="F61" s="12"/>
      <c r="G61" s="17"/>
      <c r="H61" s="14"/>
      <c r="I61" s="14"/>
    </row>
    <row r="62" spans="1:9">
      <c r="A62" s="7"/>
      <c r="C62" s="8"/>
      <c r="D62" s="12"/>
      <c r="E62" s="12"/>
      <c r="F62" s="12"/>
      <c r="G62" s="17"/>
      <c r="H62" s="14"/>
      <c r="I62" s="14"/>
    </row>
    <row r="63" spans="1:9">
      <c r="A63" s="7"/>
      <c r="C63" s="8"/>
      <c r="D63" s="12"/>
      <c r="E63" s="12"/>
      <c r="F63" s="12"/>
      <c r="G63" s="17"/>
      <c r="H63" s="14"/>
      <c r="I63" s="14"/>
    </row>
    <row r="64" spans="1:9">
      <c r="A64" s="7"/>
      <c r="C64" s="8"/>
      <c r="D64" s="12"/>
      <c r="E64" s="12"/>
      <c r="F64" s="12"/>
      <c r="G64" s="17"/>
      <c r="H64" s="14"/>
      <c r="I64" s="14"/>
    </row>
    <row r="65" spans="1:9">
      <c r="A65" s="7"/>
      <c r="C65" s="8"/>
      <c r="D65" s="12"/>
      <c r="E65" s="12"/>
      <c r="F65" s="12"/>
      <c r="G65" s="17"/>
      <c r="H65" s="14"/>
      <c r="I65" s="14"/>
    </row>
    <row r="66" spans="1:9">
      <c r="A66" s="7"/>
      <c r="C66" s="8"/>
      <c r="D66" s="12"/>
      <c r="E66" s="12"/>
      <c r="F66" s="12"/>
      <c r="G66" s="17"/>
      <c r="H66" s="14"/>
      <c r="I66" s="14"/>
    </row>
    <row r="67" spans="1:9">
      <c r="A67" s="7"/>
      <c r="C67" s="8"/>
      <c r="D67" s="12"/>
      <c r="E67" s="12"/>
      <c r="F67" s="12"/>
      <c r="G67" s="17"/>
      <c r="H67" s="14"/>
      <c r="I67" s="14"/>
    </row>
    <row r="68" spans="1:9">
      <c r="A68" s="7"/>
      <c r="C68" s="8"/>
      <c r="D68" s="12"/>
      <c r="E68" s="12"/>
      <c r="F68" s="12"/>
      <c r="G68" s="17"/>
      <c r="H68" s="14"/>
      <c r="I68" s="14"/>
    </row>
    <row r="69" spans="1:9">
      <c r="A69" s="7"/>
      <c r="C69" s="8"/>
      <c r="D69" s="12"/>
      <c r="E69" s="12"/>
      <c r="F69" s="12"/>
      <c r="G69" s="17"/>
      <c r="H69" s="14"/>
      <c r="I69" s="14"/>
    </row>
    <row r="70" spans="1:9">
      <c r="A70" s="7"/>
      <c r="C70" s="8"/>
      <c r="D70" s="12"/>
      <c r="E70" s="12"/>
      <c r="F70" s="12"/>
      <c r="G70" s="17"/>
      <c r="H70" s="14"/>
      <c r="I70" s="14"/>
    </row>
    <row r="71" spans="1:9">
      <c r="A71" s="7"/>
      <c r="C71" s="8"/>
      <c r="D71" s="12"/>
      <c r="E71" s="12"/>
      <c r="F71" s="12"/>
      <c r="G71" s="17"/>
      <c r="H71" s="14"/>
      <c r="I71" s="14"/>
    </row>
    <row r="72" spans="1:9">
      <c r="A72" s="7"/>
      <c r="C72" s="8"/>
      <c r="D72" s="12"/>
      <c r="E72" s="12"/>
      <c r="F72" s="12"/>
      <c r="G72" s="17"/>
      <c r="H72" s="14"/>
      <c r="I72" s="14"/>
    </row>
    <row r="73" spans="1:9">
      <c r="A73" s="7"/>
      <c r="C73" s="8"/>
      <c r="D73" s="12"/>
      <c r="E73" s="12"/>
      <c r="F73" s="12"/>
      <c r="G73" s="17"/>
      <c r="H73" s="14"/>
      <c r="I73" s="14"/>
    </row>
    <row r="74" spans="1:9">
      <c r="A74" s="7"/>
      <c r="C74" s="8"/>
      <c r="D74" s="12"/>
      <c r="E74" s="12"/>
      <c r="F74" s="12"/>
      <c r="G74" s="17"/>
      <c r="H74" s="14"/>
      <c r="I74" s="14"/>
    </row>
    <row r="75" spans="1:9">
      <c r="A75" s="7"/>
      <c r="C75" s="8"/>
      <c r="D75" s="12"/>
      <c r="E75" s="12"/>
      <c r="F75" s="12"/>
      <c r="G75" s="17"/>
      <c r="H75" s="14"/>
      <c r="I75" s="14"/>
    </row>
    <row r="76" spans="1:9">
      <c r="A76" s="7"/>
      <c r="C76" s="8"/>
      <c r="D76" s="12"/>
      <c r="E76" s="12"/>
      <c r="F76" s="12"/>
      <c r="G76" s="17"/>
      <c r="H76" s="14"/>
      <c r="I76" s="14"/>
    </row>
    <row r="77" spans="1:9">
      <c r="A77" s="7"/>
      <c r="C77" s="8"/>
      <c r="D77" s="12"/>
      <c r="E77" s="12"/>
      <c r="F77" s="12"/>
      <c r="G77" s="17"/>
      <c r="H77" s="14"/>
      <c r="I77" s="14"/>
    </row>
    <row r="78" spans="1:9">
      <c r="A78" s="7"/>
      <c r="C78" s="8"/>
      <c r="D78" s="12"/>
      <c r="E78" s="12"/>
      <c r="F78" s="12"/>
      <c r="G78" s="17"/>
      <c r="H78" s="14"/>
      <c r="I78" s="14"/>
    </row>
    <row r="79" spans="1:9">
      <c r="A79" s="7"/>
      <c r="C79" s="8"/>
      <c r="D79" s="12"/>
      <c r="E79" s="12"/>
      <c r="F79" s="12"/>
      <c r="G79" s="17"/>
      <c r="H79" s="14"/>
      <c r="I79" s="14"/>
    </row>
    <row r="80" spans="1:9">
      <c r="A80" s="7"/>
      <c r="C80" s="8"/>
      <c r="D80" s="12"/>
      <c r="E80" s="12"/>
      <c r="F80" s="12"/>
      <c r="G80" s="17"/>
      <c r="H80" s="14"/>
      <c r="I80" s="14"/>
    </row>
    <row r="81" spans="1:9">
      <c r="A81" s="7"/>
      <c r="C81" s="8"/>
      <c r="D81" s="12"/>
      <c r="E81" s="12"/>
      <c r="F81" s="12"/>
      <c r="G81" s="17"/>
      <c r="H81" s="14"/>
      <c r="I81" s="14"/>
    </row>
    <row r="82" spans="1:9">
      <c r="A82" s="7"/>
      <c r="C82" s="8"/>
      <c r="D82" s="12"/>
      <c r="E82" s="12"/>
      <c r="F82" s="12"/>
      <c r="G82" s="17"/>
      <c r="H82" s="14"/>
      <c r="I82" s="14"/>
    </row>
    <row r="83" spans="1:9">
      <c r="A83" s="7"/>
      <c r="C83" s="8"/>
      <c r="D83" s="12"/>
      <c r="E83" s="12"/>
      <c r="F83" s="12"/>
      <c r="G83" s="17"/>
      <c r="H83" s="14"/>
      <c r="I83" s="14"/>
    </row>
    <row r="84" spans="1:9">
      <c r="A84" s="7"/>
      <c r="C84" s="8"/>
      <c r="D84" s="12"/>
      <c r="E84" s="12"/>
      <c r="F84" s="12"/>
      <c r="G84" s="17"/>
      <c r="H84" s="14"/>
      <c r="I84" s="14"/>
    </row>
    <row r="85" spans="1:9">
      <c r="A85" s="7"/>
      <c r="C85" s="8"/>
      <c r="D85" s="12"/>
      <c r="E85" s="12"/>
      <c r="F85" s="12"/>
      <c r="G85" s="17"/>
      <c r="H85" s="14"/>
      <c r="I85" s="14"/>
    </row>
    <row r="86" spans="1:9">
      <c r="A86" s="7"/>
      <c r="C86" s="8"/>
      <c r="D86" s="12"/>
      <c r="E86" s="12"/>
      <c r="F86" s="12"/>
      <c r="G86" s="17"/>
      <c r="H86" s="14"/>
      <c r="I86" s="14"/>
    </row>
    <row r="87" spans="1:9">
      <c r="A87" s="7"/>
      <c r="C87" s="8"/>
      <c r="E87" s="12"/>
      <c r="F87" s="12"/>
      <c r="G87" s="17"/>
      <c r="H87" s="14"/>
      <c r="I87" s="14"/>
    </row>
    <row r="88" spans="1:9">
      <c r="A88" s="7"/>
      <c r="C88" s="8"/>
      <c r="E88" s="12"/>
      <c r="F88" s="12"/>
      <c r="G88" s="17"/>
      <c r="H88" s="14"/>
      <c r="I88" s="14"/>
    </row>
    <row r="89" spans="1:9">
      <c r="A89" s="7"/>
      <c r="C89" s="8"/>
      <c r="E89" s="12"/>
      <c r="F89" s="12"/>
      <c r="G89" s="17"/>
      <c r="H89" s="14"/>
      <c r="I89" s="14"/>
    </row>
    <row r="90" spans="1:9">
      <c r="A90" s="7"/>
      <c r="C90" s="8"/>
      <c r="E90" s="12"/>
      <c r="F90" s="12"/>
      <c r="G90" s="17"/>
      <c r="H90" s="14"/>
      <c r="I90" s="14"/>
    </row>
    <row r="91" spans="1:9">
      <c r="A91" s="7"/>
      <c r="C91" s="8"/>
      <c r="E91" s="12"/>
      <c r="F91" s="12"/>
      <c r="G91" s="17"/>
      <c r="H91" s="14"/>
      <c r="I91" s="14"/>
    </row>
    <row r="92" spans="1:9">
      <c r="A92" s="7"/>
      <c r="C92" s="8"/>
      <c r="E92" s="12"/>
      <c r="F92" s="12"/>
      <c r="G92" s="17"/>
      <c r="H92" s="14"/>
      <c r="I92" s="14"/>
    </row>
    <row r="93" spans="1:9">
      <c r="A93" s="7"/>
      <c r="C93" s="8"/>
      <c r="E93" s="12"/>
      <c r="F93" s="12"/>
      <c r="G93" s="17"/>
      <c r="H93" s="14"/>
      <c r="I93" s="14"/>
    </row>
    <row r="94" spans="1:9">
      <c r="A94" s="7"/>
      <c r="C94" s="8"/>
      <c r="E94" s="12"/>
      <c r="F94" s="12"/>
      <c r="G94" s="17"/>
      <c r="H94" s="14"/>
      <c r="I94" s="14"/>
    </row>
    <row r="95" spans="1:9">
      <c r="A95" s="7"/>
      <c r="C95" s="8"/>
      <c r="E95" s="12"/>
      <c r="F95" s="12"/>
      <c r="G95" s="17"/>
      <c r="H95" s="14"/>
      <c r="I95" s="14"/>
    </row>
    <row r="96" spans="1:9">
      <c r="A96" s="7"/>
      <c r="C96" s="8"/>
      <c r="E96" s="12"/>
      <c r="F96" s="12"/>
      <c r="G96" s="17"/>
      <c r="H96" s="14"/>
      <c r="I96" s="14"/>
    </row>
    <row r="97" spans="1:9">
      <c r="A97" s="7"/>
      <c r="C97" s="8"/>
      <c r="E97" s="12"/>
      <c r="F97" s="12"/>
      <c r="G97" s="17"/>
      <c r="H97" s="14"/>
      <c r="I97" s="14"/>
    </row>
    <row r="98" spans="1:9">
      <c r="A98" s="7"/>
      <c r="C98" s="8"/>
      <c r="E98" s="12"/>
      <c r="F98" s="12"/>
      <c r="G98" s="17"/>
      <c r="H98" s="14"/>
      <c r="I98" s="14"/>
    </row>
    <row r="99" spans="1:9">
      <c r="A99" s="7"/>
      <c r="C99" s="8"/>
      <c r="E99" s="12"/>
      <c r="F99" s="12"/>
      <c r="G99" s="17"/>
      <c r="H99" s="14"/>
      <c r="I99" s="14"/>
    </row>
    <row r="100" spans="1:9">
      <c r="A100" s="7"/>
      <c r="C100" s="8"/>
      <c r="E100" s="12"/>
      <c r="F100" s="12"/>
      <c r="G100" s="17"/>
      <c r="H100" s="14"/>
      <c r="I100" s="14"/>
    </row>
    <row r="101" spans="1:9">
      <c r="A101" s="7"/>
      <c r="C101" s="8"/>
      <c r="E101" s="12"/>
      <c r="F101" s="12"/>
      <c r="G101" s="17"/>
      <c r="H101" s="14"/>
      <c r="I101" s="14"/>
    </row>
    <row r="102" spans="1:9">
      <c r="A102" s="7"/>
      <c r="C102" s="8"/>
      <c r="E102" s="12"/>
      <c r="F102" s="12"/>
      <c r="G102" s="17"/>
      <c r="H102" s="14"/>
      <c r="I102" s="14"/>
    </row>
    <row r="103" spans="1:9">
      <c r="A103" s="7"/>
      <c r="C103" s="8"/>
      <c r="E103" s="12"/>
      <c r="F103" s="12"/>
      <c r="G103" s="17"/>
      <c r="H103" s="14"/>
      <c r="I103" s="14"/>
    </row>
    <row r="104" spans="1:9">
      <c r="A104" s="7"/>
      <c r="C104" s="8"/>
      <c r="E104" s="12"/>
      <c r="F104" s="12"/>
      <c r="G104" s="17"/>
      <c r="H104" s="14"/>
      <c r="I104" s="14"/>
    </row>
    <row r="105" spans="1:9">
      <c r="A105" s="7"/>
      <c r="C105" s="8"/>
      <c r="E105" s="12"/>
      <c r="F105" s="12"/>
      <c r="G105" s="17"/>
      <c r="H105" s="14"/>
      <c r="I105" s="14"/>
    </row>
    <row r="106" spans="1:9">
      <c r="A106" s="7"/>
      <c r="C106" s="8"/>
      <c r="E106" s="12"/>
      <c r="F106" s="12"/>
      <c r="G106" s="17"/>
      <c r="H106" s="14"/>
      <c r="I106" s="14"/>
    </row>
    <row r="107" spans="1:9">
      <c r="A107" s="7"/>
      <c r="C107" s="8"/>
      <c r="E107" s="12"/>
      <c r="F107" s="12"/>
      <c r="G107" s="17"/>
      <c r="H107" s="14"/>
      <c r="I107" s="14"/>
    </row>
    <row r="108" spans="1:9">
      <c r="A108" s="7"/>
      <c r="C108" s="8"/>
      <c r="E108" s="12"/>
      <c r="F108" s="12"/>
      <c r="G108" s="17"/>
      <c r="H108" s="14"/>
      <c r="I108" s="14"/>
    </row>
    <row r="109" spans="1:9">
      <c r="A109" s="7"/>
      <c r="C109" s="8"/>
      <c r="E109" s="12"/>
      <c r="F109" s="12"/>
      <c r="G109" s="17"/>
      <c r="H109" s="14"/>
      <c r="I109" s="14"/>
    </row>
    <row r="110" spans="1:9">
      <c r="A110" s="7"/>
      <c r="C110" s="8"/>
      <c r="E110" s="12"/>
      <c r="F110" s="12"/>
      <c r="G110" s="17"/>
      <c r="H110" s="14"/>
      <c r="I110" s="14"/>
    </row>
    <row r="111" spans="1:9">
      <c r="A111" s="7"/>
      <c r="C111" s="8"/>
      <c r="E111" s="12"/>
      <c r="F111" s="12"/>
      <c r="G111" s="17"/>
      <c r="H111" s="14"/>
      <c r="I111" s="14"/>
    </row>
    <row r="112" spans="1:9">
      <c r="A112" s="7"/>
      <c r="C112" s="8"/>
      <c r="E112" s="12"/>
      <c r="F112" s="12"/>
      <c r="G112" s="17"/>
      <c r="H112" s="14"/>
      <c r="I112" s="14"/>
    </row>
    <row r="113" spans="1:9">
      <c r="A113" s="7"/>
      <c r="C113" s="8"/>
      <c r="E113" s="12"/>
      <c r="F113" s="12"/>
      <c r="G113" s="17"/>
      <c r="H113" s="14"/>
      <c r="I113" s="14"/>
    </row>
    <row r="114" spans="1:9">
      <c r="A114" s="7"/>
      <c r="C114" s="8"/>
      <c r="E114" s="12"/>
      <c r="F114" s="12"/>
      <c r="G114" s="17"/>
      <c r="H114" s="14"/>
      <c r="I114" s="14"/>
    </row>
    <row r="115" spans="1:9">
      <c r="A115" s="7"/>
      <c r="C115" s="8"/>
      <c r="E115" s="12"/>
      <c r="F115" s="12"/>
      <c r="G115" s="17"/>
      <c r="H115" s="14"/>
      <c r="I115" s="14"/>
    </row>
    <row r="116" spans="1:9">
      <c r="A116" s="7"/>
      <c r="C116" s="8"/>
      <c r="E116" s="12"/>
      <c r="F116" s="12"/>
      <c r="G116" s="17"/>
      <c r="H116" s="14"/>
      <c r="I116" s="14"/>
    </row>
    <row r="117" spans="1:9">
      <c r="A117" s="7"/>
      <c r="C117" s="8"/>
      <c r="E117" s="12"/>
      <c r="F117" s="12"/>
      <c r="G117" s="17"/>
      <c r="H117" s="14"/>
      <c r="I117" s="14"/>
    </row>
    <row r="118" spans="1:9">
      <c r="A118" s="7"/>
      <c r="C118" s="8"/>
      <c r="E118" s="12"/>
      <c r="F118" s="12"/>
      <c r="G118" s="17"/>
      <c r="H118" s="14"/>
      <c r="I118" s="14"/>
    </row>
    <row r="119" spans="1:9">
      <c r="A119" s="7"/>
      <c r="C119" s="8"/>
      <c r="E119" s="12"/>
      <c r="F119" s="12"/>
      <c r="G119" s="17"/>
      <c r="H119" s="14"/>
      <c r="I119" s="14"/>
    </row>
    <row r="120" spans="1:9">
      <c r="A120" s="7"/>
      <c r="C120" s="8"/>
      <c r="E120" s="12"/>
      <c r="F120" s="12"/>
      <c r="G120" s="17"/>
      <c r="H120" s="14"/>
      <c r="I120" s="14"/>
    </row>
    <row r="121" spans="1:9">
      <c r="A121" s="7"/>
      <c r="C121" s="8"/>
      <c r="E121" s="12"/>
      <c r="F121" s="12"/>
      <c r="G121" s="17"/>
      <c r="H121" s="14"/>
      <c r="I121" s="14"/>
    </row>
    <row r="122" spans="1:9">
      <c r="A122" s="7"/>
      <c r="C122" s="8"/>
      <c r="E122" s="12"/>
      <c r="F122" s="12"/>
      <c r="G122" s="17"/>
      <c r="H122" s="14"/>
      <c r="I122" s="14"/>
    </row>
    <row r="123" spans="1:9">
      <c r="A123" s="7"/>
      <c r="C123" s="8"/>
      <c r="E123" s="12"/>
      <c r="F123" s="12"/>
      <c r="G123" s="17"/>
      <c r="H123" s="14"/>
      <c r="I123" s="14"/>
    </row>
    <row r="124" spans="1:9">
      <c r="A124" s="7"/>
      <c r="C124" s="8"/>
      <c r="E124" s="12"/>
      <c r="F124" s="12"/>
      <c r="G124" s="17"/>
      <c r="H124" s="14"/>
      <c r="I124" s="14"/>
    </row>
    <row r="125" spans="1:9">
      <c r="A125" s="7"/>
      <c r="C125" s="8"/>
      <c r="E125" s="12"/>
      <c r="F125" s="12"/>
      <c r="G125" s="17"/>
      <c r="H125" s="14"/>
      <c r="I125" s="14"/>
    </row>
    <row r="126" spans="1:9">
      <c r="A126" s="7"/>
      <c r="C126" s="8"/>
      <c r="E126" s="12"/>
      <c r="F126" s="12"/>
      <c r="G126" s="17"/>
      <c r="H126" s="14"/>
      <c r="I126" s="14"/>
    </row>
    <row r="127" spans="1:9">
      <c r="A127" s="7"/>
      <c r="C127" s="8"/>
      <c r="E127" s="12"/>
      <c r="F127" s="12"/>
      <c r="G127" s="17"/>
      <c r="H127" s="14"/>
      <c r="I127" s="14"/>
    </row>
  </sheetData>
  <conditionalFormatting sqref="J3:J1048576">
    <cfRule type="containsText" dxfId="0" priority="1" operator="between" text="是">
      <formula>NOT(ISERROR(SEARCH("是",J3)))</formula>
    </cfRule>
  </conditionalFormatting>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K127"/>
  <sheetViews>
    <sheetView workbookViewId="0">
      <selection activeCell="C23" sqref="C23"/>
    </sheetView>
  </sheetViews>
  <sheetFormatPr defaultColWidth="9" defaultRowHeight="16.8"/>
  <cols>
    <col min="1" max="1" width="11.625" style="1" customWidth="1"/>
    <col min="2" max="2" width="23.25" style="1" customWidth="1"/>
    <col min="3"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1">
        <v>4</v>
      </c>
      <c r="E1" s="1">
        <v>5</v>
      </c>
      <c r="F1" s="1">
        <v>6</v>
      </c>
      <c r="G1" s="14">
        <v>7</v>
      </c>
      <c r="H1" s="1">
        <v>8</v>
      </c>
      <c r="I1" s="1">
        <v>9</v>
      </c>
      <c r="J1" s="18">
        <v>10</v>
      </c>
      <c r="K1" s="1">
        <v>11</v>
      </c>
    </row>
    <row r="2" ht="16.5" customHeight="1" spans="1:11">
      <c r="A2" s="4" t="s">
        <v>2</v>
      </c>
      <c r="B2" s="4" t="s">
        <v>45</v>
      </c>
      <c r="C2" s="5" t="s">
        <v>310</v>
      </c>
      <c r="D2" s="5" t="s">
        <v>311</v>
      </c>
      <c r="E2" s="5" t="s">
        <v>33</v>
      </c>
      <c r="F2" s="5" t="s">
        <v>22</v>
      </c>
      <c r="G2" s="10" t="s">
        <v>312</v>
      </c>
      <c r="H2" s="11" t="s">
        <v>313</v>
      </c>
      <c r="I2" s="11" t="s">
        <v>314</v>
      </c>
      <c r="J2" s="11" t="s">
        <v>315</v>
      </c>
      <c r="K2" s="5" t="s">
        <v>316</v>
      </c>
    </row>
    <row r="3" spans="1:9">
      <c r="A3" s="7">
        <f>IF(子基金及业绩基准周净值!A21="","",子基金及业绩基准周净值!A21)</f>
        <v>45590</v>
      </c>
      <c r="B3" s="1">
        <f>IF(A3="","",VLOOKUP($A3,子基金及业绩基准周净值!$A:$AV,8))</f>
        <v>1.0766</v>
      </c>
      <c r="C3" s="8"/>
      <c r="F3" s="12"/>
      <c r="H3" s="14"/>
      <c r="I3" s="14"/>
    </row>
    <row r="4" spans="1:10">
      <c r="A4" s="7">
        <f>IF(子基金及业绩基准周净值!A22="","",子基金及业绩基准周净值!A22)</f>
        <v>45597</v>
      </c>
      <c r="B4" s="1">
        <f>IF(A4="","",VLOOKUP($A4,子基金及业绩基准周净值!$A:$AV,8))</f>
        <v>1.0753</v>
      </c>
      <c r="C4" s="8">
        <f>IF(A4="","",(B4-B3)/B3)</f>
        <v>-0.00120750510867553</v>
      </c>
      <c r="D4" s="8">
        <f>IF(A4="","",C4-(子基金及业绩基准周净值!AG22/子基金及业绩基准周净值!AG21-1))</f>
        <v>0.00146547731466105</v>
      </c>
      <c r="E4" s="12">
        <f>IF(A4="","",(MAX(B$3:B4)-B4)/MAX(B$3:B4))</f>
        <v>0.00120750510867553</v>
      </c>
      <c r="F4" s="12">
        <f>IF(A4="","",MAX(E$4:E4))</f>
        <v>0.00120750510867553</v>
      </c>
      <c r="G4" s="17">
        <v>0</v>
      </c>
      <c r="H4" s="14" t="str">
        <f>IF(A4="","",IF(E4&lt;3%,"否","是"))</f>
        <v>否</v>
      </c>
      <c r="I4" s="14" t="str">
        <f>IF(A4="","",IF(F4&gt;5%,"是","否"))</f>
        <v>否</v>
      </c>
      <c r="J4" s="15" t="str">
        <f>IF(A4="","",IF(G4&gt;=4,"是","否"))</f>
        <v>否</v>
      </c>
    </row>
    <row r="5" spans="1:10">
      <c r="A5" s="7">
        <f>IF(子基金及业绩基准周净值!A23="","",子基金及业绩基准周净值!A23)</f>
        <v>45604</v>
      </c>
      <c r="B5" s="1">
        <f>IF(A5="","",VLOOKUP($A5,子基金及业绩基准周净值!$A:$AV,8))</f>
        <v>1.0753</v>
      </c>
      <c r="C5" s="8">
        <f>IF(A5="","",(B5-B4)/B4)</f>
        <v>0</v>
      </c>
      <c r="D5" s="8">
        <f>IF(A5="","",C5-(子基金及业绩基准周净值!AH9/子基金及业绩基准周净值!AH8-1))</f>
        <v>-0.000105242233959579</v>
      </c>
      <c r="E5" s="12">
        <f>IF(A5="","",(MAX(B$3:B5)-B5)/MAX(B$3:B5))</f>
        <v>0.00120750510867553</v>
      </c>
      <c r="F5" s="12">
        <f>IF(A5="","",MAX(E$4:E5))</f>
        <v>0.00120750510867553</v>
      </c>
      <c r="G5" s="17">
        <v>1</v>
      </c>
      <c r="H5" s="14" t="str">
        <f t="shared" ref="H5:H68" si="0">IF(A5="","",IF(E5&lt;3%,"否","是"))</f>
        <v>否</v>
      </c>
      <c r="I5" s="14" t="str">
        <f t="shared" ref="I5:I68" si="1">IF(A5="","",IF(F5&gt;5%,"是","否"))</f>
        <v>否</v>
      </c>
      <c r="J5" s="15" t="str">
        <f t="shared" ref="J5:J68" si="2">IF(A5="","",IF(G5&gt;=4,"是","否"))</f>
        <v>否</v>
      </c>
    </row>
    <row r="6" spans="1:10">
      <c r="A6" s="7">
        <f>IF(子基金及业绩基准周净值!A24="","",子基金及业绩基准周净值!A24)</f>
        <v>45611</v>
      </c>
      <c r="B6" s="1">
        <f>IF(A6="","",VLOOKUP($A6,子基金及业绩基准周净值!$A:$AV,8))</f>
        <v>1.0867</v>
      </c>
      <c r="C6" s="8">
        <f t="shared" ref="C6:C69" si="3">IF(A6="","",(B6-B5)/B5)</f>
        <v>0.0106016925509161</v>
      </c>
      <c r="D6" s="8">
        <f>IF(A6="","",C6-(子基金及业绩基准周净值!AH10/子基金及业绩基准周净值!AH9-1))</f>
        <v>0.0129026824245436</v>
      </c>
      <c r="E6" s="12">
        <f>IF(A6="","",(MAX(B$3:B6)-B6)/MAX(B$3:B6))</f>
        <v>0</v>
      </c>
      <c r="F6" s="12">
        <f>IF(A6="","",MAX(E$4:E6))</f>
        <v>0.00120750510867553</v>
      </c>
      <c r="G6" s="17">
        <v>0</v>
      </c>
      <c r="H6" s="14" t="str">
        <f t="shared" si="0"/>
        <v>否</v>
      </c>
      <c r="I6" s="14" t="str">
        <f t="shared" si="1"/>
        <v>否</v>
      </c>
      <c r="J6" s="15" t="str">
        <f t="shared" si="2"/>
        <v>否</v>
      </c>
    </row>
    <row r="7" spans="1:10">
      <c r="A7" s="7">
        <f>IF(子基金及业绩基准周净值!A25="","",子基金及业绩基准周净值!A25)</f>
        <v>45618</v>
      </c>
      <c r="B7" s="1">
        <f>IF(A7="","",VLOOKUP($A7,子基金及业绩基准周净值!$A:$AV,8))</f>
        <v>1.0901</v>
      </c>
      <c r="C7" s="8">
        <f t="shared" si="3"/>
        <v>0.00312873838225828</v>
      </c>
      <c r="D7" s="8">
        <f>IF(A7="","",C7-(子基金及业绩基准周净值!AH11/子基金及业绩基准周净值!AH10-1))</f>
        <v>-0.000420550162497836</v>
      </c>
      <c r="E7" s="12">
        <f>IF(A7="","",(MAX(B$3:B7)-B7)/MAX(B$3:B7))</f>
        <v>0</v>
      </c>
      <c r="F7" s="12">
        <f>IF(A7="","",MAX(E$4:E7))</f>
        <v>0.00120750510867553</v>
      </c>
      <c r="G7" s="17">
        <v>1</v>
      </c>
      <c r="H7" s="14" t="str">
        <f t="shared" si="0"/>
        <v>否</v>
      </c>
      <c r="I7" s="14" t="str">
        <f t="shared" si="1"/>
        <v>否</v>
      </c>
      <c r="J7" s="15" t="str">
        <f t="shared" si="2"/>
        <v>否</v>
      </c>
    </row>
    <row r="8" spans="1:10">
      <c r="A8" s="7">
        <f>IF(子基金及业绩基准周净值!A26="","",子基金及业绩基准周净值!A26)</f>
        <v>45625</v>
      </c>
      <c r="B8" s="1">
        <f>IF(A8="","",VLOOKUP($A8,子基金及业绩基准周净值!$A:$AV,8))</f>
        <v>1.0915</v>
      </c>
      <c r="C8" s="8">
        <f t="shared" si="3"/>
        <v>0.00128428584533515</v>
      </c>
      <c r="D8" s="8">
        <f>IF(A8="","",C8-(子基金及业绩基准周净值!AH12/子基金及业绩基准周净值!AH11-1))</f>
        <v>0.00217930145309033</v>
      </c>
      <c r="E8" s="12">
        <f>IF(A8="","",(MAX(B$3:B8)-B8)/MAX(B$3:B8))</f>
        <v>0</v>
      </c>
      <c r="F8" s="12">
        <f>IF(A8="","",MAX(E$4:E8))</f>
        <v>0.00120750510867553</v>
      </c>
      <c r="G8" s="17">
        <v>0</v>
      </c>
      <c r="H8" s="14" t="str">
        <f t="shared" si="0"/>
        <v>否</v>
      </c>
      <c r="I8" s="14" t="str">
        <f t="shared" si="1"/>
        <v>否</v>
      </c>
      <c r="J8" s="15" t="str">
        <f t="shared" si="2"/>
        <v>否</v>
      </c>
    </row>
    <row r="9" spans="1:10">
      <c r="A9" s="7">
        <f>IF(子基金及业绩基准周净值!A27="","",子基金及业绩基准周净值!A27)</f>
        <v>45632</v>
      </c>
      <c r="B9" s="1">
        <f>IF(A9="","",VLOOKUP($A9,子基金及业绩基准周净值!$A:$AV,8))</f>
        <v>1.0901</v>
      </c>
      <c r="C9" s="8">
        <f t="shared" si="3"/>
        <v>-0.00128263857077402</v>
      </c>
      <c r="D9" s="8">
        <f>IF(A9="","",C9-(子基金及业绩基准周净值!AH13/子基金及业绩基准周净值!AH12-1))</f>
        <v>-0.00236305328352591</v>
      </c>
      <c r="E9" s="12">
        <f>IF(A9="","",(MAX(B$3:B9)-B9)/MAX(B$3:B9))</f>
        <v>0.00128263857077402</v>
      </c>
      <c r="F9" s="12">
        <f>IF(A9="","",MAX(E$4:E9))</f>
        <v>0.00128263857077402</v>
      </c>
      <c r="G9" s="17">
        <v>1</v>
      </c>
      <c r="H9" s="14" t="str">
        <f t="shared" si="0"/>
        <v>否</v>
      </c>
      <c r="I9" s="14" t="str">
        <f t="shared" si="1"/>
        <v>否</v>
      </c>
      <c r="J9" s="15" t="str">
        <f t="shared" si="2"/>
        <v>否</v>
      </c>
    </row>
    <row r="10" spans="1:10">
      <c r="A10" s="7">
        <f>IF(子基金及业绩基准周净值!A28="","",子基金及业绩基准周净值!A28)</f>
        <v>45639</v>
      </c>
      <c r="B10" s="1">
        <f>IF(A10="","",VLOOKUP($A10,子基金及业绩基准周净值!$A:$AV,8))</f>
        <v>1.0917</v>
      </c>
      <c r="C10" s="8">
        <f t="shared" si="3"/>
        <v>0.0014677552518116</v>
      </c>
      <c r="D10" s="8">
        <f>IF(A10="","",C10-(子基金及业绩基准周净值!AH14/子基金及业绩基准周净值!AH13-1))</f>
        <v>0.00292651861314115</v>
      </c>
      <c r="E10" s="12">
        <f>IF(A10="","",(MAX(B$3:B10)-B10)/MAX(B$3:B10))</f>
        <v>0</v>
      </c>
      <c r="F10" s="12">
        <f>IF(A10="","",MAX(E$4:E10))</f>
        <v>0.00128263857077402</v>
      </c>
      <c r="G10" s="17">
        <v>0</v>
      </c>
      <c r="H10" s="14" t="str">
        <f t="shared" si="0"/>
        <v>否</v>
      </c>
      <c r="I10" s="14" t="str">
        <f t="shared" si="1"/>
        <v>否</v>
      </c>
      <c r="J10" s="15" t="str">
        <f t="shared" si="2"/>
        <v>否</v>
      </c>
    </row>
    <row r="11" spans="1:10">
      <c r="A11" s="7">
        <f>IF(子基金及业绩基准周净值!A29="","",子基金及业绩基准周净值!A29)</f>
        <v>45646</v>
      </c>
      <c r="B11" s="1">
        <f>IF(A11="","",VLOOKUP($A11,子基金及业绩基准周净值!$A:$AV,8))</f>
        <v>1.0984</v>
      </c>
      <c r="C11" s="8">
        <f t="shared" si="3"/>
        <v>0.00613721718420825</v>
      </c>
      <c r="D11" s="8">
        <f>IF(A11="","",C11-(子基金及业绩基准周净值!AH15/子基金及业绩基准周净值!AH14-1))</f>
        <v>0.00804457032463914</v>
      </c>
      <c r="E11" s="12">
        <f>IF(A11="","",(MAX(B$3:B11)-B11)/MAX(B$3:B11))</f>
        <v>0</v>
      </c>
      <c r="F11" s="12">
        <f>IF(A11="","",MAX(E$4:E11))</f>
        <v>0.00128263857077402</v>
      </c>
      <c r="G11" s="17">
        <v>0</v>
      </c>
      <c r="H11" s="14" t="str">
        <f t="shared" si="0"/>
        <v>否</v>
      </c>
      <c r="I11" s="14" t="str">
        <f t="shared" si="1"/>
        <v>否</v>
      </c>
      <c r="J11" s="15" t="str">
        <f t="shared" si="2"/>
        <v>否</v>
      </c>
    </row>
    <row r="12" spans="1:10">
      <c r="A12" s="7">
        <f>IF(子基金及业绩基准周净值!A30="","",子基金及业绩基准周净值!A30)</f>
        <v>45653</v>
      </c>
      <c r="B12" s="1">
        <f>IF(A12="","",VLOOKUP($A12,子基金及业绩基准周净值!$A:$AV,8))</f>
        <v>1.1045</v>
      </c>
      <c r="C12" s="8">
        <f t="shared" si="3"/>
        <v>0.00555353241077931</v>
      </c>
      <c r="D12" s="8">
        <f>IF(A12="","",C12-(子基金及业绩基准周净值!AH16/子基金及业绩基准周净值!AH15-1))</f>
        <v>0.00604755593551979</v>
      </c>
      <c r="E12" s="12">
        <f>IF(A12="","",(MAX(B$3:B12)-B12)/MAX(B$3:B12))</f>
        <v>0</v>
      </c>
      <c r="F12" s="12">
        <f>IF(A12="","",MAX(E$4:E12))</f>
        <v>0.00128263857077402</v>
      </c>
      <c r="G12" s="17">
        <v>0</v>
      </c>
      <c r="H12" s="14" t="str">
        <f t="shared" si="0"/>
        <v>否</v>
      </c>
      <c r="I12" s="14" t="str">
        <f t="shared" si="1"/>
        <v>否</v>
      </c>
      <c r="J12" s="15" t="str">
        <f t="shared" si="2"/>
        <v>否</v>
      </c>
    </row>
    <row r="13" spans="1:10">
      <c r="A13" s="7">
        <f>IF(子基金及业绩基准周净值!A31="","",子基金及业绩基准周净值!A31)</f>
        <v>45660</v>
      </c>
      <c r="B13" s="1">
        <f>IF(A13="","",VLOOKUP($A13,子基金及业绩基准周净值!$A:$AV,8))</f>
        <v>1.0978</v>
      </c>
      <c r="C13" s="8">
        <f t="shared" si="3"/>
        <v>-0.00606609325486639</v>
      </c>
      <c r="D13" s="8">
        <f>IF(A13="","",C13-(子基金及业绩基准周净值!AH17/子基金及业绩基准周净值!AH16-1))</f>
        <v>-0.00529393446585434</v>
      </c>
      <c r="E13" s="12">
        <f>IF(A13="","",(MAX(B$3:B13)-B13)/MAX(B$3:B13))</f>
        <v>0.00606609325486639</v>
      </c>
      <c r="F13" s="12">
        <f>IF(A13="","",MAX(E$4:E13))</f>
        <v>0.00606609325486639</v>
      </c>
      <c r="G13" s="17">
        <v>1</v>
      </c>
      <c r="H13" s="14" t="str">
        <f t="shared" si="0"/>
        <v>否</v>
      </c>
      <c r="I13" s="14" t="str">
        <f t="shared" si="1"/>
        <v>否</v>
      </c>
      <c r="J13" s="15" t="str">
        <f t="shared" si="2"/>
        <v>否</v>
      </c>
    </row>
    <row r="14" spans="1:10">
      <c r="A14" s="7">
        <f>IF(子基金及业绩基准周净值!A32="","",子基金及业绩基准周净值!A32)</f>
        <v>45667</v>
      </c>
      <c r="B14" s="1">
        <f>IF(A14="","",VLOOKUP($A14,子基金及业绩基准周净值!$A:$AV,8))</f>
        <v>1.0973</v>
      </c>
      <c r="C14" s="8">
        <f t="shared" si="3"/>
        <v>-0.000455456367280167</v>
      </c>
      <c r="D14" s="8">
        <f>IF(A14="","",C14-(子基金及业绩基准周净值!AH18/子基金及业绩基准周净值!AH17-1))</f>
        <v>-0.00834246283153394</v>
      </c>
      <c r="E14" s="12">
        <f>IF(A14="","",(MAX(B$3:B14)-B14)/MAX(B$3:B14))</f>
        <v>0.00651878678134911</v>
      </c>
      <c r="F14" s="12">
        <f>IF(A14="","",MAX(E$4:E14))</f>
        <v>0.00651878678134911</v>
      </c>
      <c r="G14" s="17">
        <v>2</v>
      </c>
      <c r="H14" s="14" t="str">
        <f t="shared" si="0"/>
        <v>否</v>
      </c>
      <c r="I14" s="14" t="str">
        <f t="shared" si="1"/>
        <v>否</v>
      </c>
      <c r="J14" s="15" t="str">
        <f t="shared" si="2"/>
        <v>否</v>
      </c>
    </row>
    <row r="15" spans="1:10">
      <c r="A15" s="7">
        <f>IF(子基金及业绩基准周净值!A33="","",子基金及业绩基准周净值!A33)</f>
        <v>45674</v>
      </c>
      <c r="B15" s="1">
        <f>IF(A15="","",VLOOKUP($A15,子基金及业绩基准周净值!$A:$AV,8))</f>
        <v>1.0969</v>
      </c>
      <c r="C15" s="8">
        <f t="shared" si="3"/>
        <v>-0.000364531121844487</v>
      </c>
      <c r="D15" s="8">
        <f>IF(A15="","",C15-(子基金及业绩基准周净值!AH19/子基金及业绩基准周净值!AH18-1))</f>
        <v>-0.00692152720839396</v>
      </c>
      <c r="E15" s="12">
        <f>IF(A15="","",(MAX(B$3:B15)-B15)/MAX(B$3:B15))</f>
        <v>0.00688094160253513</v>
      </c>
      <c r="F15" s="12">
        <f>IF(A15="","",MAX(E$4:E15))</f>
        <v>0.00688094160253513</v>
      </c>
      <c r="G15" s="17">
        <v>3</v>
      </c>
      <c r="H15" s="14" t="str">
        <f t="shared" si="0"/>
        <v>否</v>
      </c>
      <c r="I15" s="14" t="str">
        <f t="shared" si="1"/>
        <v>否</v>
      </c>
      <c r="J15" s="15" t="str">
        <f t="shared" si="2"/>
        <v>否</v>
      </c>
    </row>
    <row r="16" spans="1:10">
      <c r="A16" s="7">
        <f>IF(子基金及业绩基准周净值!A34="","",子基金及业绩基准周净值!A34)</f>
        <v>45681</v>
      </c>
      <c r="B16" s="1">
        <f>IF(A16="","",VLOOKUP($A16,子基金及业绩基准周净值!$A:$AV,8))</f>
        <v>1.0969</v>
      </c>
      <c r="C16" s="8">
        <f t="shared" si="3"/>
        <v>0</v>
      </c>
      <c r="D16" s="8">
        <f>IF(A16="","",C16-(子基金及业绩基准周净值!AH20/子基金及业绩基准周净值!AH19-1))</f>
        <v>-0.000186973783255606</v>
      </c>
      <c r="E16" s="12">
        <f>IF(A16="","",(MAX(B$3:B16)-B16)/MAX(B$3:B16))</f>
        <v>0.00688094160253513</v>
      </c>
      <c r="F16" s="12">
        <f>IF(A16="","",MAX(E$4:E16))</f>
        <v>0.00688094160253513</v>
      </c>
      <c r="G16" s="17">
        <v>4</v>
      </c>
      <c r="H16" s="14" t="str">
        <f t="shared" si="0"/>
        <v>否</v>
      </c>
      <c r="I16" s="14" t="str">
        <f t="shared" si="1"/>
        <v>否</v>
      </c>
      <c r="J16" s="15" t="str">
        <f t="shared" si="2"/>
        <v>是</v>
      </c>
    </row>
    <row r="17" spans="1:10">
      <c r="A17" s="7">
        <f>IF(子基金及业绩基准周净值!A35="","",子基金及业绩基准周净值!A35)</f>
        <v>45684</v>
      </c>
      <c r="B17" s="1">
        <f>IF(A17="","",VLOOKUP($A17,子基金及业绩基准周净值!$A:$AV,8))</f>
        <v>1.101</v>
      </c>
      <c r="C17" s="8">
        <f t="shared" si="3"/>
        <v>0.00373780654571975</v>
      </c>
      <c r="D17" s="8">
        <f>IF(A17="","",C17-(子基金及业绩基准周净值!AH21/子基金及业绩基准周净值!AH20-1))</f>
        <v>-0.00260637995900271</v>
      </c>
      <c r="E17" s="12">
        <f>IF(A17="","",(MAX(B$3:B17)-B17)/MAX(B$3:B17))</f>
        <v>0.00316885468537805</v>
      </c>
      <c r="F17" s="12">
        <f>IF(A17="","",MAX(E$4:E17))</f>
        <v>0.00688094160253513</v>
      </c>
      <c r="G17" s="17">
        <v>5</v>
      </c>
      <c r="H17" s="14" t="str">
        <f t="shared" si="0"/>
        <v>否</v>
      </c>
      <c r="I17" s="14" t="str">
        <f t="shared" si="1"/>
        <v>否</v>
      </c>
      <c r="J17" s="15" t="str">
        <f t="shared" si="2"/>
        <v>是</v>
      </c>
    </row>
    <row r="18" spans="1:10">
      <c r="A18" s="7">
        <f>IF(子基金及业绩基准周净值!A36="","",子基金及业绩基准周净值!A36)</f>
        <v>45695</v>
      </c>
      <c r="B18" s="1">
        <f>IF(A18="","",VLOOKUP($A18,子基金及业绩基准周净值!$A:$AV,8))</f>
        <v>1.1021</v>
      </c>
      <c r="C18" s="8">
        <f t="shared" si="3"/>
        <v>0.000999091734786649</v>
      </c>
      <c r="D18" s="8">
        <f>IF(A18="","",C18-(子基金及业绩基准周净值!AH22/子基金及业绩基准周净值!AH21-1))</f>
        <v>-0.000399045265766707</v>
      </c>
      <c r="E18" s="12">
        <f>IF(A18="","",(MAX(B$3:B18)-B18)/MAX(B$3:B18))</f>
        <v>0.0021729289271163</v>
      </c>
      <c r="F18" s="12">
        <f>IF(A18="","",MAX(E$4:E18))</f>
        <v>0.00688094160253513</v>
      </c>
      <c r="G18" s="17">
        <v>6</v>
      </c>
      <c r="H18" s="14" t="str">
        <f t="shared" si="0"/>
        <v>否</v>
      </c>
      <c r="I18" s="14" t="str">
        <f t="shared" si="1"/>
        <v>否</v>
      </c>
      <c r="J18" s="15" t="str">
        <f t="shared" si="2"/>
        <v>是</v>
      </c>
    </row>
    <row r="19" spans="1:10">
      <c r="A19" s="7">
        <f>IF(子基金及业绩基准周净值!A37="","",子基金及业绩基准周净值!A37)</f>
        <v>45702</v>
      </c>
      <c r="B19" s="1">
        <f>IF(A19="","",VLOOKUP($A19,子基金及业绩基准周净值!$A:$AV,8))</f>
        <v>1.1001</v>
      </c>
      <c r="C19" s="8">
        <f t="shared" si="3"/>
        <v>-0.00181471735777153</v>
      </c>
      <c r="D19" s="8">
        <f>IF(A19="","",C19-(子基金及业绩基准周净值!AH23/子基金及业绩基准周净值!AH22-1))</f>
        <v>-0.0124980317436187</v>
      </c>
      <c r="E19" s="12">
        <f>IF(A19="","",(MAX(B$3:B19)-B19)/MAX(B$3:B19))</f>
        <v>0.00398370303304659</v>
      </c>
      <c r="F19" s="12">
        <f>IF(A19="","",MAX(E$4:E19))</f>
        <v>0.00688094160253513</v>
      </c>
      <c r="G19" s="17">
        <v>7</v>
      </c>
      <c r="H19" s="14" t="str">
        <f t="shared" si="0"/>
        <v>否</v>
      </c>
      <c r="I19" s="14" t="str">
        <f t="shared" si="1"/>
        <v>否</v>
      </c>
      <c r="J19" s="15" t="str">
        <f t="shared" si="2"/>
        <v>是</v>
      </c>
    </row>
    <row r="20" spans="1:10">
      <c r="A20" s="7">
        <f>IF(子基金及业绩基准周净值!A38="","",子基金及业绩基准周净值!A38)</f>
        <v>45709</v>
      </c>
      <c r="B20" s="1">
        <f>IF(A20="","",VLOOKUP($A20,子基金及业绩基准周净值!$A:$AV,8))</f>
        <v>1.086</v>
      </c>
      <c r="C20" s="8">
        <f t="shared" si="3"/>
        <v>-0.0128170166348514</v>
      </c>
      <c r="D20" s="8">
        <f>IF(A20="","",C20-(子基金及业绩基准周净值!AH24/子基金及业绩基准周净值!AH23-1))</f>
        <v>-0.0129762577757162</v>
      </c>
      <c r="E20" s="12">
        <f>IF(A20="","",(MAX(B$3:B20)-B20)/MAX(B$3:B20))</f>
        <v>0.0167496604798551</v>
      </c>
      <c r="F20" s="12">
        <f>IF(A20="","",MAX(E$4:E20))</f>
        <v>0.0167496604798551</v>
      </c>
      <c r="G20" s="17">
        <v>8</v>
      </c>
      <c r="H20" s="14" t="str">
        <f t="shared" si="0"/>
        <v>否</v>
      </c>
      <c r="I20" s="14" t="str">
        <f t="shared" si="1"/>
        <v>否</v>
      </c>
      <c r="J20" s="15" t="str">
        <f t="shared" si="2"/>
        <v>是</v>
      </c>
    </row>
    <row r="21" spans="1:10">
      <c r="A21" s="7">
        <f>IF(子基金及业绩基准周净值!A39="","",子基金及业绩基准周净值!A39)</f>
        <v>45716</v>
      </c>
      <c r="B21" s="1">
        <f>IF(A21="","",VLOOKUP($A21,子基金及业绩基准周净值!$A:$AV,8))</f>
        <v>1.0919</v>
      </c>
      <c r="C21" s="8">
        <f t="shared" si="3"/>
        <v>0.0054327808471455</v>
      </c>
      <c r="D21" s="8">
        <f>IF(A21="","",C21-(子基金及业绩基准周净值!AH25/子基金及业绩基准周净值!AH24-1))</f>
        <v>0.00486510776897055</v>
      </c>
      <c r="E21" s="12">
        <f>IF(A21="","",(MAX(B$3:B21)-B21)/MAX(B$3:B21))</f>
        <v>0.0114078768673607</v>
      </c>
      <c r="F21" s="12">
        <f>IF(A21="","",MAX(E$4:E21))</f>
        <v>0.0167496604798551</v>
      </c>
      <c r="G21" s="17">
        <v>0</v>
      </c>
      <c r="H21" s="14" t="str">
        <f t="shared" si="0"/>
        <v>否</v>
      </c>
      <c r="I21" s="14" t="str">
        <f t="shared" si="1"/>
        <v>否</v>
      </c>
      <c r="J21" s="15" t="str">
        <f t="shared" si="2"/>
        <v>否</v>
      </c>
    </row>
    <row r="22" spans="1:10">
      <c r="A22" s="7">
        <f>IF(子基金及业绩基准周净值!A40="","",子基金及业绩基准周净值!A40)</f>
        <v>45723</v>
      </c>
      <c r="B22" s="1">
        <f>IF(A22="","",VLOOKUP($A22,子基金及业绩基准周净值!$A:$AV,8))</f>
        <v>1.0919</v>
      </c>
      <c r="C22" s="8">
        <f t="shared" ref="C22" si="4">IF(A22="","",(B22-B21)/B21)</f>
        <v>0</v>
      </c>
      <c r="D22" s="8">
        <f>IF(A22="","",C22-(子基金及业绩基准周净值!AH26/子基金及业绩基准周净值!AH25-1))</f>
        <v>-0.0039509868450005</v>
      </c>
      <c r="E22" s="12">
        <f>IF(A22="","",(MAX(B$3:B22)-B22)/MAX(B$3:B22))</f>
        <v>0.0114078768673607</v>
      </c>
      <c r="F22" s="12">
        <f>IF(A22="","",MAX(E$4:E22))</f>
        <v>0.0167496604798551</v>
      </c>
      <c r="G22" s="17">
        <v>1</v>
      </c>
      <c r="H22" s="14" t="str">
        <f t="shared" ref="H22" si="5">IF(A22="","",IF(E22&lt;3%,"否","是"))</f>
        <v>否</v>
      </c>
      <c r="I22" s="14" t="str">
        <f t="shared" ref="I22" si="6">IF(A22="","",IF(F22&gt;5%,"是","否"))</f>
        <v>否</v>
      </c>
      <c r="J22" s="15" t="str">
        <f t="shared" ref="J22" si="7">IF(A22="","",IF(G22&gt;=4,"是","否"))</f>
        <v>否</v>
      </c>
    </row>
    <row r="23" spans="1:10">
      <c r="A23" s="7">
        <f>IF(子基金及业绩基准周净值!A41="","",子基金及业绩基准周净值!A41)</f>
        <v>45730</v>
      </c>
      <c r="B23" s="1">
        <f>IF(A23="","",VLOOKUP($A23,子基金及业绩基准周净值!$A:$AV,8))</f>
        <v>0</v>
      </c>
      <c r="C23" s="8">
        <f t="shared" si="3"/>
        <v>-1</v>
      </c>
      <c r="D23" s="8">
        <f>IF(A23="","",C23-(子基金及业绩基准周净值!AH27/子基金及业绩基准周净值!AH26-1))</f>
        <v>-1.00353997262464</v>
      </c>
      <c r="E23" s="12">
        <f>IF(A23="","",(MAX(B$3:B23)-B23)/MAX(B$3:B23))</f>
        <v>1</v>
      </c>
      <c r="F23" s="12">
        <f>IF(A23="","",MAX(E$4:E23))</f>
        <v>1</v>
      </c>
      <c r="G23" s="17" t="e">
        <f>IF(A23="","",MAX(FREQUENCY(IF($D$3:D23&lt;0,ROW($D$3:D23)),IF($D$3:D23&gt;=0,ROW($D$3:D23)))))</f>
        <v>#VALUE!</v>
      </c>
      <c r="H23" s="14" t="str">
        <f t="shared" si="0"/>
        <v>是</v>
      </c>
      <c r="I23" s="14" t="str">
        <f t="shared" si="1"/>
        <v>是</v>
      </c>
      <c r="J23" s="15" t="e">
        <f t="shared" si="2"/>
        <v>#VALUE!</v>
      </c>
    </row>
    <row r="24" spans="1:10">
      <c r="A24" s="7">
        <f>IF(子基金及业绩基准周净值!A42="","",子基金及业绩基准周净值!A42)</f>
        <v>45737</v>
      </c>
      <c r="B24" s="1">
        <f>IF(A24="","",VLOOKUP($A24,子基金及业绩基准周净值!$A:$AV,8))</f>
        <v>0</v>
      </c>
      <c r="C24" s="8" t="e">
        <f t="shared" si="3"/>
        <v>#DIV/0!</v>
      </c>
      <c r="D24" s="8" t="e">
        <f>IF(A24="","",C24-(子基金及业绩基准周净值!AH28/子基金及业绩基准周净值!AH27-1))</f>
        <v>#DIV/0!</v>
      </c>
      <c r="E24" s="12">
        <f>IF(A24="","",(MAX(B$3:B24)-B24)/MAX(B$3:B24))</f>
        <v>1</v>
      </c>
      <c r="F24" s="12">
        <f>IF(A24="","",MAX(E$4:E24))</f>
        <v>1</v>
      </c>
      <c r="G24" s="17" t="e">
        <f>IF(A24="","",MAX(FREQUENCY(IF($D$3:D24&lt;0,ROW($D$3:D24)),IF($D$3:D24&gt;=0,ROW($D$3:D24)))))</f>
        <v>#DIV/0!</v>
      </c>
      <c r="H24" s="14" t="str">
        <f t="shared" si="0"/>
        <v>是</v>
      </c>
      <c r="I24" s="14" t="str">
        <f t="shared" si="1"/>
        <v>是</v>
      </c>
      <c r="J24" s="15" t="e">
        <f t="shared" si="2"/>
        <v>#DIV/0!</v>
      </c>
    </row>
    <row r="25" spans="1:10">
      <c r="A25" s="7">
        <f>IF(子基金及业绩基准周净值!A43="","",子基金及业绩基准周净值!A43)</f>
        <v>45744</v>
      </c>
      <c r="B25" s="1">
        <f>IF(A25="","",VLOOKUP($A25,子基金及业绩基准周净值!$A:$AV,8))</f>
        <v>0</v>
      </c>
      <c r="C25" s="8" t="e">
        <f t="shared" si="3"/>
        <v>#DIV/0!</v>
      </c>
      <c r="D25" s="8" t="e">
        <f>IF(A25="","",C25-(子基金及业绩基准周净值!AH29/子基金及业绩基准周净值!AH28-1))</f>
        <v>#DIV/0!</v>
      </c>
      <c r="E25" s="12">
        <f>IF(A25="","",(MAX(B$3:B25)-B25)/MAX(B$3:B25))</f>
        <v>1</v>
      </c>
      <c r="F25" s="12">
        <f>IF(A25="","",MAX(E$4:E25))</f>
        <v>1</v>
      </c>
      <c r="G25" s="17" t="e">
        <f>IF(A25="","",MAX(FREQUENCY(IF($D$3:D25&lt;0,ROW($D$3:D25)),IF($D$3:D25&gt;=0,ROW($D$3:D25)))))</f>
        <v>#DIV/0!</v>
      </c>
      <c r="H25" s="14" t="str">
        <f t="shared" si="0"/>
        <v>是</v>
      </c>
      <c r="I25" s="14" t="str">
        <f t="shared" si="1"/>
        <v>是</v>
      </c>
      <c r="J25" s="15" t="e">
        <f t="shared" si="2"/>
        <v>#DIV/0!</v>
      </c>
    </row>
    <row r="26" spans="1:10">
      <c r="A26" s="7">
        <f>IF(子基金及业绩基准周净值!A44="","",子基金及业绩基准周净值!A44)</f>
        <v>45750</v>
      </c>
      <c r="B26" s="1">
        <f>IF(A26="","",VLOOKUP($A26,子基金及业绩基准周净值!$A:$AV,8))</f>
        <v>0</v>
      </c>
      <c r="C26" s="8" t="e">
        <f t="shared" si="3"/>
        <v>#DIV/0!</v>
      </c>
      <c r="D26" s="8" t="e">
        <f>IF(A26="","",C26-(子基金及业绩基准周净值!AH30/子基金及业绩基准周净值!AH29-1))</f>
        <v>#DIV/0!</v>
      </c>
      <c r="E26" s="12">
        <f>IF(A26="","",(MAX(B$3:B26)-B26)/MAX(B$3:B26))</f>
        <v>1</v>
      </c>
      <c r="F26" s="12">
        <f>IF(A26="","",MAX(E$4:E26))</f>
        <v>1</v>
      </c>
      <c r="G26" s="17" t="e">
        <f>IF(A26="","",MAX(FREQUENCY(IF($D$3:D26&lt;0,ROW($D$3:D26)),IF($D$3:D26&gt;=0,ROW($D$3:D26)))))</f>
        <v>#DIV/0!</v>
      </c>
      <c r="H26" s="14" t="str">
        <f t="shared" si="0"/>
        <v>是</v>
      </c>
      <c r="I26" s="14" t="str">
        <f t="shared" si="1"/>
        <v>是</v>
      </c>
      <c r="J26" s="15" t="e">
        <f t="shared" si="2"/>
        <v>#DIV/0!</v>
      </c>
    </row>
    <row r="27" spans="1:10">
      <c r="A27" s="7">
        <f>IF(子基金及业绩基准周净值!A45="","",子基金及业绩基准周净值!A45)</f>
        <v>45758</v>
      </c>
      <c r="B27" s="1">
        <f>IF(A27="","",VLOOKUP($A27,子基金及业绩基准周净值!$A:$AV,8))</f>
        <v>0</v>
      </c>
      <c r="C27" s="8" t="e">
        <f t="shared" si="3"/>
        <v>#DIV/0!</v>
      </c>
      <c r="D27" s="8" t="e">
        <f>IF(A27="","",C27-(子基金及业绩基准周净值!AH31/子基金及业绩基准周净值!AH30-1))</f>
        <v>#DIV/0!</v>
      </c>
      <c r="E27" s="12">
        <f>IF(A27="","",(MAX(B$3:B27)-B27)/MAX(B$3:B27))</f>
        <v>1</v>
      </c>
      <c r="F27" s="12">
        <f>IF(A27="","",MAX(E$4:E27))</f>
        <v>1</v>
      </c>
      <c r="G27" s="17" t="e">
        <f>IF(A27="","",MAX(FREQUENCY(IF($D$3:D27&lt;0,ROW($D$3:D27)),IF($D$3:D27&gt;=0,ROW($D$3:D27)))))</f>
        <v>#DIV/0!</v>
      </c>
      <c r="H27" s="14" t="str">
        <f t="shared" si="0"/>
        <v>是</v>
      </c>
      <c r="I27" s="14" t="str">
        <f t="shared" si="1"/>
        <v>是</v>
      </c>
      <c r="J27" s="15" t="e">
        <f t="shared" si="2"/>
        <v>#DIV/0!</v>
      </c>
    </row>
    <row r="28" spans="1:10">
      <c r="A28" s="7">
        <f>IF(子基金及业绩基准周净值!A46="","",子基金及业绩基准周净值!A46)</f>
        <v>45765</v>
      </c>
      <c r="B28" s="1">
        <f>IF(A28="","",VLOOKUP($A28,子基金及业绩基准周净值!$A:$AV,8))</f>
        <v>0</v>
      </c>
      <c r="C28" s="8" t="e">
        <f t="shared" si="3"/>
        <v>#DIV/0!</v>
      </c>
      <c r="D28" s="8" t="e">
        <f>IF(A28="","",C28-(子基金及业绩基准周净值!AH32/子基金及业绩基准周净值!AH31-1))</f>
        <v>#DIV/0!</v>
      </c>
      <c r="E28" s="12">
        <f>IF(A28="","",(MAX(B$3:B28)-B28)/MAX(B$3:B28))</f>
        <v>1</v>
      </c>
      <c r="F28" s="12">
        <f>IF(A28="","",MAX(E$4:E28))</f>
        <v>1</v>
      </c>
      <c r="G28" s="17" t="e">
        <f>IF(A28="","",MAX(FREQUENCY(IF($D$3:D28&lt;0,ROW($D$3:D28)),IF($D$3:D28&gt;=0,ROW($D$3:D28)))))</f>
        <v>#DIV/0!</v>
      </c>
      <c r="H28" s="14" t="str">
        <f t="shared" si="0"/>
        <v>是</v>
      </c>
      <c r="I28" s="14" t="str">
        <f t="shared" si="1"/>
        <v>是</v>
      </c>
      <c r="J28" s="15" t="e">
        <f t="shared" si="2"/>
        <v>#DIV/0!</v>
      </c>
    </row>
    <row r="29" spans="1:10">
      <c r="A29" s="7">
        <f>IF(子基金及业绩基准周净值!A47="","",子基金及业绩基准周净值!A47)</f>
        <v>45772</v>
      </c>
      <c r="B29" s="1">
        <f>IF(A29="","",VLOOKUP($A29,子基金及业绩基准周净值!$A:$AV,8))</f>
        <v>0</v>
      </c>
      <c r="C29" s="8" t="e">
        <f t="shared" si="3"/>
        <v>#DIV/0!</v>
      </c>
      <c r="D29" s="8" t="e">
        <f>IF(A29="","",C29-(子基金及业绩基准周净值!AH33/子基金及业绩基准周净值!AH32-1))</f>
        <v>#DIV/0!</v>
      </c>
      <c r="E29" s="12">
        <f>IF(A29="","",(MAX(B$3:B29)-B29)/MAX(B$3:B29))</f>
        <v>1</v>
      </c>
      <c r="F29" s="12">
        <f>IF(A29="","",MAX(E$4:E29))</f>
        <v>1</v>
      </c>
      <c r="G29" s="17" t="e">
        <f>IF(A29="","",MAX(FREQUENCY(IF($D$3:D29&lt;0,ROW($D$3:D29)),IF($D$3:D29&gt;=0,ROW($D$3:D29)))))</f>
        <v>#DIV/0!</v>
      </c>
      <c r="H29" s="14" t="str">
        <f t="shared" si="0"/>
        <v>是</v>
      </c>
      <c r="I29" s="14" t="str">
        <f t="shared" si="1"/>
        <v>是</v>
      </c>
      <c r="J29" s="15" t="e">
        <f t="shared" si="2"/>
        <v>#DIV/0!</v>
      </c>
    </row>
    <row r="30" spans="1:10">
      <c r="A30" s="7">
        <f>IF(子基金及业绩基准周净值!A48="","",子基金及业绩基准周净值!A48)</f>
        <v>45786</v>
      </c>
      <c r="B30" s="1">
        <f>IF(A30="","",VLOOKUP($A30,子基金及业绩基准周净值!$A:$AV,8))</f>
        <v>0</v>
      </c>
      <c r="C30" s="8" t="e">
        <f t="shared" si="3"/>
        <v>#DIV/0!</v>
      </c>
      <c r="D30" s="8" t="e">
        <f>IF(A30="","",C30-(子基金及业绩基准周净值!AH34/子基金及业绩基准周净值!AH33-1))</f>
        <v>#DIV/0!</v>
      </c>
      <c r="E30" s="12">
        <f>IF(A30="","",(MAX(B$3:B30)-B30)/MAX(B$3:B30))</f>
        <v>1</v>
      </c>
      <c r="F30" s="12">
        <f>IF(A30="","",MAX(E$4:E30))</f>
        <v>1</v>
      </c>
      <c r="G30" s="17" t="e">
        <f>IF(A30="","",MAX(FREQUENCY(IF($D$3:D30&lt;0,ROW($D$3:D30)),IF($D$3:D30&gt;=0,ROW($D$3:D30)))))</f>
        <v>#DIV/0!</v>
      </c>
      <c r="H30" s="14" t="str">
        <f t="shared" si="0"/>
        <v>是</v>
      </c>
      <c r="I30" s="14" t="str">
        <f t="shared" si="1"/>
        <v>是</v>
      </c>
      <c r="J30" s="15" t="e">
        <f t="shared" si="2"/>
        <v>#DIV/0!</v>
      </c>
    </row>
    <row r="31" spans="1:10">
      <c r="A31" s="7">
        <f>IF(子基金及业绩基准周净值!A49="","",子基金及业绩基准周净值!A49)</f>
        <v>45793</v>
      </c>
      <c r="B31" s="1">
        <f>IF(A31="","",VLOOKUP($A31,子基金及业绩基准周净值!$A:$AV,8))</f>
        <v>0</v>
      </c>
      <c r="C31" s="8" t="e">
        <f t="shared" si="3"/>
        <v>#DIV/0!</v>
      </c>
      <c r="D31" s="8" t="e">
        <f>IF(A31="","",C31-(子基金及业绩基准周净值!AH36/子基金及业绩基准周净值!AH34-1))</f>
        <v>#DIV/0!</v>
      </c>
      <c r="E31" s="12">
        <f>IF(A31="","",(MAX(B$3:B31)-B31)/MAX(B$3:B31))</f>
        <v>1</v>
      </c>
      <c r="F31" s="12">
        <f>IF(A31="","",MAX(E$4:E31))</f>
        <v>1</v>
      </c>
      <c r="G31" s="17" t="e">
        <f>IF(A31="","",MAX(FREQUENCY(IF($D$3:D31&lt;0,ROW($D$3:D31)),IF($D$3:D31&gt;=0,ROW($D$3:D31)))))</f>
        <v>#DIV/0!</v>
      </c>
      <c r="H31" s="14" t="str">
        <f t="shared" si="0"/>
        <v>是</v>
      </c>
      <c r="I31" s="14" t="str">
        <f t="shared" si="1"/>
        <v>是</v>
      </c>
      <c r="J31" s="15" t="e">
        <f t="shared" si="2"/>
        <v>#DIV/0!</v>
      </c>
    </row>
    <row r="32" spans="1:10">
      <c r="A32" s="7">
        <f>IF(子基金及业绩基准周净值!A50="","",子基金及业绩基准周净值!A50)</f>
        <v>45800</v>
      </c>
      <c r="B32" s="1">
        <f>IF(A32="","",VLOOKUP($A32,子基金及业绩基准周净值!$A:$AV,8))</f>
        <v>0</v>
      </c>
      <c r="C32" s="8" t="e">
        <f t="shared" si="3"/>
        <v>#DIV/0!</v>
      </c>
      <c r="D32" s="8" t="e">
        <f>IF(A32="","",C32-(子基金及业绩基准周净值!AH37/子基金及业绩基准周净值!AH36-1))</f>
        <v>#DIV/0!</v>
      </c>
      <c r="E32" s="12">
        <f>IF(A32="","",(MAX(B$3:B32)-B32)/MAX(B$3:B32))</f>
        <v>1</v>
      </c>
      <c r="F32" s="12">
        <f>IF(A32="","",MAX(E$4:E32))</f>
        <v>1</v>
      </c>
      <c r="G32" s="17" t="e">
        <f>IF(A32="","",MAX(FREQUENCY(IF($D$3:D32&lt;0,ROW($D$3:D32)),IF($D$3:D32&gt;=0,ROW($D$3:D32)))))</f>
        <v>#DIV/0!</v>
      </c>
      <c r="H32" s="14" t="str">
        <f t="shared" si="0"/>
        <v>是</v>
      </c>
      <c r="I32" s="14" t="str">
        <f t="shared" si="1"/>
        <v>是</v>
      </c>
      <c r="J32" s="15" t="e">
        <f t="shared" si="2"/>
        <v>#DIV/0!</v>
      </c>
    </row>
    <row r="33" spans="1:10">
      <c r="A33" s="7">
        <f>IF(子基金及业绩基准周净值!A51="","",子基金及业绩基准周净值!A51)</f>
        <v>45807</v>
      </c>
      <c r="B33" s="1">
        <f>IF(A33="","",VLOOKUP($A33,子基金及业绩基准周净值!$A:$AV,8))</f>
        <v>0</v>
      </c>
      <c r="C33" s="8" t="e">
        <f t="shared" si="3"/>
        <v>#DIV/0!</v>
      </c>
      <c r="D33" s="8" t="e">
        <f>IF(A33="","",C33-(子基金及业绩基准周净值!AH38/子基金及业绩基准周净值!AH37-1))</f>
        <v>#DIV/0!</v>
      </c>
      <c r="E33" s="12">
        <f>IF(A33="","",(MAX(B$3:B33)-B33)/MAX(B$3:B33))</f>
        <v>1</v>
      </c>
      <c r="F33" s="12">
        <f>IF(A33="","",MAX(E$4:E33))</f>
        <v>1</v>
      </c>
      <c r="G33" s="17" t="e">
        <f>IF(A33="","",MAX(FREQUENCY(IF($D$3:D33&lt;0,ROW($D$3:D33)),IF($D$3:D33&gt;=0,ROW($D$3:D33)))))</f>
        <v>#DIV/0!</v>
      </c>
      <c r="H33" s="14" t="str">
        <f t="shared" si="0"/>
        <v>是</v>
      </c>
      <c r="I33" s="14" t="str">
        <f t="shared" si="1"/>
        <v>是</v>
      </c>
      <c r="J33" s="15" t="e">
        <f t="shared" si="2"/>
        <v>#DIV/0!</v>
      </c>
    </row>
    <row r="34" spans="1:10">
      <c r="A34" s="7">
        <f>IF(子基金及业绩基准周净值!A52="","",子基金及业绩基准周净值!A52)</f>
        <v>45814</v>
      </c>
      <c r="B34" s="1">
        <f>IF(A34="","",VLOOKUP($A34,子基金及业绩基准周净值!$A:$AV,8))</f>
        <v>0</v>
      </c>
      <c r="C34" s="8" t="e">
        <f t="shared" si="3"/>
        <v>#DIV/0!</v>
      </c>
      <c r="D34" s="8" t="e">
        <f>IF(A34="","",C34-(子基金及业绩基准周净值!AH39/子基金及业绩基准周净值!AH38-1))</f>
        <v>#DIV/0!</v>
      </c>
      <c r="E34" s="12">
        <f>IF(A34="","",(MAX(B$3:B34)-B34)/MAX(B$3:B34))</f>
        <v>1</v>
      </c>
      <c r="F34" s="12">
        <f>IF(A34="","",MAX(E$4:E34))</f>
        <v>1</v>
      </c>
      <c r="G34" s="17" t="e">
        <f>IF(A34="","",MAX(FREQUENCY(IF($D$3:D34&lt;0,ROW($D$3:D34)),IF($D$3:D34&gt;=0,ROW($D$3:D34)))))</f>
        <v>#DIV/0!</v>
      </c>
      <c r="H34" s="14" t="str">
        <f t="shared" si="0"/>
        <v>是</v>
      </c>
      <c r="I34" s="14" t="str">
        <f t="shared" si="1"/>
        <v>是</v>
      </c>
      <c r="J34" s="15" t="e">
        <f t="shared" si="2"/>
        <v>#DIV/0!</v>
      </c>
    </row>
    <row r="35" spans="1:10">
      <c r="A35" s="7">
        <f>IF(子基金及业绩基准周净值!A53="","",子基金及业绩基准周净值!A53)</f>
        <v>45821</v>
      </c>
      <c r="B35" s="1">
        <f>IF(A35="","",VLOOKUP($A35,子基金及业绩基准周净值!$A:$AV,8))</f>
        <v>0</v>
      </c>
      <c r="C35" s="8" t="e">
        <f t="shared" si="3"/>
        <v>#DIV/0!</v>
      </c>
      <c r="D35" s="8" t="e">
        <f>IF(A35="","",C35-(子基金及业绩基准周净值!AH40/子基金及业绩基准周净值!AH39-1))</f>
        <v>#DIV/0!</v>
      </c>
      <c r="E35" s="12">
        <f>IF(A35="","",(MAX(B$3:B35)-B35)/MAX(B$3:B35))</f>
        <v>1</v>
      </c>
      <c r="F35" s="12">
        <f>IF(A35="","",MAX(E$4:E35))</f>
        <v>1</v>
      </c>
      <c r="G35" s="17" t="e">
        <f>IF(A35="","",MAX(FREQUENCY(IF($D$3:D35&lt;0,ROW($D$3:D35)),IF($D$3:D35&gt;=0,ROW($D$3:D35)))))</f>
        <v>#DIV/0!</v>
      </c>
      <c r="H35" s="14" t="str">
        <f t="shared" si="0"/>
        <v>是</v>
      </c>
      <c r="I35" s="14" t="str">
        <f t="shared" si="1"/>
        <v>是</v>
      </c>
      <c r="J35" s="15" t="e">
        <f t="shared" si="2"/>
        <v>#DIV/0!</v>
      </c>
    </row>
    <row r="36" spans="1:10">
      <c r="A36" s="7">
        <f>IF(子基金及业绩基准周净值!A54="","",子基金及业绩基准周净值!A54)</f>
        <v>45828</v>
      </c>
      <c r="B36" s="1">
        <f>IF(A36="","",VLOOKUP($A36,子基金及业绩基准周净值!$A:$AV,8))</f>
        <v>0</v>
      </c>
      <c r="C36" s="8" t="e">
        <f t="shared" si="3"/>
        <v>#DIV/0!</v>
      </c>
      <c r="D36" s="8" t="e">
        <f>IF(A36="","",C36-(子基金及业绩基准周净值!AH41/子基金及业绩基准周净值!AH40-1))</f>
        <v>#DIV/0!</v>
      </c>
      <c r="E36" s="12">
        <f>IF(A36="","",(MAX(B$3:B36)-B36)/MAX(B$3:B36))</f>
        <v>1</v>
      </c>
      <c r="F36" s="12">
        <f>IF(A36="","",MAX(E$4:E36))</f>
        <v>1</v>
      </c>
      <c r="G36" s="17" t="e">
        <f>IF(A36="","",MAX(FREQUENCY(IF($D$3:D36&lt;0,ROW($D$3:D36)),IF($D$3:D36&gt;=0,ROW($D$3:D36)))))</f>
        <v>#DIV/0!</v>
      </c>
      <c r="H36" s="14" t="str">
        <f t="shared" si="0"/>
        <v>是</v>
      </c>
      <c r="I36" s="14" t="str">
        <f t="shared" si="1"/>
        <v>是</v>
      </c>
      <c r="J36" s="15" t="e">
        <f t="shared" si="2"/>
        <v>#DIV/0!</v>
      </c>
    </row>
    <row r="37" spans="1:10">
      <c r="A37" s="7">
        <f>IF(子基金及业绩基准周净值!A55="","",子基金及业绩基准周净值!A55)</f>
        <v>45835</v>
      </c>
      <c r="B37" s="1">
        <f>IF(A37="","",VLOOKUP($A37,子基金及业绩基准周净值!$A:$AV,8))</f>
        <v>0</v>
      </c>
      <c r="C37" s="8" t="e">
        <f t="shared" si="3"/>
        <v>#DIV/0!</v>
      </c>
      <c r="D37" s="8" t="e">
        <f>IF(A37="","",C37-(子基金及业绩基准周净值!AH42/子基金及业绩基准周净值!AH41-1))</f>
        <v>#DIV/0!</v>
      </c>
      <c r="E37" s="12">
        <f>IF(A37="","",(MAX(B$3:B37)-B37)/MAX(B$3:B37))</f>
        <v>1</v>
      </c>
      <c r="F37" s="12">
        <f>IF(A37="","",MAX(E$4:E37))</f>
        <v>1</v>
      </c>
      <c r="G37" s="17" t="e">
        <f>IF(A37="","",MAX(FREQUENCY(IF($D$3:D37&lt;0,ROW($D$3:D37)),IF($D$3:D37&gt;=0,ROW($D$3:D37)))))</f>
        <v>#DIV/0!</v>
      </c>
      <c r="H37" s="14" t="str">
        <f t="shared" si="0"/>
        <v>是</v>
      </c>
      <c r="I37" s="14" t="str">
        <f t="shared" si="1"/>
        <v>是</v>
      </c>
      <c r="J37" s="15" t="e">
        <f t="shared" si="2"/>
        <v>#DIV/0!</v>
      </c>
    </row>
    <row r="38" spans="1:10">
      <c r="A38" s="7">
        <f>IF(子基金及业绩基准周净值!A56="","",子基金及业绩基准周净值!A56)</f>
        <v>45842</v>
      </c>
      <c r="B38" s="1">
        <f>IF(A38="","",VLOOKUP($A38,子基金及业绩基准周净值!$A:$AV,8))</f>
        <v>0</v>
      </c>
      <c r="C38" s="8" t="e">
        <f t="shared" si="3"/>
        <v>#DIV/0!</v>
      </c>
      <c r="D38" s="8" t="e">
        <f>IF(A38="","",C38-(子基金及业绩基准周净值!AH43/子基金及业绩基准周净值!AH42-1))</f>
        <v>#DIV/0!</v>
      </c>
      <c r="E38" s="12">
        <f>IF(A38="","",(MAX(B$3:B38)-B38)/MAX(B$3:B38))</f>
        <v>1</v>
      </c>
      <c r="F38" s="12">
        <f>IF(A38="","",MAX(E$4:E38))</f>
        <v>1</v>
      </c>
      <c r="G38" s="17" t="e">
        <f>IF(A38="","",MAX(FREQUENCY(IF($D$3:D38&lt;0,ROW($D$3:D38)),IF($D$3:D38&gt;=0,ROW($D$3:D38)))))</f>
        <v>#DIV/0!</v>
      </c>
      <c r="H38" s="14" t="str">
        <f t="shared" si="0"/>
        <v>是</v>
      </c>
      <c r="I38" s="14" t="str">
        <f t="shared" si="1"/>
        <v>是</v>
      </c>
      <c r="J38" s="15" t="e">
        <f t="shared" si="2"/>
        <v>#DIV/0!</v>
      </c>
    </row>
    <row r="39" spans="1:10">
      <c r="A39" s="7">
        <f>IF(子基金及业绩基准周净值!A57="","",子基金及业绩基准周净值!A57)</f>
        <v>45849</v>
      </c>
      <c r="B39" s="1">
        <f>IF(A39="","",VLOOKUP($A39,子基金及业绩基准周净值!$A:$AV,8))</f>
        <v>0</v>
      </c>
      <c r="C39" s="8" t="e">
        <f t="shared" si="3"/>
        <v>#DIV/0!</v>
      </c>
      <c r="D39" s="8" t="e">
        <f>IF(A39="","",C39-(子基金及业绩基准周净值!AH44/子基金及业绩基准周净值!AH43-1))</f>
        <v>#DIV/0!</v>
      </c>
      <c r="E39" s="12">
        <f>IF(A39="","",(MAX(B$3:B39)-B39)/MAX(B$3:B39))</f>
        <v>1</v>
      </c>
      <c r="F39" s="12">
        <f>IF(A39="","",MAX(E$4:E39))</f>
        <v>1</v>
      </c>
      <c r="G39" s="17" t="e">
        <f>IF(A39="","",MAX(FREQUENCY(IF($D$3:D39&lt;0,ROW($D$3:D39)),IF($D$3:D39&gt;=0,ROW($D$3:D39)))))</f>
        <v>#DIV/0!</v>
      </c>
      <c r="H39" s="14" t="str">
        <f t="shared" si="0"/>
        <v>是</v>
      </c>
      <c r="I39" s="14" t="str">
        <f t="shared" si="1"/>
        <v>是</v>
      </c>
      <c r="J39" s="15" t="e">
        <f t="shared" si="2"/>
        <v>#DIV/0!</v>
      </c>
    </row>
    <row r="40" spans="1:10">
      <c r="A40" s="7">
        <f>IF(子基金及业绩基准周净值!A58="","",子基金及业绩基准周净值!A58)</f>
        <v>45856</v>
      </c>
      <c r="B40" s="1">
        <f>IF(A40="","",VLOOKUP($A40,子基金及业绩基准周净值!$A:$AV,8))</f>
        <v>0</v>
      </c>
      <c r="C40" s="8" t="e">
        <f t="shared" si="3"/>
        <v>#DIV/0!</v>
      </c>
      <c r="D40" s="8" t="e">
        <f>IF(A40="","",C40-(子基金及业绩基准周净值!AH45/子基金及业绩基准周净值!AH44-1))</f>
        <v>#DIV/0!</v>
      </c>
      <c r="E40" s="12">
        <f>IF(A40="","",(MAX(B$3:B40)-B40)/MAX(B$3:B40))</f>
        <v>1</v>
      </c>
      <c r="F40" s="12">
        <f>IF(A40="","",MAX(E$4:E40))</f>
        <v>1</v>
      </c>
      <c r="G40" s="17" t="e">
        <f>IF(A40="","",MAX(FREQUENCY(IF($D$3:D40&lt;0,ROW($D$3:D40)),IF($D$3:D40&gt;=0,ROW($D$3:D40)))))</f>
        <v>#DIV/0!</v>
      </c>
      <c r="H40" s="14" t="str">
        <f t="shared" si="0"/>
        <v>是</v>
      </c>
      <c r="I40" s="14" t="str">
        <f t="shared" si="1"/>
        <v>是</v>
      </c>
      <c r="J40" s="15" t="e">
        <f t="shared" si="2"/>
        <v>#DIV/0!</v>
      </c>
    </row>
    <row r="41" spans="1:10">
      <c r="A41" s="7">
        <f>IF(子基金及业绩基准周净值!A59="","",子基金及业绩基准周净值!A59)</f>
        <v>45863</v>
      </c>
      <c r="B41" s="1">
        <f>IF(A41="","",VLOOKUP($A41,子基金及业绩基准周净值!$A:$AV,8))</f>
        <v>0</v>
      </c>
      <c r="C41" s="8" t="e">
        <f t="shared" si="3"/>
        <v>#DIV/0!</v>
      </c>
      <c r="D41" s="8" t="e">
        <f>IF(A41="","",C41-(子基金及业绩基准周净值!AH46/子基金及业绩基准周净值!AH45-1))</f>
        <v>#DIV/0!</v>
      </c>
      <c r="E41" s="12">
        <f>IF(A41="","",(MAX(B$3:B41)-B41)/MAX(B$3:B41))</f>
        <v>1</v>
      </c>
      <c r="F41" s="12">
        <f>IF(A41="","",MAX(E$4:E41))</f>
        <v>1</v>
      </c>
      <c r="G41" s="17" t="e">
        <f>IF(A41="","",MAX(FREQUENCY(IF($D$3:D41&lt;0,ROW($D$3:D41)),IF($D$3:D41&gt;=0,ROW($D$3:D41)))))</f>
        <v>#DIV/0!</v>
      </c>
      <c r="H41" s="14" t="str">
        <f t="shared" si="0"/>
        <v>是</v>
      </c>
      <c r="I41" s="14" t="str">
        <f t="shared" si="1"/>
        <v>是</v>
      </c>
      <c r="J41" s="15" t="e">
        <f t="shared" si="2"/>
        <v>#DIV/0!</v>
      </c>
    </row>
    <row r="42" spans="1:10">
      <c r="A42" s="7">
        <f>IF(子基金及业绩基准周净值!A60="","",子基金及业绩基准周净值!A60)</f>
        <v>45870</v>
      </c>
      <c r="B42" s="1">
        <f>IF(A42="","",VLOOKUP($A42,子基金及业绩基准周净值!$A:$AV,8))</f>
        <v>0</v>
      </c>
      <c r="C42" s="8" t="e">
        <f t="shared" si="3"/>
        <v>#DIV/0!</v>
      </c>
      <c r="D42" s="8" t="e">
        <f>IF(A42="","",C42-(子基金及业绩基准周净值!AH47/子基金及业绩基准周净值!AH46-1))</f>
        <v>#DIV/0!</v>
      </c>
      <c r="E42" s="12">
        <f>IF(A42="","",(MAX(B$3:B42)-B42)/MAX(B$3:B42))</f>
        <v>1</v>
      </c>
      <c r="F42" s="12">
        <f>IF(A42="","",MAX(E$4:E42))</f>
        <v>1</v>
      </c>
      <c r="G42" s="17" t="e">
        <f>IF(A42="","",MAX(FREQUENCY(IF($D$3:D42&lt;0,ROW($D$3:D42)),IF($D$3:D42&gt;=0,ROW($D$3:D42)))))</f>
        <v>#DIV/0!</v>
      </c>
      <c r="H42" s="14" t="str">
        <f t="shared" si="0"/>
        <v>是</v>
      </c>
      <c r="I42" s="14" t="str">
        <f t="shared" si="1"/>
        <v>是</v>
      </c>
      <c r="J42" s="15" t="e">
        <f t="shared" si="2"/>
        <v>#DIV/0!</v>
      </c>
    </row>
    <row r="43" spans="1:10">
      <c r="A43" s="7">
        <f>IF(子基金及业绩基准周净值!A61="","",子基金及业绩基准周净值!A61)</f>
        <v>45877</v>
      </c>
      <c r="B43" s="1">
        <f>IF(A43="","",VLOOKUP($A43,子基金及业绩基准周净值!$A:$AV,8))</f>
        <v>0</v>
      </c>
      <c r="C43" s="8" t="e">
        <f t="shared" si="3"/>
        <v>#DIV/0!</v>
      </c>
      <c r="D43" s="8" t="e">
        <f>IF(A43="","",C43-(子基金及业绩基准周净值!AH48/子基金及业绩基准周净值!AH47-1))</f>
        <v>#DIV/0!</v>
      </c>
      <c r="E43" s="12">
        <f>IF(A43="","",(MAX(B$3:B43)-B43)/MAX(B$3:B43))</f>
        <v>1</v>
      </c>
      <c r="F43" s="12">
        <f>IF(A43="","",MAX(E$4:E43))</f>
        <v>1</v>
      </c>
      <c r="G43" s="17" t="e">
        <f>IF(A43="","",MAX(FREQUENCY(IF($D$3:D43&lt;0,ROW($D$3:D43)),IF($D$3:D43&gt;=0,ROW($D$3:D43)))))</f>
        <v>#DIV/0!</v>
      </c>
      <c r="H43" s="14" t="str">
        <f t="shared" si="0"/>
        <v>是</v>
      </c>
      <c r="I43" s="14" t="str">
        <f t="shared" si="1"/>
        <v>是</v>
      </c>
      <c r="J43" s="15" t="e">
        <f t="shared" si="2"/>
        <v>#DIV/0!</v>
      </c>
    </row>
    <row r="44" spans="1:10">
      <c r="A44" s="7">
        <f>IF(子基金及业绩基准周净值!A62="","",子基金及业绩基准周净值!A62)</f>
        <v>45884</v>
      </c>
      <c r="B44" s="1">
        <f>IF(A44="","",VLOOKUP($A44,子基金及业绩基准周净值!$A:$AV,8))</f>
        <v>0</v>
      </c>
      <c r="C44" s="8" t="e">
        <f t="shared" si="3"/>
        <v>#DIV/0!</v>
      </c>
      <c r="D44" s="8" t="e">
        <f>IF(A44="","",C44-(子基金及业绩基准周净值!AH49/子基金及业绩基准周净值!AH48-1))</f>
        <v>#DIV/0!</v>
      </c>
      <c r="E44" s="12">
        <f>IF(A44="","",(MAX(B$3:B44)-B44)/MAX(B$3:B44))</f>
        <v>1</v>
      </c>
      <c r="F44" s="12">
        <f>IF(A44="","",MAX(E$4:E44))</f>
        <v>1</v>
      </c>
      <c r="G44" s="17" t="e">
        <f>IF(A44="","",MAX(FREQUENCY(IF($D$3:D44&lt;0,ROW($D$3:D44)),IF($D$3:D44&gt;=0,ROW($D$3:D44)))))</f>
        <v>#DIV/0!</v>
      </c>
      <c r="H44" s="14" t="str">
        <f t="shared" si="0"/>
        <v>是</v>
      </c>
      <c r="I44" s="14" t="str">
        <f t="shared" si="1"/>
        <v>是</v>
      </c>
      <c r="J44" s="15" t="e">
        <f t="shared" si="2"/>
        <v>#DIV/0!</v>
      </c>
    </row>
    <row r="45" spans="1:10">
      <c r="A45" s="7">
        <f>IF(子基金及业绩基准周净值!A63="","",子基金及业绩基准周净值!A63)</f>
        <v>45891</v>
      </c>
      <c r="B45" s="1">
        <f>IF(A45="","",VLOOKUP($A45,子基金及业绩基准周净值!$A:$AV,8))</f>
        <v>0</v>
      </c>
      <c r="C45" s="8" t="e">
        <f t="shared" si="3"/>
        <v>#DIV/0!</v>
      </c>
      <c r="D45" s="8" t="e">
        <f>IF(A45="","",C45-(子基金及业绩基准周净值!AH50/子基金及业绩基准周净值!AH49-1))</f>
        <v>#DIV/0!</v>
      </c>
      <c r="E45" s="12">
        <f>IF(A45="","",(MAX(B$3:B45)-B45)/MAX(B$3:B45))</f>
        <v>1</v>
      </c>
      <c r="F45" s="12">
        <f>IF(A45="","",MAX(E$4:E45))</f>
        <v>1</v>
      </c>
      <c r="G45" s="17" t="e">
        <f>IF(A45="","",MAX(FREQUENCY(IF($D$3:D45&lt;0,ROW($D$3:D45)),IF($D$3:D45&gt;=0,ROW($D$3:D45)))))</f>
        <v>#DIV/0!</v>
      </c>
      <c r="H45" s="14" t="str">
        <f t="shared" si="0"/>
        <v>是</v>
      </c>
      <c r="I45" s="14" t="str">
        <f t="shared" si="1"/>
        <v>是</v>
      </c>
      <c r="J45" s="15" t="e">
        <f t="shared" si="2"/>
        <v>#DIV/0!</v>
      </c>
    </row>
    <row r="46" spans="1:10">
      <c r="A46" s="7">
        <f>IF(子基金及业绩基准周净值!A64="","",子基金及业绩基准周净值!A64)</f>
        <v>45898</v>
      </c>
      <c r="B46" s="1">
        <f>IF(A46="","",VLOOKUP($A46,子基金及业绩基准周净值!$A:$AV,8))</f>
        <v>0</v>
      </c>
      <c r="C46" s="8" t="e">
        <f t="shared" si="3"/>
        <v>#DIV/0!</v>
      </c>
      <c r="D46" s="8" t="e">
        <f>IF(A46="","",C46-(子基金及业绩基准周净值!AH51/子基金及业绩基准周净值!AH50-1))</f>
        <v>#DIV/0!</v>
      </c>
      <c r="E46" s="12">
        <f>IF(A46="","",(MAX(B$3:B46)-B46)/MAX(B$3:B46))</f>
        <v>1</v>
      </c>
      <c r="F46" s="12">
        <f>IF(A46="","",MAX(E$4:E46))</f>
        <v>1</v>
      </c>
      <c r="G46" s="17" t="e">
        <f>IF(A46="","",MAX(FREQUENCY(IF($D$3:D46&lt;0,ROW($D$3:D46)),IF($D$3:D46&gt;=0,ROW($D$3:D46)))))</f>
        <v>#DIV/0!</v>
      </c>
      <c r="H46" s="14" t="str">
        <f t="shared" si="0"/>
        <v>是</v>
      </c>
      <c r="I46" s="14" t="str">
        <f t="shared" si="1"/>
        <v>是</v>
      </c>
      <c r="J46" s="15" t="e">
        <f t="shared" si="2"/>
        <v>#DIV/0!</v>
      </c>
    </row>
    <row r="47" spans="1:10">
      <c r="A47" s="7">
        <f>IF(子基金及业绩基准周净值!A65="","",子基金及业绩基准周净值!A65)</f>
        <v>45905</v>
      </c>
      <c r="B47" s="1">
        <f>IF(A47="","",VLOOKUP($A47,子基金及业绩基准周净值!$A:$AV,8))</f>
        <v>0</v>
      </c>
      <c r="C47" s="8" t="e">
        <f t="shared" si="3"/>
        <v>#DIV/0!</v>
      </c>
      <c r="D47" s="8" t="e">
        <f>IF(A47="","",C47-(子基金及业绩基准周净值!AH52/子基金及业绩基准周净值!AH51-1))</f>
        <v>#DIV/0!</v>
      </c>
      <c r="E47" s="12">
        <f>IF(A47="","",(MAX(B$3:B47)-B47)/MAX(B$3:B47))</f>
        <v>1</v>
      </c>
      <c r="F47" s="12">
        <f>IF(A47="","",MAX(E$4:E47))</f>
        <v>1</v>
      </c>
      <c r="G47" s="17" t="e">
        <f>IF(A47="","",MAX(FREQUENCY(IF($D$3:D47&lt;0,ROW($D$3:D47)),IF($D$3:D47&gt;=0,ROW($D$3:D47)))))</f>
        <v>#DIV/0!</v>
      </c>
      <c r="H47" s="14" t="str">
        <f t="shared" si="0"/>
        <v>是</v>
      </c>
      <c r="I47" s="14" t="str">
        <f t="shared" si="1"/>
        <v>是</v>
      </c>
      <c r="J47" s="15" t="e">
        <f t="shared" si="2"/>
        <v>#DIV/0!</v>
      </c>
    </row>
    <row r="48" spans="1:10">
      <c r="A48" s="7">
        <f>IF(子基金及业绩基准周净值!A66="","",子基金及业绩基准周净值!A66)</f>
        <v>45912</v>
      </c>
      <c r="B48" s="1">
        <f>IF(A48="","",VLOOKUP($A48,子基金及业绩基准周净值!$A:$AV,8))</f>
        <v>0</v>
      </c>
      <c r="C48" s="8" t="e">
        <f t="shared" si="3"/>
        <v>#DIV/0!</v>
      </c>
      <c r="D48" s="8" t="e">
        <f>IF(A48="","",C48-(子基金及业绩基准周净值!AH53/子基金及业绩基准周净值!AH52-1))</f>
        <v>#DIV/0!</v>
      </c>
      <c r="E48" s="12">
        <f>IF(A48="","",(MAX(B$3:B48)-B48)/MAX(B$3:B48))</f>
        <v>1</v>
      </c>
      <c r="F48" s="12">
        <f>IF(A48="","",MAX(E$4:E48))</f>
        <v>1</v>
      </c>
      <c r="G48" s="17" t="e">
        <f>IF(A48="","",MAX(FREQUENCY(IF($D$3:D48&lt;0,ROW($D$3:D48)),IF($D$3:D48&gt;=0,ROW($D$3:D48)))))</f>
        <v>#DIV/0!</v>
      </c>
      <c r="H48" s="14" t="str">
        <f t="shared" si="0"/>
        <v>是</v>
      </c>
      <c r="I48" s="14" t="str">
        <f t="shared" si="1"/>
        <v>是</v>
      </c>
      <c r="J48" s="15" t="e">
        <f t="shared" si="2"/>
        <v>#DIV/0!</v>
      </c>
    </row>
    <row r="49" spans="1:10">
      <c r="A49" s="7">
        <f>IF(子基金及业绩基准周净值!A67="","",子基金及业绩基准周净值!A67)</f>
        <v>45919</v>
      </c>
      <c r="B49" s="1">
        <f>IF(A49="","",VLOOKUP($A49,子基金及业绩基准周净值!$A:$AV,8))</f>
        <v>0</v>
      </c>
      <c r="C49" s="8" t="e">
        <f t="shared" si="3"/>
        <v>#DIV/0!</v>
      </c>
      <c r="D49" s="8" t="e">
        <f>IF(A49="","",C49-(子基金及业绩基准周净值!AH54/子基金及业绩基准周净值!AH53-1))</f>
        <v>#DIV/0!</v>
      </c>
      <c r="E49" s="12">
        <f>IF(A49="","",(MAX(B$3:B49)-B49)/MAX(B$3:B49))</f>
        <v>1</v>
      </c>
      <c r="F49" s="12">
        <f>IF(A49="","",MAX(E$4:E49))</f>
        <v>1</v>
      </c>
      <c r="G49" s="17" t="e">
        <f>IF(A49="","",MAX(FREQUENCY(IF($D$3:D49&lt;0,ROW($D$3:D49)),IF($D$3:D49&gt;=0,ROW($D$3:D49)))))</f>
        <v>#DIV/0!</v>
      </c>
      <c r="H49" s="14" t="str">
        <f t="shared" si="0"/>
        <v>是</v>
      </c>
      <c r="I49" s="14" t="str">
        <f t="shared" si="1"/>
        <v>是</v>
      </c>
      <c r="J49" s="15" t="e">
        <f t="shared" si="2"/>
        <v>#DIV/0!</v>
      </c>
    </row>
    <row r="50" spans="1:10">
      <c r="A50" s="7">
        <f>IF(子基金及业绩基准周净值!A68="","",子基金及业绩基准周净值!A68)</f>
        <v>45926</v>
      </c>
      <c r="B50" s="1">
        <f>IF(A50="","",VLOOKUP($A50,子基金及业绩基准周净值!$A:$AV,8))</f>
        <v>0</v>
      </c>
      <c r="C50" s="8" t="e">
        <f t="shared" si="3"/>
        <v>#DIV/0!</v>
      </c>
      <c r="D50" s="8" t="e">
        <f>IF(A50="","",C50-(子基金及业绩基准周净值!AH55/子基金及业绩基准周净值!AH54-1))</f>
        <v>#DIV/0!</v>
      </c>
      <c r="E50" s="12">
        <f>IF(A50="","",(MAX(B$3:B50)-B50)/MAX(B$3:B50))</f>
        <v>1</v>
      </c>
      <c r="F50" s="12">
        <f>IF(A50="","",MAX(E$4:E50))</f>
        <v>1</v>
      </c>
      <c r="G50" s="17" t="e">
        <f>IF(A50="","",MAX(FREQUENCY(IF($D$3:D50&lt;0,ROW($D$3:D50)),IF($D$3:D50&gt;=0,ROW($D$3:D50)))))</f>
        <v>#DIV/0!</v>
      </c>
      <c r="H50" s="14" t="str">
        <f t="shared" si="0"/>
        <v>是</v>
      </c>
      <c r="I50" s="14" t="str">
        <f t="shared" si="1"/>
        <v>是</v>
      </c>
      <c r="J50" s="15" t="e">
        <f t="shared" si="2"/>
        <v>#DIV/0!</v>
      </c>
    </row>
    <row r="51" spans="1:10">
      <c r="A51" s="7">
        <f>IF(子基金及业绩基准周净值!A69="","",子基金及业绩基准周净值!A69)</f>
        <v>45940</v>
      </c>
      <c r="B51" s="1">
        <f>IF(A51="","",VLOOKUP($A51,子基金及业绩基准周净值!$A:$AV,8))</f>
        <v>0</v>
      </c>
      <c r="C51" s="8" t="e">
        <f t="shared" si="3"/>
        <v>#DIV/0!</v>
      </c>
      <c r="D51" s="8" t="e">
        <f>IF(A51="","",C51-(子基金及业绩基准周净值!AH56/子基金及业绩基准周净值!AH55-1))</f>
        <v>#DIV/0!</v>
      </c>
      <c r="E51" s="12">
        <f>IF(A51="","",(MAX(B$3:B51)-B51)/MAX(B$3:B51))</f>
        <v>1</v>
      </c>
      <c r="F51" s="12">
        <f>IF(A51="","",MAX(E$4:E51))</f>
        <v>1</v>
      </c>
      <c r="G51" s="17" t="e">
        <f>IF(A51="","",MAX(FREQUENCY(IF($D$3:D51&lt;0,ROW($D$3:D51)),IF($D$3:D51&gt;=0,ROW($D$3:D51)))))</f>
        <v>#DIV/0!</v>
      </c>
      <c r="H51" s="14" t="str">
        <f t="shared" si="0"/>
        <v>是</v>
      </c>
      <c r="I51" s="14" t="str">
        <f t="shared" si="1"/>
        <v>是</v>
      </c>
      <c r="J51" s="15" t="e">
        <f t="shared" si="2"/>
        <v>#DIV/0!</v>
      </c>
    </row>
    <row r="52" spans="1:10">
      <c r="A52" s="7">
        <f>IF(子基金及业绩基准周净值!A70="","",子基金及业绩基准周净值!A70)</f>
        <v>45947</v>
      </c>
      <c r="B52" s="1">
        <f>IF(A52="","",VLOOKUP($A52,子基金及业绩基准周净值!$A:$AV,8))</f>
        <v>0</v>
      </c>
      <c r="C52" s="8" t="e">
        <f t="shared" si="3"/>
        <v>#DIV/0!</v>
      </c>
      <c r="D52" s="8" t="e">
        <f>IF(A52="","",C52-(子基金及业绩基准周净值!AH57/子基金及业绩基准周净值!AH56-1))</f>
        <v>#DIV/0!</v>
      </c>
      <c r="E52" s="12">
        <f>IF(A52="","",(MAX(B$3:B52)-B52)/MAX(B$3:B52))</f>
        <v>1</v>
      </c>
      <c r="F52" s="12">
        <f>IF(A52="","",MAX(E$4:E52))</f>
        <v>1</v>
      </c>
      <c r="G52" s="17" t="e">
        <f>IF(A52="","",MAX(FREQUENCY(IF($D$3:D52&lt;0,ROW($D$3:D52)),IF($D$3:D52&gt;=0,ROW($D$3:D52)))))</f>
        <v>#DIV/0!</v>
      </c>
      <c r="H52" s="14" t="str">
        <f t="shared" si="0"/>
        <v>是</v>
      </c>
      <c r="I52" s="14" t="str">
        <f t="shared" si="1"/>
        <v>是</v>
      </c>
      <c r="J52" s="15" t="e">
        <f t="shared" si="2"/>
        <v>#DIV/0!</v>
      </c>
    </row>
    <row r="53" spans="1:10">
      <c r="A53" s="7">
        <f>IF(子基金及业绩基准周净值!A71="","",子基金及业绩基准周净值!A71)</f>
        <v>45954</v>
      </c>
      <c r="B53" s="1">
        <f>IF(A53="","",VLOOKUP($A53,子基金及业绩基准周净值!$A:$AV,8))</f>
        <v>0</v>
      </c>
      <c r="C53" s="8" t="e">
        <f t="shared" si="3"/>
        <v>#DIV/0!</v>
      </c>
      <c r="D53" s="8" t="e">
        <f>IF(A53="","",C53-(子基金及业绩基准周净值!AH58/子基金及业绩基准周净值!AH57-1))</f>
        <v>#DIV/0!</v>
      </c>
      <c r="E53" s="12">
        <f>IF(A53="","",(MAX(B$3:B53)-B53)/MAX(B$3:B53))</f>
        <v>1</v>
      </c>
      <c r="F53" s="12">
        <f>IF(A53="","",MAX(E$4:E53))</f>
        <v>1</v>
      </c>
      <c r="G53" s="17" t="e">
        <f>IF(A53="","",MAX(FREQUENCY(IF($D$3:D53&lt;0,ROW($D$3:D53)),IF($D$3:D53&gt;=0,ROW($D$3:D53)))))</f>
        <v>#DIV/0!</v>
      </c>
      <c r="H53" s="14" t="str">
        <f t="shared" si="0"/>
        <v>是</v>
      </c>
      <c r="I53" s="14" t="str">
        <f t="shared" si="1"/>
        <v>是</v>
      </c>
      <c r="J53" s="15" t="e">
        <f t="shared" si="2"/>
        <v>#DIV/0!</v>
      </c>
    </row>
    <row r="54" spans="1:10">
      <c r="A54" s="7">
        <f>IF(子基金及业绩基准周净值!A72="","",子基金及业绩基准周净值!A72)</f>
        <v>45961</v>
      </c>
      <c r="B54" s="1">
        <f>IF(A54="","",VLOOKUP($A54,子基金及业绩基准周净值!$A:$AV,8))</f>
        <v>0</v>
      </c>
      <c r="C54" s="8" t="e">
        <f t="shared" si="3"/>
        <v>#DIV/0!</v>
      </c>
      <c r="D54" s="8" t="e">
        <f>IF(A54="","",C54-(子基金及业绩基准周净值!AH59/子基金及业绩基准周净值!AH58-1))</f>
        <v>#DIV/0!</v>
      </c>
      <c r="E54" s="12">
        <f>IF(A54="","",(MAX(B$3:B54)-B54)/MAX(B$3:B54))</f>
        <v>1</v>
      </c>
      <c r="F54" s="12">
        <f>IF(A54="","",MAX(E$4:E54))</f>
        <v>1</v>
      </c>
      <c r="G54" s="17" t="e">
        <f>IF(A54="","",MAX(FREQUENCY(IF($D$3:D54&lt;0,ROW($D$3:D54)),IF($D$3:D54&gt;=0,ROW($D$3:D54)))))</f>
        <v>#DIV/0!</v>
      </c>
      <c r="H54" s="14" t="str">
        <f t="shared" si="0"/>
        <v>是</v>
      </c>
      <c r="I54" s="14" t="str">
        <f t="shared" si="1"/>
        <v>是</v>
      </c>
      <c r="J54" s="15" t="e">
        <f t="shared" si="2"/>
        <v>#DIV/0!</v>
      </c>
    </row>
    <row r="55" spans="1:10">
      <c r="A55" s="7" t="str">
        <f>IF(子基金及业绩基准周净值!A73="","",子基金及业绩基准周净值!A73)</f>
        <v/>
      </c>
      <c r="B55" s="1" t="str">
        <f>IF(A55="","",VLOOKUP($A55,子基金及业绩基准周净值!$A:$AV,8))</f>
        <v/>
      </c>
      <c r="C55" s="8" t="str">
        <f t="shared" si="3"/>
        <v/>
      </c>
      <c r="D55" s="8" t="str">
        <f>IF(A55="","",C55-(子基金及业绩基准周净值!AH60/子基金及业绩基准周净值!AH59-1))</f>
        <v/>
      </c>
      <c r="E55" s="12" t="str">
        <f>IF(A55="","",(MAX(B$3:B55)-B55)/MAX(B$3:B55))</f>
        <v/>
      </c>
      <c r="F55" s="12" t="str">
        <f>IF(A55="","",MAX(E$4:E55))</f>
        <v/>
      </c>
      <c r="G55" s="17" t="str">
        <f>IF(A55="","",MAX(FREQUENCY(IF($D$3:D55&lt;0,ROW($D$3:D55)),IF($D$3:D55&gt;=0,ROW($D$3:D55)))))</f>
        <v/>
      </c>
      <c r="H55" s="14" t="str">
        <f t="shared" si="0"/>
        <v/>
      </c>
      <c r="I55" s="14" t="str">
        <f t="shared" si="1"/>
        <v/>
      </c>
      <c r="J55" s="15" t="str">
        <f t="shared" si="2"/>
        <v/>
      </c>
    </row>
    <row r="56" spans="1:10">
      <c r="A56" s="7" t="str">
        <f>IF(子基金及业绩基准周净值!A74="","",子基金及业绩基准周净值!A74)</f>
        <v/>
      </c>
      <c r="B56" s="1" t="str">
        <f>IF(A56="","",VLOOKUP($A56,子基金及业绩基准周净值!$A:$AV,8))</f>
        <v/>
      </c>
      <c r="C56" s="8" t="str">
        <f t="shared" si="3"/>
        <v/>
      </c>
      <c r="D56" s="8" t="str">
        <f>IF(A56="","",C56-(子基金及业绩基准周净值!AH61/子基金及业绩基准周净值!AH60-1))</f>
        <v/>
      </c>
      <c r="E56" s="12" t="str">
        <f>IF(A56="","",(MAX(B$3:B56)-B56)/MAX(B$3:B56))</f>
        <v/>
      </c>
      <c r="F56" s="12" t="str">
        <f>IF(A56="","",MAX(E$4:E56))</f>
        <v/>
      </c>
      <c r="G56" s="17" t="str">
        <f>IF(A56="","",MAX(FREQUENCY(IF($D$3:D56&lt;0,ROW($D$3:D56)),IF($D$3:D56&gt;=0,ROW($D$3:D56)))))</f>
        <v/>
      </c>
      <c r="H56" s="14" t="str">
        <f t="shared" si="0"/>
        <v/>
      </c>
      <c r="I56" s="14" t="str">
        <f t="shared" si="1"/>
        <v/>
      </c>
      <c r="J56" s="15" t="str">
        <f t="shared" si="2"/>
        <v/>
      </c>
    </row>
    <row r="57" spans="1:10">
      <c r="A57" s="7" t="str">
        <f>IF(子基金及业绩基准周净值!A75="","",子基金及业绩基准周净值!A75)</f>
        <v/>
      </c>
      <c r="B57" s="1" t="str">
        <f>IF(A57="","",VLOOKUP($A57,子基金及业绩基准周净值!$A:$AV,8))</f>
        <v/>
      </c>
      <c r="C57" s="8" t="str">
        <f t="shared" si="3"/>
        <v/>
      </c>
      <c r="D57" s="8" t="str">
        <f>IF(A57="","",C57-(子基金及业绩基准周净值!AH62/子基金及业绩基准周净值!AH61-1))</f>
        <v/>
      </c>
      <c r="E57" s="12" t="str">
        <f>IF(A57="","",(MAX(B$3:B57)-B57)/MAX(B$3:B57))</f>
        <v/>
      </c>
      <c r="F57" s="12" t="str">
        <f>IF(A57="","",MAX(E$4:E57))</f>
        <v/>
      </c>
      <c r="G57" s="17" t="str">
        <f>IF(A57="","",MAX(FREQUENCY(IF($D$3:D57&lt;0,ROW($D$3:D57)),IF($D$3:D57&gt;=0,ROW($D$3:D57)))))</f>
        <v/>
      </c>
      <c r="H57" s="14" t="str">
        <f t="shared" si="0"/>
        <v/>
      </c>
      <c r="I57" s="14" t="str">
        <f t="shared" si="1"/>
        <v/>
      </c>
      <c r="J57" s="15" t="str">
        <f t="shared" si="2"/>
        <v/>
      </c>
    </row>
    <row r="58" spans="1:10">
      <c r="A58" s="7" t="str">
        <f>IF(子基金及业绩基准周净值!A76="","",子基金及业绩基准周净值!A76)</f>
        <v/>
      </c>
      <c r="B58" s="1" t="str">
        <f>IF(A58="","",VLOOKUP($A58,子基金及业绩基准周净值!$A:$AV,8))</f>
        <v/>
      </c>
      <c r="C58" s="8" t="str">
        <f t="shared" si="3"/>
        <v/>
      </c>
      <c r="D58" s="8" t="str">
        <f>IF(A58="","",C58-(子基金及业绩基准周净值!AH63/子基金及业绩基准周净值!AH62-1))</f>
        <v/>
      </c>
      <c r="E58" s="12" t="str">
        <f>IF(A58="","",(MAX(B$3:B58)-B58)/MAX(B$3:B58))</f>
        <v/>
      </c>
      <c r="F58" s="12" t="str">
        <f>IF(A58="","",MAX(E$4:E58))</f>
        <v/>
      </c>
      <c r="G58" s="17" t="str">
        <f>IF(A58="","",MAX(FREQUENCY(IF($D$3:D58&lt;0,ROW($D$3:D58)),IF($D$3:D58&gt;=0,ROW($D$3:D58)))))</f>
        <v/>
      </c>
      <c r="H58" s="14" t="str">
        <f t="shared" si="0"/>
        <v/>
      </c>
      <c r="I58" s="14" t="str">
        <f t="shared" si="1"/>
        <v/>
      </c>
      <c r="J58" s="15" t="str">
        <f t="shared" si="2"/>
        <v/>
      </c>
    </row>
    <row r="59" spans="1:10">
      <c r="A59" s="7" t="str">
        <f>IF(子基金及业绩基准周净值!A77="","",子基金及业绩基准周净值!A77)</f>
        <v/>
      </c>
      <c r="B59" s="1" t="str">
        <f>IF(A59="","",VLOOKUP($A59,子基金及业绩基准周净值!$A:$AV,8))</f>
        <v/>
      </c>
      <c r="C59" s="8" t="str">
        <f t="shared" si="3"/>
        <v/>
      </c>
      <c r="D59" s="8" t="str">
        <f>IF(A59="","",C59-(子基金及业绩基准周净值!AH64/子基金及业绩基准周净值!AH63-1))</f>
        <v/>
      </c>
      <c r="E59" s="12" t="str">
        <f>IF(A59="","",(MAX(B$3:B59)-B59)/MAX(B$3:B59))</f>
        <v/>
      </c>
      <c r="F59" s="12" t="str">
        <f>IF(A59="","",MAX(E$4:E59))</f>
        <v/>
      </c>
      <c r="G59" s="17" t="str">
        <f>IF(A59="","",MAX(FREQUENCY(IF($D$3:D59&lt;0,ROW($D$3:D59)),IF($D$3:D59&gt;=0,ROW($D$3:D59)))))</f>
        <v/>
      </c>
      <c r="H59" s="14" t="str">
        <f t="shared" si="0"/>
        <v/>
      </c>
      <c r="I59" s="14" t="str">
        <f t="shared" si="1"/>
        <v/>
      </c>
      <c r="J59" s="15" t="str">
        <f t="shared" si="2"/>
        <v/>
      </c>
    </row>
    <row r="60" spans="1:10">
      <c r="A60" s="7" t="str">
        <f>IF(子基金及业绩基准周净值!A78="","",子基金及业绩基准周净值!A78)</f>
        <v/>
      </c>
      <c r="B60" s="1" t="str">
        <f>IF(A60="","",VLOOKUP($A60,子基金及业绩基准周净值!$A:$AV,8))</f>
        <v/>
      </c>
      <c r="C60" s="8" t="str">
        <f t="shared" si="3"/>
        <v/>
      </c>
      <c r="D60" s="8" t="str">
        <f>IF(A60="","",C60-(子基金及业绩基准周净值!AH65/子基金及业绩基准周净值!AH64-1))</f>
        <v/>
      </c>
      <c r="E60" s="12" t="str">
        <f>IF(A60="","",(MAX(B$3:B60)-B60)/MAX(B$3:B60))</f>
        <v/>
      </c>
      <c r="F60" s="12" t="str">
        <f>IF(A60="","",MAX(E$4:E60))</f>
        <v/>
      </c>
      <c r="G60" s="17" t="str">
        <f>IF(A60="","",MAX(FREQUENCY(IF($D$3:D60&lt;0,ROW($D$3:D60)),IF($D$3:D60&gt;=0,ROW($D$3:D60)))))</f>
        <v/>
      </c>
      <c r="H60" s="14" t="str">
        <f t="shared" si="0"/>
        <v/>
      </c>
      <c r="I60" s="14" t="str">
        <f t="shared" si="1"/>
        <v/>
      </c>
      <c r="J60" s="15" t="str">
        <f t="shared" si="2"/>
        <v/>
      </c>
    </row>
    <row r="61" spans="1:10">
      <c r="A61" s="7" t="str">
        <f>IF(子基金及业绩基准周净值!A79="","",子基金及业绩基准周净值!A79)</f>
        <v/>
      </c>
      <c r="B61" s="1" t="str">
        <f>IF(A61="","",VLOOKUP($A61,子基金及业绩基准周净值!$A:$AV,8))</f>
        <v/>
      </c>
      <c r="C61" s="8" t="str">
        <f t="shared" si="3"/>
        <v/>
      </c>
      <c r="D61" s="8" t="str">
        <f>IF(A61="","",C61-(子基金及业绩基准周净值!AH66/子基金及业绩基准周净值!AH65-1))</f>
        <v/>
      </c>
      <c r="E61" s="12" t="str">
        <f>IF(A61="","",(MAX(B$3:B61)-B61)/MAX(B$3:B61))</f>
        <v/>
      </c>
      <c r="F61" s="12" t="str">
        <f>IF(A61="","",MAX(E$4:E61))</f>
        <v/>
      </c>
      <c r="G61" s="17" t="str">
        <f>IF(A61="","",MAX(FREQUENCY(IF($D$3:D61&lt;0,ROW($D$3:D61)),IF($D$3:D61&gt;=0,ROW($D$3:D61)))))</f>
        <v/>
      </c>
      <c r="H61" s="14" t="str">
        <f t="shared" si="0"/>
        <v/>
      </c>
      <c r="I61" s="14" t="str">
        <f t="shared" si="1"/>
        <v/>
      </c>
      <c r="J61" s="15" t="str">
        <f t="shared" si="2"/>
        <v/>
      </c>
    </row>
    <row r="62" spans="1:10">
      <c r="A62" s="7" t="str">
        <f>IF(子基金及业绩基准周净值!A80="","",子基金及业绩基准周净值!A80)</f>
        <v/>
      </c>
      <c r="B62" s="1" t="str">
        <f>IF(A62="","",VLOOKUP($A62,子基金及业绩基准周净值!$A:$AV,8))</f>
        <v/>
      </c>
      <c r="C62" s="8" t="str">
        <f t="shared" si="3"/>
        <v/>
      </c>
      <c r="D62" s="8" t="str">
        <f>IF(A62="","",C62-(子基金及业绩基准周净值!AH67/子基金及业绩基准周净值!AH66-1))</f>
        <v/>
      </c>
      <c r="E62" s="12" t="str">
        <f>IF(A62="","",(MAX(B$3:B62)-B62)/MAX(B$3:B62))</f>
        <v/>
      </c>
      <c r="F62" s="12" t="str">
        <f>IF(A62="","",MAX(E$4:E62))</f>
        <v/>
      </c>
      <c r="G62" s="17" t="str">
        <f>IF(A62="","",MAX(FREQUENCY(IF($D$3:D62&lt;0,ROW($D$3:D62)),IF($D$3:D62&gt;=0,ROW($D$3:D62)))))</f>
        <v/>
      </c>
      <c r="H62" s="14" t="str">
        <f t="shared" si="0"/>
        <v/>
      </c>
      <c r="I62" s="14" t="str">
        <f t="shared" si="1"/>
        <v/>
      </c>
      <c r="J62" s="15" t="str">
        <f t="shared" si="2"/>
        <v/>
      </c>
    </row>
    <row r="63" spans="1:10">
      <c r="A63" s="7" t="str">
        <f>IF(子基金及业绩基准周净值!A81="","",子基金及业绩基准周净值!A81)</f>
        <v/>
      </c>
      <c r="B63" s="1" t="str">
        <f>IF(A63="","",VLOOKUP($A63,子基金及业绩基准周净值!$A:$AV,8))</f>
        <v/>
      </c>
      <c r="C63" s="8" t="str">
        <f t="shared" si="3"/>
        <v/>
      </c>
      <c r="D63" s="8" t="str">
        <f>IF(A63="","",C63-(子基金及业绩基准周净值!AH68/子基金及业绩基准周净值!AH67-1))</f>
        <v/>
      </c>
      <c r="E63" s="12" t="str">
        <f>IF(A63="","",(MAX(B$3:B63)-B63)/MAX(B$3:B63))</f>
        <v/>
      </c>
      <c r="F63" s="12" t="str">
        <f>IF(A63="","",MAX(E$4:E63))</f>
        <v/>
      </c>
      <c r="G63" s="17" t="str">
        <f>IF(A63="","",MAX(FREQUENCY(IF($D$3:D63&lt;0,ROW($D$3:D63)),IF($D$3:D63&gt;=0,ROW($D$3:D63)))))</f>
        <v/>
      </c>
      <c r="H63" s="14" t="str">
        <f t="shared" si="0"/>
        <v/>
      </c>
      <c r="I63" s="14" t="str">
        <f t="shared" si="1"/>
        <v/>
      </c>
      <c r="J63" s="15" t="str">
        <f t="shared" si="2"/>
        <v/>
      </c>
    </row>
    <row r="64" spans="1:10">
      <c r="A64" s="7" t="str">
        <f>IF(子基金及业绩基准周净值!A82="","",子基金及业绩基准周净值!A82)</f>
        <v/>
      </c>
      <c r="B64" s="1" t="str">
        <f>IF(A64="","",VLOOKUP($A64,子基金及业绩基准周净值!$A:$AV,8))</f>
        <v/>
      </c>
      <c r="C64" s="8" t="str">
        <f t="shared" si="3"/>
        <v/>
      </c>
      <c r="D64" s="8" t="str">
        <f>IF(A64="","",C64-(子基金及业绩基准周净值!AH69/子基金及业绩基准周净值!AH68-1))</f>
        <v/>
      </c>
      <c r="E64" s="12" t="str">
        <f>IF(A64="","",(MAX(B$3:B64)-B64)/MAX(B$3:B64))</f>
        <v/>
      </c>
      <c r="F64" s="12" t="str">
        <f>IF(A64="","",MAX(E$4:E64))</f>
        <v/>
      </c>
      <c r="G64" s="17" t="str">
        <f>IF(A64="","",MAX(FREQUENCY(IF($D$3:D64&lt;0,ROW($D$3:D64)),IF($D$3:D64&gt;=0,ROW($D$3:D64)))))</f>
        <v/>
      </c>
      <c r="H64" s="14" t="str">
        <f t="shared" si="0"/>
        <v/>
      </c>
      <c r="I64" s="14" t="str">
        <f t="shared" si="1"/>
        <v/>
      </c>
      <c r="J64" s="15" t="str">
        <f t="shared" si="2"/>
        <v/>
      </c>
    </row>
    <row r="65" spans="1:10">
      <c r="A65" s="7" t="str">
        <f>IF(子基金及业绩基准周净值!A83="","",子基金及业绩基准周净值!A83)</f>
        <v/>
      </c>
      <c r="B65" s="1" t="str">
        <f>IF(A65="","",VLOOKUP($A65,子基金及业绩基准周净值!$A:$AV,8))</f>
        <v/>
      </c>
      <c r="C65" s="8" t="str">
        <f t="shared" si="3"/>
        <v/>
      </c>
      <c r="D65" s="8" t="str">
        <f>IF(A65="","",C65-(子基金及业绩基准周净值!AH70/子基金及业绩基准周净值!AH69-1))</f>
        <v/>
      </c>
      <c r="E65" s="12" t="str">
        <f>IF(A65="","",(MAX(B$3:B65)-B65)/MAX(B$3:B65))</f>
        <v/>
      </c>
      <c r="F65" s="12" t="str">
        <f>IF(A65="","",MAX(E$4:E65))</f>
        <v/>
      </c>
      <c r="G65" s="17" t="str">
        <f>IF(A65="","",MAX(FREQUENCY(IF($D$3:D65&lt;0,ROW($D$3:D65)),IF($D$3:D65&gt;=0,ROW($D$3:D65)))))</f>
        <v/>
      </c>
      <c r="H65" s="14" t="str">
        <f t="shared" si="0"/>
        <v/>
      </c>
      <c r="I65" s="14" t="str">
        <f t="shared" si="1"/>
        <v/>
      </c>
      <c r="J65" s="15" t="str">
        <f t="shared" si="2"/>
        <v/>
      </c>
    </row>
    <row r="66" spans="1:10">
      <c r="A66" s="7" t="str">
        <f>IF(子基金及业绩基准周净值!A84="","",子基金及业绩基准周净值!A84)</f>
        <v/>
      </c>
      <c r="B66" s="1" t="str">
        <f>IF(A66="","",VLOOKUP($A66,子基金及业绩基准周净值!$A:$AV,8))</f>
        <v/>
      </c>
      <c r="C66" s="8" t="str">
        <f t="shared" si="3"/>
        <v/>
      </c>
      <c r="D66" s="8" t="str">
        <f>IF(A66="","",C66-(子基金及业绩基准周净值!AH71/子基金及业绩基准周净值!AH70-1))</f>
        <v/>
      </c>
      <c r="E66" s="12" t="str">
        <f>IF(A66="","",(MAX(B$3:B66)-B66)/MAX(B$3:B66))</f>
        <v/>
      </c>
      <c r="F66" s="12" t="str">
        <f>IF(A66="","",MAX(E$4:E66))</f>
        <v/>
      </c>
      <c r="G66" s="17" t="str">
        <f>IF(A66="","",MAX(FREQUENCY(IF($D$3:D66&lt;0,ROW($D$3:D66)),IF($D$3:D66&gt;=0,ROW($D$3:D66)))))</f>
        <v/>
      </c>
      <c r="H66" s="14" t="str">
        <f t="shared" si="0"/>
        <v/>
      </c>
      <c r="I66" s="14" t="str">
        <f t="shared" si="1"/>
        <v/>
      </c>
      <c r="J66" s="15" t="str">
        <f t="shared" si="2"/>
        <v/>
      </c>
    </row>
    <row r="67" spans="1:10">
      <c r="A67" s="7" t="str">
        <f>IF(子基金及业绩基准周净值!A85="","",子基金及业绩基准周净值!A85)</f>
        <v/>
      </c>
      <c r="B67" s="1" t="str">
        <f>IF(A67="","",VLOOKUP($A67,子基金及业绩基准周净值!$A:$AV,8))</f>
        <v/>
      </c>
      <c r="C67" s="8" t="str">
        <f t="shared" si="3"/>
        <v/>
      </c>
      <c r="D67" s="8" t="str">
        <f>IF(A67="","",C67-(子基金及业绩基准周净值!AH72/子基金及业绩基准周净值!AH71-1))</f>
        <v/>
      </c>
      <c r="E67" s="12" t="str">
        <f>IF(A67="","",(MAX(B$3:B67)-B67)/MAX(B$3:B67))</f>
        <v/>
      </c>
      <c r="F67" s="12" t="str">
        <f>IF(A67="","",MAX(E$4:E67))</f>
        <v/>
      </c>
      <c r="G67" s="17" t="str">
        <f>IF(A67="","",MAX(FREQUENCY(IF($D$3:D67&lt;0,ROW($D$3:D67)),IF($D$3:D67&gt;=0,ROW($D$3:D67)))))</f>
        <v/>
      </c>
      <c r="H67" s="14" t="str">
        <f t="shared" si="0"/>
        <v/>
      </c>
      <c r="I67" s="14" t="str">
        <f t="shared" si="1"/>
        <v/>
      </c>
      <c r="J67" s="15" t="str">
        <f t="shared" si="2"/>
        <v/>
      </c>
    </row>
    <row r="68" spans="1:10">
      <c r="A68" s="7" t="str">
        <f>IF(子基金及业绩基准周净值!A86="","",子基金及业绩基准周净值!A86)</f>
        <v/>
      </c>
      <c r="B68" s="1" t="str">
        <f>IF(A68="","",VLOOKUP($A68,子基金及业绩基准周净值!$A:$AV,8))</f>
        <v/>
      </c>
      <c r="C68" s="8" t="str">
        <f t="shared" si="3"/>
        <v/>
      </c>
      <c r="D68" s="8" t="str">
        <f>IF(A68="","",C68-(子基金及业绩基准周净值!AH73/子基金及业绩基准周净值!AH72-1))</f>
        <v/>
      </c>
      <c r="E68" s="12" t="str">
        <f>IF(A68="","",(MAX(B$3:B68)-B68)/MAX(B$3:B68))</f>
        <v/>
      </c>
      <c r="F68" s="12" t="str">
        <f>IF(A68="","",MAX(E$4:E68))</f>
        <v/>
      </c>
      <c r="G68" s="17" t="str">
        <f>IF(A68="","",MAX(FREQUENCY(IF($D$3:D68&lt;0,ROW($D$3:D68)),IF($D$3:D68&gt;=0,ROW($D$3:D68)))))</f>
        <v/>
      </c>
      <c r="H68" s="14" t="str">
        <f t="shared" si="0"/>
        <v/>
      </c>
      <c r="I68" s="14" t="str">
        <f t="shared" si="1"/>
        <v/>
      </c>
      <c r="J68" s="15" t="str">
        <f t="shared" si="2"/>
        <v/>
      </c>
    </row>
    <row r="69" spans="1:10">
      <c r="A69" s="7" t="str">
        <f>IF(子基金及业绩基准周净值!A87="","",子基金及业绩基准周净值!A87)</f>
        <v/>
      </c>
      <c r="B69" s="1" t="str">
        <f>IF(A69="","",VLOOKUP($A69,子基金及业绩基准周净值!$A:$AV,8))</f>
        <v/>
      </c>
      <c r="C69" s="8" t="str">
        <f t="shared" si="3"/>
        <v/>
      </c>
      <c r="D69" s="8" t="str">
        <f>IF(A69="","",C69-(子基金及业绩基准周净值!AH74/子基金及业绩基准周净值!AH73-1))</f>
        <v/>
      </c>
      <c r="E69" s="12" t="str">
        <f>IF(A69="","",(MAX(B$3:B69)-B69)/MAX(B$3:B69))</f>
        <v/>
      </c>
      <c r="F69" s="12" t="str">
        <f>IF(A69="","",MAX(E$4:E69))</f>
        <v/>
      </c>
      <c r="G69" s="17" t="str">
        <f>IF(A69="","",MAX(FREQUENCY(IF($D$3:D69&lt;0,ROW($D$3:D69)),IF($D$3:D69&gt;=0,ROW($D$3:D69)))))</f>
        <v/>
      </c>
      <c r="H69" s="14" t="str">
        <f t="shared" ref="H69:H127" si="8">IF(A69="","",IF(E69&lt;3%,"否","是"))</f>
        <v/>
      </c>
      <c r="I69" s="14" t="str">
        <f t="shared" ref="I69:I127" si="9">IF(A69="","",IF(F69&gt;5%,"是","否"))</f>
        <v/>
      </c>
      <c r="J69" s="15" t="str">
        <f t="shared" ref="J69:J127" si="10">IF(A69="","",IF(G69&gt;=4,"是","否"))</f>
        <v/>
      </c>
    </row>
    <row r="70" spans="1:10">
      <c r="A70" s="7" t="str">
        <f>IF(子基金及业绩基准周净值!A88="","",子基金及业绩基准周净值!A88)</f>
        <v/>
      </c>
      <c r="B70" s="1" t="str">
        <f>IF(A70="","",VLOOKUP($A70,子基金及业绩基准周净值!$A:$AV,8))</f>
        <v/>
      </c>
      <c r="C70" s="8" t="str">
        <f t="shared" ref="C70:C127" si="11">IF(A70="","",(B70-B69)/B69)</f>
        <v/>
      </c>
      <c r="D70" s="8" t="str">
        <f>IF(A70="","",C70-(子基金及业绩基准周净值!AH75/子基金及业绩基准周净值!AH74-1))</f>
        <v/>
      </c>
      <c r="E70" s="12" t="str">
        <f>IF(A70="","",(MAX(B$3:B70)-B70)/MAX(B$3:B70))</f>
        <v/>
      </c>
      <c r="F70" s="12" t="str">
        <f>IF(A70="","",MAX(E$4:E70))</f>
        <v/>
      </c>
      <c r="G70" s="17" t="str">
        <f>IF(A70="","",MAX(FREQUENCY(IF($D$3:D70&lt;0,ROW($D$3:D70)),IF($D$3:D70&gt;=0,ROW($D$3:D70)))))</f>
        <v/>
      </c>
      <c r="H70" s="14" t="str">
        <f t="shared" si="8"/>
        <v/>
      </c>
      <c r="I70" s="14" t="str">
        <f t="shared" si="9"/>
        <v/>
      </c>
      <c r="J70" s="15" t="str">
        <f t="shared" si="10"/>
        <v/>
      </c>
    </row>
    <row r="71" spans="1:10">
      <c r="A71" s="7" t="str">
        <f>IF(子基金及业绩基准周净值!A89="","",子基金及业绩基准周净值!A89)</f>
        <v/>
      </c>
      <c r="B71" s="1" t="str">
        <f>IF(A71="","",VLOOKUP($A71,子基金及业绩基准周净值!$A:$AV,8))</f>
        <v/>
      </c>
      <c r="C71" s="8" t="str">
        <f t="shared" si="11"/>
        <v/>
      </c>
      <c r="D71" s="8" t="str">
        <f>IF(A71="","",C71-(子基金及业绩基准周净值!AH76/子基金及业绩基准周净值!AH75-1))</f>
        <v/>
      </c>
      <c r="E71" s="12" t="str">
        <f>IF(A71="","",(MAX(B$3:B71)-B71)/MAX(B$3:B71))</f>
        <v/>
      </c>
      <c r="F71" s="12" t="str">
        <f>IF(A71="","",MAX(E$4:E71))</f>
        <v/>
      </c>
      <c r="G71" s="17" t="str">
        <f>IF(A71="","",MAX(FREQUENCY(IF($D$3:D71&lt;0,ROW($D$3:D71)),IF($D$3:D71&gt;=0,ROW($D$3:D71)))))</f>
        <v/>
      </c>
      <c r="H71" s="14" t="str">
        <f t="shared" si="8"/>
        <v/>
      </c>
      <c r="I71" s="14" t="str">
        <f t="shared" si="9"/>
        <v/>
      </c>
      <c r="J71" s="15" t="str">
        <f t="shared" si="10"/>
        <v/>
      </c>
    </row>
    <row r="72" spans="1:10">
      <c r="A72" s="7" t="str">
        <f>IF(子基金及业绩基准周净值!A90="","",子基金及业绩基准周净值!A90)</f>
        <v/>
      </c>
      <c r="B72" s="1" t="str">
        <f>IF(A72="","",VLOOKUP($A72,子基金及业绩基准周净值!$A:$AV,8))</f>
        <v/>
      </c>
      <c r="C72" s="8" t="str">
        <f t="shared" si="11"/>
        <v/>
      </c>
      <c r="D72" s="8" t="str">
        <f>IF(A72="","",C72-(子基金及业绩基准周净值!AH77/子基金及业绩基准周净值!AH76-1))</f>
        <v/>
      </c>
      <c r="E72" s="12" t="str">
        <f>IF(A72="","",(MAX(B$3:B72)-B72)/MAX(B$3:B72))</f>
        <v/>
      </c>
      <c r="F72" s="12" t="str">
        <f>IF(A72="","",MAX(E$4:E72))</f>
        <v/>
      </c>
      <c r="G72" s="17" t="str">
        <f>IF(A72="","",MAX(FREQUENCY(IF($D$3:D72&lt;0,ROW($D$3:D72)),IF($D$3:D72&gt;=0,ROW($D$3:D72)))))</f>
        <v/>
      </c>
      <c r="H72" s="14" t="str">
        <f t="shared" si="8"/>
        <v/>
      </c>
      <c r="I72" s="14" t="str">
        <f t="shared" si="9"/>
        <v/>
      </c>
      <c r="J72" s="15" t="str">
        <f t="shared" si="10"/>
        <v/>
      </c>
    </row>
    <row r="73" spans="1:10">
      <c r="A73" s="7" t="str">
        <f>IF(子基金及业绩基准周净值!A91="","",子基金及业绩基准周净值!A91)</f>
        <v/>
      </c>
      <c r="B73" s="1" t="str">
        <f>IF(A73="","",VLOOKUP($A73,子基金及业绩基准周净值!$A:$AV,8))</f>
        <v/>
      </c>
      <c r="C73" s="8" t="str">
        <f t="shared" si="11"/>
        <v/>
      </c>
      <c r="D73" s="8" t="str">
        <f>IF(A73="","",C73-(子基金及业绩基准周净值!AH78/子基金及业绩基准周净值!AH77-1))</f>
        <v/>
      </c>
      <c r="E73" s="12" t="str">
        <f>IF(A73="","",(MAX(B$3:B73)-B73)/MAX(B$3:B73))</f>
        <v/>
      </c>
      <c r="F73" s="12" t="str">
        <f>IF(A73="","",MAX(E$4:E73))</f>
        <v/>
      </c>
      <c r="G73" s="17" t="str">
        <f>IF(A73="","",MAX(FREQUENCY(IF($D$3:D73&lt;0,ROW($D$3:D73)),IF($D$3:D73&gt;=0,ROW($D$3:D73)))))</f>
        <v/>
      </c>
      <c r="H73" s="14" t="str">
        <f t="shared" si="8"/>
        <v/>
      </c>
      <c r="I73" s="14" t="str">
        <f t="shared" si="9"/>
        <v/>
      </c>
      <c r="J73" s="15" t="str">
        <f t="shared" si="10"/>
        <v/>
      </c>
    </row>
    <row r="74" spans="1:10">
      <c r="A74" s="7" t="str">
        <f>IF(子基金及业绩基准周净值!A92="","",子基金及业绩基准周净值!A92)</f>
        <v/>
      </c>
      <c r="B74" s="1" t="str">
        <f>IF(A74="","",VLOOKUP($A74,子基金及业绩基准周净值!$A:$AV,8))</f>
        <v/>
      </c>
      <c r="C74" s="8" t="str">
        <f t="shared" si="11"/>
        <v/>
      </c>
      <c r="D74" s="8" t="str">
        <f>IF(A74="","",C74-(子基金及业绩基准周净值!AH79/子基金及业绩基准周净值!AH78-1))</f>
        <v/>
      </c>
      <c r="E74" s="12" t="str">
        <f>IF(A74="","",(MAX(B$3:B74)-B74)/MAX(B$3:B74))</f>
        <v/>
      </c>
      <c r="F74" s="12" t="str">
        <f>IF(A74="","",MAX(E$4:E74))</f>
        <v/>
      </c>
      <c r="G74" s="17" t="str">
        <f>IF(A74="","",MAX(FREQUENCY(IF($D$3:D74&lt;0,ROW($D$3:D74)),IF($D$3:D74&gt;=0,ROW($D$3:D74)))))</f>
        <v/>
      </c>
      <c r="H74" s="14" t="str">
        <f t="shared" si="8"/>
        <v/>
      </c>
      <c r="I74" s="14" t="str">
        <f t="shared" si="9"/>
        <v/>
      </c>
      <c r="J74" s="15" t="str">
        <f t="shared" si="10"/>
        <v/>
      </c>
    </row>
    <row r="75" spans="1:10">
      <c r="A75" s="7" t="str">
        <f>IF(子基金及业绩基准周净值!A93="","",子基金及业绩基准周净值!A93)</f>
        <v/>
      </c>
      <c r="B75" s="1" t="str">
        <f>IF(A75="","",VLOOKUP($A75,子基金及业绩基准周净值!$A:$AV,8))</f>
        <v/>
      </c>
      <c r="C75" s="8" t="str">
        <f t="shared" si="11"/>
        <v/>
      </c>
      <c r="D75" s="8" t="str">
        <f>IF(A75="","",C75-(子基金及业绩基准周净值!AH80/子基金及业绩基准周净值!AH79-1))</f>
        <v/>
      </c>
      <c r="E75" s="12" t="str">
        <f>IF(A75="","",(MAX(B$3:B75)-B75)/MAX(B$3:B75))</f>
        <v/>
      </c>
      <c r="F75" s="12" t="str">
        <f>IF(A75="","",MAX(E$4:E75))</f>
        <v/>
      </c>
      <c r="G75" s="17" t="str">
        <f>IF(A75="","",MAX(FREQUENCY(IF($D$3:D75&lt;0,ROW($D$3:D75)),IF($D$3:D75&gt;=0,ROW($D$3:D75)))))</f>
        <v/>
      </c>
      <c r="H75" s="14" t="str">
        <f t="shared" si="8"/>
        <v/>
      </c>
      <c r="I75" s="14" t="str">
        <f t="shared" si="9"/>
        <v/>
      </c>
      <c r="J75" s="15" t="str">
        <f t="shared" si="10"/>
        <v/>
      </c>
    </row>
    <row r="76" spans="1:10">
      <c r="A76" s="7" t="str">
        <f>IF(子基金及业绩基准周净值!A94="","",子基金及业绩基准周净值!A94)</f>
        <v/>
      </c>
      <c r="B76" s="1" t="str">
        <f>IF(A76="","",VLOOKUP($A76,子基金及业绩基准周净值!$A:$AV,8))</f>
        <v/>
      </c>
      <c r="C76" s="8" t="str">
        <f t="shared" si="11"/>
        <v/>
      </c>
      <c r="D76" s="8" t="str">
        <f>IF(A76="","",C76-(子基金及业绩基准周净值!AH81/子基金及业绩基准周净值!AH80-1))</f>
        <v/>
      </c>
      <c r="E76" s="12" t="str">
        <f>IF(A76="","",(MAX(B$3:B76)-B76)/MAX(B$3:B76))</f>
        <v/>
      </c>
      <c r="F76" s="12" t="str">
        <f>IF(A76="","",MAX(E$4:E76))</f>
        <v/>
      </c>
      <c r="G76" s="17" t="str">
        <f>IF(A76="","",MAX(FREQUENCY(IF($D$3:D76&lt;0,ROW($D$3:D76)),IF($D$3:D76&gt;=0,ROW($D$3:D76)))))</f>
        <v/>
      </c>
      <c r="H76" s="14" t="str">
        <f t="shared" si="8"/>
        <v/>
      </c>
      <c r="I76" s="14" t="str">
        <f t="shared" si="9"/>
        <v/>
      </c>
      <c r="J76" s="15" t="str">
        <f t="shared" si="10"/>
        <v/>
      </c>
    </row>
    <row r="77" spans="1:10">
      <c r="A77" s="7" t="str">
        <f>IF(子基金及业绩基准周净值!A95="","",子基金及业绩基准周净值!A95)</f>
        <v/>
      </c>
      <c r="B77" s="1" t="str">
        <f>IF(A77="","",VLOOKUP($A77,子基金及业绩基准周净值!$A:$AV,8))</f>
        <v/>
      </c>
      <c r="C77" s="8" t="str">
        <f t="shared" si="11"/>
        <v/>
      </c>
      <c r="D77" s="8" t="str">
        <f>IF(A77="","",C77-(子基金及业绩基准周净值!AH82/子基金及业绩基准周净值!AH81-1))</f>
        <v/>
      </c>
      <c r="E77" s="12" t="str">
        <f>IF(A77="","",(MAX(B$3:B77)-B77)/MAX(B$3:B77))</f>
        <v/>
      </c>
      <c r="F77" s="12" t="str">
        <f>IF(A77="","",MAX(E$4:E77))</f>
        <v/>
      </c>
      <c r="G77" s="17" t="str">
        <f>IF(A77="","",MAX(FREQUENCY(IF($D$3:D77&lt;0,ROW($D$3:D77)),IF($D$3:D77&gt;=0,ROW($D$3:D77)))))</f>
        <v/>
      </c>
      <c r="H77" s="14" t="str">
        <f t="shared" si="8"/>
        <v/>
      </c>
      <c r="I77" s="14" t="str">
        <f t="shared" si="9"/>
        <v/>
      </c>
      <c r="J77" s="15" t="str">
        <f t="shared" si="10"/>
        <v/>
      </c>
    </row>
    <row r="78" spans="1:10">
      <c r="A78" s="7" t="str">
        <f>IF(子基金及业绩基准周净值!A96="","",子基金及业绩基准周净值!A96)</f>
        <v/>
      </c>
      <c r="B78" s="1" t="str">
        <f>IF(A78="","",VLOOKUP($A78,子基金及业绩基准周净值!$A:$AV,8))</f>
        <v/>
      </c>
      <c r="C78" s="8" t="str">
        <f t="shared" si="11"/>
        <v/>
      </c>
      <c r="D78" s="8" t="str">
        <f>IF(A78="","",C78-(子基金及业绩基准周净值!AH83/子基金及业绩基准周净值!AH82-1))</f>
        <v/>
      </c>
      <c r="E78" s="12" t="str">
        <f>IF(A78="","",(MAX(B$3:B78)-B78)/MAX(B$3:B78))</f>
        <v/>
      </c>
      <c r="F78" s="12" t="str">
        <f>IF(A78="","",MAX(E$4:E78))</f>
        <v/>
      </c>
      <c r="G78" s="17" t="str">
        <f>IF(A78="","",MAX(FREQUENCY(IF($D$3:D78&lt;0,ROW($D$3:D78)),IF($D$3:D78&gt;=0,ROW($D$3:D78)))))</f>
        <v/>
      </c>
      <c r="H78" s="14" t="str">
        <f t="shared" si="8"/>
        <v/>
      </c>
      <c r="I78" s="14" t="str">
        <f t="shared" si="9"/>
        <v/>
      </c>
      <c r="J78" s="15" t="str">
        <f t="shared" si="10"/>
        <v/>
      </c>
    </row>
    <row r="79" spans="1:10">
      <c r="A79" s="7" t="str">
        <f>IF(子基金及业绩基准周净值!A97="","",子基金及业绩基准周净值!A97)</f>
        <v/>
      </c>
      <c r="B79" s="1" t="str">
        <f>IF(A79="","",VLOOKUP($A79,子基金及业绩基准周净值!$A:$AV,8))</f>
        <v/>
      </c>
      <c r="C79" s="8" t="str">
        <f t="shared" si="11"/>
        <v/>
      </c>
      <c r="D79" s="8" t="str">
        <f>IF(A79="","",C79-(子基金及业绩基准周净值!AH84/子基金及业绩基准周净值!AH83-1))</f>
        <v/>
      </c>
      <c r="E79" s="12" t="str">
        <f>IF(A79="","",(MAX(B$3:B79)-B79)/MAX(B$3:B79))</f>
        <v/>
      </c>
      <c r="F79" s="12" t="str">
        <f>IF(A79="","",MAX(E$4:E79))</f>
        <v/>
      </c>
      <c r="G79" s="17" t="str">
        <f>IF(A79="","",MAX(FREQUENCY(IF($D$3:D79&lt;0,ROW($D$3:D79)),IF($D$3:D79&gt;=0,ROW($D$3:D79)))))</f>
        <v/>
      </c>
      <c r="H79" s="14" t="str">
        <f t="shared" si="8"/>
        <v/>
      </c>
      <c r="I79" s="14" t="str">
        <f t="shared" si="9"/>
        <v/>
      </c>
      <c r="J79" s="15" t="str">
        <f t="shared" si="10"/>
        <v/>
      </c>
    </row>
    <row r="80" spans="1:10">
      <c r="A80" s="7" t="str">
        <f>IF(子基金及业绩基准周净值!A98="","",子基金及业绩基准周净值!A98)</f>
        <v/>
      </c>
      <c r="B80" s="1" t="str">
        <f>IF(A80="","",VLOOKUP($A80,子基金及业绩基准周净值!$A:$AV,8))</f>
        <v/>
      </c>
      <c r="C80" s="8" t="str">
        <f t="shared" si="11"/>
        <v/>
      </c>
      <c r="D80" s="8" t="str">
        <f>IF(A80="","",C80-(子基金及业绩基准周净值!AH85/子基金及业绩基准周净值!AH84-1))</f>
        <v/>
      </c>
      <c r="E80" s="12" t="str">
        <f>IF(A80="","",(MAX(B$3:B80)-B80)/MAX(B$3:B80))</f>
        <v/>
      </c>
      <c r="F80" s="12" t="str">
        <f>IF(A80="","",MAX(E$4:E80))</f>
        <v/>
      </c>
      <c r="G80" s="17" t="str">
        <f>IF(A80="","",MAX(FREQUENCY(IF($D$3:D80&lt;0,ROW($D$3:D80)),IF($D$3:D80&gt;=0,ROW($D$3:D80)))))</f>
        <v/>
      </c>
      <c r="H80" s="14" t="str">
        <f t="shared" si="8"/>
        <v/>
      </c>
      <c r="I80" s="14" t="str">
        <f t="shared" si="9"/>
        <v/>
      </c>
      <c r="J80" s="15" t="str">
        <f t="shared" si="10"/>
        <v/>
      </c>
    </row>
    <row r="81" spans="1:10">
      <c r="A81" s="7" t="str">
        <f>IF(子基金及业绩基准周净值!A99="","",子基金及业绩基准周净值!A99)</f>
        <v/>
      </c>
      <c r="B81" s="1" t="str">
        <f>IF(A81="","",VLOOKUP($A81,子基金及业绩基准周净值!$A:$AV,8))</f>
        <v/>
      </c>
      <c r="C81" s="8" t="str">
        <f t="shared" si="11"/>
        <v/>
      </c>
      <c r="D81" s="8" t="str">
        <f>IF(A81="","",C81-(子基金及业绩基准周净值!AH86/子基金及业绩基准周净值!AH85-1))</f>
        <v/>
      </c>
      <c r="E81" s="12" t="str">
        <f>IF(A81="","",(MAX(B$3:B81)-B81)/MAX(B$3:B81))</f>
        <v/>
      </c>
      <c r="F81" s="12" t="str">
        <f>IF(A81="","",MAX(E$4:E81))</f>
        <v/>
      </c>
      <c r="G81" s="17" t="str">
        <f>IF(A81="","",MAX(FREQUENCY(IF($D$3:D81&lt;0,ROW($D$3:D81)),IF($D$3:D81&gt;=0,ROW($D$3:D81)))))</f>
        <v/>
      </c>
      <c r="H81" s="14" t="str">
        <f t="shared" si="8"/>
        <v/>
      </c>
      <c r="I81" s="14" t="str">
        <f t="shared" si="9"/>
        <v/>
      </c>
      <c r="J81" s="15" t="str">
        <f t="shared" si="10"/>
        <v/>
      </c>
    </row>
    <row r="82" spans="1:10">
      <c r="A82" s="7" t="str">
        <f>IF(子基金及业绩基准周净值!A100="","",子基金及业绩基准周净值!A100)</f>
        <v/>
      </c>
      <c r="B82" s="1" t="str">
        <f>IF(A82="","",VLOOKUP($A82,子基金及业绩基准周净值!$A:$AV,8))</f>
        <v/>
      </c>
      <c r="C82" s="8" t="str">
        <f t="shared" si="11"/>
        <v/>
      </c>
      <c r="D82" s="8" t="str">
        <f>IF(A82="","",C82-(子基金及业绩基准周净值!AH87/子基金及业绩基准周净值!AH86-1))</f>
        <v/>
      </c>
      <c r="E82" s="12" t="str">
        <f>IF(A82="","",(MAX(B$3:B82)-B82)/MAX(B$3:B82))</f>
        <v/>
      </c>
      <c r="F82" s="12" t="str">
        <f>IF(A82="","",MAX(E$4:E82))</f>
        <v/>
      </c>
      <c r="G82" s="17" t="str">
        <f>IF(A82="","",MAX(FREQUENCY(IF($D$3:D82&lt;0,ROW($D$3:D82)),IF($D$3:D82&gt;=0,ROW($D$3:D82)))))</f>
        <v/>
      </c>
      <c r="H82" s="14" t="str">
        <f t="shared" si="8"/>
        <v/>
      </c>
      <c r="I82" s="14" t="str">
        <f t="shared" si="9"/>
        <v/>
      </c>
      <c r="J82" s="15" t="str">
        <f t="shared" si="10"/>
        <v/>
      </c>
    </row>
    <row r="83" spans="1:10">
      <c r="A83" s="7" t="str">
        <f>IF(子基金及业绩基准周净值!A101="","",子基金及业绩基准周净值!A101)</f>
        <v/>
      </c>
      <c r="B83" s="1" t="str">
        <f>IF(A83="","",VLOOKUP($A83,子基金及业绩基准周净值!$A:$AV,8))</f>
        <v/>
      </c>
      <c r="C83" s="8" t="str">
        <f t="shared" si="11"/>
        <v/>
      </c>
      <c r="D83" s="8" t="str">
        <f>IF(A83="","",C83-(子基金及业绩基准周净值!AH88/子基金及业绩基准周净值!AH87-1))</f>
        <v/>
      </c>
      <c r="E83" s="12" t="str">
        <f>IF(A83="","",(MAX(B$3:B83)-B83)/MAX(B$3:B83))</f>
        <v/>
      </c>
      <c r="F83" s="12" t="str">
        <f>IF(A83="","",MAX(E$4:E83))</f>
        <v/>
      </c>
      <c r="G83" s="17" t="str">
        <f>IF(A83="","",MAX(FREQUENCY(IF($D$3:D83&lt;0,ROW($D$3:D83)),IF($D$3:D83&gt;=0,ROW($D$3:D83)))))</f>
        <v/>
      </c>
      <c r="H83" s="14" t="str">
        <f t="shared" si="8"/>
        <v/>
      </c>
      <c r="I83" s="14" t="str">
        <f t="shared" si="9"/>
        <v/>
      </c>
      <c r="J83" s="15" t="str">
        <f t="shared" si="10"/>
        <v/>
      </c>
    </row>
    <row r="84" spans="1:10">
      <c r="A84" s="7" t="str">
        <f>IF(子基金及业绩基准周净值!A102="","",子基金及业绩基准周净值!A102)</f>
        <v/>
      </c>
      <c r="B84" s="1" t="str">
        <f>IF(A84="","",VLOOKUP($A84,子基金及业绩基准周净值!$A:$AV,8))</f>
        <v/>
      </c>
      <c r="C84" s="8" t="str">
        <f t="shared" si="11"/>
        <v/>
      </c>
      <c r="D84" s="8" t="str">
        <f>IF(A84="","",C84-(子基金及业绩基准周净值!AH89/子基金及业绩基准周净值!AH88-1))</f>
        <v/>
      </c>
      <c r="E84" s="12" t="str">
        <f>IF(A84="","",(MAX(B$3:B84)-B84)/MAX(B$3:B84))</f>
        <v/>
      </c>
      <c r="F84" s="12" t="str">
        <f>IF(A84="","",MAX(E$4:E84))</f>
        <v/>
      </c>
      <c r="G84" s="17" t="str">
        <f>IF(A84="","",MAX(FREQUENCY(IF($D$3:D84&lt;0,ROW($D$3:D84)),IF($D$3:D84&gt;=0,ROW($D$3:D84)))))</f>
        <v/>
      </c>
      <c r="H84" s="14" t="str">
        <f t="shared" si="8"/>
        <v/>
      </c>
      <c r="I84" s="14" t="str">
        <f t="shared" si="9"/>
        <v/>
      </c>
      <c r="J84" s="15" t="str">
        <f t="shared" si="10"/>
        <v/>
      </c>
    </row>
    <row r="85" spans="1:10">
      <c r="A85" s="7" t="str">
        <f>IF(子基金及业绩基准周净值!A103="","",子基金及业绩基准周净值!A103)</f>
        <v/>
      </c>
      <c r="B85" s="1" t="str">
        <f>IF(A85="","",VLOOKUP($A85,子基金及业绩基准周净值!$A:$AV,8))</f>
        <v/>
      </c>
      <c r="C85" s="8" t="str">
        <f t="shared" si="11"/>
        <v/>
      </c>
      <c r="D85" s="8" t="str">
        <f>IF(A85="","",C85-(子基金及业绩基准周净值!AH90/子基金及业绩基准周净值!AH89-1))</f>
        <v/>
      </c>
      <c r="E85" s="12" t="str">
        <f>IF(A85="","",(MAX(B$3:B85)-B85)/MAX(B$3:B85))</f>
        <v/>
      </c>
      <c r="F85" s="12" t="str">
        <f>IF(A85="","",MAX(E$4:E85))</f>
        <v/>
      </c>
      <c r="G85" s="17" t="str">
        <f>IF(A85="","",MAX(FREQUENCY(IF($D$3:D85&lt;0,ROW($D$3:D85)),IF($D$3:D85&gt;=0,ROW($D$3:D85)))))</f>
        <v/>
      </c>
      <c r="H85" s="14" t="str">
        <f t="shared" si="8"/>
        <v/>
      </c>
      <c r="I85" s="14" t="str">
        <f t="shared" si="9"/>
        <v/>
      </c>
      <c r="J85" s="15" t="str">
        <f t="shared" si="10"/>
        <v/>
      </c>
    </row>
    <row r="86" spans="1:10">
      <c r="A86" s="7" t="str">
        <f>IF(子基金及业绩基准周净值!A104="","",子基金及业绩基准周净值!A104)</f>
        <v/>
      </c>
      <c r="B86" s="1" t="str">
        <f>IF(A86="","",VLOOKUP($A86,子基金及业绩基准周净值!$A:$AV,8))</f>
        <v/>
      </c>
      <c r="C86" s="8" t="str">
        <f t="shared" si="11"/>
        <v/>
      </c>
      <c r="D86" s="8" t="str">
        <f>IF(A86="","",C86-(子基金及业绩基准周净值!AH91/子基金及业绩基准周净值!AH90-1))</f>
        <v/>
      </c>
      <c r="E86" s="12" t="str">
        <f>IF(A86="","",(MAX(B$3:B86)-B86)/MAX(B$3:B86))</f>
        <v/>
      </c>
      <c r="F86" s="12" t="str">
        <f>IF(A86="","",MAX(E$4:E86))</f>
        <v/>
      </c>
      <c r="G86" s="17" t="str">
        <f>IF(A86="","",MAX(FREQUENCY(IF($D$3:D86&lt;0,ROW($D$3:D86)),IF($D$3:D86&gt;=0,ROW($D$3:D86)))))</f>
        <v/>
      </c>
      <c r="H86" s="14" t="str">
        <f t="shared" si="8"/>
        <v/>
      </c>
      <c r="I86" s="14" t="str">
        <f t="shared" si="9"/>
        <v/>
      </c>
      <c r="J86" s="15" t="str">
        <f t="shared" si="10"/>
        <v/>
      </c>
    </row>
    <row r="87" spans="1:10">
      <c r="A87" s="7" t="str">
        <f>IF(子基金及业绩基准周净值!A105="","",子基金及业绩基准周净值!A105)</f>
        <v/>
      </c>
      <c r="B87" s="1" t="str">
        <f>IF(A87="","",VLOOKUP($A87,子基金及业绩基准周净值!$A:$AV,8))</f>
        <v/>
      </c>
      <c r="C87" s="8" t="str">
        <f t="shared" si="11"/>
        <v/>
      </c>
      <c r="D87" s="8" t="str">
        <f>IF(A87="","",C87-(子基金及业绩基准周净值!AH92/子基金及业绩基准周净值!AH91-1))</f>
        <v/>
      </c>
      <c r="E87" s="12" t="str">
        <f>IF(A87="","",(MAX(B$3:B87)-B87)/MAX(B$3:B87))</f>
        <v/>
      </c>
      <c r="F87" s="12" t="str">
        <f>IF(A87="","",MAX(E$4:E87))</f>
        <v/>
      </c>
      <c r="G87" s="17" t="str">
        <f>IF(A87="","",MAX(FREQUENCY(IF($D$3:D87&lt;0,ROW($D$3:D87)),IF($D$3:D87&gt;=0,ROW($D$3:D87)))))</f>
        <v/>
      </c>
      <c r="H87" s="14" t="str">
        <f t="shared" si="8"/>
        <v/>
      </c>
      <c r="I87" s="14" t="str">
        <f t="shared" si="9"/>
        <v/>
      </c>
      <c r="J87" s="15" t="str">
        <f t="shared" si="10"/>
        <v/>
      </c>
    </row>
    <row r="88" spans="1:10">
      <c r="A88" s="7" t="str">
        <f>IF(子基金及业绩基准周净值!A106="","",子基金及业绩基准周净值!A106)</f>
        <v/>
      </c>
      <c r="B88" s="1" t="str">
        <f>IF(A88="","",VLOOKUP($A88,子基金及业绩基准周净值!$A:$AV,8))</f>
        <v/>
      </c>
      <c r="C88" s="8" t="str">
        <f t="shared" si="11"/>
        <v/>
      </c>
      <c r="D88" s="8" t="str">
        <f>IF(A88="","",C88-(子基金及业绩基准周净值!AH93/子基金及业绩基准周净值!AH92-1))</f>
        <v/>
      </c>
      <c r="E88" s="12" t="str">
        <f>IF(A88="","",(MAX(B$3:B88)-B88)/MAX(B$3:B88))</f>
        <v/>
      </c>
      <c r="F88" s="12" t="str">
        <f>IF(A88="","",MAX(E$4:E88))</f>
        <v/>
      </c>
      <c r="G88" s="17" t="str">
        <f>IF(A88="","",MAX(FREQUENCY(IF($D$3:D88&lt;0,ROW($D$3:D88)),IF($D$3:D88&gt;=0,ROW($D$3:D88)))))</f>
        <v/>
      </c>
      <c r="H88" s="14" t="str">
        <f t="shared" si="8"/>
        <v/>
      </c>
      <c r="I88" s="14" t="str">
        <f t="shared" si="9"/>
        <v/>
      </c>
      <c r="J88" s="15" t="str">
        <f t="shared" si="10"/>
        <v/>
      </c>
    </row>
    <row r="89" spans="1:10">
      <c r="A89" s="7" t="str">
        <f>IF(子基金及业绩基准周净值!A107="","",子基金及业绩基准周净值!A107)</f>
        <v/>
      </c>
      <c r="B89" s="1" t="str">
        <f>IF(A89="","",VLOOKUP($A89,子基金及业绩基准周净值!$A:$AV,8))</f>
        <v/>
      </c>
      <c r="C89" s="8" t="str">
        <f t="shared" si="11"/>
        <v/>
      </c>
      <c r="D89" s="8" t="str">
        <f>IF(A89="","",C89-(子基金及业绩基准周净值!AH94/子基金及业绩基准周净值!AH93-1))</f>
        <v/>
      </c>
      <c r="E89" s="12" t="str">
        <f>IF(A89="","",(MAX(B$3:B89)-B89)/MAX(B$3:B89))</f>
        <v/>
      </c>
      <c r="F89" s="12" t="str">
        <f>IF(A89="","",MAX(E$4:E89))</f>
        <v/>
      </c>
      <c r="G89" s="17" t="str">
        <f>IF(A89="","",MAX(FREQUENCY(IF($D$3:D89&lt;0,ROW($D$3:D89)),IF($D$3:D89&gt;=0,ROW($D$3:D89)))))</f>
        <v/>
      </c>
      <c r="H89" s="14" t="str">
        <f t="shared" si="8"/>
        <v/>
      </c>
      <c r="I89" s="14" t="str">
        <f t="shared" si="9"/>
        <v/>
      </c>
      <c r="J89" s="15" t="str">
        <f t="shared" si="10"/>
        <v/>
      </c>
    </row>
    <row r="90" spans="1:10">
      <c r="A90" s="7" t="str">
        <f>IF(子基金及业绩基准周净值!A108="","",子基金及业绩基准周净值!A108)</f>
        <v/>
      </c>
      <c r="B90" s="1" t="str">
        <f>IF(A90="","",VLOOKUP($A90,子基金及业绩基准周净值!$A:$AV,8))</f>
        <v/>
      </c>
      <c r="C90" s="8" t="str">
        <f t="shared" si="11"/>
        <v/>
      </c>
      <c r="D90" s="8" t="str">
        <f>IF(A90="","",C90-(子基金及业绩基准周净值!AH95/子基金及业绩基准周净值!AH94-1))</f>
        <v/>
      </c>
      <c r="E90" s="12" t="str">
        <f>IF(A90="","",(MAX(B$3:B90)-B90)/MAX(B$3:B90))</f>
        <v/>
      </c>
      <c r="F90" s="12" t="str">
        <f>IF(A90="","",MAX(E$4:E90))</f>
        <v/>
      </c>
      <c r="G90" s="17" t="str">
        <f>IF(A90="","",MAX(FREQUENCY(IF($D$3:D90&lt;0,ROW($D$3:D90)),IF($D$3:D90&gt;=0,ROW($D$3:D90)))))</f>
        <v/>
      </c>
      <c r="H90" s="14" t="str">
        <f t="shared" si="8"/>
        <v/>
      </c>
      <c r="I90" s="14" t="str">
        <f t="shared" si="9"/>
        <v/>
      </c>
      <c r="J90" s="15" t="str">
        <f t="shared" si="10"/>
        <v/>
      </c>
    </row>
    <row r="91" spans="1:10">
      <c r="A91" s="7" t="str">
        <f>IF(子基金及业绩基准周净值!A109="","",子基金及业绩基准周净值!A109)</f>
        <v/>
      </c>
      <c r="B91" s="1" t="str">
        <f>IF(A91="","",VLOOKUP($A91,子基金及业绩基准周净值!$A:$AV,8))</f>
        <v/>
      </c>
      <c r="C91" s="8" t="str">
        <f t="shared" si="11"/>
        <v/>
      </c>
      <c r="D91" s="8" t="str">
        <f>IF(A91="","",C91-(子基金及业绩基准周净值!AH96/子基金及业绩基准周净值!AH95-1))</f>
        <v/>
      </c>
      <c r="E91" s="12" t="str">
        <f>IF(A91="","",(MAX(B$3:B91)-B91)/MAX(B$3:B91))</f>
        <v/>
      </c>
      <c r="F91" s="12" t="str">
        <f>IF(A91="","",MAX(E$4:E91))</f>
        <v/>
      </c>
      <c r="G91" s="17" t="str">
        <f>IF(A91="","",MAX(FREQUENCY(IF($D$3:D91&lt;0,ROW($D$3:D91)),IF($D$3:D91&gt;=0,ROW($D$3:D91)))))</f>
        <v/>
      </c>
      <c r="H91" s="14" t="str">
        <f t="shared" si="8"/>
        <v/>
      </c>
      <c r="I91" s="14" t="str">
        <f t="shared" si="9"/>
        <v/>
      </c>
      <c r="J91" s="15" t="str">
        <f t="shared" si="10"/>
        <v/>
      </c>
    </row>
    <row r="92" spans="1:10">
      <c r="A92" s="7" t="str">
        <f>IF(子基金及业绩基准周净值!A110="","",子基金及业绩基准周净值!A110)</f>
        <v/>
      </c>
      <c r="B92" s="1" t="str">
        <f>IF(A92="","",VLOOKUP($A92,子基金及业绩基准周净值!$A:$AV,8))</f>
        <v/>
      </c>
      <c r="C92" s="8" t="str">
        <f t="shared" si="11"/>
        <v/>
      </c>
      <c r="D92" s="8" t="str">
        <f>IF(A92="","",C92-(子基金及业绩基准周净值!AH97/子基金及业绩基准周净值!AH96-1))</f>
        <v/>
      </c>
      <c r="E92" s="12" t="str">
        <f>IF(A92="","",(MAX(B$3:B92)-B92)/MAX(B$3:B92))</f>
        <v/>
      </c>
      <c r="F92" s="12" t="str">
        <f>IF(A92="","",MAX(E$4:E92))</f>
        <v/>
      </c>
      <c r="G92" s="17" t="str">
        <f>IF(A92="","",MAX(FREQUENCY(IF($D$3:D92&lt;0,ROW($D$3:D92)),IF($D$3:D92&gt;=0,ROW($D$3:D92)))))</f>
        <v/>
      </c>
      <c r="H92" s="14" t="str">
        <f t="shared" si="8"/>
        <v/>
      </c>
      <c r="I92" s="14" t="str">
        <f t="shared" si="9"/>
        <v/>
      </c>
      <c r="J92" s="15" t="str">
        <f t="shared" si="10"/>
        <v/>
      </c>
    </row>
    <row r="93" spans="1:10">
      <c r="A93" s="7" t="str">
        <f>IF(子基金及业绩基准周净值!A111="","",子基金及业绩基准周净值!A111)</f>
        <v/>
      </c>
      <c r="B93" s="1" t="str">
        <f>IF(A93="","",VLOOKUP($A93,子基金及业绩基准周净值!$A:$AV,8))</f>
        <v/>
      </c>
      <c r="C93" s="8" t="str">
        <f t="shared" si="11"/>
        <v/>
      </c>
      <c r="D93" s="8" t="str">
        <f>IF(A93="","",C93-(子基金及业绩基准周净值!AH98/子基金及业绩基准周净值!AH97-1))</f>
        <v/>
      </c>
      <c r="E93" s="12" t="str">
        <f>IF(A93="","",(MAX(B$3:B93)-B93)/MAX(B$3:B93))</f>
        <v/>
      </c>
      <c r="F93" s="12" t="str">
        <f>IF(A93="","",MAX(E$4:E93))</f>
        <v/>
      </c>
      <c r="G93" s="17" t="str">
        <f>IF(A93="","",MAX(FREQUENCY(IF($D$3:D93&lt;0,ROW($D$3:D93)),IF($D$3:D93&gt;=0,ROW($D$3:D93)))))</f>
        <v/>
      </c>
      <c r="H93" s="14" t="str">
        <f t="shared" si="8"/>
        <v/>
      </c>
      <c r="I93" s="14" t="str">
        <f t="shared" si="9"/>
        <v/>
      </c>
      <c r="J93" s="15" t="str">
        <f t="shared" si="10"/>
        <v/>
      </c>
    </row>
    <row r="94" spans="1:10">
      <c r="A94" s="7" t="str">
        <f>IF(子基金及业绩基准周净值!A112="","",子基金及业绩基准周净值!A112)</f>
        <v/>
      </c>
      <c r="B94" s="1" t="str">
        <f>IF(A94="","",VLOOKUP($A94,子基金及业绩基准周净值!$A:$AV,8))</f>
        <v/>
      </c>
      <c r="C94" s="8" t="str">
        <f t="shared" si="11"/>
        <v/>
      </c>
      <c r="D94" s="8" t="str">
        <f>IF(A94="","",C94-(子基金及业绩基准周净值!AH99/子基金及业绩基准周净值!AH98-1))</f>
        <v/>
      </c>
      <c r="E94" s="12" t="str">
        <f>IF(A94="","",(MAX(B$3:B94)-B94)/MAX(B$3:B94))</f>
        <v/>
      </c>
      <c r="F94" s="12" t="str">
        <f>IF(A94="","",MAX(E$4:E94))</f>
        <v/>
      </c>
      <c r="G94" s="17" t="str">
        <f>IF(A94="","",MAX(FREQUENCY(IF($D$3:D94&lt;0,ROW($D$3:D94)),IF($D$3:D94&gt;=0,ROW($D$3:D94)))))</f>
        <v/>
      </c>
      <c r="H94" s="14" t="str">
        <f t="shared" si="8"/>
        <v/>
      </c>
      <c r="I94" s="14" t="str">
        <f t="shared" si="9"/>
        <v/>
      </c>
      <c r="J94" s="15" t="str">
        <f t="shared" si="10"/>
        <v/>
      </c>
    </row>
    <row r="95" spans="1:10">
      <c r="A95" s="7" t="str">
        <f>IF(子基金及业绩基准周净值!A113="","",子基金及业绩基准周净值!A113)</f>
        <v/>
      </c>
      <c r="B95" s="1" t="str">
        <f>IF(A95="","",VLOOKUP($A95,子基金及业绩基准周净值!$A:$AV,8))</f>
        <v/>
      </c>
      <c r="C95" s="8" t="str">
        <f t="shared" si="11"/>
        <v/>
      </c>
      <c r="D95" s="8" t="str">
        <f>IF(A95="","",C95-(子基金及业绩基准周净值!AH100/子基金及业绩基准周净值!AH99-1))</f>
        <v/>
      </c>
      <c r="E95" s="12" t="str">
        <f>IF(A95="","",(MAX(B$3:B95)-B95)/MAX(B$3:B95))</f>
        <v/>
      </c>
      <c r="F95" s="12" t="str">
        <f>IF(A95="","",MAX(E$4:E95))</f>
        <v/>
      </c>
      <c r="G95" s="17" t="str">
        <f>IF(A95="","",MAX(FREQUENCY(IF($D$3:D95&lt;0,ROW($D$3:D95)),IF($D$3:D95&gt;=0,ROW($D$3:D95)))))</f>
        <v/>
      </c>
      <c r="H95" s="14" t="str">
        <f t="shared" si="8"/>
        <v/>
      </c>
      <c r="I95" s="14" t="str">
        <f t="shared" si="9"/>
        <v/>
      </c>
      <c r="J95" s="15" t="str">
        <f t="shared" si="10"/>
        <v/>
      </c>
    </row>
    <row r="96" spans="1:10">
      <c r="A96" s="7" t="str">
        <f>IF(子基金及业绩基准周净值!A114="","",子基金及业绩基准周净值!A114)</f>
        <v/>
      </c>
      <c r="B96" s="1" t="str">
        <f>IF(A96="","",VLOOKUP($A96,子基金及业绩基准周净值!$A:$AV,8))</f>
        <v/>
      </c>
      <c r="C96" s="8" t="str">
        <f t="shared" si="11"/>
        <v/>
      </c>
      <c r="D96" s="8" t="str">
        <f>IF(A96="","",C96-(子基金及业绩基准周净值!AH101/子基金及业绩基准周净值!AH100-1))</f>
        <v/>
      </c>
      <c r="E96" s="12" t="str">
        <f>IF(A96="","",(MAX(B$3:B96)-B96)/MAX(B$3:B96))</f>
        <v/>
      </c>
      <c r="F96" s="12" t="str">
        <f>IF(A96="","",MAX(E$4:E96))</f>
        <v/>
      </c>
      <c r="G96" s="17" t="str">
        <f>IF(A96="","",MAX(FREQUENCY(IF($D$3:D96&lt;0,ROW($D$3:D96)),IF($D$3:D96&gt;=0,ROW($D$3:D96)))))</f>
        <v/>
      </c>
      <c r="H96" s="14" t="str">
        <f t="shared" si="8"/>
        <v/>
      </c>
      <c r="I96" s="14" t="str">
        <f t="shared" si="9"/>
        <v/>
      </c>
      <c r="J96" s="15" t="str">
        <f t="shared" si="10"/>
        <v/>
      </c>
    </row>
    <row r="97" spans="1:10">
      <c r="A97" s="7" t="str">
        <f>IF(子基金及业绩基准周净值!A115="","",子基金及业绩基准周净值!A115)</f>
        <v/>
      </c>
      <c r="B97" s="1" t="str">
        <f>IF(A97="","",VLOOKUP($A97,子基金及业绩基准周净值!$A:$AV,8))</f>
        <v/>
      </c>
      <c r="C97" s="8" t="str">
        <f t="shared" si="11"/>
        <v/>
      </c>
      <c r="D97" s="8" t="str">
        <f>IF(A97="","",C97-(子基金及业绩基准周净值!AH102/子基金及业绩基准周净值!AH101-1))</f>
        <v/>
      </c>
      <c r="E97" s="12" t="str">
        <f>IF(A97="","",(MAX(B$3:B97)-B97)/MAX(B$3:B97))</f>
        <v/>
      </c>
      <c r="F97" s="12" t="str">
        <f>IF(A97="","",MAX(E$4:E97))</f>
        <v/>
      </c>
      <c r="G97" s="17" t="str">
        <f>IF(A97="","",MAX(FREQUENCY(IF($D$3:D97&lt;0,ROW($D$3:D97)),IF($D$3:D97&gt;=0,ROW($D$3:D97)))))</f>
        <v/>
      </c>
      <c r="H97" s="14" t="str">
        <f t="shared" si="8"/>
        <v/>
      </c>
      <c r="I97" s="14" t="str">
        <f t="shared" si="9"/>
        <v/>
      </c>
      <c r="J97" s="15" t="str">
        <f t="shared" si="10"/>
        <v/>
      </c>
    </row>
    <row r="98" spans="1:10">
      <c r="A98" s="7" t="str">
        <f>IF(子基金及业绩基准周净值!A116="","",子基金及业绩基准周净值!A116)</f>
        <v/>
      </c>
      <c r="B98" s="1" t="str">
        <f>IF(A98="","",VLOOKUP($A98,子基金及业绩基准周净值!$A:$AV,8))</f>
        <v/>
      </c>
      <c r="C98" s="8" t="str">
        <f t="shared" si="11"/>
        <v/>
      </c>
      <c r="D98" s="8" t="str">
        <f>IF(A98="","",C98-(子基金及业绩基准周净值!AH103/子基金及业绩基准周净值!AH102-1))</f>
        <v/>
      </c>
      <c r="E98" s="12" t="str">
        <f>IF(A98="","",(MAX(B$3:B98)-B98)/MAX(B$3:B98))</f>
        <v/>
      </c>
      <c r="F98" s="12" t="str">
        <f>IF(A98="","",MAX(E$4:E98))</f>
        <v/>
      </c>
      <c r="G98" s="17" t="str">
        <f>IF(A98="","",MAX(FREQUENCY(IF($D$3:D98&lt;0,ROW($D$3:D98)),IF($D$3:D98&gt;=0,ROW($D$3:D98)))))</f>
        <v/>
      </c>
      <c r="H98" s="14" t="str">
        <f t="shared" si="8"/>
        <v/>
      </c>
      <c r="I98" s="14" t="str">
        <f t="shared" si="9"/>
        <v/>
      </c>
      <c r="J98" s="15" t="str">
        <f t="shared" si="10"/>
        <v/>
      </c>
    </row>
    <row r="99" spans="1:10">
      <c r="A99" s="7" t="str">
        <f>IF(子基金及业绩基准周净值!A117="","",子基金及业绩基准周净值!A117)</f>
        <v/>
      </c>
      <c r="B99" s="1" t="str">
        <f>IF(A99="","",VLOOKUP($A99,子基金及业绩基准周净值!$A:$AV,8))</f>
        <v/>
      </c>
      <c r="C99" s="8" t="str">
        <f t="shared" si="11"/>
        <v/>
      </c>
      <c r="D99" s="8" t="str">
        <f>IF(A99="","",C99-(子基金及业绩基准周净值!AH104/子基金及业绩基准周净值!AH103-1))</f>
        <v/>
      </c>
      <c r="E99" s="12" t="str">
        <f>IF(A99="","",(MAX(B$3:B99)-B99)/MAX(B$3:B99))</f>
        <v/>
      </c>
      <c r="F99" s="12" t="str">
        <f>IF(A99="","",MAX(E$4:E99))</f>
        <v/>
      </c>
      <c r="G99" s="17" t="str">
        <f>IF(A99="","",MAX(FREQUENCY(IF($D$3:D99&lt;0,ROW($D$3:D99)),IF($D$3:D99&gt;=0,ROW($D$3:D99)))))</f>
        <v/>
      </c>
      <c r="H99" s="14" t="str">
        <f t="shared" si="8"/>
        <v/>
      </c>
      <c r="I99" s="14" t="str">
        <f t="shared" si="9"/>
        <v/>
      </c>
      <c r="J99" s="15" t="str">
        <f t="shared" si="10"/>
        <v/>
      </c>
    </row>
    <row r="100" spans="1:10">
      <c r="A100" s="7" t="str">
        <f>IF(子基金及业绩基准周净值!A118="","",子基金及业绩基准周净值!A118)</f>
        <v/>
      </c>
      <c r="B100" s="1" t="str">
        <f>IF(A100="","",VLOOKUP($A100,子基金及业绩基准周净值!$A:$AV,8))</f>
        <v/>
      </c>
      <c r="C100" s="8" t="str">
        <f t="shared" si="11"/>
        <v/>
      </c>
      <c r="D100" s="8" t="str">
        <f>IF(A100="","",C100-(子基金及业绩基准周净值!AH105/子基金及业绩基准周净值!AH104-1))</f>
        <v/>
      </c>
      <c r="E100" s="12" t="str">
        <f>IF(A100="","",(MAX(B$3:B100)-B100)/MAX(B$3:B100))</f>
        <v/>
      </c>
      <c r="F100" s="12" t="str">
        <f>IF(A100="","",MAX(E$4:E100))</f>
        <v/>
      </c>
      <c r="G100" s="17" t="str">
        <f>IF(A100="","",MAX(FREQUENCY(IF($D$3:D100&lt;0,ROW($D$3:D100)),IF($D$3:D100&gt;=0,ROW($D$3:D100)))))</f>
        <v/>
      </c>
      <c r="H100" s="14" t="str">
        <f t="shared" si="8"/>
        <v/>
      </c>
      <c r="I100" s="14" t="str">
        <f t="shared" si="9"/>
        <v/>
      </c>
      <c r="J100" s="15" t="str">
        <f t="shared" si="10"/>
        <v/>
      </c>
    </row>
    <row r="101" spans="1:10">
      <c r="A101" s="7" t="str">
        <f>IF(子基金及业绩基准周净值!A119="","",子基金及业绩基准周净值!A119)</f>
        <v/>
      </c>
      <c r="B101" s="1" t="str">
        <f>IF(A101="","",VLOOKUP($A101,子基金及业绩基准周净值!$A:$AV,8))</f>
        <v/>
      </c>
      <c r="C101" s="8" t="str">
        <f t="shared" si="11"/>
        <v/>
      </c>
      <c r="D101" s="8" t="str">
        <f>IF(A101="","",C101-(子基金及业绩基准周净值!AH106/子基金及业绩基准周净值!AH105-1))</f>
        <v/>
      </c>
      <c r="E101" s="12" t="str">
        <f>IF(A101="","",(MAX(B$3:B101)-B101)/MAX(B$3:B101))</f>
        <v/>
      </c>
      <c r="F101" s="12" t="str">
        <f>IF(A101="","",MAX(E$4:E101))</f>
        <v/>
      </c>
      <c r="G101" s="17" t="str">
        <f>IF(A101="","",MAX(FREQUENCY(IF($D$3:D101&lt;0,ROW($D$3:D101)),IF($D$3:D101&gt;=0,ROW($D$3:D101)))))</f>
        <v/>
      </c>
      <c r="H101" s="14" t="str">
        <f t="shared" si="8"/>
        <v/>
      </c>
      <c r="I101" s="14" t="str">
        <f t="shared" si="9"/>
        <v/>
      </c>
      <c r="J101" s="15" t="str">
        <f t="shared" si="10"/>
        <v/>
      </c>
    </row>
    <row r="102" spans="1:10">
      <c r="A102" s="7" t="str">
        <f>IF(子基金及业绩基准周净值!A120="","",子基金及业绩基准周净值!A120)</f>
        <v/>
      </c>
      <c r="B102" s="1" t="str">
        <f>IF(A102="","",VLOOKUP($A102,子基金及业绩基准周净值!$A:$AV,8))</f>
        <v/>
      </c>
      <c r="C102" s="8" t="str">
        <f t="shared" si="11"/>
        <v/>
      </c>
      <c r="D102" s="8" t="str">
        <f>IF(A102="","",C102-(子基金及业绩基准周净值!AH107/子基金及业绩基准周净值!AH106-1))</f>
        <v/>
      </c>
      <c r="E102" s="12" t="str">
        <f>IF(A102="","",(MAX(B$3:B102)-B102)/MAX(B$3:B102))</f>
        <v/>
      </c>
      <c r="F102" s="12" t="str">
        <f>IF(A102="","",MAX(E$4:E102))</f>
        <v/>
      </c>
      <c r="G102" s="17" t="str">
        <f>IF(A102="","",MAX(FREQUENCY(IF($D$3:D102&lt;0,ROW($D$3:D102)),IF($D$3:D102&gt;=0,ROW($D$3:D102)))))</f>
        <v/>
      </c>
      <c r="H102" s="14" t="str">
        <f t="shared" si="8"/>
        <v/>
      </c>
      <c r="I102" s="14" t="str">
        <f t="shared" si="9"/>
        <v/>
      </c>
      <c r="J102" s="15" t="str">
        <f t="shared" si="10"/>
        <v/>
      </c>
    </row>
    <row r="103" spans="1:10">
      <c r="A103" s="7" t="str">
        <f>IF(子基金及业绩基准周净值!A121="","",子基金及业绩基准周净值!A121)</f>
        <v/>
      </c>
      <c r="B103" s="1" t="str">
        <f>IF(A103="","",VLOOKUP($A103,子基金及业绩基准周净值!$A:$AV,8))</f>
        <v/>
      </c>
      <c r="C103" s="8" t="str">
        <f t="shared" si="11"/>
        <v/>
      </c>
      <c r="D103" s="8" t="str">
        <f>IF(A103="","",C103-(子基金及业绩基准周净值!AH108/子基金及业绩基准周净值!AH107-1))</f>
        <v/>
      </c>
      <c r="E103" s="12" t="str">
        <f>IF(A103="","",(MAX(B$3:B103)-B103)/MAX(B$3:B103))</f>
        <v/>
      </c>
      <c r="F103" s="12" t="str">
        <f>IF(A103="","",MAX(E$4:E103))</f>
        <v/>
      </c>
      <c r="G103" s="17" t="str">
        <f>IF(A103="","",MAX(FREQUENCY(IF($D$3:D103&lt;0,ROW($D$3:D103)),IF($D$3:D103&gt;=0,ROW($D$3:D103)))))</f>
        <v/>
      </c>
      <c r="H103" s="14" t="str">
        <f t="shared" si="8"/>
        <v/>
      </c>
      <c r="I103" s="14" t="str">
        <f t="shared" si="9"/>
        <v/>
      </c>
      <c r="J103" s="15" t="str">
        <f t="shared" si="10"/>
        <v/>
      </c>
    </row>
    <row r="104" spans="1:10">
      <c r="A104" s="7" t="str">
        <f>IF(子基金及业绩基准周净值!A122="","",子基金及业绩基准周净值!A122)</f>
        <v/>
      </c>
      <c r="B104" s="1" t="str">
        <f>IF(A104="","",VLOOKUP($A104,子基金及业绩基准周净值!$A:$AV,8))</f>
        <v/>
      </c>
      <c r="C104" s="8" t="str">
        <f t="shared" si="11"/>
        <v/>
      </c>
      <c r="D104" s="8" t="str">
        <f>IF(A104="","",C104-(子基金及业绩基准周净值!AH109/子基金及业绩基准周净值!AH108-1))</f>
        <v/>
      </c>
      <c r="E104" s="12" t="str">
        <f>IF(A104="","",(MAX(B$3:B104)-B104)/MAX(B$3:B104))</f>
        <v/>
      </c>
      <c r="F104" s="12" t="str">
        <f>IF(A104="","",MAX(E$4:E104))</f>
        <v/>
      </c>
      <c r="G104" s="17" t="str">
        <f>IF(A104="","",MAX(FREQUENCY(IF($D$3:D104&lt;0,ROW($D$3:D104)),IF($D$3:D104&gt;=0,ROW($D$3:D104)))))</f>
        <v/>
      </c>
      <c r="H104" s="14" t="str">
        <f t="shared" si="8"/>
        <v/>
      </c>
      <c r="I104" s="14" t="str">
        <f t="shared" si="9"/>
        <v/>
      </c>
      <c r="J104" s="15" t="str">
        <f t="shared" si="10"/>
        <v/>
      </c>
    </row>
    <row r="105" spans="1:10">
      <c r="A105" s="7" t="str">
        <f>IF(子基金及业绩基准周净值!A123="","",子基金及业绩基准周净值!A123)</f>
        <v/>
      </c>
      <c r="B105" s="1" t="str">
        <f>IF(A105="","",VLOOKUP($A105,子基金及业绩基准周净值!$A:$AV,8))</f>
        <v/>
      </c>
      <c r="C105" s="8" t="str">
        <f t="shared" si="11"/>
        <v/>
      </c>
      <c r="D105" s="8" t="str">
        <f>IF(A105="","",C105-(子基金及业绩基准周净值!AH110/子基金及业绩基准周净值!AH109-1))</f>
        <v/>
      </c>
      <c r="E105" s="12" t="str">
        <f>IF(A105="","",(MAX(B$3:B105)-B105)/MAX(B$3:B105))</f>
        <v/>
      </c>
      <c r="F105" s="12" t="str">
        <f>IF(A105="","",MAX(E$4:E105))</f>
        <v/>
      </c>
      <c r="G105" s="17" t="str">
        <f>IF(A105="","",MAX(FREQUENCY(IF($D$3:D105&lt;0,ROW($D$3:D105)),IF($D$3:D105&gt;=0,ROW($D$3:D105)))))</f>
        <v/>
      </c>
      <c r="H105" s="14" t="str">
        <f t="shared" si="8"/>
        <v/>
      </c>
      <c r="I105" s="14" t="str">
        <f t="shared" si="9"/>
        <v/>
      </c>
      <c r="J105" s="15" t="str">
        <f t="shared" si="10"/>
        <v/>
      </c>
    </row>
    <row r="106" spans="1:10">
      <c r="A106" s="7" t="str">
        <f>IF(子基金及业绩基准周净值!A124="","",子基金及业绩基准周净值!A124)</f>
        <v/>
      </c>
      <c r="B106" s="1" t="str">
        <f>IF(A106="","",VLOOKUP($A106,子基金及业绩基准周净值!$A:$AV,8))</f>
        <v/>
      </c>
      <c r="C106" s="8" t="str">
        <f t="shared" si="11"/>
        <v/>
      </c>
      <c r="D106" s="8" t="str">
        <f>IF(A106="","",C106-(子基金及业绩基准周净值!AH111/子基金及业绩基准周净值!AH110-1))</f>
        <v/>
      </c>
      <c r="E106" s="12" t="str">
        <f>IF(A106="","",(MAX(B$3:B106)-B106)/MAX(B$3:B106))</f>
        <v/>
      </c>
      <c r="F106" s="12" t="str">
        <f>IF(A106="","",MAX(E$4:E106))</f>
        <v/>
      </c>
      <c r="G106" s="17" t="str">
        <f>IF(A106="","",MAX(FREQUENCY(IF($D$3:D106&lt;0,ROW($D$3:D106)),IF($D$3:D106&gt;=0,ROW($D$3:D106)))))</f>
        <v/>
      </c>
      <c r="H106" s="14" t="str">
        <f t="shared" si="8"/>
        <v/>
      </c>
      <c r="I106" s="14" t="str">
        <f t="shared" si="9"/>
        <v/>
      </c>
      <c r="J106" s="15" t="str">
        <f t="shared" si="10"/>
        <v/>
      </c>
    </row>
    <row r="107" spans="1:10">
      <c r="A107" s="7" t="str">
        <f>IF(子基金及业绩基准周净值!A125="","",子基金及业绩基准周净值!A125)</f>
        <v/>
      </c>
      <c r="B107" s="1" t="str">
        <f>IF(A107="","",VLOOKUP($A107,子基金及业绩基准周净值!$A:$AV,8))</f>
        <v/>
      </c>
      <c r="C107" s="8" t="str">
        <f t="shared" si="11"/>
        <v/>
      </c>
      <c r="D107" s="8" t="str">
        <f>IF(A107="","",C107-(子基金及业绩基准周净值!AH112/子基金及业绩基准周净值!AH111-1))</f>
        <v/>
      </c>
      <c r="E107" s="12" t="str">
        <f>IF(A107="","",(MAX(B$3:B107)-B107)/MAX(B$3:B107))</f>
        <v/>
      </c>
      <c r="F107" s="12" t="str">
        <f>IF(A107="","",MAX(E$4:E107))</f>
        <v/>
      </c>
      <c r="G107" s="17" t="str">
        <f>IF(A107="","",MAX(FREQUENCY(IF($D$3:D107&lt;0,ROW($D$3:D107)),IF($D$3:D107&gt;=0,ROW($D$3:D107)))))</f>
        <v/>
      </c>
      <c r="H107" s="14" t="str">
        <f t="shared" si="8"/>
        <v/>
      </c>
      <c r="I107" s="14" t="str">
        <f t="shared" si="9"/>
        <v/>
      </c>
      <c r="J107" s="15" t="str">
        <f t="shared" si="10"/>
        <v/>
      </c>
    </row>
    <row r="108" spans="1:10">
      <c r="A108" s="7" t="str">
        <f>IF(子基金及业绩基准周净值!A126="","",子基金及业绩基准周净值!A126)</f>
        <v/>
      </c>
      <c r="B108" s="1" t="str">
        <f>IF(A108="","",VLOOKUP($A108,子基金及业绩基准周净值!$A:$AV,8))</f>
        <v/>
      </c>
      <c r="C108" s="8" t="str">
        <f t="shared" si="11"/>
        <v/>
      </c>
      <c r="D108" s="8" t="str">
        <f>IF(A108="","",C108-(子基金及业绩基准周净值!AH113/子基金及业绩基准周净值!AH112-1))</f>
        <v/>
      </c>
      <c r="E108" s="12" t="str">
        <f>IF(A108="","",(MAX(B$3:B108)-B108)/MAX(B$3:B108))</f>
        <v/>
      </c>
      <c r="F108" s="12" t="str">
        <f>IF(A108="","",MAX(E$4:E108))</f>
        <v/>
      </c>
      <c r="G108" s="17" t="str">
        <f>IF(A108="","",MAX(FREQUENCY(IF($D$3:D108&lt;0,ROW($D$3:D108)),IF($D$3:D108&gt;=0,ROW($D$3:D108)))))</f>
        <v/>
      </c>
      <c r="H108" s="14" t="str">
        <f t="shared" si="8"/>
        <v/>
      </c>
      <c r="I108" s="14" t="str">
        <f t="shared" si="9"/>
        <v/>
      </c>
      <c r="J108" s="15" t="str">
        <f t="shared" si="10"/>
        <v/>
      </c>
    </row>
    <row r="109" spans="1:10">
      <c r="A109" s="7" t="str">
        <f>IF(子基金及业绩基准周净值!A127="","",子基金及业绩基准周净值!A127)</f>
        <v/>
      </c>
      <c r="B109" s="1" t="str">
        <f>IF(A109="","",VLOOKUP($A109,子基金及业绩基准周净值!$A:$AV,8))</f>
        <v/>
      </c>
      <c r="C109" s="8" t="str">
        <f t="shared" si="11"/>
        <v/>
      </c>
      <c r="D109" s="8" t="str">
        <f>IF(A109="","",C109-(子基金及业绩基准周净值!AH114/子基金及业绩基准周净值!AH113-1))</f>
        <v/>
      </c>
      <c r="E109" s="12" t="str">
        <f>IF(A109="","",(MAX(B$3:B109)-B109)/MAX(B$3:B109))</f>
        <v/>
      </c>
      <c r="F109" s="12" t="str">
        <f>IF(A109="","",MAX(E$4:E109))</f>
        <v/>
      </c>
      <c r="G109" s="17" t="str">
        <f>IF(A109="","",MAX(FREQUENCY(IF($D$3:D109&lt;0,ROW($D$3:D109)),IF($D$3:D109&gt;=0,ROW($D$3:D109)))))</f>
        <v/>
      </c>
      <c r="H109" s="14" t="str">
        <f t="shared" si="8"/>
        <v/>
      </c>
      <c r="I109" s="14" t="str">
        <f t="shared" si="9"/>
        <v/>
      </c>
      <c r="J109" s="15" t="str">
        <f t="shared" si="10"/>
        <v/>
      </c>
    </row>
    <row r="110" spans="1:10">
      <c r="A110" s="7" t="str">
        <f>IF(子基金及业绩基准周净值!A128="","",子基金及业绩基准周净值!A128)</f>
        <v/>
      </c>
      <c r="B110" s="1" t="str">
        <f>IF(A110="","",VLOOKUP($A110,子基金及业绩基准周净值!$A:$AV,8))</f>
        <v/>
      </c>
      <c r="C110" s="8" t="str">
        <f t="shared" si="11"/>
        <v/>
      </c>
      <c r="D110" s="8" t="str">
        <f>IF(A110="","",C110-(子基金及业绩基准周净值!AH115/子基金及业绩基准周净值!AH114-1))</f>
        <v/>
      </c>
      <c r="E110" s="12" t="str">
        <f>IF(A110="","",(MAX(B$3:B110)-B110)/MAX(B$3:B110))</f>
        <v/>
      </c>
      <c r="F110" s="12" t="str">
        <f>IF(A110="","",MAX(E$4:E110))</f>
        <v/>
      </c>
      <c r="G110" s="17" t="str">
        <f>IF(A110="","",MAX(FREQUENCY(IF($D$3:D110&lt;0,ROW($D$3:D110)),IF($D$3:D110&gt;=0,ROW($D$3:D110)))))</f>
        <v/>
      </c>
      <c r="H110" s="14" t="str">
        <f t="shared" si="8"/>
        <v/>
      </c>
      <c r="I110" s="14" t="str">
        <f t="shared" si="9"/>
        <v/>
      </c>
      <c r="J110" s="15" t="str">
        <f t="shared" si="10"/>
        <v/>
      </c>
    </row>
    <row r="111" spans="1:10">
      <c r="A111" s="7" t="str">
        <f>IF(子基金及业绩基准周净值!A129="","",子基金及业绩基准周净值!A129)</f>
        <v/>
      </c>
      <c r="B111" s="1" t="str">
        <f>IF(A111="","",VLOOKUP($A111,子基金及业绩基准周净值!$A:$AV,8))</f>
        <v/>
      </c>
      <c r="C111" s="8" t="str">
        <f t="shared" si="11"/>
        <v/>
      </c>
      <c r="D111" s="8" t="str">
        <f>IF(A111="","",C111-(子基金及业绩基准周净值!AH116/子基金及业绩基准周净值!AH115-1))</f>
        <v/>
      </c>
      <c r="E111" s="12" t="str">
        <f>IF(A111="","",(MAX(B$3:B111)-B111)/MAX(B$3:B111))</f>
        <v/>
      </c>
      <c r="F111" s="12" t="str">
        <f>IF(A111="","",MAX(E$4:E111))</f>
        <v/>
      </c>
      <c r="G111" s="17" t="str">
        <f>IF(A111="","",MAX(FREQUENCY(IF($D$3:D111&lt;0,ROW($D$3:D111)),IF($D$3:D111&gt;=0,ROW($D$3:D111)))))</f>
        <v/>
      </c>
      <c r="H111" s="14" t="str">
        <f t="shared" si="8"/>
        <v/>
      </c>
      <c r="I111" s="14" t="str">
        <f t="shared" si="9"/>
        <v/>
      </c>
      <c r="J111" s="15" t="str">
        <f t="shared" si="10"/>
        <v/>
      </c>
    </row>
    <row r="112" spans="1:10">
      <c r="A112" s="7" t="str">
        <f>IF(子基金及业绩基准周净值!A130="","",子基金及业绩基准周净值!A130)</f>
        <v/>
      </c>
      <c r="B112" s="1" t="str">
        <f>IF(A112="","",VLOOKUP($A112,子基金及业绩基准周净值!$A:$AV,8))</f>
        <v/>
      </c>
      <c r="C112" s="8" t="str">
        <f t="shared" si="11"/>
        <v/>
      </c>
      <c r="D112" s="8" t="str">
        <f>IF(A112="","",C112-(子基金及业绩基准周净值!AH117/子基金及业绩基准周净值!AH116-1))</f>
        <v/>
      </c>
      <c r="E112" s="12" t="str">
        <f>IF(A112="","",(MAX(B$3:B112)-B112)/MAX(B$3:B112))</f>
        <v/>
      </c>
      <c r="F112" s="12" t="str">
        <f>IF(A112="","",MAX(E$4:E112))</f>
        <v/>
      </c>
      <c r="G112" s="17" t="str">
        <f>IF(A112="","",MAX(FREQUENCY(IF($D$3:D112&lt;0,ROW($D$3:D112)),IF($D$3:D112&gt;=0,ROW($D$3:D112)))))</f>
        <v/>
      </c>
      <c r="H112" s="14" t="str">
        <f t="shared" si="8"/>
        <v/>
      </c>
      <c r="I112" s="14" t="str">
        <f t="shared" si="9"/>
        <v/>
      </c>
      <c r="J112" s="15" t="str">
        <f t="shared" si="10"/>
        <v/>
      </c>
    </row>
    <row r="113" spans="1:10">
      <c r="A113" s="7" t="str">
        <f>IF(子基金及业绩基准周净值!A131="","",子基金及业绩基准周净值!A131)</f>
        <v/>
      </c>
      <c r="B113" s="1" t="str">
        <f>IF(A113="","",VLOOKUP($A113,子基金及业绩基准周净值!$A:$AV,8))</f>
        <v/>
      </c>
      <c r="C113" s="8" t="str">
        <f t="shared" si="11"/>
        <v/>
      </c>
      <c r="D113" s="8" t="str">
        <f>IF(A113="","",C113-(子基金及业绩基准周净值!AH118/子基金及业绩基准周净值!AH117-1))</f>
        <v/>
      </c>
      <c r="E113" s="12" t="str">
        <f>IF(A113="","",(MAX(B$3:B113)-B113)/MAX(B$3:B113))</f>
        <v/>
      </c>
      <c r="F113" s="12" t="str">
        <f>IF(A113="","",MAX(E$4:E113))</f>
        <v/>
      </c>
      <c r="G113" s="17" t="str">
        <f>IF(A113="","",MAX(FREQUENCY(IF($D$3:D113&lt;0,ROW($D$3:D113)),IF($D$3:D113&gt;=0,ROW($D$3:D113)))))</f>
        <v/>
      </c>
      <c r="H113" s="14" t="str">
        <f t="shared" si="8"/>
        <v/>
      </c>
      <c r="I113" s="14" t="str">
        <f t="shared" si="9"/>
        <v/>
      </c>
      <c r="J113" s="15" t="str">
        <f t="shared" si="10"/>
        <v/>
      </c>
    </row>
    <row r="114" spans="1:10">
      <c r="A114" s="7" t="str">
        <f>IF(子基金及业绩基准周净值!A132="","",子基金及业绩基准周净值!A132)</f>
        <v/>
      </c>
      <c r="B114" s="1" t="str">
        <f>IF(A114="","",VLOOKUP($A114,子基金及业绩基准周净值!$A:$AV,8))</f>
        <v/>
      </c>
      <c r="C114" s="8" t="str">
        <f t="shared" si="11"/>
        <v/>
      </c>
      <c r="D114" s="8" t="str">
        <f>IF(A114="","",C114-(子基金及业绩基准周净值!AH119/子基金及业绩基准周净值!AH118-1))</f>
        <v/>
      </c>
      <c r="E114" s="12" t="str">
        <f>IF(A114="","",(MAX(B$3:B114)-B114)/MAX(B$3:B114))</f>
        <v/>
      </c>
      <c r="F114" s="12" t="str">
        <f>IF(A114="","",MAX(E$4:E114))</f>
        <v/>
      </c>
      <c r="G114" s="17" t="str">
        <f>IF(A114="","",MAX(FREQUENCY(IF($D$3:D114&lt;0,ROW($D$3:D114)),IF($D$3:D114&gt;=0,ROW($D$3:D114)))))</f>
        <v/>
      </c>
      <c r="H114" s="14" t="str">
        <f t="shared" si="8"/>
        <v/>
      </c>
      <c r="I114" s="14" t="str">
        <f t="shared" si="9"/>
        <v/>
      </c>
      <c r="J114" s="15" t="str">
        <f t="shared" si="10"/>
        <v/>
      </c>
    </row>
    <row r="115" spans="1:10">
      <c r="A115" s="7" t="str">
        <f>IF(子基金及业绩基准周净值!A133="","",子基金及业绩基准周净值!A133)</f>
        <v/>
      </c>
      <c r="B115" s="1" t="str">
        <f>IF(A115="","",VLOOKUP($A115,子基金及业绩基准周净值!$A:$AV,8))</f>
        <v/>
      </c>
      <c r="C115" s="8" t="str">
        <f t="shared" si="11"/>
        <v/>
      </c>
      <c r="D115" s="8" t="str">
        <f>IF(A115="","",C115-(子基金及业绩基准周净值!AH120/子基金及业绩基准周净值!AH119-1))</f>
        <v/>
      </c>
      <c r="E115" s="12" t="str">
        <f>IF(A115="","",(MAX(B$3:B115)-B115)/MAX(B$3:B115))</f>
        <v/>
      </c>
      <c r="F115" s="12" t="str">
        <f>IF(A115="","",MAX(E$4:E115))</f>
        <v/>
      </c>
      <c r="G115" s="17" t="str">
        <f>IF(A115="","",MAX(FREQUENCY(IF($D$3:D115&lt;0,ROW($D$3:D115)),IF($D$3:D115&gt;=0,ROW($D$3:D115)))))</f>
        <v/>
      </c>
      <c r="H115" s="14" t="str">
        <f t="shared" si="8"/>
        <v/>
      </c>
      <c r="I115" s="14" t="str">
        <f t="shared" si="9"/>
        <v/>
      </c>
      <c r="J115" s="15" t="str">
        <f t="shared" si="10"/>
        <v/>
      </c>
    </row>
    <row r="116" spans="1:10">
      <c r="A116" s="7" t="str">
        <f>IF(子基金及业绩基准周净值!A134="","",子基金及业绩基准周净值!A134)</f>
        <v/>
      </c>
      <c r="B116" s="1" t="str">
        <f>IF(A116="","",VLOOKUP($A116,子基金及业绩基准周净值!$A:$AV,8))</f>
        <v/>
      </c>
      <c r="C116" s="8" t="str">
        <f t="shared" si="11"/>
        <v/>
      </c>
      <c r="D116" s="8" t="str">
        <f>IF(A116="","",C116-(子基金及业绩基准周净值!AH121/子基金及业绩基准周净值!AH120-1))</f>
        <v/>
      </c>
      <c r="E116" s="12" t="str">
        <f>IF(A116="","",(MAX(B$3:B116)-B116)/MAX(B$3:B116))</f>
        <v/>
      </c>
      <c r="F116" s="12" t="str">
        <f>IF(A116="","",MAX(E$4:E116))</f>
        <v/>
      </c>
      <c r="G116" s="17" t="str">
        <f>IF(A116="","",MAX(FREQUENCY(IF($D$3:D116&lt;0,ROW($D$3:D116)),IF($D$3:D116&gt;=0,ROW($D$3:D116)))))</f>
        <v/>
      </c>
      <c r="H116" s="14" t="str">
        <f t="shared" si="8"/>
        <v/>
      </c>
      <c r="I116" s="14" t="str">
        <f t="shared" si="9"/>
        <v/>
      </c>
      <c r="J116" s="15" t="str">
        <f t="shared" si="10"/>
        <v/>
      </c>
    </row>
    <row r="117" spans="1:10">
      <c r="A117" s="7" t="str">
        <f>IF(子基金及业绩基准周净值!A135="","",子基金及业绩基准周净值!A135)</f>
        <v/>
      </c>
      <c r="B117" s="1" t="str">
        <f>IF(A117="","",VLOOKUP($A117,子基金及业绩基准周净值!$A:$AV,8))</f>
        <v/>
      </c>
      <c r="C117" s="8" t="str">
        <f t="shared" si="11"/>
        <v/>
      </c>
      <c r="D117" s="8" t="str">
        <f>IF(A117="","",C117-(子基金及业绩基准周净值!AH122/子基金及业绩基准周净值!AH121-1))</f>
        <v/>
      </c>
      <c r="E117" s="12" t="str">
        <f>IF(A117="","",(MAX(B$3:B117)-B117)/MAX(B$3:B117))</f>
        <v/>
      </c>
      <c r="F117" s="12" t="str">
        <f>IF(A117="","",MAX(E$4:E117))</f>
        <v/>
      </c>
      <c r="G117" s="17" t="str">
        <f>IF(A117="","",MAX(FREQUENCY(IF($D$3:D117&lt;0,ROW($D$3:D117)),IF($D$3:D117&gt;=0,ROW($D$3:D117)))))</f>
        <v/>
      </c>
      <c r="H117" s="14" t="str">
        <f t="shared" si="8"/>
        <v/>
      </c>
      <c r="I117" s="14" t="str">
        <f t="shared" si="9"/>
        <v/>
      </c>
      <c r="J117" s="15" t="str">
        <f t="shared" si="10"/>
        <v/>
      </c>
    </row>
    <row r="118" spans="1:10">
      <c r="A118" s="7" t="str">
        <f>IF(子基金及业绩基准周净值!A136="","",子基金及业绩基准周净值!A136)</f>
        <v/>
      </c>
      <c r="B118" s="1" t="str">
        <f>IF(A118="","",VLOOKUP($A118,子基金及业绩基准周净值!$A:$AV,8))</f>
        <v/>
      </c>
      <c r="C118" s="8" t="str">
        <f t="shared" si="11"/>
        <v/>
      </c>
      <c r="D118" s="8" t="str">
        <f>IF(A118="","",C118-(子基金及业绩基准周净值!AH123/子基金及业绩基准周净值!AH122-1))</f>
        <v/>
      </c>
      <c r="E118" s="12" t="str">
        <f>IF(A118="","",(MAX(B$3:B118)-B118)/MAX(B$3:B118))</f>
        <v/>
      </c>
      <c r="F118" s="12" t="str">
        <f>IF(A118="","",MAX(E$4:E118))</f>
        <v/>
      </c>
      <c r="G118" s="17" t="str">
        <f>IF(A118="","",MAX(FREQUENCY(IF($D$3:D118&lt;0,ROW($D$3:D118)),IF($D$3:D118&gt;=0,ROW($D$3:D118)))))</f>
        <v/>
      </c>
      <c r="H118" s="14" t="str">
        <f t="shared" si="8"/>
        <v/>
      </c>
      <c r="I118" s="14" t="str">
        <f t="shared" si="9"/>
        <v/>
      </c>
      <c r="J118" s="15" t="str">
        <f t="shared" si="10"/>
        <v/>
      </c>
    </row>
    <row r="119" spans="1:10">
      <c r="A119" s="7" t="str">
        <f>IF(子基金及业绩基准周净值!A137="","",子基金及业绩基准周净值!A137)</f>
        <v/>
      </c>
      <c r="B119" s="1" t="str">
        <f>IF(A119="","",VLOOKUP($A119,子基金及业绩基准周净值!$A:$AV,8))</f>
        <v/>
      </c>
      <c r="C119" s="8" t="str">
        <f t="shared" si="11"/>
        <v/>
      </c>
      <c r="D119" s="8" t="str">
        <f>IF(A119="","",C119-(子基金及业绩基准周净值!AH124/子基金及业绩基准周净值!AH123-1))</f>
        <v/>
      </c>
      <c r="E119" s="12" t="str">
        <f>IF(A119="","",(MAX(B$3:B119)-B119)/MAX(B$3:B119))</f>
        <v/>
      </c>
      <c r="F119" s="12" t="str">
        <f>IF(A119="","",MAX(E$4:E119))</f>
        <v/>
      </c>
      <c r="G119" s="17" t="str">
        <f>IF(A119="","",MAX(FREQUENCY(IF($D$3:D119&lt;0,ROW($D$3:D119)),IF($D$3:D119&gt;=0,ROW($D$3:D119)))))</f>
        <v/>
      </c>
      <c r="H119" s="14" t="str">
        <f t="shared" si="8"/>
        <v/>
      </c>
      <c r="I119" s="14" t="str">
        <f t="shared" si="9"/>
        <v/>
      </c>
      <c r="J119" s="15" t="str">
        <f t="shared" si="10"/>
        <v/>
      </c>
    </row>
    <row r="120" spans="1:10">
      <c r="A120" s="7" t="str">
        <f>IF(子基金及业绩基准周净值!A138="","",子基金及业绩基准周净值!A138)</f>
        <v/>
      </c>
      <c r="B120" s="1" t="str">
        <f>IF(A120="","",VLOOKUP($A120,子基金及业绩基准周净值!$A:$AV,8))</f>
        <v/>
      </c>
      <c r="C120" s="8" t="str">
        <f t="shared" si="11"/>
        <v/>
      </c>
      <c r="D120" s="8" t="str">
        <f>IF(A120="","",C120-(子基金及业绩基准周净值!AH125/子基金及业绩基准周净值!AH124-1))</f>
        <v/>
      </c>
      <c r="E120" s="12" t="str">
        <f>IF(A120="","",(MAX(B$3:B120)-B120)/MAX(B$3:B120))</f>
        <v/>
      </c>
      <c r="F120" s="12" t="str">
        <f>IF(A120="","",MAX(E$4:E120))</f>
        <v/>
      </c>
      <c r="G120" s="17" t="str">
        <f>IF(A120="","",MAX(FREQUENCY(IF($D$3:D120&lt;0,ROW($D$3:D120)),IF($D$3:D120&gt;=0,ROW($D$3:D120)))))</f>
        <v/>
      </c>
      <c r="H120" s="14" t="str">
        <f t="shared" si="8"/>
        <v/>
      </c>
      <c r="I120" s="14" t="str">
        <f t="shared" si="9"/>
        <v/>
      </c>
      <c r="J120" s="15" t="str">
        <f t="shared" si="10"/>
        <v/>
      </c>
    </row>
    <row r="121" spans="1:10">
      <c r="A121" s="7" t="str">
        <f>IF(子基金及业绩基准周净值!A139="","",子基金及业绩基准周净值!A139)</f>
        <v/>
      </c>
      <c r="B121" s="1" t="str">
        <f>IF(A121="","",VLOOKUP($A121,子基金及业绩基准周净值!$A:$AV,8))</f>
        <v/>
      </c>
      <c r="C121" s="8" t="str">
        <f t="shared" si="11"/>
        <v/>
      </c>
      <c r="D121" s="8" t="str">
        <f>IF(A121="","",C121-(子基金及业绩基准周净值!AH126/子基金及业绩基准周净值!AH125-1))</f>
        <v/>
      </c>
      <c r="E121" s="12" t="str">
        <f>IF(A121="","",(MAX(B$3:B121)-B121)/MAX(B$3:B121))</f>
        <v/>
      </c>
      <c r="F121" s="12" t="str">
        <f>IF(A121="","",MAX(E$4:E121))</f>
        <v/>
      </c>
      <c r="G121" s="17" t="str">
        <f>IF(A121="","",MAX(FREQUENCY(IF($D$3:D121&lt;0,ROW($D$3:D121)),IF($D$3:D121&gt;=0,ROW($D$3:D121)))))</f>
        <v/>
      </c>
      <c r="H121" s="14" t="str">
        <f t="shared" si="8"/>
        <v/>
      </c>
      <c r="I121" s="14" t="str">
        <f t="shared" si="9"/>
        <v/>
      </c>
      <c r="J121" s="15" t="str">
        <f t="shared" si="10"/>
        <v/>
      </c>
    </row>
    <row r="122" spans="1:10">
      <c r="A122" s="7" t="str">
        <f>IF(子基金及业绩基准周净值!A140="","",子基金及业绩基准周净值!A140)</f>
        <v/>
      </c>
      <c r="B122" s="1" t="str">
        <f>IF(A122="","",VLOOKUP($A122,子基金及业绩基准周净值!$A:$AV,8))</f>
        <v/>
      </c>
      <c r="C122" s="8" t="str">
        <f t="shared" si="11"/>
        <v/>
      </c>
      <c r="D122" s="8" t="str">
        <f>IF(A122="","",C122-(子基金及业绩基准周净值!AH127/子基金及业绩基准周净值!AH126-1))</f>
        <v/>
      </c>
      <c r="E122" s="12" t="str">
        <f>IF(A122="","",(MAX(B$3:B122)-B122)/MAX(B$3:B122))</f>
        <v/>
      </c>
      <c r="F122" s="12" t="str">
        <f>IF(A122="","",MAX(E$4:E122))</f>
        <v/>
      </c>
      <c r="G122" s="17" t="str">
        <f>IF(A122="","",MAX(FREQUENCY(IF($D$3:D122&lt;0,ROW($D$3:D122)),IF($D$3:D122&gt;=0,ROW($D$3:D122)))))</f>
        <v/>
      </c>
      <c r="H122" s="14" t="str">
        <f t="shared" si="8"/>
        <v/>
      </c>
      <c r="I122" s="14" t="str">
        <f t="shared" si="9"/>
        <v/>
      </c>
      <c r="J122" s="15" t="str">
        <f t="shared" si="10"/>
        <v/>
      </c>
    </row>
    <row r="123" spans="1:10">
      <c r="A123" s="7" t="str">
        <f>IF(子基金及业绩基准周净值!A141="","",子基金及业绩基准周净值!A141)</f>
        <v/>
      </c>
      <c r="B123" s="1" t="str">
        <f>IF(A123="","",VLOOKUP($A123,子基金及业绩基准周净值!$A:$AV,8))</f>
        <v/>
      </c>
      <c r="C123" s="8" t="str">
        <f t="shared" si="11"/>
        <v/>
      </c>
      <c r="D123" s="8" t="str">
        <f>IF(A123="","",C123-(子基金及业绩基准周净值!AH128/子基金及业绩基准周净值!AH127-1))</f>
        <v/>
      </c>
      <c r="E123" s="12" t="str">
        <f>IF(A123="","",(MAX(B$3:B123)-B123)/MAX(B$3:B123))</f>
        <v/>
      </c>
      <c r="F123" s="12" t="str">
        <f>IF(A123="","",MAX(E$4:E123))</f>
        <v/>
      </c>
      <c r="G123" s="17" t="str">
        <f>IF(A123="","",MAX(FREQUENCY(IF($D$3:D123&lt;0,ROW($D$3:D123)),IF($D$3:D123&gt;=0,ROW($D$3:D123)))))</f>
        <v/>
      </c>
      <c r="H123" s="14" t="str">
        <f t="shared" si="8"/>
        <v/>
      </c>
      <c r="I123" s="14" t="str">
        <f t="shared" si="9"/>
        <v/>
      </c>
      <c r="J123" s="15" t="str">
        <f t="shared" si="10"/>
        <v/>
      </c>
    </row>
    <row r="124" spans="1:10">
      <c r="A124" s="7" t="str">
        <f>IF(子基金及业绩基准周净值!A142="","",子基金及业绩基准周净值!A142)</f>
        <v/>
      </c>
      <c r="B124" s="1" t="str">
        <f>IF(A124="","",VLOOKUP($A124,子基金及业绩基准周净值!$A:$AV,8))</f>
        <v/>
      </c>
      <c r="C124" s="8" t="str">
        <f t="shared" si="11"/>
        <v/>
      </c>
      <c r="D124" s="8" t="str">
        <f>IF(A124="","",C124-(子基金及业绩基准周净值!AH129/子基金及业绩基准周净值!AH128-1))</f>
        <v/>
      </c>
      <c r="E124" s="12" t="str">
        <f>IF(A124="","",(MAX(B$3:B124)-B124)/MAX(B$3:B124))</f>
        <v/>
      </c>
      <c r="F124" s="12" t="str">
        <f>IF(A124="","",MAX(E$4:E124))</f>
        <v/>
      </c>
      <c r="G124" s="17" t="str">
        <f>IF(A124="","",MAX(FREQUENCY(IF($D$3:D124&lt;0,ROW($D$3:D124)),IF($D$3:D124&gt;=0,ROW($D$3:D124)))))</f>
        <v/>
      </c>
      <c r="H124" s="14" t="str">
        <f t="shared" si="8"/>
        <v/>
      </c>
      <c r="I124" s="14" t="str">
        <f t="shared" si="9"/>
        <v/>
      </c>
      <c r="J124" s="15" t="str">
        <f t="shared" si="10"/>
        <v/>
      </c>
    </row>
    <row r="125" spans="1:10">
      <c r="A125" s="7" t="str">
        <f>IF(子基金及业绩基准周净值!A143="","",子基金及业绩基准周净值!A143)</f>
        <v/>
      </c>
      <c r="B125" s="1" t="str">
        <f>IF(A125="","",VLOOKUP($A125,子基金及业绩基准周净值!$A:$AV,8))</f>
        <v/>
      </c>
      <c r="C125" s="8" t="str">
        <f t="shared" si="11"/>
        <v/>
      </c>
      <c r="D125" s="8" t="str">
        <f>IF(A125="","",C125-(子基金及业绩基准周净值!AH130/子基金及业绩基准周净值!AH129-1))</f>
        <v/>
      </c>
      <c r="E125" s="12" t="str">
        <f>IF(A125="","",(MAX(B$3:B125)-B125)/MAX(B$3:B125))</f>
        <v/>
      </c>
      <c r="F125" s="12" t="str">
        <f>IF(A125="","",MAX(E$4:E125))</f>
        <v/>
      </c>
      <c r="G125" s="17" t="str">
        <f>IF(A125="","",MAX(FREQUENCY(IF($D$3:D125&lt;0,ROW($D$3:D125)),IF($D$3:D125&gt;=0,ROW($D$3:D125)))))</f>
        <v/>
      </c>
      <c r="H125" s="14" t="str">
        <f t="shared" si="8"/>
        <v/>
      </c>
      <c r="I125" s="14" t="str">
        <f t="shared" si="9"/>
        <v/>
      </c>
      <c r="J125" s="15" t="str">
        <f t="shared" si="10"/>
        <v/>
      </c>
    </row>
    <row r="126" spans="1:10">
      <c r="A126" s="7" t="str">
        <f>IF(子基金及业绩基准周净值!A144="","",子基金及业绩基准周净值!A144)</f>
        <v/>
      </c>
      <c r="B126" s="1" t="str">
        <f>IF(A126="","",VLOOKUP($A126,子基金及业绩基准周净值!$A:$AV,8))</f>
        <v/>
      </c>
      <c r="C126" s="8" t="str">
        <f t="shared" si="11"/>
        <v/>
      </c>
      <c r="D126" s="8" t="str">
        <f>IF(A126="","",C126-(子基金及业绩基准周净值!AH131/子基金及业绩基准周净值!AH130-1))</f>
        <v/>
      </c>
      <c r="E126" s="12" t="str">
        <f>IF(A126="","",(MAX(B$3:B126)-B126)/MAX(B$3:B126))</f>
        <v/>
      </c>
      <c r="F126" s="12" t="str">
        <f>IF(A126="","",MAX(E$4:E126))</f>
        <v/>
      </c>
      <c r="G126" s="17" t="str">
        <f>IF(A126="","",MAX(FREQUENCY(IF($D$3:D126&lt;0,ROW($D$3:D126)),IF($D$3:D126&gt;=0,ROW($D$3:D126)))))</f>
        <v/>
      </c>
      <c r="H126" s="14" t="str">
        <f t="shared" si="8"/>
        <v/>
      </c>
      <c r="I126" s="14" t="str">
        <f t="shared" si="9"/>
        <v/>
      </c>
      <c r="J126" s="15" t="str">
        <f t="shared" si="10"/>
        <v/>
      </c>
    </row>
    <row r="127" spans="1:10">
      <c r="A127" s="7" t="str">
        <f>IF(子基金及业绩基准周净值!A145="","",子基金及业绩基准周净值!A145)</f>
        <v/>
      </c>
      <c r="B127" s="1" t="str">
        <f>IF(A127="","",VLOOKUP($A127,子基金及业绩基准周净值!$A:$AV,8))</f>
        <v/>
      </c>
      <c r="C127" s="8" t="str">
        <f t="shared" si="11"/>
        <v/>
      </c>
      <c r="D127" s="8" t="str">
        <f>IF(A127="","",C127-(子基金及业绩基准周净值!AH132/子基金及业绩基准周净值!AH131-1))</f>
        <v/>
      </c>
      <c r="E127" s="12" t="str">
        <f>IF(A127="","",(MAX(B$3:B127)-B127)/MAX(B$3:B127))</f>
        <v/>
      </c>
      <c r="F127" s="12" t="str">
        <f>IF(A127="","",MAX(E$4:E127))</f>
        <v/>
      </c>
      <c r="G127" s="17" t="str">
        <f>IF(A127="","",MAX(FREQUENCY(IF($D$3:D127&lt;0,ROW($D$3:D127)),IF($D$3:D127&gt;=0,ROW($D$3:D127)))))</f>
        <v/>
      </c>
      <c r="H127" s="14" t="str">
        <f t="shared" si="8"/>
        <v/>
      </c>
      <c r="I127" s="14" t="str">
        <f t="shared" si="9"/>
        <v/>
      </c>
      <c r="J127" s="15" t="str">
        <f t="shared" si="10"/>
        <v/>
      </c>
    </row>
  </sheetData>
  <conditionalFormatting sqref="J3:J127">
    <cfRule type="containsText" dxfId="0" priority="1" operator="between" text="是">
      <formula>NOT(ISERROR(SEARCH("是",J3)))</formula>
    </cfRule>
  </conditionalFormatting>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307"/>
  <sheetViews>
    <sheetView workbookViewId="0">
      <selection activeCell="Q38" sqref="Q38"/>
    </sheetView>
  </sheetViews>
  <sheetFormatPr defaultColWidth="9" defaultRowHeight="16.8"/>
  <cols>
    <col min="1" max="1" width="11.125" customWidth="1"/>
    <col min="2" max="2" width="17" customWidth="1"/>
    <col min="3" max="3" width="9.375" customWidth="1"/>
    <col min="4" max="4" width="9.375" style="2" customWidth="1"/>
    <col min="5" max="5" width="8.50735294117647"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E1" s="1">
        <v>5</v>
      </c>
      <c r="F1" s="1">
        <v>6</v>
      </c>
      <c r="G1" s="14">
        <v>7</v>
      </c>
      <c r="H1" s="1">
        <v>8</v>
      </c>
      <c r="I1" s="1">
        <v>9</v>
      </c>
      <c r="J1" s="18">
        <v>10</v>
      </c>
      <c r="K1" s="1">
        <v>11</v>
      </c>
    </row>
    <row r="2" s="1" customFormat="1" ht="16.5" customHeight="1" spans="1:11">
      <c r="A2" s="4" t="s">
        <v>2</v>
      </c>
      <c r="B2" s="4" t="s">
        <v>52</v>
      </c>
      <c r="C2" s="5" t="s">
        <v>310</v>
      </c>
      <c r="D2" s="6" t="s">
        <v>311</v>
      </c>
      <c r="E2" s="5" t="s">
        <v>33</v>
      </c>
      <c r="F2" s="5" t="s">
        <v>22</v>
      </c>
      <c r="G2" s="10" t="s">
        <v>312</v>
      </c>
      <c r="H2" s="11" t="s">
        <v>313</v>
      </c>
      <c r="I2" s="11" t="s">
        <v>314</v>
      </c>
      <c r="J2" s="11" t="s">
        <v>315</v>
      </c>
      <c r="K2" s="5" t="s">
        <v>316</v>
      </c>
    </row>
    <row r="3" spans="1:2">
      <c r="A3" s="7">
        <f>IF(子基金及业绩基准周净值!A34="","",子基金及业绩基准周净值!A34)</f>
        <v>45681</v>
      </c>
      <c r="B3" s="1">
        <f>IF(A3="","",VLOOKUP($A3,子基金及业绩基准周净值!$A:$AV,15))</f>
        <v>1.061</v>
      </c>
    </row>
    <row r="4" spans="1:10">
      <c r="A4" s="7">
        <f>IF(子基金及业绩基准周净值!A35="","",子基金及业绩基准周净值!A35)</f>
        <v>45684</v>
      </c>
      <c r="B4" s="1">
        <f>IF(A4="","",VLOOKUP($A4,子基金及业绩基准周净值!$A:$AV,15))</f>
        <v>1.059</v>
      </c>
      <c r="C4" s="8">
        <f t="shared" ref="C4:C15" si="0">IF(A4="","",(B4-B3)/B3)</f>
        <v>-0.00188501413760603</v>
      </c>
      <c r="D4" s="9">
        <f>IF(A4="","",C4-(子基金及业绩基准周净值!AH35/子基金及业绩基准周净值!AH34-1))</f>
        <v>-0.00219001457257232</v>
      </c>
      <c r="E4" s="12">
        <f>IF(A4="","",(MAX(B$3:B4)-B4)/MAX(B$3:B4))</f>
        <v>0.00188501413760603</v>
      </c>
      <c r="F4" s="12">
        <f>IF(A4="","",MAX(E$4:E4))</f>
        <v>0.00188501413760603</v>
      </c>
      <c r="G4" s="13">
        <v>1</v>
      </c>
      <c r="H4" s="14" t="str">
        <f t="shared" ref="H4:H15" si="1">IF(A4="","",IF(E4&lt;3%,"否","是"))</f>
        <v>否</v>
      </c>
      <c r="I4" s="14" t="str">
        <f t="shared" ref="I4:I15" si="2">IF(A4="","",IF(F4&gt;5%,"是","否"))</f>
        <v>否</v>
      </c>
      <c r="J4" s="15" t="str">
        <f t="shared" ref="J4:J15" si="3">IF(A4="","",IF(G4&gt;=4,"是","否"))</f>
        <v>否</v>
      </c>
    </row>
    <row r="5" spans="1:10">
      <c r="A5" s="7">
        <f>IF(子基金及业绩基准周净值!A36="","",子基金及业绩基准周净值!A36)</f>
        <v>45695</v>
      </c>
      <c r="B5" s="1">
        <f>IF(A5="","",VLOOKUP($A5,子基金及业绩基准周净值!$A:$AV,15))</f>
        <v>1.065</v>
      </c>
      <c r="C5" s="8">
        <f t="shared" si="0"/>
        <v>0.0056657223796034</v>
      </c>
      <c r="D5" s="9">
        <f>IF(A5="","",C5-(子基金及业绩基准周净值!AH36/子基金及业绩基准周净值!AH35-1))</f>
        <v>0.00289272175667178</v>
      </c>
      <c r="E5" s="12">
        <f>IF(A5="","",(MAX(B$3:B5)-B5)/MAX(B$3:B5))</f>
        <v>0</v>
      </c>
      <c r="F5" s="12">
        <f>IF(A5="","",MAX(E$4:E5))</f>
        <v>0.00188501413760603</v>
      </c>
      <c r="G5" s="13">
        <v>0</v>
      </c>
      <c r="H5" s="14" t="str">
        <f t="shared" si="1"/>
        <v>否</v>
      </c>
      <c r="I5" s="14" t="str">
        <f t="shared" si="2"/>
        <v>否</v>
      </c>
      <c r="J5" s="15" t="str">
        <f t="shared" si="3"/>
        <v>否</v>
      </c>
    </row>
    <row r="6" spans="1:10">
      <c r="A6" s="7">
        <f>IF(子基金及业绩基准周净值!A37="","",子基金及业绩基准周净值!A37)</f>
        <v>45702</v>
      </c>
      <c r="B6" s="1">
        <f>IF(A6="","",VLOOKUP($A6,子基金及业绩基准周净值!$A:$AV,15))</f>
        <v>1.063</v>
      </c>
      <c r="C6" s="8">
        <f t="shared" si="0"/>
        <v>-0.00187793427230047</v>
      </c>
      <c r="D6" s="9">
        <f>IF(A6="","",C6-(子基金及业绩基准周净值!AH37/子基金及业绩基准周净值!AH36-1))</f>
        <v>-0.00405247559849291</v>
      </c>
      <c r="E6" s="12">
        <f>IF(A6="","",(MAX(B$3:B6)-B6)/MAX(B$3:B6))</f>
        <v>0.00187793427230047</v>
      </c>
      <c r="F6" s="12">
        <f>IF(A6="","",MAX(E$4:E6))</f>
        <v>0.00188501413760603</v>
      </c>
      <c r="G6" s="13">
        <v>1</v>
      </c>
      <c r="H6" s="14" t="str">
        <f t="shared" si="1"/>
        <v>否</v>
      </c>
      <c r="I6" s="14" t="str">
        <f t="shared" si="2"/>
        <v>否</v>
      </c>
      <c r="J6" s="15" t="str">
        <f t="shared" si="3"/>
        <v>否</v>
      </c>
    </row>
    <row r="7" spans="1:10">
      <c r="A7" s="7">
        <f>IF(子基金及业绩基准周净值!A38="","",子基金及业绩基准周净值!A38)</f>
        <v>45709</v>
      </c>
      <c r="B7" s="1">
        <f>IF(A7="","",VLOOKUP($A7,子基金及业绩基准周净值!$A:$AV,15))</f>
        <v>1.065</v>
      </c>
      <c r="C7" s="8">
        <f t="shared" si="0"/>
        <v>0.00188146754468486</v>
      </c>
      <c r="D7" s="9">
        <f>IF(A7="","",C7-(子基金及业绩基准周净值!AH38/子基金及业绩基准周净值!AH37-1))</f>
        <v>-0.0040062866140266</v>
      </c>
      <c r="E7" s="12">
        <f>IF(A7="","",(MAX(B$3:B7)-B7)/MAX(B$3:B7))</f>
        <v>0</v>
      </c>
      <c r="F7" s="12">
        <f>IF(A7="","",MAX(E$4:E7))</f>
        <v>0.00188501413760603</v>
      </c>
      <c r="G7" s="13">
        <v>2</v>
      </c>
      <c r="H7" s="14" t="str">
        <f t="shared" si="1"/>
        <v>否</v>
      </c>
      <c r="I7" s="14" t="str">
        <f t="shared" si="2"/>
        <v>否</v>
      </c>
      <c r="J7" s="15" t="str">
        <f t="shared" si="3"/>
        <v>否</v>
      </c>
    </row>
    <row r="8" spans="1:10">
      <c r="A8" s="7">
        <f>IF(子基金及业绩基准周净值!A39="","",子基金及业绩基准周净值!A39)</f>
        <v>45716</v>
      </c>
      <c r="B8" s="1">
        <f>IF(A8="","",VLOOKUP($A8,子基金及业绩基准周净值!$A:$AV,15))</f>
        <v>1.063</v>
      </c>
      <c r="C8" s="8">
        <f t="shared" si="0"/>
        <v>-0.00187793427230047</v>
      </c>
      <c r="D8" s="9">
        <f>IF(A8="","",C8-(子基金及业绩基准周净值!AH39/子基金及业绩基准周净值!AH38-1))</f>
        <v>-0.00107220934098755</v>
      </c>
      <c r="E8" s="12">
        <f>IF(A8="","",(MAX(B$3:B8)-B8)/MAX(B$3:B8))</f>
        <v>0.00187793427230047</v>
      </c>
      <c r="F8" s="12">
        <f>IF(A8="","",MAX(E$4:E8))</f>
        <v>0.00188501413760603</v>
      </c>
      <c r="G8" s="13">
        <v>3</v>
      </c>
      <c r="H8" s="14" t="str">
        <f t="shared" si="1"/>
        <v>否</v>
      </c>
      <c r="I8" s="14" t="str">
        <f t="shared" si="2"/>
        <v>否</v>
      </c>
      <c r="J8" s="15" t="str">
        <f t="shared" si="3"/>
        <v>否</v>
      </c>
    </row>
    <row r="9" spans="1:10">
      <c r="A9" s="7">
        <f>IF(子基金及业绩基准周净值!A40="","",子基金及业绩基准周净值!A40)</f>
        <v>45723</v>
      </c>
      <c r="B9" s="1">
        <f>IF(A9="","",VLOOKUP($A9,子基金及业绩基准周净值!$A:$AV,15))</f>
        <v>1.058</v>
      </c>
      <c r="C9" s="8">
        <f t="shared" si="0"/>
        <v>-0.00470366886171204</v>
      </c>
      <c r="D9" s="9">
        <f>IF(A9="","",C9-(子基金及业绩基准周净值!AH40/子基金及业绩基准周净值!AH39-1))</f>
        <v>-0.0094682257529265</v>
      </c>
      <c r="E9" s="12">
        <f>IF(A9="","",(MAX(B$3:B9)-B9)/MAX(B$3:B9))</f>
        <v>0.00657276995305154</v>
      </c>
      <c r="F9" s="12">
        <f>IF(A9="","",MAX(E$4:E9))</f>
        <v>0.00657276995305154</v>
      </c>
      <c r="G9" s="13">
        <v>4</v>
      </c>
      <c r="H9" s="14" t="str">
        <f t="shared" si="1"/>
        <v>否</v>
      </c>
      <c r="I9" s="14" t="str">
        <f t="shared" si="2"/>
        <v>否</v>
      </c>
      <c r="J9" s="15" t="str">
        <f t="shared" si="3"/>
        <v>是</v>
      </c>
    </row>
    <row r="10" spans="1:10">
      <c r="A10" s="7">
        <f>IF(子基金及业绩基准周净值!A41="","",子基金及业绩基准周净值!A41)</f>
        <v>45730</v>
      </c>
      <c r="B10" s="1">
        <f>IF(A10="","",VLOOKUP($A10,子基金及业绩基准周净值!$A:$AV,15))</f>
        <v>1.06</v>
      </c>
      <c r="C10" s="8">
        <f t="shared" si="0"/>
        <v>0.00189035916824197</v>
      </c>
      <c r="D10" s="9">
        <f>IF(A10="","",C10-(子基金及业绩基准周净值!AH41/子基金及业绩基准周净值!AH40-1))</f>
        <v>0.000660148291008894</v>
      </c>
      <c r="E10" s="12">
        <f>IF(A10="","",(MAX(B$3:B10)-B10)/MAX(B$3:B10))</f>
        <v>0.00469483568075107</v>
      </c>
      <c r="F10" s="12">
        <f>IF(A10="","",MAX(E$4:E10))</f>
        <v>0.00657276995305154</v>
      </c>
      <c r="G10" s="13">
        <v>0</v>
      </c>
      <c r="H10" s="14" t="str">
        <f t="shared" si="1"/>
        <v>否</v>
      </c>
      <c r="I10" s="14" t="str">
        <f t="shared" si="2"/>
        <v>否</v>
      </c>
      <c r="J10" s="15" t="str">
        <f t="shared" si="3"/>
        <v>否</v>
      </c>
    </row>
    <row r="11" spans="1:10">
      <c r="A11" s="7">
        <f>IF(子基金及业绩基准周净值!A42="","",子基金及业绩基准周净值!A42)</f>
        <v>45737</v>
      </c>
      <c r="B11" s="1">
        <f>IF(A11="","",VLOOKUP($A11,子基金及业绩基准周净值!$A:$AV,15))</f>
        <v>1.06</v>
      </c>
      <c r="C11" s="8">
        <f t="shared" si="0"/>
        <v>0</v>
      </c>
      <c r="D11" s="9">
        <f>IF(A11="","",C11-(子基金及业绩基准周净值!AH42/子基金及业绩基准周净值!AH41-1))</f>
        <v>0.00059273322811304</v>
      </c>
      <c r="E11" s="12">
        <f>IF(A11="","",(MAX(B$3:B11)-B11)/MAX(B$3:B11))</f>
        <v>0.00469483568075107</v>
      </c>
      <c r="F11" s="12">
        <f>IF(A11="","",MAX(E$4:E11))</f>
        <v>0.00657276995305154</v>
      </c>
      <c r="G11" s="13">
        <v>0</v>
      </c>
      <c r="H11" s="14" t="str">
        <f t="shared" si="1"/>
        <v>否</v>
      </c>
      <c r="I11" s="14" t="str">
        <f t="shared" si="2"/>
        <v>否</v>
      </c>
      <c r="J11" s="15" t="str">
        <f t="shared" si="3"/>
        <v>否</v>
      </c>
    </row>
    <row r="12" spans="1:10">
      <c r="A12" s="7">
        <f>IF(子基金及业绩基准周净值!A43="","",子基金及业绩基准周净值!A43)</f>
        <v>45744</v>
      </c>
      <c r="B12" s="1">
        <f>IF(A12="","",VLOOKUP($A12,子基金及业绩基准周净值!$A:$AV,15))</f>
        <v>1.053</v>
      </c>
      <c r="C12" s="8">
        <f t="shared" si="0"/>
        <v>-0.00660377358490577</v>
      </c>
      <c r="D12" s="9">
        <f>IF(A12="","",C12-(子基金及业绩基准周净值!AH43/子基金及业绩基准周净值!AH42-1))</f>
        <v>-0.00632175260575502</v>
      </c>
      <c r="E12" s="12">
        <f>IF(A12="","",(MAX(B$3:B12)-B12)/MAX(B$3:B12))</f>
        <v>0.0112676056338028</v>
      </c>
      <c r="F12" s="12">
        <f>IF(A12="","",MAX(E$4:E12))</f>
        <v>0.0112676056338028</v>
      </c>
      <c r="G12" s="13">
        <v>1</v>
      </c>
      <c r="H12" s="14" t="str">
        <f t="shared" si="1"/>
        <v>否</v>
      </c>
      <c r="I12" s="14" t="str">
        <f t="shared" si="2"/>
        <v>否</v>
      </c>
      <c r="J12" s="15" t="str">
        <f t="shared" si="3"/>
        <v>否</v>
      </c>
    </row>
    <row r="13" spans="1:10">
      <c r="A13" s="7">
        <f>IF(子基金及业绩基准周净值!A44="","",子基金及业绩基准周净值!A44)</f>
        <v>45750</v>
      </c>
      <c r="B13" s="1">
        <f>IF(A13="","",VLOOKUP($A13,子基金及业绩基准周净值!$A:$AV,15))</f>
        <v>1.043</v>
      </c>
      <c r="C13" s="8">
        <f t="shared" si="0"/>
        <v>-0.00949667616334284</v>
      </c>
      <c r="D13" s="9">
        <f>IF(A13="","",C13-(子基金及业绩基准周净值!AH44/子基金及业绩基准周净值!AH43-1))</f>
        <v>-0.0109551894568145</v>
      </c>
      <c r="E13" s="12">
        <f>IF(A13="","",(MAX(B$3:B13)-B13)/MAX(B$3:B13))</f>
        <v>0.0206572769953052</v>
      </c>
      <c r="F13" s="12">
        <f>IF(A13="","",MAX(E$4:E13))</f>
        <v>0.0206572769953052</v>
      </c>
      <c r="G13" s="13">
        <v>2</v>
      </c>
      <c r="H13" s="14" t="str">
        <f t="shared" si="1"/>
        <v>否</v>
      </c>
      <c r="I13" s="14" t="str">
        <f t="shared" si="2"/>
        <v>否</v>
      </c>
      <c r="J13" s="15" t="str">
        <f t="shared" si="3"/>
        <v>否</v>
      </c>
    </row>
    <row r="14" spans="1:10">
      <c r="A14" s="7">
        <f>IF(子基金及业绩基准周净值!A45="","",子基金及业绩基准周净值!A45)</f>
        <v>45758</v>
      </c>
      <c r="B14" s="1">
        <f>IF(A14="","",VLOOKUP($A14,子基金及业绩基准周净值!$A:$AV,15))</f>
        <v>1.046</v>
      </c>
      <c r="C14" s="8">
        <f t="shared" si="0"/>
        <v>0.00287631831256003</v>
      </c>
      <c r="D14" s="9">
        <f>IF(A14="","",C14-(子基金及业绩基准周净值!AH45/子基金及业绩基准周净值!AH44-1))</f>
        <v>0.00904528433811165</v>
      </c>
      <c r="E14" s="12">
        <f>IF(A14="","",(MAX(B$3:B14)-B14)/MAX(B$3:B14))</f>
        <v>0.0178403755868544</v>
      </c>
      <c r="F14" s="12">
        <f>IF(A14="","",MAX(E$4:E14))</f>
        <v>0.0206572769953052</v>
      </c>
      <c r="G14" s="13">
        <v>0</v>
      </c>
      <c r="H14" s="14" t="str">
        <f t="shared" si="1"/>
        <v>否</v>
      </c>
      <c r="I14" s="14" t="str">
        <f t="shared" si="2"/>
        <v>否</v>
      </c>
      <c r="J14" s="15" t="str">
        <f t="shared" si="3"/>
        <v>否</v>
      </c>
    </row>
    <row r="15" spans="1:10">
      <c r="A15" s="7">
        <f>IF(子基金及业绩基准周净值!A46="","",子基金及业绩基准周净值!A46)</f>
        <v>45765</v>
      </c>
      <c r="B15" s="1">
        <f>IF(A15="","",VLOOKUP($A15,子基金及业绩基准周净值!$A:$AV,15))</f>
        <v>1.041</v>
      </c>
      <c r="C15" s="8">
        <f t="shared" si="0"/>
        <v>-0.00478011472275346</v>
      </c>
      <c r="D15" s="9">
        <f>IF(A15="","",C15-(子基金及业绩基准周净值!AH46/子基金及业绩基准周净值!AH45-1))</f>
        <v>-0.00904939315858637</v>
      </c>
      <c r="E15" s="12">
        <f>IF(A15="","",(MAX(B$3:B15)-B15)/MAX(B$3:B15))</f>
        <v>0.0225352112676057</v>
      </c>
      <c r="F15" s="12">
        <f>IF(A15="","",MAX(E$4:E15))</f>
        <v>0.0225352112676057</v>
      </c>
      <c r="G15" s="13">
        <v>1</v>
      </c>
      <c r="H15" s="14" t="str">
        <f t="shared" si="1"/>
        <v>否</v>
      </c>
      <c r="I15" s="14" t="str">
        <f t="shared" si="2"/>
        <v>否</v>
      </c>
      <c r="J15" s="15" t="str">
        <f t="shared" si="3"/>
        <v>否</v>
      </c>
    </row>
    <row r="16" spans="1:10">
      <c r="A16" s="7">
        <f>IF(子基金及业绩基准周净值!A48="","",子基金及业绩基准周净值!A48)</f>
        <v>45786</v>
      </c>
      <c r="B16" s="1">
        <f>IF(A16="","",VLOOKUP($A16,子基金及业绩基准周净值!$A:$AV,15))</f>
        <v>0</v>
      </c>
      <c r="C16" s="8" t="e">
        <f>IF(A16="","",(B16-#REF!)/#REF!)</f>
        <v>#REF!</v>
      </c>
      <c r="D16" s="9" t="e">
        <f>IF(A16="","",C16-(子基金及业绩基准周净值!AH48/子基金及业绩基准周净值!AH47-1))</f>
        <v>#REF!</v>
      </c>
      <c r="E16" s="12">
        <f>IF(A16="","",(MAX(B$3:B16)-B16)/MAX(B$3:B16))</f>
        <v>1</v>
      </c>
      <c r="F16" s="12">
        <f>IF(A16="","",MAX(E$4:E16))</f>
        <v>1</v>
      </c>
      <c r="G16" s="13"/>
      <c r="H16" s="14" t="str">
        <f t="shared" ref="H16:H67" si="4">IF(A16="","",IF(E16&lt;3%,"否","是"))</f>
        <v>是</v>
      </c>
      <c r="I16" s="14" t="str">
        <f t="shared" ref="I16:I67" si="5">IF(A16="","",IF(F16&gt;5%,"是","否"))</f>
        <v>是</v>
      </c>
      <c r="J16" s="15" t="str">
        <f t="shared" ref="J16:J67" si="6">IF(A16="","",IF(G16&gt;=4,"是","否"))</f>
        <v>否</v>
      </c>
    </row>
    <row r="17" spans="1:10">
      <c r="A17" s="7">
        <f>IF(子基金及业绩基准周净值!A49="","",子基金及业绩基准周净值!A49)</f>
        <v>45793</v>
      </c>
      <c r="B17" s="1">
        <f>IF(A17="","",VLOOKUP($A17,子基金及业绩基准周净值!$A:$AV,15))</f>
        <v>0</v>
      </c>
      <c r="C17" s="8" t="e">
        <f t="shared" ref="C17:C67" si="7">IF(A17="","",(B17-B16)/B16)</f>
        <v>#DIV/0!</v>
      </c>
      <c r="D17" s="9" t="e">
        <f>IF(A17="","",C17-(子基金及业绩基准周净值!AH49/子基金及业绩基准周净值!AH48-1))</f>
        <v>#DIV/0!</v>
      </c>
      <c r="E17" s="12">
        <f>IF(A17="","",(MAX(B$3:B17)-B17)/MAX(B$3:B17))</f>
        <v>1</v>
      </c>
      <c r="F17" s="12">
        <f>IF(A17="","",MAX(E$4:E17))</f>
        <v>1</v>
      </c>
      <c r="G17" s="13"/>
      <c r="H17" s="14" t="str">
        <f t="shared" si="4"/>
        <v>是</v>
      </c>
      <c r="I17" s="14" t="str">
        <f t="shared" si="5"/>
        <v>是</v>
      </c>
      <c r="J17" s="15" t="str">
        <f t="shared" si="6"/>
        <v>否</v>
      </c>
    </row>
    <row r="18" spans="1:10">
      <c r="A18" s="7">
        <f>IF(子基金及业绩基准周净值!A50="","",子基金及业绩基准周净值!A50)</f>
        <v>45800</v>
      </c>
      <c r="B18" s="1">
        <f>IF(A18="","",VLOOKUP($A18,子基金及业绩基准周净值!$A:$AV,15))</f>
        <v>0</v>
      </c>
      <c r="C18" s="8" t="e">
        <f t="shared" si="7"/>
        <v>#DIV/0!</v>
      </c>
      <c r="D18" s="9" t="e">
        <f>IF(A18="","",C18-(子基金及业绩基准周净值!AH50/子基金及业绩基准周净值!AH49-1))</f>
        <v>#DIV/0!</v>
      </c>
      <c r="E18" s="12">
        <f>IF(A18="","",(MAX(B$3:B18)-B18)/MAX(B$3:B18))</f>
        <v>1</v>
      </c>
      <c r="F18" s="12">
        <f>IF(A18="","",MAX(E$4:E18))</f>
        <v>1</v>
      </c>
      <c r="G18" s="13"/>
      <c r="H18" s="14" t="str">
        <f t="shared" si="4"/>
        <v>是</v>
      </c>
      <c r="I18" s="14" t="str">
        <f t="shared" si="5"/>
        <v>是</v>
      </c>
      <c r="J18" s="15" t="str">
        <f t="shared" si="6"/>
        <v>否</v>
      </c>
    </row>
    <row r="19" spans="1:10">
      <c r="A19" s="7">
        <f>IF(子基金及业绩基准周净值!A51="","",子基金及业绩基准周净值!A51)</f>
        <v>45807</v>
      </c>
      <c r="B19" s="1">
        <f>IF(A19="","",VLOOKUP($A19,子基金及业绩基准周净值!$A:$AV,15))</f>
        <v>0</v>
      </c>
      <c r="C19" s="8" t="e">
        <f t="shared" si="7"/>
        <v>#DIV/0!</v>
      </c>
      <c r="D19" s="9" t="e">
        <f>IF(A19="","",C19-(子基金及业绩基准周净值!AH51/子基金及业绩基准周净值!AH50-1))</f>
        <v>#DIV/0!</v>
      </c>
      <c r="E19" s="12">
        <f>IF(A19="","",(MAX(B$3:B19)-B19)/MAX(B$3:B19))</f>
        <v>1</v>
      </c>
      <c r="F19" s="12">
        <f>IF(A19="","",MAX(E$4:E19))</f>
        <v>1</v>
      </c>
      <c r="G19" s="13"/>
      <c r="H19" s="14" t="str">
        <f t="shared" si="4"/>
        <v>是</v>
      </c>
      <c r="I19" s="14" t="str">
        <f t="shared" si="5"/>
        <v>是</v>
      </c>
      <c r="J19" s="15" t="str">
        <f t="shared" si="6"/>
        <v>否</v>
      </c>
    </row>
    <row r="20" spans="1:10">
      <c r="A20" s="7">
        <f>IF(子基金及业绩基准周净值!A52="","",子基金及业绩基准周净值!A52)</f>
        <v>45814</v>
      </c>
      <c r="B20" s="1">
        <f>IF(A20="","",VLOOKUP($A20,子基金及业绩基准周净值!$A:$AV,15))</f>
        <v>0</v>
      </c>
      <c r="C20" s="8" t="e">
        <f t="shared" si="7"/>
        <v>#DIV/0!</v>
      </c>
      <c r="D20" s="9" t="e">
        <f>IF(A20="","",C20-(子基金及业绩基准周净值!AH52/子基金及业绩基准周净值!AH51-1))</f>
        <v>#DIV/0!</v>
      </c>
      <c r="E20" s="12">
        <f>IF(A20="","",(MAX(B$3:B20)-B20)/MAX(B$3:B20))</f>
        <v>1</v>
      </c>
      <c r="F20" s="12">
        <f>IF(A20="","",MAX(E$4:E20))</f>
        <v>1</v>
      </c>
      <c r="G20" s="13"/>
      <c r="H20" s="14" t="str">
        <f t="shared" si="4"/>
        <v>是</v>
      </c>
      <c r="I20" s="14" t="str">
        <f t="shared" si="5"/>
        <v>是</v>
      </c>
      <c r="J20" s="15" t="str">
        <f t="shared" si="6"/>
        <v>否</v>
      </c>
    </row>
    <row r="21" spans="1:10">
      <c r="A21" s="7">
        <f>IF(子基金及业绩基准周净值!A53="","",子基金及业绩基准周净值!A53)</f>
        <v>45821</v>
      </c>
      <c r="B21" s="1">
        <f>IF(A21="","",VLOOKUP($A21,子基金及业绩基准周净值!$A:$AV,15))</f>
        <v>0</v>
      </c>
      <c r="C21" s="8" t="e">
        <f t="shared" si="7"/>
        <v>#DIV/0!</v>
      </c>
      <c r="D21" s="9" t="e">
        <f>IF(A21="","",C21-(子基金及业绩基准周净值!AH53/子基金及业绩基准周净值!AH52-1))</f>
        <v>#DIV/0!</v>
      </c>
      <c r="E21" s="12">
        <f>IF(A21="","",(MAX(B$3:B21)-B21)/MAX(B$3:B21))</f>
        <v>1</v>
      </c>
      <c r="F21" s="12">
        <f>IF(A21="","",MAX(E$4:E21))</f>
        <v>1</v>
      </c>
      <c r="G21" s="13"/>
      <c r="H21" s="14" t="str">
        <f t="shared" si="4"/>
        <v>是</v>
      </c>
      <c r="I21" s="14" t="str">
        <f t="shared" si="5"/>
        <v>是</v>
      </c>
      <c r="J21" s="15" t="str">
        <f t="shared" si="6"/>
        <v>否</v>
      </c>
    </row>
    <row r="22" spans="1:10">
      <c r="A22" s="7">
        <f>IF(子基金及业绩基准周净值!A54="","",子基金及业绩基准周净值!A54)</f>
        <v>45828</v>
      </c>
      <c r="B22" s="1">
        <f>IF(A22="","",VLOOKUP($A22,子基金及业绩基准周净值!$A:$AV,15))</f>
        <v>0</v>
      </c>
      <c r="C22" s="8" t="e">
        <f t="shared" si="7"/>
        <v>#DIV/0!</v>
      </c>
      <c r="D22" s="9" t="e">
        <f>IF(A22="","",C22-(子基金及业绩基准周净值!AH54/子基金及业绩基准周净值!AH53-1))</f>
        <v>#DIV/0!</v>
      </c>
      <c r="E22" s="12">
        <f>IF(A22="","",(MAX(B$3:B22)-B22)/MAX(B$3:B22))</f>
        <v>1</v>
      </c>
      <c r="F22" s="12">
        <f>IF(A22="","",MAX(E$4:E22))</f>
        <v>1</v>
      </c>
      <c r="G22" s="13"/>
      <c r="H22" s="14" t="str">
        <f t="shared" si="4"/>
        <v>是</v>
      </c>
      <c r="I22" s="14" t="str">
        <f t="shared" si="5"/>
        <v>是</v>
      </c>
      <c r="J22" s="15" t="str">
        <f t="shared" si="6"/>
        <v>否</v>
      </c>
    </row>
    <row r="23" spans="1:10">
      <c r="A23" s="7">
        <f>IF(子基金及业绩基准周净值!A55="","",子基金及业绩基准周净值!A55)</f>
        <v>45835</v>
      </c>
      <c r="B23" s="1">
        <f>IF(A23="","",VLOOKUP($A23,子基金及业绩基准周净值!$A:$AV,15))</f>
        <v>0</v>
      </c>
      <c r="C23" s="8" t="e">
        <f t="shared" si="7"/>
        <v>#DIV/0!</v>
      </c>
      <c r="D23" s="9" t="e">
        <f>IF(A23="","",C23-(子基金及业绩基准周净值!AH55/子基金及业绩基准周净值!AH54-1))</f>
        <v>#DIV/0!</v>
      </c>
      <c r="E23" s="12">
        <f>IF(A23="","",(MAX(B$3:B23)-B23)/MAX(B$3:B23))</f>
        <v>1</v>
      </c>
      <c r="F23" s="12">
        <f>IF(A23="","",MAX(E$4:E23))</f>
        <v>1</v>
      </c>
      <c r="G23" s="13"/>
      <c r="H23" s="14" t="str">
        <f t="shared" si="4"/>
        <v>是</v>
      </c>
      <c r="I23" s="14" t="str">
        <f t="shared" si="5"/>
        <v>是</v>
      </c>
      <c r="J23" s="15" t="str">
        <f t="shared" si="6"/>
        <v>否</v>
      </c>
    </row>
    <row r="24" spans="1:10">
      <c r="A24" s="7">
        <f>IF(子基金及业绩基准周净值!A56="","",子基金及业绩基准周净值!A56)</f>
        <v>45842</v>
      </c>
      <c r="B24" s="1">
        <f>IF(A24="","",VLOOKUP($A24,子基金及业绩基准周净值!$A:$AV,15))</f>
        <v>0</v>
      </c>
      <c r="C24" s="8" t="e">
        <f t="shared" si="7"/>
        <v>#DIV/0!</v>
      </c>
      <c r="D24" s="9" t="e">
        <f>IF(A24="","",C24-(子基金及业绩基准周净值!AH56/子基金及业绩基准周净值!AH55-1))</f>
        <v>#DIV/0!</v>
      </c>
      <c r="E24" s="12">
        <f>IF(A24="","",(MAX(B$3:B24)-B24)/MAX(B$3:B24))</f>
        <v>1</v>
      </c>
      <c r="F24" s="12">
        <f>IF(A24="","",MAX(E$4:E24))</f>
        <v>1</v>
      </c>
      <c r="G24" s="13"/>
      <c r="H24" s="14" t="str">
        <f t="shared" si="4"/>
        <v>是</v>
      </c>
      <c r="I24" s="14" t="str">
        <f t="shared" si="5"/>
        <v>是</v>
      </c>
      <c r="J24" s="15" t="str">
        <f t="shared" si="6"/>
        <v>否</v>
      </c>
    </row>
    <row r="25" spans="1:10">
      <c r="A25" s="7">
        <f>IF(子基金及业绩基准周净值!A57="","",子基金及业绩基准周净值!A57)</f>
        <v>45849</v>
      </c>
      <c r="B25" s="1">
        <f>IF(A25="","",VLOOKUP($A25,子基金及业绩基准周净值!$A:$AV,15))</f>
        <v>0</v>
      </c>
      <c r="C25" s="8" t="e">
        <f t="shared" si="7"/>
        <v>#DIV/0!</v>
      </c>
      <c r="D25" s="9" t="e">
        <f>IF(A25="","",C25-(子基金及业绩基准周净值!AH57/子基金及业绩基准周净值!AH56-1))</f>
        <v>#DIV/0!</v>
      </c>
      <c r="E25" s="12">
        <f>IF(A25="","",(MAX(B$3:B25)-B25)/MAX(B$3:B25))</f>
        <v>1</v>
      </c>
      <c r="F25" s="12">
        <f>IF(A25="","",MAX(E$4:E25))</f>
        <v>1</v>
      </c>
      <c r="G25" s="13"/>
      <c r="H25" s="14" t="str">
        <f t="shared" si="4"/>
        <v>是</v>
      </c>
      <c r="I25" s="14" t="str">
        <f t="shared" si="5"/>
        <v>是</v>
      </c>
      <c r="J25" s="15" t="str">
        <f t="shared" si="6"/>
        <v>否</v>
      </c>
    </row>
    <row r="26" spans="1:10">
      <c r="A26" s="7">
        <f>IF(子基金及业绩基准周净值!A58="","",子基金及业绩基准周净值!A58)</f>
        <v>45856</v>
      </c>
      <c r="B26" s="1">
        <f>IF(A26="","",VLOOKUP($A26,子基金及业绩基准周净值!$A:$AV,15))</f>
        <v>0</v>
      </c>
      <c r="C26" s="8" t="e">
        <f t="shared" si="7"/>
        <v>#DIV/0!</v>
      </c>
      <c r="D26" s="9" t="e">
        <f>IF(A26="","",C26-(子基金及业绩基准周净值!AH58/子基金及业绩基准周净值!AH57-1))</f>
        <v>#DIV/0!</v>
      </c>
      <c r="E26" s="12">
        <f>IF(A26="","",(MAX(B$3:B26)-B26)/MAX(B$3:B26))</f>
        <v>1</v>
      </c>
      <c r="F26" s="12">
        <f>IF(A26="","",MAX(E$4:E26))</f>
        <v>1</v>
      </c>
      <c r="G26" s="13"/>
      <c r="H26" s="14" t="str">
        <f t="shared" si="4"/>
        <v>是</v>
      </c>
      <c r="I26" s="14" t="str">
        <f t="shared" si="5"/>
        <v>是</v>
      </c>
      <c r="J26" s="15" t="str">
        <f t="shared" si="6"/>
        <v>否</v>
      </c>
    </row>
    <row r="27" spans="1:10">
      <c r="A27" s="7">
        <f>IF(子基金及业绩基准周净值!A59="","",子基金及业绩基准周净值!A59)</f>
        <v>45863</v>
      </c>
      <c r="B27" s="1">
        <f>IF(A27="","",VLOOKUP($A27,子基金及业绩基准周净值!$A:$AV,15))</f>
        <v>0</v>
      </c>
      <c r="C27" s="8" t="e">
        <f t="shared" si="7"/>
        <v>#DIV/0!</v>
      </c>
      <c r="D27" s="9" t="e">
        <f>IF(A27="","",C27-(子基金及业绩基准周净值!AH59/子基金及业绩基准周净值!AH58-1))</f>
        <v>#DIV/0!</v>
      </c>
      <c r="E27" s="12">
        <f>IF(A27="","",(MAX(B$3:B27)-B27)/MAX(B$3:B27))</f>
        <v>1</v>
      </c>
      <c r="F27" s="12">
        <f>IF(A27="","",MAX(E$4:E27))</f>
        <v>1</v>
      </c>
      <c r="G27" s="13"/>
      <c r="H27" s="14" t="str">
        <f t="shared" si="4"/>
        <v>是</v>
      </c>
      <c r="I27" s="14" t="str">
        <f t="shared" si="5"/>
        <v>是</v>
      </c>
      <c r="J27" s="15" t="str">
        <f t="shared" si="6"/>
        <v>否</v>
      </c>
    </row>
    <row r="28" spans="1:10">
      <c r="A28" s="7">
        <f>IF(子基金及业绩基准周净值!A60="","",子基金及业绩基准周净值!A60)</f>
        <v>45870</v>
      </c>
      <c r="B28" s="1">
        <f>IF(A28="","",VLOOKUP($A28,子基金及业绩基准周净值!$A:$AV,15))</f>
        <v>0</v>
      </c>
      <c r="C28" s="8" t="e">
        <f t="shared" si="7"/>
        <v>#DIV/0!</v>
      </c>
      <c r="D28" s="9" t="e">
        <f>IF(A28="","",C28-(子基金及业绩基准周净值!AH60/子基金及业绩基准周净值!AH59-1))</f>
        <v>#DIV/0!</v>
      </c>
      <c r="E28" s="12">
        <f>IF(A28="","",(MAX(B$3:B28)-B28)/MAX(B$3:B28))</f>
        <v>1</v>
      </c>
      <c r="F28" s="12">
        <f>IF(A28="","",MAX(E$4:E28))</f>
        <v>1</v>
      </c>
      <c r="G28" s="13"/>
      <c r="H28" s="14" t="str">
        <f t="shared" si="4"/>
        <v>是</v>
      </c>
      <c r="I28" s="14" t="str">
        <f t="shared" si="5"/>
        <v>是</v>
      </c>
      <c r="J28" s="15" t="str">
        <f t="shared" si="6"/>
        <v>否</v>
      </c>
    </row>
    <row r="29" spans="1:10">
      <c r="A29" s="7">
        <f>IF(子基金及业绩基准周净值!A61="","",子基金及业绩基准周净值!A61)</f>
        <v>45877</v>
      </c>
      <c r="B29" s="1">
        <f>IF(A29="","",VLOOKUP($A29,子基金及业绩基准周净值!$A:$AV,15))</f>
        <v>0</v>
      </c>
      <c r="C29" s="8" t="e">
        <f t="shared" si="7"/>
        <v>#DIV/0!</v>
      </c>
      <c r="D29" s="9" t="e">
        <f>IF(A29="","",C29-(子基金及业绩基准周净值!AH61/子基金及业绩基准周净值!AH60-1))</f>
        <v>#DIV/0!</v>
      </c>
      <c r="E29" s="12">
        <f>IF(A29="","",(MAX(B$3:B29)-B29)/MAX(B$3:B29))</f>
        <v>1</v>
      </c>
      <c r="F29" s="12">
        <f>IF(A29="","",MAX(E$4:E29))</f>
        <v>1</v>
      </c>
      <c r="G29" s="13"/>
      <c r="H29" s="14" t="str">
        <f t="shared" si="4"/>
        <v>是</v>
      </c>
      <c r="I29" s="14" t="str">
        <f t="shared" si="5"/>
        <v>是</v>
      </c>
      <c r="J29" s="15" t="str">
        <f t="shared" si="6"/>
        <v>否</v>
      </c>
    </row>
    <row r="30" spans="1:10">
      <c r="A30" s="7">
        <f>IF(子基金及业绩基准周净值!A62="","",子基金及业绩基准周净值!A62)</f>
        <v>45884</v>
      </c>
      <c r="B30" s="1">
        <f>IF(A30="","",VLOOKUP($A30,子基金及业绩基准周净值!$A:$AV,15))</f>
        <v>0</v>
      </c>
      <c r="C30" s="8" t="e">
        <f t="shared" si="7"/>
        <v>#DIV/0!</v>
      </c>
      <c r="D30" s="9" t="e">
        <f>IF(A30="","",C30-(子基金及业绩基准周净值!AH62/子基金及业绩基准周净值!AH61-1))</f>
        <v>#DIV/0!</v>
      </c>
      <c r="E30" s="12">
        <f>IF(A30="","",(MAX(B$3:B30)-B30)/MAX(B$3:B30))</f>
        <v>1</v>
      </c>
      <c r="F30" s="12">
        <f>IF(A30="","",MAX(E$4:E30))</f>
        <v>1</v>
      </c>
      <c r="G30" s="13"/>
      <c r="H30" s="14" t="str">
        <f t="shared" si="4"/>
        <v>是</v>
      </c>
      <c r="I30" s="14" t="str">
        <f t="shared" si="5"/>
        <v>是</v>
      </c>
      <c r="J30" s="15" t="str">
        <f t="shared" si="6"/>
        <v>否</v>
      </c>
    </row>
    <row r="31" spans="1:10">
      <c r="A31" s="7">
        <f>IF(子基金及业绩基准周净值!A63="","",子基金及业绩基准周净值!A63)</f>
        <v>45891</v>
      </c>
      <c r="B31" s="1">
        <f>IF(A31="","",VLOOKUP($A31,子基金及业绩基准周净值!$A:$AV,15))</f>
        <v>0</v>
      </c>
      <c r="C31" s="8" t="e">
        <f t="shared" si="7"/>
        <v>#DIV/0!</v>
      </c>
      <c r="D31" s="9" t="e">
        <f>IF(A31="","",C31-(子基金及业绩基准周净值!AH63/子基金及业绩基准周净值!AH62-1))</f>
        <v>#DIV/0!</v>
      </c>
      <c r="E31" s="12">
        <f>IF(A31="","",(MAX(B$3:B31)-B31)/MAX(B$3:B31))</f>
        <v>1</v>
      </c>
      <c r="F31" s="12">
        <f>IF(A31="","",MAX(E$4:E31))</f>
        <v>1</v>
      </c>
      <c r="G31" s="13"/>
      <c r="H31" s="14" t="str">
        <f t="shared" si="4"/>
        <v>是</v>
      </c>
      <c r="I31" s="14" t="str">
        <f t="shared" si="5"/>
        <v>是</v>
      </c>
      <c r="J31" s="15" t="str">
        <f t="shared" si="6"/>
        <v>否</v>
      </c>
    </row>
    <row r="32" spans="1:10">
      <c r="A32" s="7">
        <f>IF(子基金及业绩基准周净值!A64="","",子基金及业绩基准周净值!A64)</f>
        <v>45898</v>
      </c>
      <c r="B32" s="1">
        <f>IF(A32="","",VLOOKUP($A32,子基金及业绩基准周净值!$A:$AV,15))</f>
        <v>0</v>
      </c>
      <c r="C32" s="8" t="e">
        <f t="shared" si="7"/>
        <v>#DIV/0!</v>
      </c>
      <c r="D32" s="9" t="e">
        <f>IF(A32="","",C32-(子基金及业绩基准周净值!AH64/子基金及业绩基准周净值!AH63-1))</f>
        <v>#DIV/0!</v>
      </c>
      <c r="E32" s="12">
        <f>IF(A32="","",(MAX(B$3:B32)-B32)/MAX(B$3:B32))</f>
        <v>1</v>
      </c>
      <c r="F32" s="12">
        <f>IF(A32="","",MAX(E$4:E32))</f>
        <v>1</v>
      </c>
      <c r="G32" s="13"/>
      <c r="H32" s="14" t="str">
        <f t="shared" si="4"/>
        <v>是</v>
      </c>
      <c r="I32" s="14" t="str">
        <f t="shared" si="5"/>
        <v>是</v>
      </c>
      <c r="J32" s="15" t="str">
        <f t="shared" si="6"/>
        <v>否</v>
      </c>
    </row>
    <row r="33" spans="1:10">
      <c r="A33" s="7">
        <f>IF(子基金及业绩基准周净值!A65="","",子基金及业绩基准周净值!A65)</f>
        <v>45905</v>
      </c>
      <c r="B33" s="1">
        <f>IF(A33="","",VLOOKUP($A33,子基金及业绩基准周净值!$A:$AV,15))</f>
        <v>0</v>
      </c>
      <c r="C33" s="8" t="e">
        <f t="shared" si="7"/>
        <v>#DIV/0!</v>
      </c>
      <c r="D33" s="9" t="e">
        <f>IF(A33="","",C33-(子基金及业绩基准周净值!AH65/子基金及业绩基准周净值!AH64-1))</f>
        <v>#DIV/0!</v>
      </c>
      <c r="E33" s="12">
        <f>IF(A33="","",(MAX(B$3:B33)-B33)/MAX(B$3:B33))</f>
        <v>1</v>
      </c>
      <c r="F33" s="12">
        <f>IF(A33="","",MAX(E$4:E33))</f>
        <v>1</v>
      </c>
      <c r="G33" s="13"/>
      <c r="H33" s="14" t="str">
        <f t="shared" si="4"/>
        <v>是</v>
      </c>
      <c r="I33" s="14" t="str">
        <f t="shared" si="5"/>
        <v>是</v>
      </c>
      <c r="J33" s="15" t="str">
        <f t="shared" si="6"/>
        <v>否</v>
      </c>
    </row>
    <row r="34" spans="1:10">
      <c r="A34" s="7">
        <f>IF(子基金及业绩基准周净值!A66="","",子基金及业绩基准周净值!A66)</f>
        <v>45912</v>
      </c>
      <c r="B34" s="1">
        <f>IF(A34="","",VLOOKUP($A34,子基金及业绩基准周净值!$A:$AV,15))</f>
        <v>0</v>
      </c>
      <c r="C34" s="8" t="e">
        <f t="shared" si="7"/>
        <v>#DIV/0!</v>
      </c>
      <c r="D34" s="9" t="e">
        <f>IF(A34="","",C34-(子基金及业绩基准周净值!AH66/子基金及业绩基准周净值!AH65-1))</f>
        <v>#DIV/0!</v>
      </c>
      <c r="E34" s="12">
        <f>IF(A34="","",(MAX(B$3:B34)-B34)/MAX(B$3:B34))</f>
        <v>1</v>
      </c>
      <c r="F34" s="12">
        <f>IF(A34="","",MAX(E$4:E34))</f>
        <v>1</v>
      </c>
      <c r="G34" s="13"/>
      <c r="H34" s="14" t="str">
        <f t="shared" si="4"/>
        <v>是</v>
      </c>
      <c r="I34" s="14" t="str">
        <f t="shared" si="5"/>
        <v>是</v>
      </c>
      <c r="J34" s="15" t="str">
        <f t="shared" si="6"/>
        <v>否</v>
      </c>
    </row>
    <row r="35" spans="1:10">
      <c r="A35" s="7">
        <f>IF(子基金及业绩基准周净值!A67="","",子基金及业绩基准周净值!A67)</f>
        <v>45919</v>
      </c>
      <c r="B35" s="1">
        <f>IF(A35="","",VLOOKUP($A35,子基金及业绩基准周净值!$A:$AV,15))</f>
        <v>0</v>
      </c>
      <c r="C35" s="8" t="e">
        <f t="shared" si="7"/>
        <v>#DIV/0!</v>
      </c>
      <c r="D35" s="9" t="e">
        <f>IF(A35="","",C35-(子基金及业绩基准周净值!AH67/子基金及业绩基准周净值!AH66-1))</f>
        <v>#DIV/0!</v>
      </c>
      <c r="E35" s="12">
        <f>IF(A35="","",(MAX(B$3:B35)-B35)/MAX(B$3:B35))</f>
        <v>1</v>
      </c>
      <c r="F35" s="12">
        <f>IF(A35="","",MAX(E$4:E35))</f>
        <v>1</v>
      </c>
      <c r="G35" s="13"/>
      <c r="H35" s="14" t="str">
        <f t="shared" si="4"/>
        <v>是</v>
      </c>
      <c r="I35" s="14" t="str">
        <f t="shared" si="5"/>
        <v>是</v>
      </c>
      <c r="J35" s="15" t="str">
        <f t="shared" si="6"/>
        <v>否</v>
      </c>
    </row>
    <row r="36" spans="1:10">
      <c r="A36" s="7">
        <f>IF(子基金及业绩基准周净值!A68="","",子基金及业绩基准周净值!A68)</f>
        <v>45926</v>
      </c>
      <c r="B36" s="1">
        <f>IF(A36="","",VLOOKUP($A36,子基金及业绩基准周净值!$A:$AV,15))</f>
        <v>0</v>
      </c>
      <c r="C36" s="8" t="e">
        <f t="shared" si="7"/>
        <v>#DIV/0!</v>
      </c>
      <c r="D36" s="9" t="e">
        <f>IF(A36="","",C36-(子基金及业绩基准周净值!AH68/子基金及业绩基准周净值!AH67-1))</f>
        <v>#DIV/0!</v>
      </c>
      <c r="E36" s="12">
        <f>IF(A36="","",(MAX(B$3:B36)-B36)/MAX(B$3:B36))</f>
        <v>1</v>
      </c>
      <c r="F36" s="12">
        <f>IF(A36="","",MAX(E$4:E36))</f>
        <v>1</v>
      </c>
      <c r="G36" s="13"/>
      <c r="H36" s="14" t="str">
        <f t="shared" si="4"/>
        <v>是</v>
      </c>
      <c r="I36" s="14" t="str">
        <f t="shared" si="5"/>
        <v>是</v>
      </c>
      <c r="J36" s="15" t="str">
        <f t="shared" si="6"/>
        <v>否</v>
      </c>
    </row>
    <row r="37" spans="1:10">
      <c r="A37" s="7">
        <f>IF(子基金及业绩基准周净值!A69="","",子基金及业绩基准周净值!A69)</f>
        <v>45940</v>
      </c>
      <c r="B37" s="1">
        <f>IF(A37="","",VLOOKUP($A37,子基金及业绩基准周净值!$A:$AV,15))</f>
        <v>0</v>
      </c>
      <c r="C37" s="8" t="e">
        <f t="shared" si="7"/>
        <v>#DIV/0!</v>
      </c>
      <c r="D37" s="9" t="e">
        <f>IF(A37="","",C37-(子基金及业绩基准周净值!AH69/子基金及业绩基准周净值!AH68-1))</f>
        <v>#DIV/0!</v>
      </c>
      <c r="E37" s="12">
        <f>IF(A37="","",(MAX(B$3:B37)-B37)/MAX(B$3:B37))</f>
        <v>1</v>
      </c>
      <c r="F37" s="12">
        <f>IF(A37="","",MAX(E$4:E37))</f>
        <v>1</v>
      </c>
      <c r="G37" s="13"/>
      <c r="H37" s="14" t="str">
        <f t="shared" si="4"/>
        <v>是</v>
      </c>
      <c r="I37" s="14" t="str">
        <f t="shared" si="5"/>
        <v>是</v>
      </c>
      <c r="J37" s="15" t="str">
        <f t="shared" si="6"/>
        <v>否</v>
      </c>
    </row>
    <row r="38" spans="1:10">
      <c r="A38" s="7">
        <f>IF(子基金及业绩基准周净值!A70="","",子基金及业绩基准周净值!A70)</f>
        <v>45947</v>
      </c>
      <c r="B38" s="1">
        <f>IF(A38="","",VLOOKUP($A38,子基金及业绩基准周净值!$A:$AV,15))</f>
        <v>0</v>
      </c>
      <c r="C38" s="8" t="e">
        <f t="shared" si="7"/>
        <v>#DIV/0!</v>
      </c>
      <c r="D38" s="9" t="e">
        <f>IF(A38="","",C38-(子基金及业绩基准周净值!AH70/子基金及业绩基准周净值!AH69-1))</f>
        <v>#DIV/0!</v>
      </c>
      <c r="E38" s="12">
        <f>IF(A38="","",(MAX(B$3:B38)-B38)/MAX(B$3:B38))</f>
        <v>1</v>
      </c>
      <c r="F38" s="12">
        <f>IF(A38="","",MAX(E$4:E38))</f>
        <v>1</v>
      </c>
      <c r="G38" s="13"/>
      <c r="H38" s="14" t="str">
        <f t="shared" si="4"/>
        <v>是</v>
      </c>
      <c r="I38" s="14" t="str">
        <f t="shared" si="5"/>
        <v>是</v>
      </c>
      <c r="J38" s="15" t="str">
        <f t="shared" si="6"/>
        <v>否</v>
      </c>
    </row>
    <row r="39" spans="1:10">
      <c r="A39" s="7">
        <f>IF(子基金及业绩基准周净值!A71="","",子基金及业绩基准周净值!A71)</f>
        <v>45954</v>
      </c>
      <c r="B39" s="1">
        <f>IF(A39="","",VLOOKUP($A39,子基金及业绩基准周净值!$A:$AV,15))</f>
        <v>0</v>
      </c>
      <c r="C39" s="8" t="e">
        <f t="shared" si="7"/>
        <v>#DIV/0!</v>
      </c>
      <c r="D39" s="9" t="e">
        <f>IF(A39="","",C39-(子基金及业绩基准周净值!AH71/子基金及业绩基准周净值!AH70-1))</f>
        <v>#DIV/0!</v>
      </c>
      <c r="E39" s="12">
        <f>IF(A39="","",(MAX(B$3:B39)-B39)/MAX(B$3:B39))</f>
        <v>1</v>
      </c>
      <c r="F39" s="12">
        <f>IF(A39="","",MAX(E$4:E39))</f>
        <v>1</v>
      </c>
      <c r="G39" s="13"/>
      <c r="H39" s="14" t="str">
        <f t="shared" si="4"/>
        <v>是</v>
      </c>
      <c r="I39" s="14" t="str">
        <f t="shared" si="5"/>
        <v>是</v>
      </c>
      <c r="J39" s="15" t="str">
        <f t="shared" si="6"/>
        <v>否</v>
      </c>
    </row>
    <row r="40" spans="1:10">
      <c r="A40" s="7">
        <f>IF(子基金及业绩基准周净值!A72="","",子基金及业绩基准周净值!A72)</f>
        <v>45961</v>
      </c>
      <c r="B40" s="1">
        <f>IF(A40="","",VLOOKUP($A40,子基金及业绩基准周净值!$A:$AV,15))</f>
        <v>0</v>
      </c>
      <c r="C40" s="8" t="e">
        <f t="shared" si="7"/>
        <v>#DIV/0!</v>
      </c>
      <c r="D40" s="9" t="e">
        <f>IF(A40="","",C40-(子基金及业绩基准周净值!AH72/子基金及业绩基准周净值!AH71-1))</f>
        <v>#DIV/0!</v>
      </c>
      <c r="E40" s="12">
        <f>IF(A40="","",(MAX(B$3:B40)-B40)/MAX(B$3:B40))</f>
        <v>1</v>
      </c>
      <c r="F40" s="12">
        <f>IF(A40="","",MAX(E$4:E40))</f>
        <v>1</v>
      </c>
      <c r="G40" s="13"/>
      <c r="H40" s="14" t="str">
        <f t="shared" si="4"/>
        <v>是</v>
      </c>
      <c r="I40" s="14" t="str">
        <f t="shared" si="5"/>
        <v>是</v>
      </c>
      <c r="J40" s="15" t="str">
        <f t="shared" si="6"/>
        <v>否</v>
      </c>
    </row>
    <row r="41" spans="1:10">
      <c r="A41" s="7" t="str">
        <f>IF(子基金及业绩基准周净值!A73="","",子基金及业绩基准周净值!A73)</f>
        <v/>
      </c>
      <c r="B41" s="1" t="str">
        <f>IF(A41="","",VLOOKUP($A41,子基金及业绩基准周净值!$A:$AV,15))</f>
        <v/>
      </c>
      <c r="C41" s="8" t="str">
        <f t="shared" si="7"/>
        <v/>
      </c>
      <c r="D41" s="9" t="str">
        <f>IF(A41="","",C41-(子基金及业绩基准周净值!AH73/子基金及业绩基准周净值!AH72-1))</f>
        <v/>
      </c>
      <c r="E41" s="12" t="str">
        <f>IF(A41="","",(MAX(B$3:B41)-B41)/MAX(B$3:B41))</f>
        <v/>
      </c>
      <c r="F41" s="12" t="str">
        <f>IF(A41="","",MAX(E$4:E41))</f>
        <v/>
      </c>
      <c r="G41" s="13"/>
      <c r="H41" s="14" t="str">
        <f t="shared" si="4"/>
        <v/>
      </c>
      <c r="I41" s="14" t="str">
        <f t="shared" si="5"/>
        <v/>
      </c>
      <c r="J41" s="15" t="str">
        <f t="shared" si="6"/>
        <v/>
      </c>
    </row>
    <row r="42" spans="1:10">
      <c r="A42" s="7" t="str">
        <f>IF(子基金及业绩基准周净值!A74="","",子基金及业绩基准周净值!A74)</f>
        <v/>
      </c>
      <c r="B42" s="1" t="str">
        <f>IF(A42="","",VLOOKUP($A42,子基金及业绩基准周净值!$A:$AV,15))</f>
        <v/>
      </c>
      <c r="C42" s="8" t="str">
        <f t="shared" si="7"/>
        <v/>
      </c>
      <c r="D42" s="9" t="str">
        <f>IF(A42="","",C42-(子基金及业绩基准周净值!AH74/子基金及业绩基准周净值!AH73-1))</f>
        <v/>
      </c>
      <c r="E42" s="12" t="str">
        <f>IF(A42="","",(MAX(B$3:B42)-B42)/MAX(B$3:B42))</f>
        <v/>
      </c>
      <c r="F42" s="12" t="str">
        <f>IF(A42="","",MAX(E$4:E42))</f>
        <v/>
      </c>
      <c r="G42" s="13"/>
      <c r="H42" s="14" t="str">
        <f t="shared" si="4"/>
        <v/>
      </c>
      <c r="I42" s="14" t="str">
        <f t="shared" si="5"/>
        <v/>
      </c>
      <c r="J42" s="15" t="str">
        <f t="shared" si="6"/>
        <v/>
      </c>
    </row>
    <row r="43" spans="1:10">
      <c r="A43" s="7" t="str">
        <f>IF(子基金及业绩基准周净值!A75="","",子基金及业绩基准周净值!A75)</f>
        <v/>
      </c>
      <c r="B43" s="1" t="str">
        <f>IF(A43="","",VLOOKUP($A43,子基金及业绩基准周净值!$A:$AV,15))</f>
        <v/>
      </c>
      <c r="C43" s="8" t="str">
        <f t="shared" si="7"/>
        <v/>
      </c>
      <c r="D43" s="9" t="str">
        <f>IF(A43="","",C43-(子基金及业绩基准周净值!AH75/子基金及业绩基准周净值!AH74-1))</f>
        <v/>
      </c>
      <c r="E43" s="12" t="str">
        <f>IF(A43="","",(MAX(B$3:B43)-B43)/MAX(B$3:B43))</f>
        <v/>
      </c>
      <c r="F43" s="12" t="str">
        <f>IF(A43="","",MAX(E$4:E43))</f>
        <v/>
      </c>
      <c r="G43" s="13"/>
      <c r="H43" s="14" t="str">
        <f t="shared" si="4"/>
        <v/>
      </c>
      <c r="I43" s="14" t="str">
        <f t="shared" si="5"/>
        <v/>
      </c>
      <c r="J43" s="15" t="str">
        <f t="shared" si="6"/>
        <v/>
      </c>
    </row>
    <row r="44" spans="1:10">
      <c r="A44" s="7" t="str">
        <f>IF(子基金及业绩基准周净值!A76="","",子基金及业绩基准周净值!A76)</f>
        <v/>
      </c>
      <c r="B44" s="1" t="str">
        <f>IF(A44="","",VLOOKUP($A44,子基金及业绩基准周净值!$A:$AV,15))</f>
        <v/>
      </c>
      <c r="C44" s="8" t="str">
        <f t="shared" si="7"/>
        <v/>
      </c>
      <c r="D44" s="9" t="str">
        <f>IF(A44="","",C44-(子基金及业绩基准周净值!AH76/子基金及业绩基准周净值!AH75-1))</f>
        <v/>
      </c>
      <c r="E44" s="12" t="str">
        <f>IF(A44="","",(MAX(B$3:B44)-B44)/MAX(B$3:B44))</f>
        <v/>
      </c>
      <c r="F44" s="12" t="str">
        <f>IF(A44="","",MAX(E$4:E44))</f>
        <v/>
      </c>
      <c r="G44" s="13"/>
      <c r="H44" s="14" t="str">
        <f t="shared" si="4"/>
        <v/>
      </c>
      <c r="I44" s="14" t="str">
        <f t="shared" si="5"/>
        <v/>
      </c>
      <c r="J44" s="15" t="str">
        <f t="shared" si="6"/>
        <v/>
      </c>
    </row>
    <row r="45" spans="1:10">
      <c r="A45" s="7" t="str">
        <f>IF(子基金及业绩基准周净值!A77="","",子基金及业绩基准周净值!A77)</f>
        <v/>
      </c>
      <c r="B45" s="1" t="str">
        <f>IF(A45="","",VLOOKUP($A45,子基金及业绩基准周净值!$A:$AV,15))</f>
        <v/>
      </c>
      <c r="C45" s="8" t="str">
        <f t="shared" si="7"/>
        <v/>
      </c>
      <c r="D45" s="9" t="str">
        <f>IF(A45="","",C45-(子基金及业绩基准周净值!AH77/子基金及业绩基准周净值!AH76-1))</f>
        <v/>
      </c>
      <c r="E45" s="12" t="str">
        <f>IF(A45="","",(MAX(B$3:B45)-B45)/MAX(B$3:B45))</f>
        <v/>
      </c>
      <c r="F45" s="12" t="str">
        <f>IF(A45="","",MAX(E$4:E45))</f>
        <v/>
      </c>
      <c r="G45" s="13"/>
      <c r="H45" s="14" t="str">
        <f t="shared" si="4"/>
        <v/>
      </c>
      <c r="I45" s="14" t="str">
        <f t="shared" si="5"/>
        <v/>
      </c>
      <c r="J45" s="15" t="str">
        <f t="shared" si="6"/>
        <v/>
      </c>
    </row>
    <row r="46" spans="1:10">
      <c r="A46" s="7" t="str">
        <f>IF(子基金及业绩基准周净值!A78="","",子基金及业绩基准周净值!A78)</f>
        <v/>
      </c>
      <c r="B46" s="1" t="str">
        <f>IF(A46="","",VLOOKUP($A46,子基金及业绩基准周净值!$A:$AV,15))</f>
        <v/>
      </c>
      <c r="C46" s="8" t="str">
        <f t="shared" si="7"/>
        <v/>
      </c>
      <c r="D46" s="9" t="str">
        <f>IF(A46="","",C46-(子基金及业绩基准周净值!AH78/子基金及业绩基准周净值!AH77-1))</f>
        <v/>
      </c>
      <c r="E46" s="12" t="str">
        <f>IF(A46="","",(MAX(B$3:B46)-B46)/MAX(B$3:B46))</f>
        <v/>
      </c>
      <c r="F46" s="12" t="str">
        <f>IF(A46="","",MAX(E$4:E46))</f>
        <v/>
      </c>
      <c r="G46" s="13"/>
      <c r="H46" s="14" t="str">
        <f t="shared" si="4"/>
        <v/>
      </c>
      <c r="I46" s="14" t="str">
        <f t="shared" si="5"/>
        <v/>
      </c>
      <c r="J46" s="15" t="str">
        <f t="shared" si="6"/>
        <v/>
      </c>
    </row>
    <row r="47" spans="1:10">
      <c r="A47" s="7" t="str">
        <f>IF(子基金及业绩基准周净值!A79="","",子基金及业绩基准周净值!A79)</f>
        <v/>
      </c>
      <c r="B47" s="1" t="str">
        <f>IF(A47="","",VLOOKUP($A47,子基金及业绩基准周净值!$A:$AV,15))</f>
        <v/>
      </c>
      <c r="C47" s="8" t="str">
        <f t="shared" si="7"/>
        <v/>
      </c>
      <c r="D47" s="9" t="str">
        <f>IF(A47="","",C47-(子基金及业绩基准周净值!AH79/子基金及业绩基准周净值!AH78-1))</f>
        <v/>
      </c>
      <c r="E47" s="12" t="str">
        <f>IF(A47="","",(MAX(B$3:B47)-B47)/MAX(B$3:B47))</f>
        <v/>
      </c>
      <c r="F47" s="12" t="str">
        <f>IF(A47="","",MAX(E$4:E47))</f>
        <v/>
      </c>
      <c r="G47" s="13"/>
      <c r="H47" s="14" t="str">
        <f t="shared" si="4"/>
        <v/>
      </c>
      <c r="I47" s="14" t="str">
        <f t="shared" si="5"/>
        <v/>
      </c>
      <c r="J47" s="15" t="str">
        <f t="shared" si="6"/>
        <v/>
      </c>
    </row>
    <row r="48" spans="1:10">
      <c r="A48" s="7" t="str">
        <f>IF(子基金及业绩基准周净值!A80="","",子基金及业绩基准周净值!A80)</f>
        <v/>
      </c>
      <c r="B48" s="1" t="str">
        <f>IF(A48="","",VLOOKUP($A48,子基金及业绩基准周净值!$A:$AV,15))</f>
        <v/>
      </c>
      <c r="C48" s="8" t="str">
        <f t="shared" si="7"/>
        <v/>
      </c>
      <c r="D48" s="9" t="str">
        <f>IF(A48="","",C48-(子基金及业绩基准周净值!AH80/子基金及业绩基准周净值!AH79-1))</f>
        <v/>
      </c>
      <c r="E48" s="12" t="str">
        <f>IF(A48="","",(MAX(B$3:B48)-B48)/MAX(B$3:B48))</f>
        <v/>
      </c>
      <c r="F48" s="12" t="str">
        <f>IF(A48="","",MAX(E$4:E48))</f>
        <v/>
      </c>
      <c r="G48" s="13"/>
      <c r="H48" s="14" t="str">
        <f t="shared" si="4"/>
        <v/>
      </c>
      <c r="I48" s="14" t="str">
        <f t="shared" si="5"/>
        <v/>
      </c>
      <c r="J48" s="15" t="str">
        <f t="shared" si="6"/>
        <v/>
      </c>
    </row>
    <row r="49" spans="1:10">
      <c r="A49" s="7" t="str">
        <f>IF(子基金及业绩基准周净值!A81="","",子基金及业绩基准周净值!A81)</f>
        <v/>
      </c>
      <c r="B49" s="1" t="str">
        <f>IF(A49="","",VLOOKUP($A49,子基金及业绩基准周净值!$A:$AV,15))</f>
        <v/>
      </c>
      <c r="C49" s="8" t="str">
        <f t="shared" si="7"/>
        <v/>
      </c>
      <c r="D49" s="9" t="str">
        <f>IF(A49="","",C49-(子基金及业绩基准周净值!AH81/子基金及业绩基准周净值!AH80-1))</f>
        <v/>
      </c>
      <c r="E49" s="12" t="str">
        <f>IF(A49="","",(MAX(B$3:B49)-B49)/MAX(B$3:B49))</f>
        <v/>
      </c>
      <c r="F49" s="12" t="str">
        <f>IF(A49="","",MAX(E$4:E49))</f>
        <v/>
      </c>
      <c r="G49" s="13"/>
      <c r="H49" s="14" t="str">
        <f t="shared" si="4"/>
        <v/>
      </c>
      <c r="I49" s="14" t="str">
        <f t="shared" si="5"/>
        <v/>
      </c>
      <c r="J49" s="15" t="str">
        <f t="shared" si="6"/>
        <v/>
      </c>
    </row>
    <row r="50" spans="1:10">
      <c r="A50" s="7" t="str">
        <f>IF(子基金及业绩基准周净值!A82="","",子基金及业绩基准周净值!A82)</f>
        <v/>
      </c>
      <c r="B50" s="1" t="str">
        <f>IF(A50="","",VLOOKUP($A50,子基金及业绩基准周净值!$A:$AV,15))</f>
        <v/>
      </c>
      <c r="C50" s="8" t="str">
        <f t="shared" si="7"/>
        <v/>
      </c>
      <c r="D50" s="9" t="str">
        <f>IF(A50="","",C50-(子基金及业绩基准周净值!AH82/子基金及业绩基准周净值!AH81-1))</f>
        <v/>
      </c>
      <c r="E50" s="12" t="str">
        <f>IF(A50="","",(MAX(B$3:B50)-B50)/MAX(B$3:B50))</f>
        <v/>
      </c>
      <c r="F50" s="12" t="str">
        <f>IF(A50="","",MAX(E$4:E50))</f>
        <v/>
      </c>
      <c r="G50" s="13"/>
      <c r="H50" s="14" t="str">
        <f t="shared" si="4"/>
        <v/>
      </c>
      <c r="I50" s="14" t="str">
        <f t="shared" si="5"/>
        <v/>
      </c>
      <c r="J50" s="15" t="str">
        <f t="shared" si="6"/>
        <v/>
      </c>
    </row>
    <row r="51" spans="1:10">
      <c r="A51" s="7" t="str">
        <f>IF(子基金及业绩基准周净值!A83="","",子基金及业绩基准周净值!A83)</f>
        <v/>
      </c>
      <c r="B51" s="1" t="str">
        <f>IF(A51="","",VLOOKUP($A51,子基金及业绩基准周净值!$A:$AV,15))</f>
        <v/>
      </c>
      <c r="C51" s="8" t="str">
        <f t="shared" si="7"/>
        <v/>
      </c>
      <c r="D51" s="9" t="str">
        <f>IF(A51="","",C51-(子基金及业绩基准周净值!AH83/子基金及业绩基准周净值!AH82-1))</f>
        <v/>
      </c>
      <c r="E51" s="12" t="str">
        <f>IF(A51="","",(MAX(B$3:B51)-B51)/MAX(B$3:B51))</f>
        <v/>
      </c>
      <c r="F51" s="12" t="str">
        <f>IF(A51="","",MAX(E$4:E51))</f>
        <v/>
      </c>
      <c r="G51" s="13"/>
      <c r="H51" s="14" t="str">
        <f t="shared" si="4"/>
        <v/>
      </c>
      <c r="I51" s="14" t="str">
        <f t="shared" si="5"/>
        <v/>
      </c>
      <c r="J51" s="15" t="str">
        <f t="shared" si="6"/>
        <v/>
      </c>
    </row>
    <row r="52" spans="1:10">
      <c r="A52" s="7" t="str">
        <f>IF(子基金及业绩基准周净值!A84="","",子基金及业绩基准周净值!A84)</f>
        <v/>
      </c>
      <c r="B52" s="1" t="str">
        <f>IF(A52="","",VLOOKUP($A52,子基金及业绩基准周净值!$A:$AV,15))</f>
        <v/>
      </c>
      <c r="C52" s="8" t="str">
        <f t="shared" si="7"/>
        <v/>
      </c>
      <c r="D52" s="9" t="str">
        <f>IF(A52="","",C52-(子基金及业绩基准周净值!AH84/子基金及业绩基准周净值!AH83-1))</f>
        <v/>
      </c>
      <c r="E52" s="12" t="str">
        <f>IF(A52="","",(MAX(B$3:B52)-B52)/MAX(B$3:B52))</f>
        <v/>
      </c>
      <c r="F52" s="12" t="str">
        <f>IF(A52="","",MAX(E$4:E52))</f>
        <v/>
      </c>
      <c r="G52" s="13"/>
      <c r="H52" s="14" t="str">
        <f t="shared" si="4"/>
        <v/>
      </c>
      <c r="I52" s="14" t="str">
        <f t="shared" si="5"/>
        <v/>
      </c>
      <c r="J52" s="15" t="str">
        <f t="shared" si="6"/>
        <v/>
      </c>
    </row>
    <row r="53" spans="1:10">
      <c r="A53" s="7" t="str">
        <f>IF(子基金及业绩基准周净值!A85="","",子基金及业绩基准周净值!A85)</f>
        <v/>
      </c>
      <c r="B53" s="1" t="str">
        <f>IF(A53="","",VLOOKUP($A53,子基金及业绩基准周净值!$A:$AV,15))</f>
        <v/>
      </c>
      <c r="C53" s="8" t="str">
        <f t="shared" si="7"/>
        <v/>
      </c>
      <c r="D53" s="9" t="str">
        <f>IF(A53="","",C53-(子基金及业绩基准周净值!AH85/子基金及业绩基准周净值!AH84-1))</f>
        <v/>
      </c>
      <c r="E53" s="12" t="str">
        <f>IF(A53="","",(MAX(B$3:B53)-B53)/MAX(B$3:B53))</f>
        <v/>
      </c>
      <c r="F53" s="12" t="str">
        <f>IF(A53="","",MAX(E$4:E53))</f>
        <v/>
      </c>
      <c r="G53" s="13"/>
      <c r="H53" s="14" t="str">
        <f t="shared" si="4"/>
        <v/>
      </c>
      <c r="I53" s="14" t="str">
        <f t="shared" si="5"/>
        <v/>
      </c>
      <c r="J53" s="15" t="str">
        <f t="shared" si="6"/>
        <v/>
      </c>
    </row>
    <row r="54" spans="1:10">
      <c r="A54" s="7" t="str">
        <f>IF(子基金及业绩基准周净值!A86="","",子基金及业绩基准周净值!A86)</f>
        <v/>
      </c>
      <c r="B54" s="1" t="str">
        <f>IF(A54="","",VLOOKUP($A54,子基金及业绩基准周净值!$A:$AV,15))</f>
        <v/>
      </c>
      <c r="C54" s="8" t="str">
        <f t="shared" si="7"/>
        <v/>
      </c>
      <c r="D54" s="9" t="str">
        <f>IF(A54="","",C54-(子基金及业绩基准周净值!AH86/子基金及业绩基准周净值!AH85-1))</f>
        <v/>
      </c>
      <c r="E54" s="12" t="str">
        <f>IF(A54="","",(MAX(B$3:B54)-B54)/MAX(B$3:B54))</f>
        <v/>
      </c>
      <c r="F54" s="12" t="str">
        <f>IF(A54="","",MAX(E$4:E54))</f>
        <v/>
      </c>
      <c r="G54" s="13"/>
      <c r="H54" s="14" t="str">
        <f t="shared" si="4"/>
        <v/>
      </c>
      <c r="I54" s="14" t="str">
        <f t="shared" si="5"/>
        <v/>
      </c>
      <c r="J54" s="15" t="str">
        <f t="shared" si="6"/>
        <v/>
      </c>
    </row>
    <row r="55" spans="1:10">
      <c r="A55" s="7" t="str">
        <f>IF(子基金及业绩基准周净值!A87="","",子基金及业绩基准周净值!A87)</f>
        <v/>
      </c>
      <c r="B55" s="1" t="str">
        <f>IF(A55="","",VLOOKUP($A55,子基金及业绩基准周净值!$A:$AV,15))</f>
        <v/>
      </c>
      <c r="C55" s="8" t="str">
        <f t="shared" si="7"/>
        <v/>
      </c>
      <c r="D55" s="9" t="str">
        <f>IF(A55="","",C55-(子基金及业绩基准周净值!AH87/子基金及业绩基准周净值!AH86-1))</f>
        <v/>
      </c>
      <c r="E55" s="12" t="str">
        <f>IF(A55="","",(MAX(B$3:B55)-B55)/MAX(B$3:B55))</f>
        <v/>
      </c>
      <c r="F55" s="12" t="str">
        <f>IF(A55="","",MAX(E$4:E55))</f>
        <v/>
      </c>
      <c r="G55" s="13"/>
      <c r="H55" s="14" t="str">
        <f t="shared" si="4"/>
        <v/>
      </c>
      <c r="I55" s="14" t="str">
        <f t="shared" si="5"/>
        <v/>
      </c>
      <c r="J55" s="15" t="str">
        <f t="shared" si="6"/>
        <v/>
      </c>
    </row>
    <row r="56" spans="1:10">
      <c r="A56" s="7" t="str">
        <f>IF(子基金及业绩基准周净值!A88="","",子基金及业绩基准周净值!A88)</f>
        <v/>
      </c>
      <c r="B56" s="1" t="str">
        <f>IF(A56="","",VLOOKUP($A56,子基金及业绩基准周净值!$A:$AV,15))</f>
        <v/>
      </c>
      <c r="C56" s="8" t="str">
        <f t="shared" si="7"/>
        <v/>
      </c>
      <c r="D56" s="9" t="str">
        <f>IF(A56="","",C56-(子基金及业绩基准周净值!AH88/子基金及业绩基准周净值!AH87-1))</f>
        <v/>
      </c>
      <c r="E56" s="12" t="str">
        <f>IF(A56="","",(MAX(B$3:B56)-B56)/MAX(B$3:B56))</f>
        <v/>
      </c>
      <c r="F56" s="12" t="str">
        <f>IF(A56="","",MAX(E$4:E56))</f>
        <v/>
      </c>
      <c r="G56" s="13"/>
      <c r="H56" s="14" t="str">
        <f t="shared" si="4"/>
        <v/>
      </c>
      <c r="I56" s="14" t="str">
        <f t="shared" si="5"/>
        <v/>
      </c>
      <c r="J56" s="15" t="str">
        <f t="shared" si="6"/>
        <v/>
      </c>
    </row>
    <row r="57" spans="1:10">
      <c r="A57" s="7" t="str">
        <f>IF(子基金及业绩基准周净值!A89="","",子基金及业绩基准周净值!A89)</f>
        <v/>
      </c>
      <c r="B57" s="1" t="str">
        <f>IF(A57="","",VLOOKUP($A57,子基金及业绩基准周净值!$A:$AV,15))</f>
        <v/>
      </c>
      <c r="C57" s="8" t="str">
        <f t="shared" si="7"/>
        <v/>
      </c>
      <c r="D57" s="9" t="str">
        <f>IF(A57="","",C57-(子基金及业绩基准周净值!AH89/子基金及业绩基准周净值!AH88-1))</f>
        <v/>
      </c>
      <c r="E57" s="12" t="str">
        <f>IF(A57="","",(MAX(B$3:B57)-B57)/MAX(B$3:B57))</f>
        <v/>
      </c>
      <c r="F57" s="12" t="str">
        <f>IF(A57="","",MAX(E$4:E57))</f>
        <v/>
      </c>
      <c r="G57" s="13"/>
      <c r="H57" s="14" t="str">
        <f t="shared" si="4"/>
        <v/>
      </c>
      <c r="I57" s="14" t="str">
        <f t="shared" si="5"/>
        <v/>
      </c>
      <c r="J57" s="15" t="str">
        <f t="shared" si="6"/>
        <v/>
      </c>
    </row>
    <row r="58" spans="1:10">
      <c r="A58" s="7" t="str">
        <f>IF(子基金及业绩基准周净值!A90="","",子基金及业绩基准周净值!A90)</f>
        <v/>
      </c>
      <c r="B58" s="1" t="str">
        <f>IF(A58="","",VLOOKUP($A58,子基金及业绩基准周净值!$A:$AV,15))</f>
        <v/>
      </c>
      <c r="C58" s="8" t="str">
        <f t="shared" si="7"/>
        <v/>
      </c>
      <c r="D58" s="9" t="str">
        <f>IF(A58="","",C58-(子基金及业绩基准周净值!AH90/子基金及业绩基准周净值!AH89-1))</f>
        <v/>
      </c>
      <c r="E58" s="12" t="str">
        <f>IF(A58="","",(MAX(B$3:B58)-B58)/MAX(B$3:B58))</f>
        <v/>
      </c>
      <c r="F58" s="12" t="str">
        <f>IF(A58="","",MAX(E$4:E58))</f>
        <v/>
      </c>
      <c r="G58" s="13"/>
      <c r="H58" s="14" t="str">
        <f t="shared" si="4"/>
        <v/>
      </c>
      <c r="I58" s="14" t="str">
        <f t="shared" si="5"/>
        <v/>
      </c>
      <c r="J58" s="15" t="str">
        <f t="shared" si="6"/>
        <v/>
      </c>
    </row>
    <row r="59" spans="1:10">
      <c r="A59" s="7" t="str">
        <f>IF(子基金及业绩基准周净值!A91="","",子基金及业绩基准周净值!A91)</f>
        <v/>
      </c>
      <c r="B59" s="1" t="str">
        <f>IF(A59="","",VLOOKUP($A59,子基金及业绩基准周净值!$A:$AV,15))</f>
        <v/>
      </c>
      <c r="C59" s="8" t="str">
        <f t="shared" si="7"/>
        <v/>
      </c>
      <c r="D59" s="9" t="str">
        <f>IF(A59="","",C59-(子基金及业绩基准周净值!AH91/子基金及业绩基准周净值!AH90-1))</f>
        <v/>
      </c>
      <c r="E59" s="12" t="str">
        <f>IF(A59="","",(MAX(B$3:B59)-B59)/MAX(B$3:B59))</f>
        <v/>
      </c>
      <c r="F59" s="12" t="str">
        <f>IF(A59="","",MAX(E$4:E59))</f>
        <v/>
      </c>
      <c r="G59" s="13"/>
      <c r="H59" s="14" t="str">
        <f t="shared" si="4"/>
        <v/>
      </c>
      <c r="I59" s="14" t="str">
        <f t="shared" si="5"/>
        <v/>
      </c>
      <c r="J59" s="15" t="str">
        <f t="shared" si="6"/>
        <v/>
      </c>
    </row>
    <row r="60" spans="1:10">
      <c r="A60" s="7" t="str">
        <f>IF(子基金及业绩基准周净值!A92="","",子基金及业绩基准周净值!A92)</f>
        <v/>
      </c>
      <c r="B60" s="1" t="str">
        <f>IF(A60="","",VLOOKUP($A60,子基金及业绩基准周净值!$A:$AV,15))</f>
        <v/>
      </c>
      <c r="C60" s="8" t="str">
        <f t="shared" si="7"/>
        <v/>
      </c>
      <c r="D60" s="9" t="str">
        <f>IF(A60="","",C60-(子基金及业绩基准周净值!AH92/子基金及业绩基准周净值!AH91-1))</f>
        <v/>
      </c>
      <c r="E60" s="12" t="str">
        <f>IF(A60="","",(MAX(B$3:B60)-B60)/MAX(B$3:B60))</f>
        <v/>
      </c>
      <c r="F60" s="12" t="str">
        <f>IF(A60="","",MAX(E$4:E60))</f>
        <v/>
      </c>
      <c r="G60" s="13"/>
      <c r="H60" s="14" t="str">
        <f t="shared" si="4"/>
        <v/>
      </c>
      <c r="I60" s="14" t="str">
        <f t="shared" si="5"/>
        <v/>
      </c>
      <c r="J60" s="15" t="str">
        <f t="shared" si="6"/>
        <v/>
      </c>
    </row>
    <row r="61" spans="1:10">
      <c r="A61" s="7" t="str">
        <f>IF(子基金及业绩基准周净值!A93="","",子基金及业绩基准周净值!A93)</f>
        <v/>
      </c>
      <c r="B61" s="1" t="str">
        <f>IF(A61="","",VLOOKUP($A61,子基金及业绩基准周净值!$A:$AV,15))</f>
        <v/>
      </c>
      <c r="C61" s="8" t="str">
        <f t="shared" si="7"/>
        <v/>
      </c>
      <c r="D61" s="9" t="str">
        <f>IF(A61="","",C61-(子基金及业绩基准周净值!AH93/子基金及业绩基准周净值!AH92-1))</f>
        <v/>
      </c>
      <c r="E61" s="12" t="str">
        <f>IF(A61="","",(MAX(B$3:B61)-B61)/MAX(B$3:B61))</f>
        <v/>
      </c>
      <c r="F61" s="12" t="str">
        <f>IF(A61="","",MAX(E$4:E61))</f>
        <v/>
      </c>
      <c r="G61" s="13"/>
      <c r="H61" s="14" t="str">
        <f t="shared" si="4"/>
        <v/>
      </c>
      <c r="I61" s="14" t="str">
        <f t="shared" si="5"/>
        <v/>
      </c>
      <c r="J61" s="15" t="str">
        <f t="shared" si="6"/>
        <v/>
      </c>
    </row>
    <row r="62" spans="1:10">
      <c r="A62" s="7" t="str">
        <f>IF(子基金及业绩基准周净值!A94="","",子基金及业绩基准周净值!A94)</f>
        <v/>
      </c>
      <c r="B62" s="1" t="str">
        <f>IF(A62="","",VLOOKUP($A62,子基金及业绩基准周净值!$A:$AV,15))</f>
        <v/>
      </c>
      <c r="C62" s="8" t="str">
        <f t="shared" si="7"/>
        <v/>
      </c>
      <c r="D62" s="9" t="str">
        <f>IF(A62="","",C62-(子基金及业绩基准周净值!AH94/子基金及业绩基准周净值!AH93-1))</f>
        <v/>
      </c>
      <c r="E62" s="12" t="str">
        <f>IF(A62="","",(MAX(B$3:B62)-B62)/MAX(B$3:B62))</f>
        <v/>
      </c>
      <c r="F62" s="12" t="str">
        <f>IF(A62="","",MAX(E$4:E62))</f>
        <v/>
      </c>
      <c r="G62" s="13"/>
      <c r="H62" s="14" t="str">
        <f t="shared" si="4"/>
        <v/>
      </c>
      <c r="I62" s="14" t="str">
        <f t="shared" si="5"/>
        <v/>
      </c>
      <c r="J62" s="15" t="str">
        <f t="shared" si="6"/>
        <v/>
      </c>
    </row>
    <row r="63" spans="1:10">
      <c r="A63" s="7" t="str">
        <f>IF(子基金及业绩基准周净值!A95="","",子基金及业绩基准周净值!A95)</f>
        <v/>
      </c>
      <c r="B63" s="1" t="str">
        <f>IF(A63="","",VLOOKUP($A63,子基金及业绩基准周净值!$A:$AV,15))</f>
        <v/>
      </c>
      <c r="C63" s="8" t="str">
        <f t="shared" si="7"/>
        <v/>
      </c>
      <c r="D63" s="9" t="str">
        <f>IF(A63="","",C63-(子基金及业绩基准周净值!AH95/子基金及业绩基准周净值!AH94-1))</f>
        <v/>
      </c>
      <c r="E63" s="12" t="str">
        <f>IF(A63="","",(MAX(B$3:B63)-B63)/MAX(B$3:B63))</f>
        <v/>
      </c>
      <c r="F63" s="12" t="str">
        <f>IF(A63="","",MAX(E$4:E63))</f>
        <v/>
      </c>
      <c r="G63" s="13"/>
      <c r="H63" s="14" t="str">
        <f t="shared" si="4"/>
        <v/>
      </c>
      <c r="I63" s="14" t="str">
        <f t="shared" si="5"/>
        <v/>
      </c>
      <c r="J63" s="15" t="str">
        <f t="shared" si="6"/>
        <v/>
      </c>
    </row>
    <row r="64" spans="1:10">
      <c r="A64" s="7" t="str">
        <f>IF(子基金及业绩基准周净值!A96="","",子基金及业绩基准周净值!A96)</f>
        <v/>
      </c>
      <c r="B64" s="1" t="str">
        <f>IF(A64="","",VLOOKUP($A64,子基金及业绩基准周净值!$A:$AV,15))</f>
        <v/>
      </c>
      <c r="C64" s="8" t="str">
        <f t="shared" si="7"/>
        <v/>
      </c>
      <c r="D64" s="9" t="str">
        <f>IF(A64="","",C64-(子基金及业绩基准周净值!AH96/子基金及业绩基准周净值!AH95-1))</f>
        <v/>
      </c>
      <c r="E64" s="12" t="str">
        <f>IF(A64="","",(MAX(B$3:B64)-B64)/MAX(B$3:B64))</f>
        <v/>
      </c>
      <c r="F64" s="12" t="str">
        <f>IF(A64="","",MAX(E$4:E64))</f>
        <v/>
      </c>
      <c r="G64" s="13"/>
      <c r="H64" s="14" t="str">
        <f t="shared" si="4"/>
        <v/>
      </c>
      <c r="I64" s="14" t="str">
        <f t="shared" si="5"/>
        <v/>
      </c>
      <c r="J64" s="15" t="str">
        <f t="shared" si="6"/>
        <v/>
      </c>
    </row>
    <row r="65" spans="1:10">
      <c r="A65" s="7" t="str">
        <f>IF(子基金及业绩基准周净值!A97="","",子基金及业绩基准周净值!A97)</f>
        <v/>
      </c>
      <c r="B65" s="1" t="str">
        <f>IF(A65="","",VLOOKUP($A65,子基金及业绩基准周净值!$A:$AV,15))</f>
        <v/>
      </c>
      <c r="C65" s="8" t="str">
        <f t="shared" si="7"/>
        <v/>
      </c>
      <c r="D65" s="9" t="str">
        <f>IF(A65="","",C65-(子基金及业绩基准周净值!AH97/子基金及业绩基准周净值!AH96-1))</f>
        <v/>
      </c>
      <c r="E65" s="12" t="str">
        <f>IF(A65="","",(MAX(B$3:B65)-B65)/MAX(B$3:B65))</f>
        <v/>
      </c>
      <c r="F65" s="12" t="str">
        <f>IF(A65="","",MAX(E$4:E65))</f>
        <v/>
      </c>
      <c r="G65" s="13"/>
      <c r="H65" s="14" t="str">
        <f t="shared" si="4"/>
        <v/>
      </c>
      <c r="I65" s="14" t="str">
        <f t="shared" si="5"/>
        <v/>
      </c>
      <c r="J65" s="15" t="str">
        <f t="shared" si="6"/>
        <v/>
      </c>
    </row>
    <row r="66" spans="1:10">
      <c r="A66" s="7" t="str">
        <f>IF(子基金及业绩基准周净值!A98="","",子基金及业绩基准周净值!A98)</f>
        <v/>
      </c>
      <c r="B66" s="1" t="str">
        <f>IF(A66="","",VLOOKUP($A66,子基金及业绩基准周净值!$A:$AV,15))</f>
        <v/>
      </c>
      <c r="C66" s="8" t="str">
        <f t="shared" si="7"/>
        <v/>
      </c>
      <c r="D66" s="9" t="str">
        <f>IF(A66="","",C66-(子基金及业绩基准周净值!AH98/子基金及业绩基准周净值!AH97-1))</f>
        <v/>
      </c>
      <c r="E66" s="12" t="str">
        <f>IF(A66="","",(MAX(B$3:B66)-B66)/MAX(B$3:B66))</f>
        <v/>
      </c>
      <c r="F66" s="12" t="str">
        <f>IF(A66="","",MAX(E$4:E66))</f>
        <v/>
      </c>
      <c r="G66" s="13"/>
      <c r="H66" s="14" t="str">
        <f t="shared" si="4"/>
        <v/>
      </c>
      <c r="I66" s="14" t="str">
        <f t="shared" si="5"/>
        <v/>
      </c>
      <c r="J66" s="15" t="str">
        <f t="shared" si="6"/>
        <v/>
      </c>
    </row>
    <row r="67" spans="1:10">
      <c r="A67" s="7" t="str">
        <f>IF(子基金及业绩基准周净值!A99="","",子基金及业绩基准周净值!A99)</f>
        <v/>
      </c>
      <c r="B67" s="1" t="str">
        <f>IF(A67="","",VLOOKUP($A67,子基金及业绩基准周净值!$A:$AV,15))</f>
        <v/>
      </c>
      <c r="C67" s="8" t="str">
        <f t="shared" si="7"/>
        <v/>
      </c>
      <c r="D67" s="9" t="str">
        <f>IF(A67="","",C67-(子基金及业绩基准周净值!AH99/子基金及业绩基准周净值!AH98-1))</f>
        <v/>
      </c>
      <c r="E67" s="12" t="str">
        <f>IF(A67="","",(MAX(B$3:B67)-B67)/MAX(B$3:B67))</f>
        <v/>
      </c>
      <c r="F67" s="12" t="str">
        <f>IF(A67="","",MAX(E$4:E67))</f>
        <v/>
      </c>
      <c r="G67" s="13"/>
      <c r="H67" s="14" t="str">
        <f t="shared" si="4"/>
        <v/>
      </c>
      <c r="I67" s="14" t="str">
        <f t="shared" si="5"/>
        <v/>
      </c>
      <c r="J67" s="15" t="str">
        <f t="shared" si="6"/>
        <v/>
      </c>
    </row>
    <row r="68" spans="1:10">
      <c r="A68" s="7" t="str">
        <f>IF(子基金及业绩基准周净值!A100="","",子基金及业绩基准周净值!A100)</f>
        <v/>
      </c>
      <c r="B68" s="1" t="str">
        <f>IF(A68="","",VLOOKUP($A68,子基金及业绩基准周净值!$A:$AV,15))</f>
        <v/>
      </c>
      <c r="C68" s="8" t="str">
        <f t="shared" ref="C68:C131" si="8">IF(A68="","",(B68-B67)/B67)</f>
        <v/>
      </c>
      <c r="D68" s="9" t="str">
        <f>IF(A68="","",C68-(子基金及业绩基准周净值!AH100/子基金及业绩基准周净值!AH99-1))</f>
        <v/>
      </c>
      <c r="E68" s="12" t="str">
        <f>IF(A68="","",(MAX(B$3:B68)-B68)/MAX(B$3:B68))</f>
        <v/>
      </c>
      <c r="F68" s="12" t="str">
        <f>IF(A68="","",MAX(E$4:E68))</f>
        <v/>
      </c>
      <c r="G68" s="13"/>
      <c r="H68" s="14" t="str">
        <f t="shared" ref="H68:H131" si="9">IF(A68="","",IF(E68&lt;3%,"否","是"))</f>
        <v/>
      </c>
      <c r="I68" s="14" t="str">
        <f t="shared" ref="I68:I131" si="10">IF(A68="","",IF(F68&gt;5%,"是","否"))</f>
        <v/>
      </c>
      <c r="J68" s="15" t="str">
        <f t="shared" ref="J68:J131" si="11">IF(A68="","",IF(G68&gt;=4,"是","否"))</f>
        <v/>
      </c>
    </row>
    <row r="69" spans="1:10">
      <c r="A69" s="7" t="str">
        <f>IF(子基金及业绩基准周净值!A101="","",子基金及业绩基准周净值!A101)</f>
        <v/>
      </c>
      <c r="B69" s="1" t="str">
        <f>IF(A69="","",VLOOKUP($A69,子基金及业绩基准周净值!$A:$AV,15))</f>
        <v/>
      </c>
      <c r="C69" s="8" t="str">
        <f t="shared" si="8"/>
        <v/>
      </c>
      <c r="D69" s="9" t="str">
        <f>IF(A69="","",C69-(子基金及业绩基准周净值!AH101/子基金及业绩基准周净值!AH100-1))</f>
        <v/>
      </c>
      <c r="E69" s="12" t="str">
        <f>IF(A69="","",(MAX(B$3:B69)-B69)/MAX(B$3:B69))</f>
        <v/>
      </c>
      <c r="F69" s="12" t="str">
        <f>IF(A69="","",MAX(E$4:E69))</f>
        <v/>
      </c>
      <c r="G69" s="13"/>
      <c r="H69" s="14" t="str">
        <f t="shared" si="9"/>
        <v/>
      </c>
      <c r="I69" s="14" t="str">
        <f t="shared" si="10"/>
        <v/>
      </c>
      <c r="J69" s="15" t="str">
        <f t="shared" si="11"/>
        <v/>
      </c>
    </row>
    <row r="70" spans="1:10">
      <c r="A70" s="7" t="str">
        <f>IF(子基金及业绩基准周净值!A102="","",子基金及业绩基准周净值!A102)</f>
        <v/>
      </c>
      <c r="B70" s="1" t="str">
        <f>IF(A70="","",VLOOKUP($A70,子基金及业绩基准周净值!$A:$AV,15))</f>
        <v/>
      </c>
      <c r="C70" s="8" t="str">
        <f t="shared" si="8"/>
        <v/>
      </c>
      <c r="D70" s="9" t="str">
        <f>IF(A70="","",C70-(子基金及业绩基准周净值!AH102/子基金及业绩基准周净值!AH101-1))</f>
        <v/>
      </c>
      <c r="E70" s="12" t="str">
        <f>IF(A70="","",(MAX(B$3:B70)-B70)/MAX(B$3:B70))</f>
        <v/>
      </c>
      <c r="F70" s="12" t="str">
        <f>IF(A70="","",MAX(E$4:E70))</f>
        <v/>
      </c>
      <c r="G70" s="13"/>
      <c r="H70" s="14" t="str">
        <f t="shared" si="9"/>
        <v/>
      </c>
      <c r="I70" s="14" t="str">
        <f t="shared" si="10"/>
        <v/>
      </c>
      <c r="J70" s="15" t="str">
        <f t="shared" si="11"/>
        <v/>
      </c>
    </row>
    <row r="71" spans="1:10">
      <c r="A71" s="7" t="str">
        <f>IF(子基金及业绩基准周净值!A103="","",子基金及业绩基准周净值!A103)</f>
        <v/>
      </c>
      <c r="B71" s="1" t="str">
        <f>IF(A71="","",VLOOKUP($A71,子基金及业绩基准周净值!$A:$AV,15))</f>
        <v/>
      </c>
      <c r="C71" s="8" t="str">
        <f t="shared" si="8"/>
        <v/>
      </c>
      <c r="D71" s="9" t="str">
        <f>IF(A71="","",C71-(子基金及业绩基准周净值!AH103/子基金及业绩基准周净值!AH102-1))</f>
        <v/>
      </c>
      <c r="E71" s="12" t="str">
        <f>IF(A71="","",(MAX(B$3:B71)-B71)/MAX(B$3:B71))</f>
        <v/>
      </c>
      <c r="F71" s="12" t="str">
        <f>IF(A71="","",MAX(E$4:E71))</f>
        <v/>
      </c>
      <c r="G71" s="13"/>
      <c r="H71" s="14" t="str">
        <f t="shared" si="9"/>
        <v/>
      </c>
      <c r="I71" s="14" t="str">
        <f t="shared" si="10"/>
        <v/>
      </c>
      <c r="J71" s="15" t="str">
        <f t="shared" si="11"/>
        <v/>
      </c>
    </row>
    <row r="72" spans="1:10">
      <c r="A72" s="7" t="str">
        <f>IF(子基金及业绩基准周净值!A104="","",子基金及业绩基准周净值!A104)</f>
        <v/>
      </c>
      <c r="B72" s="1" t="str">
        <f>IF(A72="","",VLOOKUP($A72,子基金及业绩基准周净值!$A:$AV,15))</f>
        <v/>
      </c>
      <c r="C72" s="8" t="str">
        <f t="shared" si="8"/>
        <v/>
      </c>
      <c r="D72" s="9" t="str">
        <f>IF(A72="","",C72-(子基金及业绩基准周净值!AH104/子基金及业绩基准周净值!AH103-1))</f>
        <v/>
      </c>
      <c r="E72" s="12" t="str">
        <f>IF(A72="","",(MAX(B$3:B72)-B72)/MAX(B$3:B72))</f>
        <v/>
      </c>
      <c r="F72" s="12" t="str">
        <f>IF(A72="","",MAX(E$4:E72))</f>
        <v/>
      </c>
      <c r="G72" s="13"/>
      <c r="H72" s="14" t="str">
        <f t="shared" si="9"/>
        <v/>
      </c>
      <c r="I72" s="14" t="str">
        <f t="shared" si="10"/>
        <v/>
      </c>
      <c r="J72" s="15" t="str">
        <f t="shared" si="11"/>
        <v/>
      </c>
    </row>
    <row r="73" spans="1:10">
      <c r="A73" s="7" t="str">
        <f>IF(子基金及业绩基准周净值!A105="","",子基金及业绩基准周净值!A105)</f>
        <v/>
      </c>
      <c r="B73" s="1" t="str">
        <f>IF(A73="","",VLOOKUP($A73,子基金及业绩基准周净值!$A:$AV,15))</f>
        <v/>
      </c>
      <c r="C73" s="8" t="str">
        <f t="shared" si="8"/>
        <v/>
      </c>
      <c r="D73" s="9" t="str">
        <f>IF(A73="","",C73-(子基金及业绩基准周净值!AH105/子基金及业绩基准周净值!AH104-1))</f>
        <v/>
      </c>
      <c r="E73" s="12" t="str">
        <f>IF(A73="","",(MAX(B$3:B73)-B73)/MAX(B$3:B73))</f>
        <v/>
      </c>
      <c r="F73" s="12" t="str">
        <f>IF(A73="","",MAX(E$4:E73))</f>
        <v/>
      </c>
      <c r="G73" s="13"/>
      <c r="H73" s="14" t="str">
        <f t="shared" si="9"/>
        <v/>
      </c>
      <c r="I73" s="14" t="str">
        <f t="shared" si="10"/>
        <v/>
      </c>
      <c r="J73" s="15" t="str">
        <f t="shared" si="11"/>
        <v/>
      </c>
    </row>
    <row r="74" spans="1:10">
      <c r="A74" s="7" t="str">
        <f>IF(子基金及业绩基准周净值!A106="","",子基金及业绩基准周净值!A106)</f>
        <v/>
      </c>
      <c r="B74" s="1" t="str">
        <f>IF(A74="","",VLOOKUP($A74,子基金及业绩基准周净值!$A:$AV,15))</f>
        <v/>
      </c>
      <c r="C74" s="8" t="str">
        <f t="shared" si="8"/>
        <v/>
      </c>
      <c r="D74" s="9" t="str">
        <f>IF(A74="","",C74-(子基金及业绩基准周净值!AH106/子基金及业绩基准周净值!AH105-1))</f>
        <v/>
      </c>
      <c r="E74" s="12" t="str">
        <f>IF(A74="","",(MAX(B$3:B74)-B74)/MAX(B$3:B74))</f>
        <v/>
      </c>
      <c r="F74" s="12" t="str">
        <f>IF(A74="","",MAX(E$4:E74))</f>
        <v/>
      </c>
      <c r="G74" s="13"/>
      <c r="H74" s="14" t="str">
        <f t="shared" si="9"/>
        <v/>
      </c>
      <c r="I74" s="14" t="str">
        <f t="shared" si="10"/>
        <v/>
      </c>
      <c r="J74" s="15" t="str">
        <f t="shared" si="11"/>
        <v/>
      </c>
    </row>
    <row r="75" spans="1:10">
      <c r="A75" s="7" t="str">
        <f>IF(子基金及业绩基准周净值!A107="","",子基金及业绩基准周净值!A107)</f>
        <v/>
      </c>
      <c r="B75" s="1" t="str">
        <f>IF(A75="","",VLOOKUP($A75,子基金及业绩基准周净值!$A:$AV,15))</f>
        <v/>
      </c>
      <c r="C75" s="8" t="str">
        <f t="shared" si="8"/>
        <v/>
      </c>
      <c r="D75" s="9" t="str">
        <f>IF(A75="","",C75-(子基金及业绩基准周净值!AH107/子基金及业绩基准周净值!AH106-1))</f>
        <v/>
      </c>
      <c r="E75" s="12" t="str">
        <f>IF(A75="","",(MAX(B$3:B75)-B75)/MAX(B$3:B75))</f>
        <v/>
      </c>
      <c r="F75" s="12" t="str">
        <f>IF(A75="","",MAX(E$4:E75))</f>
        <v/>
      </c>
      <c r="G75" s="13"/>
      <c r="H75" s="14" t="str">
        <f t="shared" si="9"/>
        <v/>
      </c>
      <c r="I75" s="14" t="str">
        <f t="shared" si="10"/>
        <v/>
      </c>
      <c r="J75" s="15" t="str">
        <f t="shared" si="11"/>
        <v/>
      </c>
    </row>
    <row r="76" spans="1:10">
      <c r="A76" s="7" t="str">
        <f>IF(子基金及业绩基准周净值!A108="","",子基金及业绩基准周净值!A108)</f>
        <v/>
      </c>
      <c r="B76" s="1" t="str">
        <f>IF(A76="","",VLOOKUP($A76,子基金及业绩基准周净值!$A:$AV,15))</f>
        <v/>
      </c>
      <c r="C76" s="8" t="str">
        <f t="shared" si="8"/>
        <v/>
      </c>
      <c r="D76" s="9" t="str">
        <f>IF(A76="","",C76-(子基金及业绩基准周净值!AH108/子基金及业绩基准周净值!AH107-1))</f>
        <v/>
      </c>
      <c r="E76" s="12" t="str">
        <f>IF(A76="","",(MAX(B$3:B76)-B76)/MAX(B$3:B76))</f>
        <v/>
      </c>
      <c r="F76" s="12" t="str">
        <f>IF(A76="","",MAX(E$4:E76))</f>
        <v/>
      </c>
      <c r="G76" s="13"/>
      <c r="H76" s="14" t="str">
        <f t="shared" si="9"/>
        <v/>
      </c>
      <c r="I76" s="14" t="str">
        <f t="shared" si="10"/>
        <v/>
      </c>
      <c r="J76" s="15" t="str">
        <f t="shared" si="11"/>
        <v/>
      </c>
    </row>
    <row r="77" spans="1:10">
      <c r="A77" s="7" t="str">
        <f>IF(子基金及业绩基准周净值!A109="","",子基金及业绩基准周净值!A109)</f>
        <v/>
      </c>
      <c r="B77" s="1" t="str">
        <f>IF(A77="","",VLOOKUP($A77,子基金及业绩基准周净值!$A:$AV,15))</f>
        <v/>
      </c>
      <c r="C77" s="8" t="str">
        <f t="shared" si="8"/>
        <v/>
      </c>
      <c r="D77" s="9" t="str">
        <f>IF(A77="","",C77-(子基金及业绩基准周净值!AH109/子基金及业绩基准周净值!AH108-1))</f>
        <v/>
      </c>
      <c r="E77" s="12" t="str">
        <f>IF(A77="","",(MAX(B$3:B77)-B77)/MAX(B$3:B77))</f>
        <v/>
      </c>
      <c r="F77" s="12" t="str">
        <f>IF(A77="","",MAX(E$4:E77))</f>
        <v/>
      </c>
      <c r="G77" s="13"/>
      <c r="H77" s="14" t="str">
        <f t="shared" si="9"/>
        <v/>
      </c>
      <c r="I77" s="14" t="str">
        <f t="shared" si="10"/>
        <v/>
      </c>
      <c r="J77" s="15" t="str">
        <f t="shared" si="11"/>
        <v/>
      </c>
    </row>
    <row r="78" spans="1:10">
      <c r="A78" s="7" t="str">
        <f>IF(子基金及业绩基准周净值!A110="","",子基金及业绩基准周净值!A110)</f>
        <v/>
      </c>
      <c r="B78" s="1" t="str">
        <f>IF(A78="","",VLOOKUP($A78,子基金及业绩基准周净值!$A:$AV,15))</f>
        <v/>
      </c>
      <c r="C78" s="8" t="str">
        <f t="shared" si="8"/>
        <v/>
      </c>
      <c r="D78" s="9" t="str">
        <f>IF(A78="","",C78-(子基金及业绩基准周净值!AH110/子基金及业绩基准周净值!AH109-1))</f>
        <v/>
      </c>
      <c r="E78" s="12" t="str">
        <f>IF(A78="","",(MAX(B$3:B78)-B78)/MAX(B$3:B78))</f>
        <v/>
      </c>
      <c r="F78" s="12" t="str">
        <f>IF(A78="","",MAX(E$4:E78))</f>
        <v/>
      </c>
      <c r="G78" s="13"/>
      <c r="H78" s="14" t="str">
        <f t="shared" si="9"/>
        <v/>
      </c>
      <c r="I78" s="14" t="str">
        <f t="shared" si="10"/>
        <v/>
      </c>
      <c r="J78" s="15" t="str">
        <f t="shared" si="11"/>
        <v/>
      </c>
    </row>
    <row r="79" spans="1:10">
      <c r="A79" s="7" t="str">
        <f>IF(子基金及业绩基准周净值!A111="","",子基金及业绩基准周净值!A111)</f>
        <v/>
      </c>
      <c r="B79" s="1" t="str">
        <f>IF(A79="","",VLOOKUP($A79,子基金及业绩基准周净值!$A:$AV,15))</f>
        <v/>
      </c>
      <c r="C79" s="8" t="str">
        <f t="shared" si="8"/>
        <v/>
      </c>
      <c r="D79" s="9" t="str">
        <f>IF(A79="","",C79-(子基金及业绩基准周净值!AH111/子基金及业绩基准周净值!AH110-1))</f>
        <v/>
      </c>
      <c r="E79" s="12" t="str">
        <f>IF(A79="","",(MAX(B$3:B79)-B79)/MAX(B$3:B79))</f>
        <v/>
      </c>
      <c r="F79" s="12" t="str">
        <f>IF(A79="","",MAX(E$4:E79))</f>
        <v/>
      </c>
      <c r="G79" s="13"/>
      <c r="H79" s="14" t="str">
        <f t="shared" si="9"/>
        <v/>
      </c>
      <c r="I79" s="14" t="str">
        <f t="shared" si="10"/>
        <v/>
      </c>
      <c r="J79" s="15" t="str">
        <f t="shared" si="11"/>
        <v/>
      </c>
    </row>
    <row r="80" spans="1:10">
      <c r="A80" s="7" t="str">
        <f>IF(子基金及业绩基准周净值!A112="","",子基金及业绩基准周净值!A112)</f>
        <v/>
      </c>
      <c r="B80" s="1" t="str">
        <f>IF(A80="","",VLOOKUP($A80,子基金及业绩基准周净值!$A:$AV,15))</f>
        <v/>
      </c>
      <c r="C80" s="8" t="str">
        <f t="shared" si="8"/>
        <v/>
      </c>
      <c r="D80" s="9" t="str">
        <f>IF(A80="","",C80-(子基金及业绩基准周净值!AH112/子基金及业绩基准周净值!AH111-1))</f>
        <v/>
      </c>
      <c r="E80" s="12" t="str">
        <f>IF(A80="","",(MAX(B$3:B80)-B80)/MAX(B$3:B80))</f>
        <v/>
      </c>
      <c r="F80" s="12" t="str">
        <f>IF(A80="","",MAX(E$4:E80))</f>
        <v/>
      </c>
      <c r="G80" s="13"/>
      <c r="H80" s="14" t="str">
        <f t="shared" si="9"/>
        <v/>
      </c>
      <c r="I80" s="14" t="str">
        <f t="shared" si="10"/>
        <v/>
      </c>
      <c r="J80" s="15" t="str">
        <f t="shared" si="11"/>
        <v/>
      </c>
    </row>
    <row r="81" spans="1:10">
      <c r="A81" s="7" t="str">
        <f>IF(子基金及业绩基准周净值!A113="","",子基金及业绩基准周净值!A113)</f>
        <v/>
      </c>
      <c r="B81" s="1" t="str">
        <f>IF(A81="","",VLOOKUP($A81,子基金及业绩基准周净值!$A:$AV,15))</f>
        <v/>
      </c>
      <c r="C81" s="8" t="str">
        <f t="shared" si="8"/>
        <v/>
      </c>
      <c r="D81" s="9" t="str">
        <f>IF(A81="","",C81-(子基金及业绩基准周净值!AH113/子基金及业绩基准周净值!AH112-1))</f>
        <v/>
      </c>
      <c r="E81" s="12" t="str">
        <f>IF(A81="","",(MAX(B$3:B81)-B81)/MAX(B$3:B81))</f>
        <v/>
      </c>
      <c r="F81" s="12" t="str">
        <f>IF(A81="","",MAX(E$4:E81))</f>
        <v/>
      </c>
      <c r="G81" s="13"/>
      <c r="H81" s="14" t="str">
        <f t="shared" si="9"/>
        <v/>
      </c>
      <c r="I81" s="14" t="str">
        <f t="shared" si="10"/>
        <v/>
      </c>
      <c r="J81" s="15" t="str">
        <f t="shared" si="11"/>
        <v/>
      </c>
    </row>
    <row r="82" spans="1:10">
      <c r="A82" s="7" t="str">
        <f>IF(子基金及业绩基准周净值!A114="","",子基金及业绩基准周净值!A114)</f>
        <v/>
      </c>
      <c r="B82" s="1" t="str">
        <f>IF(A82="","",VLOOKUP($A82,子基金及业绩基准周净值!$A:$AV,15))</f>
        <v/>
      </c>
      <c r="C82" s="8" t="str">
        <f t="shared" si="8"/>
        <v/>
      </c>
      <c r="D82" s="9" t="str">
        <f>IF(A82="","",C82-(子基金及业绩基准周净值!AH114/子基金及业绩基准周净值!AH113-1))</f>
        <v/>
      </c>
      <c r="E82" s="12" t="str">
        <f>IF(A82="","",(MAX(B$3:B82)-B82)/MAX(B$3:B82))</f>
        <v/>
      </c>
      <c r="F82" s="12" t="str">
        <f>IF(A82="","",MAX(E$4:E82))</f>
        <v/>
      </c>
      <c r="G82" s="13"/>
      <c r="H82" s="14" t="str">
        <f t="shared" si="9"/>
        <v/>
      </c>
      <c r="I82" s="14" t="str">
        <f t="shared" si="10"/>
        <v/>
      </c>
      <c r="J82" s="15" t="str">
        <f t="shared" si="11"/>
        <v/>
      </c>
    </row>
    <row r="83" spans="1:10">
      <c r="A83" s="7" t="str">
        <f>IF(子基金及业绩基准周净值!A115="","",子基金及业绩基准周净值!A115)</f>
        <v/>
      </c>
      <c r="B83" s="1" t="str">
        <f>IF(A83="","",VLOOKUP($A83,子基金及业绩基准周净值!$A:$AV,15))</f>
        <v/>
      </c>
      <c r="C83" s="8" t="str">
        <f t="shared" si="8"/>
        <v/>
      </c>
      <c r="D83" s="9" t="str">
        <f>IF(A83="","",C83-(子基金及业绩基准周净值!AH115/子基金及业绩基准周净值!AH114-1))</f>
        <v/>
      </c>
      <c r="E83" s="12" t="str">
        <f>IF(A83="","",(MAX(B$3:B83)-B83)/MAX(B$3:B83))</f>
        <v/>
      </c>
      <c r="F83" s="12" t="str">
        <f>IF(A83="","",MAX(E$4:E83))</f>
        <v/>
      </c>
      <c r="G83" s="13"/>
      <c r="H83" s="14" t="str">
        <f t="shared" si="9"/>
        <v/>
      </c>
      <c r="I83" s="14" t="str">
        <f t="shared" si="10"/>
        <v/>
      </c>
      <c r="J83" s="15" t="str">
        <f t="shared" si="11"/>
        <v/>
      </c>
    </row>
    <row r="84" spans="1:10">
      <c r="A84" s="7" t="str">
        <f>IF(子基金及业绩基准周净值!A116="","",子基金及业绩基准周净值!A116)</f>
        <v/>
      </c>
      <c r="B84" s="1" t="str">
        <f>IF(A84="","",VLOOKUP($A84,子基金及业绩基准周净值!$A:$AV,15))</f>
        <v/>
      </c>
      <c r="C84" s="8" t="str">
        <f t="shared" si="8"/>
        <v/>
      </c>
      <c r="D84" s="9" t="str">
        <f>IF(A84="","",C84-(子基金及业绩基准周净值!AH116/子基金及业绩基准周净值!AH115-1))</f>
        <v/>
      </c>
      <c r="E84" s="12" t="str">
        <f>IF(A84="","",(MAX(B$3:B84)-B84)/MAX(B$3:B84))</f>
        <v/>
      </c>
      <c r="F84" s="12" t="str">
        <f>IF(A84="","",MAX(E$4:E84))</f>
        <v/>
      </c>
      <c r="G84" s="13"/>
      <c r="H84" s="14" t="str">
        <f t="shared" si="9"/>
        <v/>
      </c>
      <c r="I84" s="14" t="str">
        <f t="shared" si="10"/>
        <v/>
      </c>
      <c r="J84" s="15" t="str">
        <f t="shared" si="11"/>
        <v/>
      </c>
    </row>
    <row r="85" spans="1:10">
      <c r="A85" s="7" t="str">
        <f>IF(子基金及业绩基准周净值!A117="","",子基金及业绩基准周净值!A117)</f>
        <v/>
      </c>
      <c r="B85" s="1" t="str">
        <f>IF(A85="","",VLOOKUP($A85,子基金及业绩基准周净值!$A:$AV,15))</f>
        <v/>
      </c>
      <c r="C85" s="8" t="str">
        <f t="shared" si="8"/>
        <v/>
      </c>
      <c r="D85" s="9" t="str">
        <f>IF(A85="","",C85-(子基金及业绩基准周净值!AH117/子基金及业绩基准周净值!AH116-1))</f>
        <v/>
      </c>
      <c r="E85" s="12" t="str">
        <f>IF(A85="","",(MAX(B$3:B85)-B85)/MAX(B$3:B85))</f>
        <v/>
      </c>
      <c r="F85" s="12" t="str">
        <f>IF(A85="","",MAX(E$4:E85))</f>
        <v/>
      </c>
      <c r="G85" s="13"/>
      <c r="H85" s="14" t="str">
        <f t="shared" si="9"/>
        <v/>
      </c>
      <c r="I85" s="14" t="str">
        <f t="shared" si="10"/>
        <v/>
      </c>
      <c r="J85" s="15" t="str">
        <f t="shared" si="11"/>
        <v/>
      </c>
    </row>
    <row r="86" spans="1:10">
      <c r="A86" s="7" t="str">
        <f>IF(子基金及业绩基准周净值!A118="","",子基金及业绩基准周净值!A118)</f>
        <v/>
      </c>
      <c r="B86" s="1" t="str">
        <f>IF(A86="","",VLOOKUP($A86,子基金及业绩基准周净值!$A:$AV,15))</f>
        <v/>
      </c>
      <c r="C86" s="8" t="str">
        <f t="shared" si="8"/>
        <v/>
      </c>
      <c r="D86" s="9" t="str">
        <f>IF(A86="","",C86-(子基金及业绩基准周净值!AH118/子基金及业绩基准周净值!AH117-1))</f>
        <v/>
      </c>
      <c r="E86" s="12" t="str">
        <f>IF(A86="","",(MAX(B$3:B86)-B86)/MAX(B$3:B86))</f>
        <v/>
      </c>
      <c r="F86" s="12" t="str">
        <f>IF(A86="","",MAX(E$4:E86))</f>
        <v/>
      </c>
      <c r="G86" s="13"/>
      <c r="H86" s="14" t="str">
        <f t="shared" si="9"/>
        <v/>
      </c>
      <c r="I86" s="14" t="str">
        <f t="shared" si="10"/>
        <v/>
      </c>
      <c r="J86" s="15" t="str">
        <f t="shared" si="11"/>
        <v/>
      </c>
    </row>
    <row r="87" spans="1:10">
      <c r="A87" s="7" t="str">
        <f>IF(子基金及业绩基准周净值!A119="","",子基金及业绩基准周净值!A119)</f>
        <v/>
      </c>
      <c r="B87" s="1" t="str">
        <f>IF(A87="","",VLOOKUP($A87,子基金及业绩基准周净值!$A:$AV,15))</f>
        <v/>
      </c>
      <c r="C87" s="8" t="str">
        <f t="shared" si="8"/>
        <v/>
      </c>
      <c r="D87" s="9" t="str">
        <f>IF(A87="","",C87-(子基金及业绩基准周净值!AH119/子基金及业绩基准周净值!AH118-1))</f>
        <v/>
      </c>
      <c r="E87" s="12" t="str">
        <f>IF(A87="","",(MAX(B$3:B87)-B87)/MAX(B$3:B87))</f>
        <v/>
      </c>
      <c r="F87" s="12" t="str">
        <f>IF(A87="","",MAX(E$4:E87))</f>
        <v/>
      </c>
      <c r="G87" s="13"/>
      <c r="H87" s="14" t="str">
        <f t="shared" si="9"/>
        <v/>
      </c>
      <c r="I87" s="14" t="str">
        <f t="shared" si="10"/>
        <v/>
      </c>
      <c r="J87" s="15" t="str">
        <f t="shared" si="11"/>
        <v/>
      </c>
    </row>
    <row r="88" spans="1:10">
      <c r="A88" s="7" t="str">
        <f>IF(子基金及业绩基准周净值!A120="","",子基金及业绩基准周净值!A120)</f>
        <v/>
      </c>
      <c r="B88" s="1" t="str">
        <f>IF(A88="","",VLOOKUP($A88,子基金及业绩基准周净值!$A:$AV,15))</f>
        <v/>
      </c>
      <c r="C88" s="8" t="str">
        <f t="shared" si="8"/>
        <v/>
      </c>
      <c r="D88" s="9" t="str">
        <f>IF(A88="","",C88-(子基金及业绩基准周净值!AH120/子基金及业绩基准周净值!AH119-1))</f>
        <v/>
      </c>
      <c r="E88" s="12" t="str">
        <f>IF(A88="","",(MAX(B$3:B88)-B88)/MAX(B$3:B88))</f>
        <v/>
      </c>
      <c r="F88" s="12" t="str">
        <f>IF(A88="","",MAX(E$4:E88))</f>
        <v/>
      </c>
      <c r="G88" s="13"/>
      <c r="H88" s="14" t="str">
        <f t="shared" si="9"/>
        <v/>
      </c>
      <c r="I88" s="14" t="str">
        <f t="shared" si="10"/>
        <v/>
      </c>
      <c r="J88" s="15" t="str">
        <f t="shared" si="11"/>
        <v/>
      </c>
    </row>
    <row r="89" spans="1:10">
      <c r="A89" s="7" t="str">
        <f>IF(子基金及业绩基准周净值!A121="","",子基金及业绩基准周净值!A121)</f>
        <v/>
      </c>
      <c r="B89" s="1" t="str">
        <f>IF(A89="","",VLOOKUP($A89,子基金及业绩基准周净值!$A:$AV,15))</f>
        <v/>
      </c>
      <c r="C89" s="8" t="str">
        <f t="shared" si="8"/>
        <v/>
      </c>
      <c r="D89" s="9" t="str">
        <f>IF(A89="","",C89-(子基金及业绩基准周净值!AH121/子基金及业绩基准周净值!AH120-1))</f>
        <v/>
      </c>
      <c r="E89" s="12" t="str">
        <f>IF(A89="","",(MAX(B$3:B89)-B89)/MAX(B$3:B89))</f>
        <v/>
      </c>
      <c r="F89" s="12" t="str">
        <f>IF(A89="","",MAX(E$4:E89))</f>
        <v/>
      </c>
      <c r="G89" s="13"/>
      <c r="H89" s="14" t="str">
        <f t="shared" si="9"/>
        <v/>
      </c>
      <c r="I89" s="14" t="str">
        <f t="shared" si="10"/>
        <v/>
      </c>
      <c r="J89" s="15" t="str">
        <f t="shared" si="11"/>
        <v/>
      </c>
    </row>
    <row r="90" spans="1:10">
      <c r="A90" s="7" t="str">
        <f>IF(子基金及业绩基准周净值!A122="","",子基金及业绩基准周净值!A122)</f>
        <v/>
      </c>
      <c r="B90" s="1" t="str">
        <f>IF(A90="","",VLOOKUP($A90,子基金及业绩基准周净值!$A:$AV,15))</f>
        <v/>
      </c>
      <c r="C90" s="8" t="str">
        <f t="shared" si="8"/>
        <v/>
      </c>
      <c r="D90" s="9" t="str">
        <f>IF(A90="","",C90-(子基金及业绩基准周净值!AH122/子基金及业绩基准周净值!AH121-1))</f>
        <v/>
      </c>
      <c r="E90" s="12" t="str">
        <f>IF(A90="","",(MAX(B$3:B90)-B90)/MAX(B$3:B90))</f>
        <v/>
      </c>
      <c r="F90" s="12" t="str">
        <f>IF(A90="","",MAX(E$4:E90))</f>
        <v/>
      </c>
      <c r="G90" s="13"/>
      <c r="H90" s="14" t="str">
        <f t="shared" si="9"/>
        <v/>
      </c>
      <c r="I90" s="14" t="str">
        <f t="shared" si="10"/>
        <v/>
      </c>
      <c r="J90" s="15" t="str">
        <f t="shared" si="11"/>
        <v/>
      </c>
    </row>
    <row r="91" spans="1:10">
      <c r="A91" s="7" t="str">
        <f>IF(子基金及业绩基准周净值!A123="","",子基金及业绩基准周净值!A123)</f>
        <v/>
      </c>
      <c r="B91" s="1" t="str">
        <f>IF(A91="","",VLOOKUP($A91,子基金及业绩基准周净值!$A:$AV,15))</f>
        <v/>
      </c>
      <c r="C91" s="8" t="str">
        <f t="shared" si="8"/>
        <v/>
      </c>
      <c r="D91" s="9" t="str">
        <f>IF(A91="","",C91-(子基金及业绩基准周净值!AH123/子基金及业绩基准周净值!AH122-1))</f>
        <v/>
      </c>
      <c r="E91" s="12" t="str">
        <f>IF(A91="","",(MAX(B$3:B91)-B91)/MAX(B$3:B91))</f>
        <v/>
      </c>
      <c r="F91" s="12" t="str">
        <f>IF(A91="","",MAX(E$4:E91))</f>
        <v/>
      </c>
      <c r="G91" s="13"/>
      <c r="H91" s="14" t="str">
        <f t="shared" si="9"/>
        <v/>
      </c>
      <c r="I91" s="14" t="str">
        <f t="shared" si="10"/>
        <v/>
      </c>
      <c r="J91" s="15" t="str">
        <f t="shared" si="11"/>
        <v/>
      </c>
    </row>
    <row r="92" spans="1:10">
      <c r="A92" s="7" t="str">
        <f>IF(子基金及业绩基准周净值!A124="","",子基金及业绩基准周净值!A124)</f>
        <v/>
      </c>
      <c r="B92" s="1" t="str">
        <f>IF(A92="","",VLOOKUP($A92,子基金及业绩基准周净值!$A:$AV,15))</f>
        <v/>
      </c>
      <c r="C92" s="8" t="str">
        <f t="shared" si="8"/>
        <v/>
      </c>
      <c r="D92" s="9" t="str">
        <f>IF(A92="","",C92-(子基金及业绩基准周净值!AH124/子基金及业绩基准周净值!AH123-1))</f>
        <v/>
      </c>
      <c r="E92" s="12" t="str">
        <f>IF(A92="","",(MAX(B$3:B92)-B92)/MAX(B$3:B92))</f>
        <v/>
      </c>
      <c r="F92" s="12" t="str">
        <f>IF(A92="","",MAX(E$4:E92))</f>
        <v/>
      </c>
      <c r="G92" s="13"/>
      <c r="H92" s="14" t="str">
        <f t="shared" si="9"/>
        <v/>
      </c>
      <c r="I92" s="14" t="str">
        <f t="shared" si="10"/>
        <v/>
      </c>
      <c r="J92" s="15" t="str">
        <f t="shared" si="11"/>
        <v/>
      </c>
    </row>
    <row r="93" spans="1:10">
      <c r="A93" s="7" t="str">
        <f>IF(子基金及业绩基准周净值!A125="","",子基金及业绩基准周净值!A125)</f>
        <v/>
      </c>
      <c r="B93" s="1" t="str">
        <f>IF(A93="","",VLOOKUP($A93,子基金及业绩基准周净值!$A:$AV,15))</f>
        <v/>
      </c>
      <c r="C93" s="8" t="str">
        <f t="shared" si="8"/>
        <v/>
      </c>
      <c r="D93" s="9" t="str">
        <f>IF(A93="","",C93-(子基金及业绩基准周净值!AH125/子基金及业绩基准周净值!AH124-1))</f>
        <v/>
      </c>
      <c r="E93" s="12" t="str">
        <f>IF(A93="","",(MAX(B$3:B93)-B93)/MAX(B$3:B93))</f>
        <v/>
      </c>
      <c r="F93" s="12" t="str">
        <f>IF(A93="","",MAX(E$4:E93))</f>
        <v/>
      </c>
      <c r="G93" s="13"/>
      <c r="H93" s="14" t="str">
        <f t="shared" si="9"/>
        <v/>
      </c>
      <c r="I93" s="14" t="str">
        <f t="shared" si="10"/>
        <v/>
      </c>
      <c r="J93" s="15" t="str">
        <f t="shared" si="11"/>
        <v/>
      </c>
    </row>
    <row r="94" spans="1:10">
      <c r="A94" s="7" t="str">
        <f>IF(子基金及业绩基准周净值!A126="","",子基金及业绩基准周净值!A126)</f>
        <v/>
      </c>
      <c r="B94" s="1" t="str">
        <f>IF(A94="","",VLOOKUP($A94,子基金及业绩基准周净值!$A:$AV,15))</f>
        <v/>
      </c>
      <c r="C94" s="8" t="str">
        <f t="shared" si="8"/>
        <v/>
      </c>
      <c r="D94" s="9" t="str">
        <f>IF(A94="","",C94-(子基金及业绩基准周净值!AH126/子基金及业绩基准周净值!AH125-1))</f>
        <v/>
      </c>
      <c r="E94" s="12" t="str">
        <f>IF(A94="","",(MAX(B$3:B94)-B94)/MAX(B$3:B94))</f>
        <v/>
      </c>
      <c r="F94" s="12" t="str">
        <f>IF(A94="","",MAX(E$4:E94))</f>
        <v/>
      </c>
      <c r="G94" s="13"/>
      <c r="H94" s="14" t="str">
        <f t="shared" si="9"/>
        <v/>
      </c>
      <c r="I94" s="14" t="str">
        <f t="shared" si="10"/>
        <v/>
      </c>
      <c r="J94" s="15" t="str">
        <f t="shared" si="11"/>
        <v/>
      </c>
    </row>
    <row r="95" spans="1:10">
      <c r="A95" s="7" t="str">
        <f>IF(子基金及业绩基准周净值!A127="","",子基金及业绩基准周净值!A127)</f>
        <v/>
      </c>
      <c r="B95" s="1" t="str">
        <f>IF(A95="","",VLOOKUP($A95,子基金及业绩基准周净值!$A:$AV,15))</f>
        <v/>
      </c>
      <c r="C95" s="8" t="str">
        <f t="shared" si="8"/>
        <v/>
      </c>
      <c r="D95" s="9" t="str">
        <f>IF(A95="","",C95-(子基金及业绩基准周净值!AH127/子基金及业绩基准周净值!AH126-1))</f>
        <v/>
      </c>
      <c r="E95" s="12" t="str">
        <f>IF(A95="","",(MAX(B$3:B95)-B95)/MAX(B$3:B95))</f>
        <v/>
      </c>
      <c r="F95" s="12" t="str">
        <f>IF(A95="","",MAX(E$4:E95))</f>
        <v/>
      </c>
      <c r="G95" s="13"/>
      <c r="H95" s="14" t="str">
        <f t="shared" si="9"/>
        <v/>
      </c>
      <c r="I95" s="14" t="str">
        <f t="shared" si="10"/>
        <v/>
      </c>
      <c r="J95" s="15" t="str">
        <f t="shared" si="11"/>
        <v/>
      </c>
    </row>
    <row r="96" spans="1:10">
      <c r="A96" s="7" t="str">
        <f>IF(子基金及业绩基准周净值!A128="","",子基金及业绩基准周净值!A128)</f>
        <v/>
      </c>
      <c r="B96" s="1" t="str">
        <f>IF(A96="","",VLOOKUP($A96,子基金及业绩基准周净值!$A:$AV,15))</f>
        <v/>
      </c>
      <c r="C96" s="8" t="str">
        <f t="shared" si="8"/>
        <v/>
      </c>
      <c r="D96" s="9" t="str">
        <f>IF(A96="","",C96-(子基金及业绩基准周净值!AH128/子基金及业绩基准周净值!AH127-1))</f>
        <v/>
      </c>
      <c r="E96" s="12" t="str">
        <f>IF(A96="","",(MAX(B$3:B96)-B96)/MAX(B$3:B96))</f>
        <v/>
      </c>
      <c r="F96" s="12" t="str">
        <f>IF(A96="","",MAX(E$4:E96))</f>
        <v/>
      </c>
      <c r="G96" s="13"/>
      <c r="H96" s="14" t="str">
        <f t="shared" si="9"/>
        <v/>
      </c>
      <c r="I96" s="14" t="str">
        <f t="shared" si="10"/>
        <v/>
      </c>
      <c r="J96" s="15" t="str">
        <f t="shared" si="11"/>
        <v/>
      </c>
    </row>
    <row r="97" spans="1:10">
      <c r="A97" s="7" t="str">
        <f>IF(子基金及业绩基准周净值!A129="","",子基金及业绩基准周净值!A129)</f>
        <v/>
      </c>
      <c r="B97" s="1" t="str">
        <f>IF(A97="","",VLOOKUP($A97,子基金及业绩基准周净值!$A:$AV,15))</f>
        <v/>
      </c>
      <c r="C97" s="8" t="str">
        <f t="shared" si="8"/>
        <v/>
      </c>
      <c r="D97" s="9" t="str">
        <f>IF(A97="","",C97-(子基金及业绩基准周净值!AH129/子基金及业绩基准周净值!AH128-1))</f>
        <v/>
      </c>
      <c r="E97" s="12" t="str">
        <f>IF(A97="","",(MAX(B$3:B97)-B97)/MAX(B$3:B97))</f>
        <v/>
      </c>
      <c r="F97" s="12" t="str">
        <f>IF(A97="","",MAX(E$4:E97))</f>
        <v/>
      </c>
      <c r="G97" s="13"/>
      <c r="H97" s="14" t="str">
        <f t="shared" si="9"/>
        <v/>
      </c>
      <c r="I97" s="14" t="str">
        <f t="shared" si="10"/>
        <v/>
      </c>
      <c r="J97" s="15" t="str">
        <f t="shared" si="11"/>
        <v/>
      </c>
    </row>
    <row r="98" spans="1:10">
      <c r="A98" s="7" t="str">
        <f>IF(子基金及业绩基准周净值!A130="","",子基金及业绩基准周净值!A130)</f>
        <v/>
      </c>
      <c r="B98" s="1" t="str">
        <f>IF(A98="","",VLOOKUP($A98,子基金及业绩基准周净值!$A:$AV,15))</f>
        <v/>
      </c>
      <c r="C98" s="8" t="str">
        <f t="shared" si="8"/>
        <v/>
      </c>
      <c r="D98" s="9" t="str">
        <f>IF(A98="","",C98-(子基金及业绩基准周净值!AH130/子基金及业绩基准周净值!AH129-1))</f>
        <v/>
      </c>
      <c r="E98" s="12" t="str">
        <f>IF(A98="","",(MAX(B$3:B98)-B98)/MAX(B$3:B98))</f>
        <v/>
      </c>
      <c r="F98" s="12" t="str">
        <f>IF(A98="","",MAX(E$4:E98))</f>
        <v/>
      </c>
      <c r="G98" s="13"/>
      <c r="H98" s="14" t="str">
        <f t="shared" si="9"/>
        <v/>
      </c>
      <c r="I98" s="14" t="str">
        <f t="shared" si="10"/>
        <v/>
      </c>
      <c r="J98" s="15" t="str">
        <f t="shared" si="11"/>
        <v/>
      </c>
    </row>
    <row r="99" spans="1:10">
      <c r="A99" s="7" t="str">
        <f>IF(子基金及业绩基准周净值!A131="","",子基金及业绩基准周净值!A131)</f>
        <v/>
      </c>
      <c r="B99" s="1" t="str">
        <f>IF(A99="","",VLOOKUP($A99,子基金及业绩基准周净值!$A:$AV,15))</f>
        <v/>
      </c>
      <c r="C99" s="8" t="str">
        <f t="shared" si="8"/>
        <v/>
      </c>
      <c r="D99" s="9" t="str">
        <f>IF(A99="","",C99-(子基金及业绩基准周净值!AH131/子基金及业绩基准周净值!AH130-1))</f>
        <v/>
      </c>
      <c r="E99" s="12" t="str">
        <f>IF(A99="","",(MAX(B$3:B99)-B99)/MAX(B$3:B99))</f>
        <v/>
      </c>
      <c r="F99" s="12" t="str">
        <f>IF(A99="","",MAX(E$4:E99))</f>
        <v/>
      </c>
      <c r="G99" s="13"/>
      <c r="H99" s="14" t="str">
        <f t="shared" si="9"/>
        <v/>
      </c>
      <c r="I99" s="14" t="str">
        <f t="shared" si="10"/>
        <v/>
      </c>
      <c r="J99" s="15" t="str">
        <f t="shared" si="11"/>
        <v/>
      </c>
    </row>
    <row r="100" spans="1:10">
      <c r="A100" s="7" t="str">
        <f>IF(子基金及业绩基准周净值!A132="","",子基金及业绩基准周净值!A132)</f>
        <v/>
      </c>
      <c r="B100" s="1" t="str">
        <f>IF(A100="","",VLOOKUP($A100,子基金及业绩基准周净值!$A:$AV,15))</f>
        <v/>
      </c>
      <c r="C100" s="8" t="str">
        <f t="shared" si="8"/>
        <v/>
      </c>
      <c r="D100" s="9" t="str">
        <f>IF(A100="","",C100-(子基金及业绩基准周净值!AH132/子基金及业绩基准周净值!AH131-1))</f>
        <v/>
      </c>
      <c r="E100" s="12" t="str">
        <f>IF(A100="","",(MAX(B$3:B100)-B100)/MAX(B$3:B100))</f>
        <v/>
      </c>
      <c r="F100" s="12" t="str">
        <f>IF(A100="","",MAX(E$4:E100))</f>
        <v/>
      </c>
      <c r="G100" s="13"/>
      <c r="H100" s="14" t="str">
        <f t="shared" si="9"/>
        <v/>
      </c>
      <c r="I100" s="14" t="str">
        <f t="shared" si="10"/>
        <v/>
      </c>
      <c r="J100" s="15" t="str">
        <f t="shared" si="11"/>
        <v/>
      </c>
    </row>
    <row r="101" spans="1:10">
      <c r="A101" s="7" t="str">
        <f>IF(子基金及业绩基准周净值!A133="","",子基金及业绩基准周净值!A133)</f>
        <v/>
      </c>
      <c r="B101" s="1" t="str">
        <f>IF(A101="","",VLOOKUP($A101,子基金及业绩基准周净值!$A:$AV,15))</f>
        <v/>
      </c>
      <c r="C101" s="8" t="str">
        <f t="shared" si="8"/>
        <v/>
      </c>
      <c r="D101" s="9" t="str">
        <f>IF(A101="","",C101-(子基金及业绩基准周净值!AH133/子基金及业绩基准周净值!AH132-1))</f>
        <v/>
      </c>
      <c r="E101" s="12" t="str">
        <f>IF(A101="","",(MAX(B$3:B101)-B101)/MAX(B$3:B101))</f>
        <v/>
      </c>
      <c r="F101" s="12" t="str">
        <f>IF(A101="","",MAX(E$4:E101))</f>
        <v/>
      </c>
      <c r="G101" s="13"/>
      <c r="H101" s="14" t="str">
        <f t="shared" si="9"/>
        <v/>
      </c>
      <c r="I101" s="14" t="str">
        <f t="shared" si="10"/>
        <v/>
      </c>
      <c r="J101" s="15" t="str">
        <f t="shared" si="11"/>
        <v/>
      </c>
    </row>
    <row r="102" spans="1:10">
      <c r="A102" s="7" t="str">
        <f>IF(子基金及业绩基准周净值!A134="","",子基金及业绩基准周净值!A134)</f>
        <v/>
      </c>
      <c r="B102" s="1" t="str">
        <f>IF(A102="","",VLOOKUP($A102,子基金及业绩基准周净值!$A:$AV,15))</f>
        <v/>
      </c>
      <c r="C102" s="8" t="str">
        <f t="shared" si="8"/>
        <v/>
      </c>
      <c r="D102" s="9" t="str">
        <f>IF(A102="","",C102-(子基金及业绩基准周净值!AH134/子基金及业绩基准周净值!AH133-1))</f>
        <v/>
      </c>
      <c r="E102" s="12" t="str">
        <f>IF(A102="","",(MAX(B$3:B102)-B102)/MAX(B$3:B102))</f>
        <v/>
      </c>
      <c r="F102" s="12" t="str">
        <f>IF(A102="","",MAX(E$4:E102))</f>
        <v/>
      </c>
      <c r="G102" s="13"/>
      <c r="H102" s="14" t="str">
        <f t="shared" si="9"/>
        <v/>
      </c>
      <c r="I102" s="14" t="str">
        <f t="shared" si="10"/>
        <v/>
      </c>
      <c r="J102" s="15" t="str">
        <f t="shared" si="11"/>
        <v/>
      </c>
    </row>
    <row r="103" spans="1:10">
      <c r="A103" s="7" t="str">
        <f>IF(子基金及业绩基准周净值!A135="","",子基金及业绩基准周净值!A135)</f>
        <v/>
      </c>
      <c r="B103" s="1" t="str">
        <f>IF(A103="","",VLOOKUP($A103,子基金及业绩基准周净值!$A:$AV,15))</f>
        <v/>
      </c>
      <c r="C103" s="8" t="str">
        <f t="shared" si="8"/>
        <v/>
      </c>
      <c r="D103" s="9" t="str">
        <f>IF(A103="","",C103-(子基金及业绩基准周净值!AH135/子基金及业绩基准周净值!AH134-1))</f>
        <v/>
      </c>
      <c r="E103" s="12" t="str">
        <f>IF(A103="","",(MAX(B$3:B103)-B103)/MAX(B$3:B103))</f>
        <v/>
      </c>
      <c r="F103" s="12" t="str">
        <f>IF(A103="","",MAX(E$4:E103))</f>
        <v/>
      </c>
      <c r="G103" s="13"/>
      <c r="H103" s="14" t="str">
        <f t="shared" si="9"/>
        <v/>
      </c>
      <c r="I103" s="14" t="str">
        <f t="shared" si="10"/>
        <v/>
      </c>
      <c r="J103" s="15" t="str">
        <f t="shared" si="11"/>
        <v/>
      </c>
    </row>
    <row r="104" spans="1:10">
      <c r="A104" s="7" t="str">
        <f>IF(子基金及业绩基准周净值!A136="","",子基金及业绩基准周净值!A136)</f>
        <v/>
      </c>
      <c r="B104" s="1" t="str">
        <f>IF(A104="","",VLOOKUP($A104,子基金及业绩基准周净值!$A:$AV,15))</f>
        <v/>
      </c>
      <c r="C104" s="8" t="str">
        <f t="shared" si="8"/>
        <v/>
      </c>
      <c r="D104" s="9" t="str">
        <f>IF(A104="","",C104-(子基金及业绩基准周净值!AH136/子基金及业绩基准周净值!AH135-1))</f>
        <v/>
      </c>
      <c r="E104" s="12" t="str">
        <f>IF(A104="","",(MAX(B$3:B104)-B104)/MAX(B$3:B104))</f>
        <v/>
      </c>
      <c r="F104" s="12" t="str">
        <f>IF(A104="","",MAX(E$4:E104))</f>
        <v/>
      </c>
      <c r="G104" s="13"/>
      <c r="H104" s="14" t="str">
        <f t="shared" si="9"/>
        <v/>
      </c>
      <c r="I104" s="14" t="str">
        <f t="shared" si="10"/>
        <v/>
      </c>
      <c r="J104" s="15" t="str">
        <f t="shared" si="11"/>
        <v/>
      </c>
    </row>
    <row r="105" spans="1:10">
      <c r="A105" s="7" t="str">
        <f>IF(子基金及业绩基准周净值!A137="","",子基金及业绩基准周净值!A137)</f>
        <v/>
      </c>
      <c r="B105" s="1" t="str">
        <f>IF(A105="","",VLOOKUP($A105,子基金及业绩基准周净值!$A:$AV,15))</f>
        <v/>
      </c>
      <c r="C105" s="8" t="str">
        <f t="shared" si="8"/>
        <v/>
      </c>
      <c r="D105" s="9" t="str">
        <f>IF(A105="","",C105-(子基金及业绩基准周净值!AH137/子基金及业绩基准周净值!AH136-1))</f>
        <v/>
      </c>
      <c r="E105" s="12" t="str">
        <f>IF(A105="","",(MAX(B$3:B105)-B105)/MAX(B$3:B105))</f>
        <v/>
      </c>
      <c r="F105" s="12" t="str">
        <f>IF(A105="","",MAX(E$4:E105))</f>
        <v/>
      </c>
      <c r="G105" s="13"/>
      <c r="H105" s="14" t="str">
        <f t="shared" si="9"/>
        <v/>
      </c>
      <c r="I105" s="14" t="str">
        <f t="shared" si="10"/>
        <v/>
      </c>
      <c r="J105" s="15" t="str">
        <f t="shared" si="11"/>
        <v/>
      </c>
    </row>
    <row r="106" spans="1:10">
      <c r="A106" s="7" t="str">
        <f>IF(子基金及业绩基准周净值!A138="","",子基金及业绩基准周净值!A138)</f>
        <v/>
      </c>
      <c r="B106" s="1" t="str">
        <f>IF(A106="","",VLOOKUP($A106,子基金及业绩基准周净值!$A:$AV,15))</f>
        <v/>
      </c>
      <c r="C106" s="8" t="str">
        <f t="shared" si="8"/>
        <v/>
      </c>
      <c r="D106" s="9" t="str">
        <f>IF(A106="","",C106-(子基金及业绩基准周净值!AH138/子基金及业绩基准周净值!AH137-1))</f>
        <v/>
      </c>
      <c r="E106" s="12" t="str">
        <f>IF(A106="","",(MAX(B$3:B106)-B106)/MAX(B$3:B106))</f>
        <v/>
      </c>
      <c r="F106" s="12" t="str">
        <f>IF(A106="","",MAX(E$4:E106))</f>
        <v/>
      </c>
      <c r="G106" s="13"/>
      <c r="H106" s="14" t="str">
        <f t="shared" si="9"/>
        <v/>
      </c>
      <c r="I106" s="14" t="str">
        <f t="shared" si="10"/>
        <v/>
      </c>
      <c r="J106" s="15" t="str">
        <f t="shared" si="11"/>
        <v/>
      </c>
    </row>
    <row r="107" spans="1:10">
      <c r="A107" s="7" t="str">
        <f>IF(子基金及业绩基准周净值!A139="","",子基金及业绩基准周净值!A139)</f>
        <v/>
      </c>
      <c r="B107" s="1" t="str">
        <f>IF(A107="","",VLOOKUP($A107,子基金及业绩基准周净值!$A:$AV,15))</f>
        <v/>
      </c>
      <c r="C107" s="8" t="str">
        <f t="shared" si="8"/>
        <v/>
      </c>
      <c r="D107" s="9" t="str">
        <f>IF(A107="","",C107-(子基金及业绩基准周净值!AH139/子基金及业绩基准周净值!AH138-1))</f>
        <v/>
      </c>
      <c r="E107" s="12" t="str">
        <f>IF(A107="","",(MAX(B$3:B107)-B107)/MAX(B$3:B107))</f>
        <v/>
      </c>
      <c r="F107" s="12" t="str">
        <f>IF(A107="","",MAX(E$4:E107))</f>
        <v/>
      </c>
      <c r="G107" s="13"/>
      <c r="H107" s="14" t="str">
        <f t="shared" si="9"/>
        <v/>
      </c>
      <c r="I107" s="14" t="str">
        <f t="shared" si="10"/>
        <v/>
      </c>
      <c r="J107" s="15" t="str">
        <f t="shared" si="11"/>
        <v/>
      </c>
    </row>
    <row r="108" spans="1:10">
      <c r="A108" s="7" t="str">
        <f>IF(子基金及业绩基准周净值!A140="","",子基金及业绩基准周净值!A140)</f>
        <v/>
      </c>
      <c r="B108" s="1" t="str">
        <f>IF(A108="","",VLOOKUP($A108,子基金及业绩基准周净值!$A:$AV,15))</f>
        <v/>
      </c>
      <c r="C108" s="8" t="str">
        <f t="shared" si="8"/>
        <v/>
      </c>
      <c r="D108" s="9" t="str">
        <f>IF(A108="","",C108-(子基金及业绩基准周净值!AH140/子基金及业绩基准周净值!AH139-1))</f>
        <v/>
      </c>
      <c r="E108" s="12" t="str">
        <f>IF(A108="","",(MAX(B$3:B108)-B108)/MAX(B$3:B108))</f>
        <v/>
      </c>
      <c r="F108" s="12" t="str">
        <f>IF(A108="","",MAX(E$4:E108))</f>
        <v/>
      </c>
      <c r="G108" s="13"/>
      <c r="H108" s="14" t="str">
        <f t="shared" si="9"/>
        <v/>
      </c>
      <c r="I108" s="14" t="str">
        <f t="shared" si="10"/>
        <v/>
      </c>
      <c r="J108" s="15" t="str">
        <f t="shared" si="11"/>
        <v/>
      </c>
    </row>
    <row r="109" spans="1:10">
      <c r="A109" s="7" t="str">
        <f>IF(子基金及业绩基准周净值!A141="","",子基金及业绩基准周净值!A141)</f>
        <v/>
      </c>
      <c r="B109" s="1" t="str">
        <f>IF(A109="","",VLOOKUP($A109,子基金及业绩基准周净值!$A:$AV,15))</f>
        <v/>
      </c>
      <c r="C109" s="8" t="str">
        <f t="shared" si="8"/>
        <v/>
      </c>
      <c r="D109" s="9" t="str">
        <f>IF(A109="","",C109-(子基金及业绩基准周净值!AH141/子基金及业绩基准周净值!AH140-1))</f>
        <v/>
      </c>
      <c r="E109" s="12" t="str">
        <f>IF(A109="","",(MAX(B$3:B109)-B109)/MAX(B$3:B109))</f>
        <v/>
      </c>
      <c r="F109" s="12" t="str">
        <f>IF(A109="","",MAX(E$4:E109))</f>
        <v/>
      </c>
      <c r="G109" s="13"/>
      <c r="H109" s="14" t="str">
        <f t="shared" si="9"/>
        <v/>
      </c>
      <c r="I109" s="14" t="str">
        <f t="shared" si="10"/>
        <v/>
      </c>
      <c r="J109" s="15" t="str">
        <f t="shared" si="11"/>
        <v/>
      </c>
    </row>
    <row r="110" spans="1:10">
      <c r="A110" s="7" t="str">
        <f>IF(子基金及业绩基准周净值!A142="","",子基金及业绩基准周净值!A142)</f>
        <v/>
      </c>
      <c r="B110" s="1" t="str">
        <f>IF(A110="","",VLOOKUP($A110,子基金及业绩基准周净值!$A:$AV,15))</f>
        <v/>
      </c>
      <c r="C110" s="8" t="str">
        <f t="shared" si="8"/>
        <v/>
      </c>
      <c r="D110" s="9" t="str">
        <f>IF(A110="","",C110-(子基金及业绩基准周净值!AH142/子基金及业绩基准周净值!AH141-1))</f>
        <v/>
      </c>
      <c r="E110" s="12" t="str">
        <f>IF(A110="","",(MAX(B$3:B110)-B110)/MAX(B$3:B110))</f>
        <v/>
      </c>
      <c r="F110" s="12" t="str">
        <f>IF(A110="","",MAX(E$4:E110))</f>
        <v/>
      </c>
      <c r="G110" s="13"/>
      <c r="H110" s="14" t="str">
        <f t="shared" si="9"/>
        <v/>
      </c>
      <c r="I110" s="14" t="str">
        <f t="shared" si="10"/>
        <v/>
      </c>
      <c r="J110" s="15" t="str">
        <f t="shared" si="11"/>
        <v/>
      </c>
    </row>
    <row r="111" spans="1:10">
      <c r="A111" s="7" t="str">
        <f>IF(子基金及业绩基准周净值!A143="","",子基金及业绩基准周净值!A143)</f>
        <v/>
      </c>
      <c r="B111" s="1" t="str">
        <f>IF(A111="","",VLOOKUP($A111,子基金及业绩基准周净值!$A:$AV,15))</f>
        <v/>
      </c>
      <c r="C111" s="8" t="str">
        <f t="shared" si="8"/>
        <v/>
      </c>
      <c r="D111" s="9" t="str">
        <f>IF(A111="","",C111-(子基金及业绩基准周净值!AH143/子基金及业绩基准周净值!AH142-1))</f>
        <v/>
      </c>
      <c r="E111" s="12" t="str">
        <f>IF(A111="","",(MAX(B$3:B111)-B111)/MAX(B$3:B111))</f>
        <v/>
      </c>
      <c r="F111" s="12" t="str">
        <f>IF(A111="","",MAX(E$4:E111))</f>
        <v/>
      </c>
      <c r="G111" s="13"/>
      <c r="H111" s="14" t="str">
        <f t="shared" si="9"/>
        <v/>
      </c>
      <c r="I111" s="14" t="str">
        <f t="shared" si="10"/>
        <v/>
      </c>
      <c r="J111" s="15" t="str">
        <f t="shared" si="11"/>
        <v/>
      </c>
    </row>
    <row r="112" spans="1:10">
      <c r="A112" s="7" t="str">
        <f>IF(子基金及业绩基准周净值!A144="","",子基金及业绩基准周净值!A144)</f>
        <v/>
      </c>
      <c r="B112" s="1" t="str">
        <f>IF(A112="","",VLOOKUP($A112,子基金及业绩基准周净值!$A:$AV,15))</f>
        <v/>
      </c>
      <c r="C112" s="8" t="str">
        <f t="shared" si="8"/>
        <v/>
      </c>
      <c r="D112" s="9" t="str">
        <f>IF(A112="","",C112-(子基金及业绩基准周净值!AH144/子基金及业绩基准周净值!AH143-1))</f>
        <v/>
      </c>
      <c r="E112" s="12" t="str">
        <f>IF(A112="","",(MAX(B$3:B112)-B112)/MAX(B$3:B112))</f>
        <v/>
      </c>
      <c r="F112" s="12" t="str">
        <f>IF(A112="","",MAX(E$4:E112))</f>
        <v/>
      </c>
      <c r="G112" s="13"/>
      <c r="H112" s="14" t="str">
        <f t="shared" si="9"/>
        <v/>
      </c>
      <c r="I112" s="14" t="str">
        <f t="shared" si="10"/>
        <v/>
      </c>
      <c r="J112" s="15" t="str">
        <f t="shared" si="11"/>
        <v/>
      </c>
    </row>
    <row r="113" spans="1:10">
      <c r="A113" s="7" t="str">
        <f>IF(子基金及业绩基准周净值!A145="","",子基金及业绩基准周净值!A145)</f>
        <v/>
      </c>
      <c r="B113" s="1" t="str">
        <f>IF(A113="","",VLOOKUP($A113,子基金及业绩基准周净值!$A:$AV,15))</f>
        <v/>
      </c>
      <c r="C113" s="8" t="str">
        <f t="shared" si="8"/>
        <v/>
      </c>
      <c r="D113" s="9" t="str">
        <f>IF(A113="","",C113-(子基金及业绩基准周净值!AH145/子基金及业绩基准周净值!AH144-1))</f>
        <v/>
      </c>
      <c r="E113" s="12" t="str">
        <f>IF(A113="","",(MAX(B$3:B113)-B113)/MAX(B$3:B113))</f>
        <v/>
      </c>
      <c r="F113" s="12" t="str">
        <f>IF(A113="","",MAX(E$4:E113))</f>
        <v/>
      </c>
      <c r="G113" s="13"/>
      <c r="H113" s="14" t="str">
        <f t="shared" si="9"/>
        <v/>
      </c>
      <c r="I113" s="14" t="str">
        <f t="shared" si="10"/>
        <v/>
      </c>
      <c r="J113" s="15" t="str">
        <f t="shared" si="11"/>
        <v/>
      </c>
    </row>
    <row r="114" spans="1:10">
      <c r="A114" s="7" t="str">
        <f>IF(子基金及业绩基准周净值!A146="","",子基金及业绩基准周净值!A146)</f>
        <v/>
      </c>
      <c r="B114" s="1" t="str">
        <f>IF(A114="","",VLOOKUP($A114,子基金及业绩基准周净值!$A:$AV,15))</f>
        <v/>
      </c>
      <c r="C114" s="8" t="str">
        <f t="shared" si="8"/>
        <v/>
      </c>
      <c r="D114" s="9" t="str">
        <f>IF(A114="","",C114-(子基金及业绩基准周净值!AH146/子基金及业绩基准周净值!AH145-1))</f>
        <v/>
      </c>
      <c r="E114" s="12" t="str">
        <f>IF(A114="","",(MAX(B$3:B114)-B114)/MAX(B$3:B114))</f>
        <v/>
      </c>
      <c r="F114" s="12" t="str">
        <f>IF(A114="","",MAX(E$4:E114))</f>
        <v/>
      </c>
      <c r="G114" s="13"/>
      <c r="H114" s="14" t="str">
        <f t="shared" si="9"/>
        <v/>
      </c>
      <c r="I114" s="14" t="str">
        <f t="shared" si="10"/>
        <v/>
      </c>
      <c r="J114" s="15" t="str">
        <f t="shared" si="11"/>
        <v/>
      </c>
    </row>
    <row r="115" spans="1:10">
      <c r="A115" s="7" t="str">
        <f>IF(子基金及业绩基准周净值!A147="","",子基金及业绩基准周净值!A147)</f>
        <v/>
      </c>
      <c r="B115" s="1" t="str">
        <f>IF(A115="","",VLOOKUP($A115,子基金及业绩基准周净值!$A:$AV,15))</f>
        <v/>
      </c>
      <c r="C115" s="8" t="str">
        <f t="shared" si="8"/>
        <v/>
      </c>
      <c r="D115" s="9" t="str">
        <f>IF(A115="","",C115-(子基金及业绩基准周净值!AH147/子基金及业绩基准周净值!AH146-1))</f>
        <v/>
      </c>
      <c r="E115" s="12" t="str">
        <f>IF(A115="","",(MAX(B$3:B115)-B115)/MAX(B$3:B115))</f>
        <v/>
      </c>
      <c r="F115" s="12" t="str">
        <f>IF(A115="","",MAX(E$4:E115))</f>
        <v/>
      </c>
      <c r="G115" s="13"/>
      <c r="H115" s="14" t="str">
        <f t="shared" si="9"/>
        <v/>
      </c>
      <c r="I115" s="14" t="str">
        <f t="shared" si="10"/>
        <v/>
      </c>
      <c r="J115" s="15" t="str">
        <f t="shared" si="11"/>
        <v/>
      </c>
    </row>
    <row r="116" spans="1:10">
      <c r="A116" s="7" t="str">
        <f>IF(子基金及业绩基准周净值!A148="","",子基金及业绩基准周净值!A148)</f>
        <v/>
      </c>
      <c r="B116" s="1" t="str">
        <f>IF(A116="","",VLOOKUP($A116,子基金及业绩基准周净值!$A:$AV,15))</f>
        <v/>
      </c>
      <c r="C116" s="8" t="str">
        <f t="shared" si="8"/>
        <v/>
      </c>
      <c r="D116" s="9" t="str">
        <f>IF(A116="","",C116-(子基金及业绩基准周净值!AH148/子基金及业绩基准周净值!AH147-1))</f>
        <v/>
      </c>
      <c r="E116" s="12" t="str">
        <f>IF(A116="","",(MAX(B$3:B116)-B116)/MAX(B$3:B116))</f>
        <v/>
      </c>
      <c r="F116" s="12" t="str">
        <f>IF(A116="","",MAX(E$4:E116))</f>
        <v/>
      </c>
      <c r="G116" s="13"/>
      <c r="H116" s="14" t="str">
        <f t="shared" si="9"/>
        <v/>
      </c>
      <c r="I116" s="14" t="str">
        <f t="shared" si="10"/>
        <v/>
      </c>
      <c r="J116" s="15" t="str">
        <f t="shared" si="11"/>
        <v/>
      </c>
    </row>
    <row r="117" spans="1:10">
      <c r="A117" s="7" t="str">
        <f>IF(子基金及业绩基准周净值!A149="","",子基金及业绩基准周净值!A149)</f>
        <v/>
      </c>
      <c r="B117" s="1" t="str">
        <f>IF(A117="","",VLOOKUP($A117,子基金及业绩基准周净值!$A:$AV,15))</f>
        <v/>
      </c>
      <c r="C117" s="8" t="str">
        <f t="shared" si="8"/>
        <v/>
      </c>
      <c r="D117" s="9" t="str">
        <f>IF(A117="","",C117-(子基金及业绩基准周净值!AH149/子基金及业绩基准周净值!AH148-1))</f>
        <v/>
      </c>
      <c r="E117" s="12" t="str">
        <f>IF(A117="","",(MAX(B$3:B117)-B117)/MAX(B$3:B117))</f>
        <v/>
      </c>
      <c r="F117" s="12" t="str">
        <f>IF(A117="","",MAX(E$4:E117))</f>
        <v/>
      </c>
      <c r="G117" s="13"/>
      <c r="H117" s="14" t="str">
        <f t="shared" si="9"/>
        <v/>
      </c>
      <c r="I117" s="14" t="str">
        <f t="shared" si="10"/>
        <v/>
      </c>
      <c r="J117" s="15" t="str">
        <f t="shared" si="11"/>
        <v/>
      </c>
    </row>
    <row r="118" spans="1:10">
      <c r="A118" s="7" t="str">
        <f>IF(子基金及业绩基准周净值!A150="","",子基金及业绩基准周净值!A150)</f>
        <v/>
      </c>
      <c r="B118" s="1" t="str">
        <f>IF(A118="","",VLOOKUP($A118,子基金及业绩基准周净值!$A:$AV,15))</f>
        <v/>
      </c>
      <c r="C118" s="8" t="str">
        <f t="shared" si="8"/>
        <v/>
      </c>
      <c r="D118" s="9" t="str">
        <f>IF(A118="","",C118-(子基金及业绩基准周净值!AH150/子基金及业绩基准周净值!AH149-1))</f>
        <v/>
      </c>
      <c r="E118" s="12" t="str">
        <f>IF(A118="","",(MAX(B$3:B118)-B118)/MAX(B$3:B118))</f>
        <v/>
      </c>
      <c r="F118" s="12" t="str">
        <f>IF(A118="","",MAX(E$4:E118))</f>
        <v/>
      </c>
      <c r="G118" s="13"/>
      <c r="H118" s="14" t="str">
        <f t="shared" si="9"/>
        <v/>
      </c>
      <c r="I118" s="14" t="str">
        <f t="shared" si="10"/>
        <v/>
      </c>
      <c r="J118" s="15" t="str">
        <f t="shared" si="11"/>
        <v/>
      </c>
    </row>
    <row r="119" spans="1:10">
      <c r="A119" s="7" t="str">
        <f>IF(子基金及业绩基准周净值!A151="","",子基金及业绩基准周净值!A151)</f>
        <v/>
      </c>
      <c r="B119" s="1" t="str">
        <f>IF(A119="","",VLOOKUP($A119,子基金及业绩基准周净值!$A:$AV,15))</f>
        <v/>
      </c>
      <c r="C119" s="8" t="str">
        <f t="shared" si="8"/>
        <v/>
      </c>
      <c r="D119" s="9" t="str">
        <f>IF(A119="","",C119-(子基金及业绩基准周净值!AH151/子基金及业绩基准周净值!AH150-1))</f>
        <v/>
      </c>
      <c r="E119" s="12" t="str">
        <f>IF(A119="","",(MAX(B$3:B119)-B119)/MAX(B$3:B119))</f>
        <v/>
      </c>
      <c r="F119" s="12" t="str">
        <f>IF(A119="","",MAX(E$4:E119))</f>
        <v/>
      </c>
      <c r="G119" s="13"/>
      <c r="H119" s="14" t="str">
        <f t="shared" si="9"/>
        <v/>
      </c>
      <c r="I119" s="14" t="str">
        <f t="shared" si="10"/>
        <v/>
      </c>
      <c r="J119" s="15" t="str">
        <f t="shared" si="11"/>
        <v/>
      </c>
    </row>
    <row r="120" spans="1:10">
      <c r="A120" s="7" t="str">
        <f>IF(子基金及业绩基准周净值!A152="","",子基金及业绩基准周净值!A152)</f>
        <v/>
      </c>
      <c r="B120" s="1" t="str">
        <f>IF(A120="","",VLOOKUP($A120,子基金及业绩基准周净值!$A:$AV,15))</f>
        <v/>
      </c>
      <c r="C120" s="8" t="str">
        <f t="shared" si="8"/>
        <v/>
      </c>
      <c r="D120" s="9" t="str">
        <f>IF(A120="","",C120-(子基金及业绩基准周净值!AH152/子基金及业绩基准周净值!AH151-1))</f>
        <v/>
      </c>
      <c r="E120" s="12" t="str">
        <f>IF(A120="","",(MAX(B$3:B120)-B120)/MAX(B$3:B120))</f>
        <v/>
      </c>
      <c r="F120" s="12" t="str">
        <f>IF(A120="","",MAX(E$4:E120))</f>
        <v/>
      </c>
      <c r="G120" s="13"/>
      <c r="H120" s="14" t="str">
        <f t="shared" si="9"/>
        <v/>
      </c>
      <c r="I120" s="14" t="str">
        <f t="shared" si="10"/>
        <v/>
      </c>
      <c r="J120" s="15" t="str">
        <f t="shared" si="11"/>
        <v/>
      </c>
    </row>
    <row r="121" spans="1:10">
      <c r="A121" s="7" t="str">
        <f>IF(子基金及业绩基准周净值!A153="","",子基金及业绩基准周净值!A153)</f>
        <v/>
      </c>
      <c r="B121" s="1" t="str">
        <f>IF(A121="","",VLOOKUP($A121,子基金及业绩基准周净值!$A:$AV,15))</f>
        <v/>
      </c>
      <c r="C121" s="8" t="str">
        <f t="shared" si="8"/>
        <v/>
      </c>
      <c r="D121" s="9" t="str">
        <f>IF(A121="","",C121-(子基金及业绩基准周净值!AH153/子基金及业绩基准周净值!AH152-1))</f>
        <v/>
      </c>
      <c r="E121" s="12" t="str">
        <f>IF(A121="","",(MAX(B$3:B121)-B121)/MAX(B$3:B121))</f>
        <v/>
      </c>
      <c r="F121" s="12" t="str">
        <f>IF(A121="","",MAX(E$4:E121))</f>
        <v/>
      </c>
      <c r="G121" s="13"/>
      <c r="H121" s="14" t="str">
        <f t="shared" si="9"/>
        <v/>
      </c>
      <c r="I121" s="14" t="str">
        <f t="shared" si="10"/>
        <v/>
      </c>
      <c r="J121" s="15" t="str">
        <f t="shared" si="11"/>
        <v/>
      </c>
    </row>
    <row r="122" spans="1:10">
      <c r="A122" s="7" t="str">
        <f>IF(子基金及业绩基准周净值!A154="","",子基金及业绩基准周净值!A154)</f>
        <v/>
      </c>
      <c r="B122" s="1" t="str">
        <f>IF(A122="","",VLOOKUP($A122,子基金及业绩基准周净值!$A:$AV,15))</f>
        <v/>
      </c>
      <c r="C122" s="8" t="str">
        <f t="shared" si="8"/>
        <v/>
      </c>
      <c r="D122" s="9" t="str">
        <f>IF(A122="","",C122-(子基金及业绩基准周净值!AH154/子基金及业绩基准周净值!AH153-1))</f>
        <v/>
      </c>
      <c r="E122" s="12" t="str">
        <f>IF(A122="","",(MAX(B$3:B122)-B122)/MAX(B$3:B122))</f>
        <v/>
      </c>
      <c r="F122" s="12" t="str">
        <f>IF(A122="","",MAX(E$4:E122))</f>
        <v/>
      </c>
      <c r="G122" s="13"/>
      <c r="H122" s="14" t="str">
        <f t="shared" si="9"/>
        <v/>
      </c>
      <c r="I122" s="14" t="str">
        <f t="shared" si="10"/>
        <v/>
      </c>
      <c r="J122" s="15" t="str">
        <f t="shared" si="11"/>
        <v/>
      </c>
    </row>
    <row r="123" spans="1:10">
      <c r="A123" s="7" t="str">
        <f>IF(子基金及业绩基准周净值!A155="","",子基金及业绩基准周净值!A155)</f>
        <v/>
      </c>
      <c r="B123" s="1" t="str">
        <f>IF(A123="","",VLOOKUP($A123,子基金及业绩基准周净值!$A:$AV,15))</f>
        <v/>
      </c>
      <c r="C123" s="8" t="str">
        <f t="shared" si="8"/>
        <v/>
      </c>
      <c r="D123" s="9" t="str">
        <f>IF(A123="","",C123-(子基金及业绩基准周净值!AH155/子基金及业绩基准周净值!AH154-1))</f>
        <v/>
      </c>
      <c r="E123" s="12" t="str">
        <f>IF(A123="","",(MAX(B$3:B123)-B123)/MAX(B$3:B123))</f>
        <v/>
      </c>
      <c r="F123" s="12" t="str">
        <f>IF(A123="","",MAX(E$4:E123))</f>
        <v/>
      </c>
      <c r="G123" s="13"/>
      <c r="H123" s="14" t="str">
        <f t="shared" si="9"/>
        <v/>
      </c>
      <c r="I123" s="14" t="str">
        <f t="shared" si="10"/>
        <v/>
      </c>
      <c r="J123" s="15" t="str">
        <f t="shared" si="11"/>
        <v/>
      </c>
    </row>
    <row r="124" spans="1:10">
      <c r="A124" s="7" t="str">
        <f>IF(子基金及业绩基准周净值!A156="","",子基金及业绩基准周净值!A156)</f>
        <v/>
      </c>
      <c r="B124" s="1" t="str">
        <f>IF(A124="","",VLOOKUP($A124,子基金及业绩基准周净值!$A:$AV,15))</f>
        <v/>
      </c>
      <c r="C124" s="8" t="str">
        <f t="shared" si="8"/>
        <v/>
      </c>
      <c r="D124" s="9" t="str">
        <f>IF(A124="","",C124-(子基金及业绩基准周净值!AH156/子基金及业绩基准周净值!AH155-1))</f>
        <v/>
      </c>
      <c r="E124" s="12" t="str">
        <f>IF(A124="","",(MAX(B$3:B124)-B124)/MAX(B$3:B124))</f>
        <v/>
      </c>
      <c r="F124" s="12" t="str">
        <f>IF(A124="","",MAX(E$4:E124))</f>
        <v/>
      </c>
      <c r="G124" s="13"/>
      <c r="H124" s="14" t="str">
        <f t="shared" si="9"/>
        <v/>
      </c>
      <c r="I124" s="14" t="str">
        <f t="shared" si="10"/>
        <v/>
      </c>
      <c r="J124" s="15" t="str">
        <f t="shared" si="11"/>
        <v/>
      </c>
    </row>
    <row r="125" spans="1:10">
      <c r="A125" s="7" t="str">
        <f>IF(子基金及业绩基准周净值!A157="","",子基金及业绩基准周净值!A157)</f>
        <v/>
      </c>
      <c r="B125" s="1" t="str">
        <f>IF(A125="","",VLOOKUP($A125,子基金及业绩基准周净值!$A:$AV,15))</f>
        <v/>
      </c>
      <c r="C125" s="8" t="str">
        <f t="shared" si="8"/>
        <v/>
      </c>
      <c r="D125" s="9" t="str">
        <f>IF(A125="","",C125-(子基金及业绩基准周净值!AH157/子基金及业绩基准周净值!AH156-1))</f>
        <v/>
      </c>
      <c r="E125" s="12" t="str">
        <f>IF(A125="","",(MAX(B$3:B125)-B125)/MAX(B$3:B125))</f>
        <v/>
      </c>
      <c r="F125" s="12" t="str">
        <f>IF(A125="","",MAX(E$4:E125))</f>
        <v/>
      </c>
      <c r="G125" s="13"/>
      <c r="H125" s="14" t="str">
        <f t="shared" si="9"/>
        <v/>
      </c>
      <c r="I125" s="14" t="str">
        <f t="shared" si="10"/>
        <v/>
      </c>
      <c r="J125" s="15" t="str">
        <f t="shared" si="11"/>
        <v/>
      </c>
    </row>
    <row r="126" spans="1:10">
      <c r="A126" s="7" t="str">
        <f>IF(子基金及业绩基准周净值!A158="","",子基金及业绩基准周净值!A158)</f>
        <v/>
      </c>
      <c r="B126" s="1" t="str">
        <f>IF(A126="","",VLOOKUP($A126,子基金及业绩基准周净值!$A:$AV,15))</f>
        <v/>
      </c>
      <c r="C126" s="8" t="str">
        <f t="shared" si="8"/>
        <v/>
      </c>
      <c r="D126" s="9" t="str">
        <f>IF(A126="","",C126-(子基金及业绩基准周净值!AH158/子基金及业绩基准周净值!AH157-1))</f>
        <v/>
      </c>
      <c r="E126" s="12" t="str">
        <f>IF(A126="","",(MAX(B$3:B126)-B126)/MAX(B$3:B126))</f>
        <v/>
      </c>
      <c r="F126" s="12" t="str">
        <f>IF(A126="","",MAX(E$4:E126))</f>
        <v/>
      </c>
      <c r="G126" s="13"/>
      <c r="H126" s="14" t="str">
        <f t="shared" si="9"/>
        <v/>
      </c>
      <c r="I126" s="14" t="str">
        <f t="shared" si="10"/>
        <v/>
      </c>
      <c r="J126" s="15" t="str">
        <f t="shared" si="11"/>
        <v/>
      </c>
    </row>
    <row r="127" spans="1:10">
      <c r="A127" s="7" t="str">
        <f>IF(子基金及业绩基准周净值!A159="","",子基金及业绩基准周净值!A159)</f>
        <v/>
      </c>
      <c r="B127" s="1" t="str">
        <f>IF(A127="","",VLOOKUP($A127,子基金及业绩基准周净值!$A:$AV,15))</f>
        <v/>
      </c>
      <c r="C127" s="8" t="str">
        <f t="shared" si="8"/>
        <v/>
      </c>
      <c r="D127" s="9" t="str">
        <f>IF(A127="","",C127-(子基金及业绩基准周净值!AH159/子基金及业绩基准周净值!AH158-1))</f>
        <v/>
      </c>
      <c r="E127" s="12" t="str">
        <f>IF(A127="","",(MAX(B$3:B127)-B127)/MAX(B$3:B127))</f>
        <v/>
      </c>
      <c r="F127" s="12" t="str">
        <f>IF(A127="","",MAX(E$4:E127))</f>
        <v/>
      </c>
      <c r="G127" s="13"/>
      <c r="H127" s="14" t="str">
        <f t="shared" si="9"/>
        <v/>
      </c>
      <c r="I127" s="14" t="str">
        <f t="shared" si="10"/>
        <v/>
      </c>
      <c r="J127" s="15" t="str">
        <f t="shared" si="11"/>
        <v/>
      </c>
    </row>
    <row r="128" spans="1:10">
      <c r="A128" s="7" t="str">
        <f>IF(子基金及业绩基准周净值!A160="","",子基金及业绩基准周净值!A160)</f>
        <v/>
      </c>
      <c r="B128" s="1" t="str">
        <f>IF(A128="","",VLOOKUP($A128,子基金及业绩基准周净值!$A:$AV,15))</f>
        <v/>
      </c>
      <c r="C128" s="8" t="str">
        <f t="shared" si="8"/>
        <v/>
      </c>
      <c r="D128" s="9" t="str">
        <f>IF(A128="","",C128-(子基金及业绩基准周净值!AH160/子基金及业绩基准周净值!AH159-1))</f>
        <v/>
      </c>
      <c r="E128" s="12" t="str">
        <f>IF(A128="","",(MAX(B$3:B128)-B128)/MAX(B$3:B128))</f>
        <v/>
      </c>
      <c r="F128" s="12" t="str">
        <f>IF(A128="","",MAX(E$4:E128))</f>
        <v/>
      </c>
      <c r="G128" s="13"/>
      <c r="H128" s="14" t="str">
        <f t="shared" si="9"/>
        <v/>
      </c>
      <c r="I128" s="14" t="str">
        <f t="shared" si="10"/>
        <v/>
      </c>
      <c r="J128" s="15" t="str">
        <f t="shared" si="11"/>
        <v/>
      </c>
    </row>
    <row r="129" spans="1:10">
      <c r="A129" s="7" t="str">
        <f>IF(子基金及业绩基准周净值!A161="","",子基金及业绩基准周净值!A161)</f>
        <v/>
      </c>
      <c r="B129" s="1" t="str">
        <f>IF(A129="","",VLOOKUP($A129,子基金及业绩基准周净值!$A:$AV,15))</f>
        <v/>
      </c>
      <c r="C129" s="8" t="str">
        <f t="shared" si="8"/>
        <v/>
      </c>
      <c r="D129" s="9" t="str">
        <f>IF(A129="","",C129-(子基金及业绩基准周净值!AH161/子基金及业绩基准周净值!AH160-1))</f>
        <v/>
      </c>
      <c r="E129" s="12" t="str">
        <f>IF(A129="","",(MAX(B$3:B129)-B129)/MAX(B$3:B129))</f>
        <v/>
      </c>
      <c r="F129" s="12" t="str">
        <f>IF(A129="","",MAX(E$4:E129))</f>
        <v/>
      </c>
      <c r="G129" s="13"/>
      <c r="H129" s="14" t="str">
        <f t="shared" si="9"/>
        <v/>
      </c>
      <c r="I129" s="14" t="str">
        <f t="shared" si="10"/>
        <v/>
      </c>
      <c r="J129" s="15" t="str">
        <f t="shared" si="11"/>
        <v/>
      </c>
    </row>
    <row r="130" spans="1:10">
      <c r="A130" s="7" t="str">
        <f>IF(子基金及业绩基准周净值!A162="","",子基金及业绩基准周净值!A162)</f>
        <v/>
      </c>
      <c r="B130" s="1" t="str">
        <f>IF(A130="","",VLOOKUP($A130,子基金及业绩基准周净值!$A:$AV,15))</f>
        <v/>
      </c>
      <c r="C130" s="8" t="str">
        <f t="shared" si="8"/>
        <v/>
      </c>
      <c r="D130" s="9" t="str">
        <f>IF(A130="","",C130-(子基金及业绩基准周净值!AH162/子基金及业绩基准周净值!AH161-1))</f>
        <v/>
      </c>
      <c r="E130" s="12" t="str">
        <f>IF(A130="","",(MAX(B$3:B130)-B130)/MAX(B$3:B130))</f>
        <v/>
      </c>
      <c r="F130" s="12" t="str">
        <f>IF(A130="","",MAX(E$4:E130))</f>
        <v/>
      </c>
      <c r="G130" s="13"/>
      <c r="H130" s="14" t="str">
        <f t="shared" si="9"/>
        <v/>
      </c>
      <c r="I130" s="14" t="str">
        <f t="shared" si="10"/>
        <v/>
      </c>
      <c r="J130" s="15" t="str">
        <f t="shared" si="11"/>
        <v/>
      </c>
    </row>
    <row r="131" spans="1:10">
      <c r="A131" s="7" t="str">
        <f>IF(子基金及业绩基准周净值!A163="","",子基金及业绩基准周净值!A163)</f>
        <v/>
      </c>
      <c r="B131" s="1" t="str">
        <f>IF(A131="","",VLOOKUP($A131,子基金及业绩基准周净值!$A:$AV,15))</f>
        <v/>
      </c>
      <c r="C131" s="8" t="str">
        <f t="shared" si="8"/>
        <v/>
      </c>
      <c r="D131" s="9" t="str">
        <f>IF(A131="","",C131-(子基金及业绩基准周净值!AH163/子基金及业绩基准周净值!AH162-1))</f>
        <v/>
      </c>
      <c r="E131" s="12" t="str">
        <f>IF(A131="","",(MAX(B$3:B131)-B131)/MAX(B$3:B131))</f>
        <v/>
      </c>
      <c r="F131" s="12" t="str">
        <f>IF(A131="","",MAX(E$4:E131))</f>
        <v/>
      </c>
      <c r="G131" s="13"/>
      <c r="H131" s="14" t="str">
        <f t="shared" si="9"/>
        <v/>
      </c>
      <c r="I131" s="14" t="str">
        <f t="shared" si="10"/>
        <v/>
      </c>
      <c r="J131" s="15" t="str">
        <f t="shared" si="11"/>
        <v/>
      </c>
    </row>
    <row r="132" spans="1:10">
      <c r="A132" s="7" t="str">
        <f>IF(子基金及业绩基准周净值!A164="","",子基金及业绩基准周净值!A164)</f>
        <v/>
      </c>
      <c r="B132" s="1" t="str">
        <f>IF(A132="","",VLOOKUP($A132,子基金及业绩基准周净值!$A:$AV,15))</f>
        <v/>
      </c>
      <c r="C132" s="8" t="str">
        <f t="shared" ref="C132:C195" si="12">IF(A132="","",(B132-B131)/B131)</f>
        <v/>
      </c>
      <c r="D132" s="9" t="str">
        <f>IF(A132="","",C132-(子基金及业绩基准周净值!AH164/子基金及业绩基准周净值!AH163-1))</f>
        <v/>
      </c>
      <c r="E132" s="12" t="str">
        <f>IF(A132="","",(MAX(B$3:B132)-B132)/MAX(B$3:B132))</f>
        <v/>
      </c>
      <c r="F132" s="12" t="str">
        <f>IF(A132="","",MAX(E$4:E132))</f>
        <v/>
      </c>
      <c r="G132" s="13"/>
      <c r="H132" s="14" t="str">
        <f t="shared" ref="H132:H195" si="13">IF(A132="","",IF(E132&lt;3%,"否","是"))</f>
        <v/>
      </c>
      <c r="I132" s="14" t="str">
        <f t="shared" ref="I132:I195" si="14">IF(A132="","",IF(F132&gt;5%,"是","否"))</f>
        <v/>
      </c>
      <c r="J132" s="15" t="str">
        <f t="shared" ref="J132:J195" si="15">IF(A132="","",IF(G132&gt;=4,"是","否"))</f>
        <v/>
      </c>
    </row>
    <row r="133" spans="1:10">
      <c r="A133" s="7" t="str">
        <f>IF(子基金及业绩基准周净值!A165="","",子基金及业绩基准周净值!A165)</f>
        <v/>
      </c>
      <c r="B133" s="1" t="str">
        <f>IF(A133="","",VLOOKUP($A133,子基金及业绩基准周净值!$A:$AV,15))</f>
        <v/>
      </c>
      <c r="C133" s="8" t="str">
        <f t="shared" si="12"/>
        <v/>
      </c>
      <c r="D133" s="9" t="str">
        <f>IF(A133="","",C133-(子基金及业绩基准周净值!AH165/子基金及业绩基准周净值!AH164-1))</f>
        <v/>
      </c>
      <c r="E133" s="12" t="str">
        <f>IF(A133="","",(MAX(B$3:B133)-B133)/MAX(B$3:B133))</f>
        <v/>
      </c>
      <c r="F133" s="12" t="str">
        <f>IF(A133="","",MAX(E$4:E133))</f>
        <v/>
      </c>
      <c r="G133" s="13"/>
      <c r="H133" s="14" t="str">
        <f t="shared" si="13"/>
        <v/>
      </c>
      <c r="I133" s="14" t="str">
        <f t="shared" si="14"/>
        <v/>
      </c>
      <c r="J133" s="15" t="str">
        <f t="shared" si="15"/>
        <v/>
      </c>
    </row>
    <row r="134" spans="1:10">
      <c r="A134" s="7" t="str">
        <f>IF(子基金及业绩基准周净值!A166="","",子基金及业绩基准周净值!A166)</f>
        <v/>
      </c>
      <c r="B134" s="1" t="str">
        <f>IF(A134="","",VLOOKUP($A134,子基金及业绩基准周净值!$A:$AV,15))</f>
        <v/>
      </c>
      <c r="C134" s="8" t="str">
        <f t="shared" si="12"/>
        <v/>
      </c>
      <c r="D134" s="9" t="str">
        <f>IF(A134="","",C134-(子基金及业绩基准周净值!AH166/子基金及业绩基准周净值!AH165-1))</f>
        <v/>
      </c>
      <c r="E134" s="12" t="str">
        <f>IF(A134="","",(MAX(B$3:B134)-B134)/MAX(B$3:B134))</f>
        <v/>
      </c>
      <c r="F134" s="12" t="str">
        <f>IF(A134="","",MAX(E$4:E134))</f>
        <v/>
      </c>
      <c r="G134" s="13"/>
      <c r="H134" s="14" t="str">
        <f t="shared" si="13"/>
        <v/>
      </c>
      <c r="I134" s="14" t="str">
        <f t="shared" si="14"/>
        <v/>
      </c>
      <c r="J134" s="15" t="str">
        <f t="shared" si="15"/>
        <v/>
      </c>
    </row>
    <row r="135" spans="1:10">
      <c r="A135" s="7" t="str">
        <f>IF(子基金及业绩基准周净值!A167="","",子基金及业绩基准周净值!A167)</f>
        <v/>
      </c>
      <c r="B135" s="1" t="str">
        <f>IF(A135="","",VLOOKUP($A135,子基金及业绩基准周净值!$A:$AV,15))</f>
        <v/>
      </c>
      <c r="C135" s="8" t="str">
        <f t="shared" si="12"/>
        <v/>
      </c>
      <c r="D135" s="9" t="str">
        <f>IF(A135="","",C135-(子基金及业绩基准周净值!AH167/子基金及业绩基准周净值!AH166-1))</f>
        <v/>
      </c>
      <c r="E135" s="12" t="str">
        <f>IF(A135="","",(MAX(B$3:B135)-B135)/MAX(B$3:B135))</f>
        <v/>
      </c>
      <c r="F135" s="12" t="str">
        <f>IF(A135="","",MAX(E$4:E135))</f>
        <v/>
      </c>
      <c r="G135" s="13"/>
      <c r="H135" s="14" t="str">
        <f t="shared" si="13"/>
        <v/>
      </c>
      <c r="I135" s="14" t="str">
        <f t="shared" si="14"/>
        <v/>
      </c>
      <c r="J135" s="15" t="str">
        <f t="shared" si="15"/>
        <v/>
      </c>
    </row>
    <row r="136" spans="1:10">
      <c r="A136" s="7" t="str">
        <f>IF(子基金及业绩基准周净值!A168="","",子基金及业绩基准周净值!A168)</f>
        <v/>
      </c>
      <c r="B136" s="1" t="str">
        <f>IF(A136="","",VLOOKUP($A136,子基金及业绩基准周净值!$A:$AV,15))</f>
        <v/>
      </c>
      <c r="C136" s="8" t="str">
        <f t="shared" si="12"/>
        <v/>
      </c>
      <c r="D136" s="9" t="str">
        <f>IF(A136="","",C136-(子基金及业绩基准周净值!AH168/子基金及业绩基准周净值!AH167-1))</f>
        <v/>
      </c>
      <c r="E136" s="12" t="str">
        <f>IF(A136="","",(MAX(B$3:B136)-B136)/MAX(B$3:B136))</f>
        <v/>
      </c>
      <c r="F136" s="12" t="str">
        <f>IF(A136="","",MAX(E$4:E136))</f>
        <v/>
      </c>
      <c r="G136" s="13"/>
      <c r="H136" s="14" t="str">
        <f t="shared" si="13"/>
        <v/>
      </c>
      <c r="I136" s="14" t="str">
        <f t="shared" si="14"/>
        <v/>
      </c>
      <c r="J136" s="15" t="str">
        <f t="shared" si="15"/>
        <v/>
      </c>
    </row>
    <row r="137" spans="1:10">
      <c r="A137" s="7" t="str">
        <f>IF(子基金及业绩基准周净值!A169="","",子基金及业绩基准周净值!A169)</f>
        <v/>
      </c>
      <c r="B137" s="1" t="str">
        <f>IF(A137="","",VLOOKUP($A137,子基金及业绩基准周净值!$A:$AV,15))</f>
        <v/>
      </c>
      <c r="C137" s="8" t="str">
        <f t="shared" si="12"/>
        <v/>
      </c>
      <c r="D137" s="9" t="str">
        <f>IF(A137="","",C137-(子基金及业绩基准周净值!AH169/子基金及业绩基准周净值!AH168-1))</f>
        <v/>
      </c>
      <c r="E137" s="12" t="str">
        <f>IF(A137="","",(MAX(B$3:B137)-B137)/MAX(B$3:B137))</f>
        <v/>
      </c>
      <c r="F137" s="12" t="str">
        <f>IF(A137="","",MAX(E$4:E137))</f>
        <v/>
      </c>
      <c r="G137" s="13"/>
      <c r="H137" s="14" t="str">
        <f t="shared" si="13"/>
        <v/>
      </c>
      <c r="I137" s="14" t="str">
        <f t="shared" si="14"/>
        <v/>
      </c>
      <c r="J137" s="15" t="str">
        <f t="shared" si="15"/>
        <v/>
      </c>
    </row>
    <row r="138" spans="1:10">
      <c r="A138" s="7" t="str">
        <f>IF(子基金及业绩基准周净值!A170="","",子基金及业绩基准周净值!A170)</f>
        <v/>
      </c>
      <c r="B138" s="1" t="str">
        <f>IF(A138="","",VLOOKUP($A138,子基金及业绩基准周净值!$A:$AV,15))</f>
        <v/>
      </c>
      <c r="C138" s="8" t="str">
        <f t="shared" si="12"/>
        <v/>
      </c>
      <c r="D138" s="9" t="str">
        <f>IF(A138="","",C138-(子基金及业绩基准周净值!AH170/子基金及业绩基准周净值!AH169-1))</f>
        <v/>
      </c>
      <c r="E138" s="12" t="str">
        <f>IF(A138="","",(MAX(B$3:B138)-B138)/MAX(B$3:B138))</f>
        <v/>
      </c>
      <c r="F138" s="12" t="str">
        <f>IF(A138="","",MAX(E$4:E138))</f>
        <v/>
      </c>
      <c r="G138" s="13"/>
      <c r="H138" s="14" t="str">
        <f t="shared" si="13"/>
        <v/>
      </c>
      <c r="I138" s="14" t="str">
        <f t="shared" si="14"/>
        <v/>
      </c>
      <c r="J138" s="15" t="str">
        <f t="shared" si="15"/>
        <v/>
      </c>
    </row>
    <row r="139" spans="1:10">
      <c r="A139" s="7" t="str">
        <f>IF(子基金及业绩基准周净值!A171="","",子基金及业绩基准周净值!A171)</f>
        <v/>
      </c>
      <c r="B139" s="1" t="str">
        <f>IF(A139="","",VLOOKUP($A139,子基金及业绩基准周净值!$A:$AV,15))</f>
        <v/>
      </c>
      <c r="C139" s="8" t="str">
        <f t="shared" si="12"/>
        <v/>
      </c>
      <c r="D139" s="9" t="str">
        <f>IF(A139="","",C139-(子基金及业绩基准周净值!AH171/子基金及业绩基准周净值!AH170-1))</f>
        <v/>
      </c>
      <c r="E139" s="12" t="str">
        <f>IF(A139="","",(MAX(B$3:B139)-B139)/MAX(B$3:B139))</f>
        <v/>
      </c>
      <c r="F139" s="12" t="str">
        <f>IF(A139="","",MAX(E$4:E139))</f>
        <v/>
      </c>
      <c r="G139" s="13"/>
      <c r="H139" s="14" t="str">
        <f t="shared" si="13"/>
        <v/>
      </c>
      <c r="I139" s="14" t="str">
        <f t="shared" si="14"/>
        <v/>
      </c>
      <c r="J139" s="15" t="str">
        <f t="shared" si="15"/>
        <v/>
      </c>
    </row>
    <row r="140" spans="1:10">
      <c r="A140" s="7" t="str">
        <f>IF(子基金及业绩基准周净值!A172="","",子基金及业绩基准周净值!A172)</f>
        <v/>
      </c>
      <c r="B140" s="1" t="str">
        <f>IF(A140="","",VLOOKUP($A140,子基金及业绩基准周净值!$A:$AV,15))</f>
        <v/>
      </c>
      <c r="C140" s="8" t="str">
        <f t="shared" si="12"/>
        <v/>
      </c>
      <c r="D140" s="9" t="str">
        <f>IF(A140="","",C140-(子基金及业绩基准周净值!AH172/子基金及业绩基准周净值!AH171-1))</f>
        <v/>
      </c>
      <c r="E140" s="12" t="str">
        <f>IF(A140="","",(MAX(B$3:B140)-B140)/MAX(B$3:B140))</f>
        <v/>
      </c>
      <c r="F140" s="12" t="str">
        <f>IF(A140="","",MAX(E$4:E140))</f>
        <v/>
      </c>
      <c r="G140" s="13"/>
      <c r="H140" s="14" t="str">
        <f t="shared" si="13"/>
        <v/>
      </c>
      <c r="I140" s="14" t="str">
        <f t="shared" si="14"/>
        <v/>
      </c>
      <c r="J140" s="15" t="str">
        <f t="shared" si="15"/>
        <v/>
      </c>
    </row>
    <row r="141" spans="1:10">
      <c r="A141" s="7" t="str">
        <f>IF(子基金及业绩基准周净值!A173="","",子基金及业绩基准周净值!A173)</f>
        <v/>
      </c>
      <c r="B141" s="1" t="str">
        <f>IF(A141="","",VLOOKUP($A141,子基金及业绩基准周净值!$A:$AV,15))</f>
        <v/>
      </c>
      <c r="C141" s="8" t="str">
        <f t="shared" si="12"/>
        <v/>
      </c>
      <c r="D141" s="9" t="str">
        <f>IF(A141="","",C141-(子基金及业绩基准周净值!AH173/子基金及业绩基准周净值!AH172-1))</f>
        <v/>
      </c>
      <c r="E141" s="12" t="str">
        <f>IF(A141="","",(MAX(B$3:B141)-B141)/MAX(B$3:B141))</f>
        <v/>
      </c>
      <c r="F141" s="12" t="str">
        <f>IF(A141="","",MAX(E$4:E141))</f>
        <v/>
      </c>
      <c r="G141" s="13"/>
      <c r="H141" s="14" t="str">
        <f t="shared" si="13"/>
        <v/>
      </c>
      <c r="I141" s="14" t="str">
        <f t="shared" si="14"/>
        <v/>
      </c>
      <c r="J141" s="15" t="str">
        <f t="shared" si="15"/>
        <v/>
      </c>
    </row>
    <row r="142" spans="1:10">
      <c r="A142" s="7" t="str">
        <f>IF(子基金及业绩基准周净值!A174="","",子基金及业绩基准周净值!A174)</f>
        <v/>
      </c>
      <c r="B142" s="1" t="str">
        <f>IF(A142="","",VLOOKUP($A142,子基金及业绩基准周净值!$A:$AV,15))</f>
        <v/>
      </c>
      <c r="C142" s="8" t="str">
        <f t="shared" si="12"/>
        <v/>
      </c>
      <c r="D142" s="9" t="str">
        <f>IF(A142="","",C142-(子基金及业绩基准周净值!AH174/子基金及业绩基准周净值!AH173-1))</f>
        <v/>
      </c>
      <c r="E142" s="12" t="str">
        <f>IF(A142="","",(MAX(B$3:B142)-B142)/MAX(B$3:B142))</f>
        <v/>
      </c>
      <c r="F142" s="12" t="str">
        <f>IF(A142="","",MAX(E$4:E142))</f>
        <v/>
      </c>
      <c r="G142" s="13"/>
      <c r="H142" s="14" t="str">
        <f t="shared" si="13"/>
        <v/>
      </c>
      <c r="I142" s="14" t="str">
        <f t="shared" si="14"/>
        <v/>
      </c>
      <c r="J142" s="15" t="str">
        <f t="shared" si="15"/>
        <v/>
      </c>
    </row>
    <row r="143" spans="1:10">
      <c r="A143" s="7" t="str">
        <f>IF(子基金及业绩基准周净值!A175="","",子基金及业绩基准周净值!A175)</f>
        <v/>
      </c>
      <c r="B143" s="1" t="str">
        <f>IF(A143="","",VLOOKUP($A143,子基金及业绩基准周净值!$A:$AV,15))</f>
        <v/>
      </c>
      <c r="C143" s="8" t="str">
        <f t="shared" si="12"/>
        <v/>
      </c>
      <c r="D143" s="9" t="str">
        <f>IF(A143="","",C143-(子基金及业绩基准周净值!AH175/子基金及业绩基准周净值!AH174-1))</f>
        <v/>
      </c>
      <c r="E143" s="12" t="str">
        <f>IF(A143="","",(MAX(B$3:B143)-B143)/MAX(B$3:B143))</f>
        <v/>
      </c>
      <c r="F143" s="12" t="str">
        <f>IF(A143="","",MAX(E$4:E143))</f>
        <v/>
      </c>
      <c r="G143" s="13"/>
      <c r="H143" s="14" t="str">
        <f t="shared" si="13"/>
        <v/>
      </c>
      <c r="I143" s="14" t="str">
        <f t="shared" si="14"/>
        <v/>
      </c>
      <c r="J143" s="15" t="str">
        <f t="shared" si="15"/>
        <v/>
      </c>
    </row>
    <row r="144" spans="1:10">
      <c r="A144" s="7" t="str">
        <f>IF(子基金及业绩基准周净值!A176="","",子基金及业绩基准周净值!A176)</f>
        <v/>
      </c>
      <c r="B144" s="1" t="str">
        <f>IF(A144="","",VLOOKUP($A144,子基金及业绩基准周净值!$A:$AV,15))</f>
        <v/>
      </c>
      <c r="C144" s="8" t="str">
        <f t="shared" si="12"/>
        <v/>
      </c>
      <c r="D144" s="9" t="str">
        <f>IF(A144="","",C144-(子基金及业绩基准周净值!AH176/子基金及业绩基准周净值!AH175-1))</f>
        <v/>
      </c>
      <c r="E144" s="12" t="str">
        <f>IF(A144="","",(MAX(B$3:B144)-B144)/MAX(B$3:B144))</f>
        <v/>
      </c>
      <c r="F144" s="12" t="str">
        <f>IF(A144="","",MAX(E$4:E144))</f>
        <v/>
      </c>
      <c r="G144" s="13"/>
      <c r="H144" s="14" t="str">
        <f t="shared" si="13"/>
        <v/>
      </c>
      <c r="I144" s="14" t="str">
        <f t="shared" si="14"/>
        <v/>
      </c>
      <c r="J144" s="15" t="str">
        <f t="shared" si="15"/>
        <v/>
      </c>
    </row>
    <row r="145" spans="1:10">
      <c r="A145" s="7" t="str">
        <f>IF(子基金及业绩基准周净值!A177="","",子基金及业绩基准周净值!A177)</f>
        <v/>
      </c>
      <c r="B145" s="1" t="str">
        <f>IF(A145="","",VLOOKUP($A145,子基金及业绩基准周净值!$A:$AV,15))</f>
        <v/>
      </c>
      <c r="C145" s="8" t="str">
        <f t="shared" si="12"/>
        <v/>
      </c>
      <c r="D145" s="9" t="str">
        <f>IF(A145="","",C145-(子基金及业绩基准周净值!AH177/子基金及业绩基准周净值!AH176-1))</f>
        <v/>
      </c>
      <c r="E145" s="12" t="str">
        <f>IF(A145="","",(MAX(B$3:B145)-B145)/MAX(B$3:B145))</f>
        <v/>
      </c>
      <c r="F145" s="12" t="str">
        <f>IF(A145="","",MAX(E$4:E145))</f>
        <v/>
      </c>
      <c r="G145" s="13"/>
      <c r="H145" s="14" t="str">
        <f t="shared" si="13"/>
        <v/>
      </c>
      <c r="I145" s="14" t="str">
        <f t="shared" si="14"/>
        <v/>
      </c>
      <c r="J145" s="15" t="str">
        <f t="shared" si="15"/>
        <v/>
      </c>
    </row>
    <row r="146" spans="1:10">
      <c r="A146" s="7" t="str">
        <f>IF(子基金及业绩基准周净值!A178="","",子基金及业绩基准周净值!A178)</f>
        <v/>
      </c>
      <c r="B146" s="1" t="str">
        <f>IF(A146="","",VLOOKUP($A146,子基金及业绩基准周净值!$A:$AV,15))</f>
        <v/>
      </c>
      <c r="C146" s="8" t="str">
        <f t="shared" si="12"/>
        <v/>
      </c>
      <c r="D146" s="9" t="str">
        <f>IF(A146="","",C146-(子基金及业绩基准周净值!AH178/子基金及业绩基准周净值!AH177-1))</f>
        <v/>
      </c>
      <c r="E146" s="12" t="str">
        <f>IF(A146="","",(MAX(B$3:B146)-B146)/MAX(B$3:B146))</f>
        <v/>
      </c>
      <c r="F146" s="12" t="str">
        <f>IF(A146="","",MAX(E$4:E146))</f>
        <v/>
      </c>
      <c r="G146" s="13"/>
      <c r="H146" s="14" t="str">
        <f t="shared" si="13"/>
        <v/>
      </c>
      <c r="I146" s="14" t="str">
        <f t="shared" si="14"/>
        <v/>
      </c>
      <c r="J146" s="15" t="str">
        <f t="shared" si="15"/>
        <v/>
      </c>
    </row>
    <row r="147" spans="1:10">
      <c r="A147" s="7" t="str">
        <f>IF(子基金及业绩基准周净值!A179="","",子基金及业绩基准周净值!A179)</f>
        <v/>
      </c>
      <c r="B147" s="1" t="str">
        <f>IF(A147="","",VLOOKUP($A147,子基金及业绩基准周净值!$A:$AV,15))</f>
        <v/>
      </c>
      <c r="C147" s="8" t="str">
        <f t="shared" si="12"/>
        <v/>
      </c>
      <c r="D147" s="9" t="str">
        <f>IF(A147="","",C147-(子基金及业绩基准周净值!AH179/子基金及业绩基准周净值!AH178-1))</f>
        <v/>
      </c>
      <c r="E147" s="12" t="str">
        <f>IF(A147="","",(MAX(B$3:B147)-B147)/MAX(B$3:B147))</f>
        <v/>
      </c>
      <c r="F147" s="12" t="str">
        <f>IF(A147="","",MAX(E$4:E147))</f>
        <v/>
      </c>
      <c r="H147" s="14" t="str">
        <f t="shared" si="13"/>
        <v/>
      </c>
      <c r="I147" s="14" t="str">
        <f t="shared" si="14"/>
        <v/>
      </c>
      <c r="J147" s="15" t="str">
        <f t="shared" si="15"/>
        <v/>
      </c>
    </row>
    <row r="148" spans="1:10">
      <c r="A148" s="7" t="str">
        <f>IF(子基金及业绩基准周净值!A180="","",子基金及业绩基准周净值!A180)</f>
        <v/>
      </c>
      <c r="B148" s="1" t="str">
        <f>IF(A148="","",VLOOKUP($A148,子基金及业绩基准周净值!$A:$AV,15))</f>
        <v/>
      </c>
      <c r="C148" s="8" t="str">
        <f t="shared" si="12"/>
        <v/>
      </c>
      <c r="D148" s="9" t="str">
        <f>IF(A148="","",C148-(子基金及业绩基准周净值!AH180/子基金及业绩基准周净值!AH179-1))</f>
        <v/>
      </c>
      <c r="E148" s="12" t="str">
        <f>IF(A148="","",(MAX(B$3:B148)-B148)/MAX(B$3:B148))</f>
        <v/>
      </c>
      <c r="F148" s="12" t="str">
        <f>IF(A148="","",MAX(E$4:E148))</f>
        <v/>
      </c>
      <c r="H148" s="14" t="str">
        <f t="shared" si="13"/>
        <v/>
      </c>
      <c r="I148" s="14" t="str">
        <f t="shared" si="14"/>
        <v/>
      </c>
      <c r="J148" s="15" t="str">
        <f t="shared" si="15"/>
        <v/>
      </c>
    </row>
    <row r="149" spans="1:10">
      <c r="A149" s="7" t="str">
        <f>IF(子基金及业绩基准周净值!A181="","",子基金及业绩基准周净值!A181)</f>
        <v/>
      </c>
      <c r="B149" s="1" t="str">
        <f>IF(A149="","",VLOOKUP($A149,子基金及业绩基准周净值!$A:$AV,15))</f>
        <v/>
      </c>
      <c r="C149" s="8" t="str">
        <f t="shared" si="12"/>
        <v/>
      </c>
      <c r="D149" s="9" t="str">
        <f>IF(A149="","",C149-(子基金及业绩基准周净值!AH181/子基金及业绩基准周净值!AH180-1))</f>
        <v/>
      </c>
      <c r="E149" s="12" t="str">
        <f>IF(A149="","",(MAX(B$3:B149)-B149)/MAX(B$3:B149))</f>
        <v/>
      </c>
      <c r="F149" s="12" t="str">
        <f>IF(A149="","",MAX(E$4:E149))</f>
        <v/>
      </c>
      <c r="H149" s="14" t="str">
        <f t="shared" si="13"/>
        <v/>
      </c>
      <c r="I149" s="14" t="str">
        <f t="shared" si="14"/>
        <v/>
      </c>
      <c r="J149" s="15" t="str">
        <f t="shared" si="15"/>
        <v/>
      </c>
    </row>
    <row r="150" spans="1:10">
      <c r="A150" s="7" t="str">
        <f>IF(子基金及业绩基准周净值!A182="","",子基金及业绩基准周净值!A182)</f>
        <v/>
      </c>
      <c r="B150" s="1" t="str">
        <f>IF(A150="","",VLOOKUP($A150,子基金及业绩基准周净值!$A:$AV,15))</f>
        <v/>
      </c>
      <c r="C150" s="8" t="str">
        <f t="shared" si="12"/>
        <v/>
      </c>
      <c r="D150" s="9" t="str">
        <f>IF(A150="","",C150-(子基金及业绩基准周净值!AH182/子基金及业绩基准周净值!AH181-1))</f>
        <v/>
      </c>
      <c r="E150" s="12" t="str">
        <f>IF(A150="","",(MAX(B$3:B150)-B150)/MAX(B$3:B150))</f>
        <v/>
      </c>
      <c r="F150" s="12" t="str">
        <f>IF(A150="","",MAX(E$4:E150))</f>
        <v/>
      </c>
      <c r="H150" s="14" t="str">
        <f t="shared" si="13"/>
        <v/>
      </c>
      <c r="I150" s="14" t="str">
        <f t="shared" si="14"/>
        <v/>
      </c>
      <c r="J150" s="15" t="str">
        <f t="shared" si="15"/>
        <v/>
      </c>
    </row>
    <row r="151" spans="1:10">
      <c r="A151" s="7" t="str">
        <f>IF(子基金及业绩基准周净值!A183="","",子基金及业绩基准周净值!A183)</f>
        <v/>
      </c>
      <c r="B151" s="1" t="str">
        <f>IF(A151="","",VLOOKUP($A151,子基金及业绩基准周净值!$A:$AV,15))</f>
        <v/>
      </c>
      <c r="C151" s="8" t="str">
        <f t="shared" si="12"/>
        <v/>
      </c>
      <c r="D151" s="9" t="str">
        <f>IF(A151="","",C151-(子基金及业绩基准周净值!AH183/子基金及业绩基准周净值!AH182-1))</f>
        <v/>
      </c>
      <c r="E151" s="12" t="str">
        <f>IF(A151="","",(MAX(B$3:B151)-B151)/MAX(B$3:B151))</f>
        <v/>
      </c>
      <c r="F151" s="12" t="str">
        <f>IF(A151="","",MAX(E$4:E151))</f>
        <v/>
      </c>
      <c r="H151" s="14" t="str">
        <f t="shared" si="13"/>
        <v/>
      </c>
      <c r="I151" s="14" t="str">
        <f t="shared" si="14"/>
        <v/>
      </c>
      <c r="J151" s="15" t="str">
        <f t="shared" si="15"/>
        <v/>
      </c>
    </row>
    <row r="152" spans="1:10">
      <c r="A152" s="7" t="str">
        <f>IF(子基金及业绩基准周净值!A184="","",子基金及业绩基准周净值!A184)</f>
        <v/>
      </c>
      <c r="B152" s="1" t="str">
        <f>IF(A152="","",VLOOKUP($A152,子基金及业绩基准周净值!$A:$AV,15))</f>
        <v/>
      </c>
      <c r="C152" s="8" t="str">
        <f t="shared" si="12"/>
        <v/>
      </c>
      <c r="D152" s="9" t="str">
        <f>IF(A152="","",C152-(子基金及业绩基准周净值!AH184/子基金及业绩基准周净值!AH183-1))</f>
        <v/>
      </c>
      <c r="E152" s="12" t="str">
        <f>IF(A152="","",(MAX(B$3:B152)-B152)/MAX(B$3:B152))</f>
        <v/>
      </c>
      <c r="F152" s="12" t="str">
        <f>IF(A152="","",MAX(E$4:E152))</f>
        <v/>
      </c>
      <c r="H152" s="14" t="str">
        <f t="shared" si="13"/>
        <v/>
      </c>
      <c r="I152" s="14" t="str">
        <f t="shared" si="14"/>
        <v/>
      </c>
      <c r="J152" s="15" t="str">
        <f t="shared" si="15"/>
        <v/>
      </c>
    </row>
    <row r="153" spans="1:10">
      <c r="A153" s="7" t="str">
        <f>IF(子基金及业绩基准周净值!A185="","",子基金及业绩基准周净值!A185)</f>
        <v/>
      </c>
      <c r="B153" s="1" t="str">
        <f>IF(A153="","",VLOOKUP($A153,子基金及业绩基准周净值!$A:$AV,15))</f>
        <v/>
      </c>
      <c r="C153" s="8" t="str">
        <f t="shared" si="12"/>
        <v/>
      </c>
      <c r="D153" s="9" t="str">
        <f>IF(A153="","",C153-(子基金及业绩基准周净值!AH185/子基金及业绩基准周净值!AH184-1))</f>
        <v/>
      </c>
      <c r="E153" s="12" t="str">
        <f>IF(A153="","",(MAX(B$3:B153)-B153)/MAX(B$3:B153))</f>
        <v/>
      </c>
      <c r="F153" s="12" t="str">
        <f>IF(A153="","",MAX(E$4:E153))</f>
        <v/>
      </c>
      <c r="H153" s="14" t="str">
        <f t="shared" si="13"/>
        <v/>
      </c>
      <c r="I153" s="14" t="str">
        <f t="shared" si="14"/>
        <v/>
      </c>
      <c r="J153" s="15" t="str">
        <f t="shared" si="15"/>
        <v/>
      </c>
    </row>
    <row r="154" spans="1:10">
      <c r="A154" s="7" t="str">
        <f>IF(子基金及业绩基准周净值!A186="","",子基金及业绩基准周净值!A186)</f>
        <v/>
      </c>
      <c r="B154" s="1" t="str">
        <f>IF(A154="","",VLOOKUP($A154,子基金及业绩基准周净值!$A:$AV,15))</f>
        <v/>
      </c>
      <c r="C154" s="8" t="str">
        <f t="shared" si="12"/>
        <v/>
      </c>
      <c r="D154" s="9" t="str">
        <f>IF(A154="","",C154-(子基金及业绩基准周净值!AH186/子基金及业绩基准周净值!AH185-1))</f>
        <v/>
      </c>
      <c r="E154" s="12" t="str">
        <f>IF(A154="","",(MAX(B$3:B154)-B154)/MAX(B$3:B154))</f>
        <v/>
      </c>
      <c r="F154" s="12" t="str">
        <f>IF(A154="","",MAX(E$4:E154))</f>
        <v/>
      </c>
      <c r="H154" s="14" t="str">
        <f t="shared" si="13"/>
        <v/>
      </c>
      <c r="I154" s="14" t="str">
        <f t="shared" si="14"/>
        <v/>
      </c>
      <c r="J154" s="15" t="str">
        <f t="shared" si="15"/>
        <v/>
      </c>
    </row>
    <row r="155" spans="1:10">
      <c r="A155" s="7" t="str">
        <f>IF(子基金及业绩基准周净值!A187="","",子基金及业绩基准周净值!A187)</f>
        <v/>
      </c>
      <c r="B155" s="1" t="str">
        <f>IF(A155="","",VLOOKUP($A155,子基金及业绩基准周净值!$A:$AV,15))</f>
        <v/>
      </c>
      <c r="C155" s="8" t="str">
        <f t="shared" si="12"/>
        <v/>
      </c>
      <c r="D155" s="9" t="str">
        <f>IF(A155="","",C155-(子基金及业绩基准周净值!AH187/子基金及业绩基准周净值!AH186-1))</f>
        <v/>
      </c>
      <c r="E155" s="12" t="str">
        <f>IF(A155="","",(MAX(B$3:B155)-B155)/MAX(B$3:B155))</f>
        <v/>
      </c>
      <c r="F155" s="12" t="str">
        <f>IF(A155="","",MAX(E$4:E155))</f>
        <v/>
      </c>
      <c r="H155" s="14" t="str">
        <f t="shared" si="13"/>
        <v/>
      </c>
      <c r="I155" s="14" t="str">
        <f t="shared" si="14"/>
        <v/>
      </c>
      <c r="J155" s="15" t="str">
        <f t="shared" si="15"/>
        <v/>
      </c>
    </row>
    <row r="156" spans="1:10">
      <c r="A156" s="7" t="str">
        <f>IF(子基金及业绩基准周净值!A188="","",子基金及业绩基准周净值!A188)</f>
        <v/>
      </c>
      <c r="B156" s="1" t="str">
        <f>IF(A156="","",VLOOKUP($A156,子基金及业绩基准周净值!$A:$AV,15))</f>
        <v/>
      </c>
      <c r="C156" s="8" t="str">
        <f t="shared" si="12"/>
        <v/>
      </c>
      <c r="D156" s="9" t="str">
        <f>IF(A156="","",C156-(子基金及业绩基准周净值!AH188/子基金及业绩基准周净值!AH187-1))</f>
        <v/>
      </c>
      <c r="E156" s="12" t="str">
        <f>IF(A156="","",(MAX(B$3:B156)-B156)/MAX(B$3:B156))</f>
        <v/>
      </c>
      <c r="F156" s="12" t="str">
        <f>IF(A156="","",MAX(E$4:E156))</f>
        <v/>
      </c>
      <c r="H156" s="14" t="str">
        <f t="shared" si="13"/>
        <v/>
      </c>
      <c r="I156" s="14" t="str">
        <f t="shared" si="14"/>
        <v/>
      </c>
      <c r="J156" s="15" t="str">
        <f t="shared" si="15"/>
        <v/>
      </c>
    </row>
    <row r="157" spans="1:10">
      <c r="A157" s="7" t="str">
        <f>IF(子基金及业绩基准周净值!A189="","",子基金及业绩基准周净值!A189)</f>
        <v/>
      </c>
      <c r="B157" s="1" t="str">
        <f>IF(A157="","",VLOOKUP($A157,子基金及业绩基准周净值!$A:$AV,15))</f>
        <v/>
      </c>
      <c r="C157" s="8" t="str">
        <f t="shared" si="12"/>
        <v/>
      </c>
      <c r="D157" s="9" t="str">
        <f>IF(A157="","",C157-(子基金及业绩基准周净值!AH189/子基金及业绩基准周净值!AH188-1))</f>
        <v/>
      </c>
      <c r="E157" s="12" t="str">
        <f>IF(A157="","",(MAX(B$3:B157)-B157)/MAX(B$3:B157))</f>
        <v/>
      </c>
      <c r="F157" s="12" t="str">
        <f>IF(A157="","",MAX(E$4:E157))</f>
        <v/>
      </c>
      <c r="H157" s="14" t="str">
        <f t="shared" si="13"/>
        <v/>
      </c>
      <c r="I157" s="14" t="str">
        <f t="shared" si="14"/>
        <v/>
      </c>
      <c r="J157" s="15" t="str">
        <f t="shared" si="15"/>
        <v/>
      </c>
    </row>
    <row r="158" spans="1:10">
      <c r="A158" s="7" t="str">
        <f>IF(子基金及业绩基准周净值!A190="","",子基金及业绩基准周净值!A190)</f>
        <v/>
      </c>
      <c r="B158" s="1" t="str">
        <f>IF(A158="","",VLOOKUP($A158,子基金及业绩基准周净值!$A:$AV,15))</f>
        <v/>
      </c>
      <c r="C158" s="8" t="str">
        <f t="shared" si="12"/>
        <v/>
      </c>
      <c r="D158" s="9" t="str">
        <f>IF(A158="","",C158-(子基金及业绩基准周净值!AH190/子基金及业绩基准周净值!AH189-1))</f>
        <v/>
      </c>
      <c r="E158" s="12" t="str">
        <f>IF(A158="","",(MAX(B$3:B158)-B158)/MAX(B$3:B158))</f>
        <v/>
      </c>
      <c r="F158" s="12" t="str">
        <f>IF(A158="","",MAX(E$4:E158))</f>
        <v/>
      </c>
      <c r="H158" s="14" t="str">
        <f t="shared" si="13"/>
        <v/>
      </c>
      <c r="I158" s="14" t="str">
        <f t="shared" si="14"/>
        <v/>
      </c>
      <c r="J158" s="15" t="str">
        <f t="shared" si="15"/>
        <v/>
      </c>
    </row>
    <row r="159" spans="1:10">
      <c r="A159" s="7" t="str">
        <f>IF(子基金及业绩基准周净值!A191="","",子基金及业绩基准周净值!A191)</f>
        <v/>
      </c>
      <c r="B159" s="1" t="str">
        <f>IF(A159="","",VLOOKUP($A159,子基金及业绩基准周净值!$A:$AV,15))</f>
        <v/>
      </c>
      <c r="C159" s="8" t="str">
        <f t="shared" si="12"/>
        <v/>
      </c>
      <c r="D159" s="9" t="str">
        <f>IF(A159="","",C159-(子基金及业绩基准周净值!AH191/子基金及业绩基准周净值!AH190-1))</f>
        <v/>
      </c>
      <c r="E159" s="12" t="str">
        <f>IF(A159="","",(MAX(B$3:B159)-B159)/MAX(B$3:B159))</f>
        <v/>
      </c>
      <c r="F159" s="12" t="str">
        <f>IF(A159="","",MAX(E$4:E159))</f>
        <v/>
      </c>
      <c r="H159" s="14" t="str">
        <f t="shared" si="13"/>
        <v/>
      </c>
      <c r="I159" s="14" t="str">
        <f t="shared" si="14"/>
        <v/>
      </c>
      <c r="J159" s="15" t="str">
        <f t="shared" si="15"/>
        <v/>
      </c>
    </row>
    <row r="160" spans="1:10">
      <c r="A160" s="7" t="str">
        <f>IF(子基金及业绩基准周净值!A192="","",子基金及业绩基准周净值!A192)</f>
        <v/>
      </c>
      <c r="B160" s="1" t="str">
        <f>IF(A160="","",VLOOKUP($A160,子基金及业绩基准周净值!$A:$AV,15))</f>
        <v/>
      </c>
      <c r="C160" s="8" t="str">
        <f t="shared" si="12"/>
        <v/>
      </c>
      <c r="D160" s="9" t="str">
        <f>IF(A160="","",C160-(子基金及业绩基准周净值!AH192/子基金及业绩基准周净值!AH191-1))</f>
        <v/>
      </c>
      <c r="E160" s="12" t="str">
        <f>IF(A160="","",(MAX(B$3:B160)-B160)/MAX(B$3:B160))</f>
        <v/>
      </c>
      <c r="F160" s="12" t="str">
        <f>IF(A160="","",MAX(E$4:E160))</f>
        <v/>
      </c>
      <c r="H160" s="14" t="str">
        <f t="shared" si="13"/>
        <v/>
      </c>
      <c r="I160" s="14" t="str">
        <f t="shared" si="14"/>
        <v/>
      </c>
      <c r="J160" s="15" t="str">
        <f t="shared" si="15"/>
        <v/>
      </c>
    </row>
    <row r="161" spans="1:10">
      <c r="A161" s="7" t="str">
        <f>IF(子基金及业绩基准周净值!A193="","",子基金及业绩基准周净值!A193)</f>
        <v/>
      </c>
      <c r="B161" s="1" t="str">
        <f>IF(A161="","",VLOOKUP($A161,子基金及业绩基准周净值!$A:$AV,15))</f>
        <v/>
      </c>
      <c r="C161" s="8" t="str">
        <f t="shared" si="12"/>
        <v/>
      </c>
      <c r="D161" s="9" t="str">
        <f>IF(A161="","",C161-(子基金及业绩基准周净值!AH193/子基金及业绩基准周净值!AH192-1))</f>
        <v/>
      </c>
      <c r="E161" s="12" t="str">
        <f>IF(A161="","",(MAX(B$3:B161)-B161)/MAX(B$3:B161))</f>
        <v/>
      </c>
      <c r="F161" s="12" t="str">
        <f>IF(A161="","",MAX(E$4:E161))</f>
        <v/>
      </c>
      <c r="H161" s="14" t="str">
        <f t="shared" si="13"/>
        <v/>
      </c>
      <c r="I161" s="14" t="str">
        <f t="shared" si="14"/>
        <v/>
      </c>
      <c r="J161" s="15" t="str">
        <f t="shared" si="15"/>
        <v/>
      </c>
    </row>
    <row r="162" spans="1:10">
      <c r="A162" s="7" t="str">
        <f>IF(子基金及业绩基准周净值!A194="","",子基金及业绩基准周净值!A194)</f>
        <v/>
      </c>
      <c r="B162" s="1" t="str">
        <f>IF(A162="","",VLOOKUP($A162,子基金及业绩基准周净值!$A:$AV,15))</f>
        <v/>
      </c>
      <c r="C162" s="8" t="str">
        <f t="shared" si="12"/>
        <v/>
      </c>
      <c r="D162" s="9" t="str">
        <f>IF(A162="","",C162-(子基金及业绩基准周净值!AH194/子基金及业绩基准周净值!AH193-1))</f>
        <v/>
      </c>
      <c r="E162" s="12" t="str">
        <f>IF(A162="","",(MAX(B$3:B162)-B162)/MAX(B$3:B162))</f>
        <v/>
      </c>
      <c r="F162" s="12" t="str">
        <f>IF(A162="","",MAX(E$4:E162))</f>
        <v/>
      </c>
      <c r="H162" s="14" t="str">
        <f t="shared" si="13"/>
        <v/>
      </c>
      <c r="I162" s="14" t="str">
        <f t="shared" si="14"/>
        <v/>
      </c>
      <c r="J162" s="15" t="str">
        <f t="shared" si="15"/>
        <v/>
      </c>
    </row>
    <row r="163" spans="1:10">
      <c r="A163" s="7" t="str">
        <f>IF(子基金及业绩基准周净值!A195="","",子基金及业绩基准周净值!A195)</f>
        <v/>
      </c>
      <c r="B163" s="1" t="str">
        <f>IF(A163="","",VLOOKUP($A163,子基金及业绩基准周净值!$A:$AV,15))</f>
        <v/>
      </c>
      <c r="C163" s="8" t="str">
        <f t="shared" si="12"/>
        <v/>
      </c>
      <c r="D163" s="9" t="str">
        <f>IF(A163="","",C163-(子基金及业绩基准周净值!AH195/子基金及业绩基准周净值!AH194-1))</f>
        <v/>
      </c>
      <c r="E163" s="12" t="str">
        <f>IF(A163="","",(MAX(B$3:B163)-B163)/MAX(B$3:B163))</f>
        <v/>
      </c>
      <c r="F163" s="12" t="str">
        <f>IF(A163="","",MAX(E$4:E163))</f>
        <v/>
      </c>
      <c r="H163" s="14" t="str">
        <f t="shared" si="13"/>
        <v/>
      </c>
      <c r="I163" s="14" t="str">
        <f t="shared" si="14"/>
        <v/>
      </c>
      <c r="J163" s="15" t="str">
        <f t="shared" si="15"/>
        <v/>
      </c>
    </row>
    <row r="164" spans="1:10">
      <c r="A164" s="7" t="str">
        <f>IF(子基金及业绩基准周净值!A196="","",子基金及业绩基准周净值!A196)</f>
        <v/>
      </c>
      <c r="B164" s="1" t="str">
        <f>IF(A164="","",VLOOKUP($A164,子基金及业绩基准周净值!$A:$AV,15))</f>
        <v/>
      </c>
      <c r="C164" s="8" t="str">
        <f t="shared" si="12"/>
        <v/>
      </c>
      <c r="D164" s="9" t="str">
        <f>IF(A164="","",C164-(子基金及业绩基准周净值!AH196/子基金及业绩基准周净值!AH195-1))</f>
        <v/>
      </c>
      <c r="E164" s="12" t="str">
        <f>IF(A164="","",(MAX(B$3:B164)-B164)/MAX(B$3:B164))</f>
        <v/>
      </c>
      <c r="F164" s="12" t="str">
        <f>IF(A164="","",MAX(E$4:E164))</f>
        <v/>
      </c>
      <c r="H164" s="14" t="str">
        <f t="shared" si="13"/>
        <v/>
      </c>
      <c r="I164" s="14" t="str">
        <f t="shared" si="14"/>
        <v/>
      </c>
      <c r="J164" s="15" t="str">
        <f t="shared" si="15"/>
        <v/>
      </c>
    </row>
    <row r="165" spans="1:10">
      <c r="A165" s="7" t="str">
        <f>IF(子基金及业绩基准周净值!A197="","",子基金及业绩基准周净值!A197)</f>
        <v/>
      </c>
      <c r="B165" s="1" t="str">
        <f>IF(A165="","",VLOOKUP($A165,子基金及业绩基准周净值!$A:$AV,15))</f>
        <v/>
      </c>
      <c r="C165" s="8" t="str">
        <f t="shared" si="12"/>
        <v/>
      </c>
      <c r="D165" s="9" t="str">
        <f>IF(A165="","",C165-(子基金及业绩基准周净值!AH197/子基金及业绩基准周净值!AH196-1))</f>
        <v/>
      </c>
      <c r="E165" s="12" t="str">
        <f>IF(A165="","",(MAX(B$3:B165)-B165)/MAX(B$3:B165))</f>
        <v/>
      </c>
      <c r="F165" s="12" t="str">
        <f>IF(A165="","",MAX(E$4:E165))</f>
        <v/>
      </c>
      <c r="H165" s="14" t="str">
        <f t="shared" si="13"/>
        <v/>
      </c>
      <c r="I165" s="14" t="str">
        <f t="shared" si="14"/>
        <v/>
      </c>
      <c r="J165" s="15" t="str">
        <f t="shared" si="15"/>
        <v/>
      </c>
    </row>
    <row r="166" spans="1:10">
      <c r="A166" s="7" t="str">
        <f>IF(子基金及业绩基准周净值!A198="","",子基金及业绩基准周净值!A198)</f>
        <v/>
      </c>
      <c r="B166" s="1" t="str">
        <f>IF(A166="","",VLOOKUP($A166,子基金及业绩基准周净值!$A:$AV,15))</f>
        <v/>
      </c>
      <c r="C166" s="8" t="str">
        <f t="shared" si="12"/>
        <v/>
      </c>
      <c r="D166" s="9" t="str">
        <f>IF(A166="","",C166-(子基金及业绩基准周净值!AH198/子基金及业绩基准周净值!AH197-1))</f>
        <v/>
      </c>
      <c r="E166" s="12" t="str">
        <f>IF(A166="","",(MAX(B$3:B166)-B166)/MAX(B$3:B166))</f>
        <v/>
      </c>
      <c r="F166" s="12" t="str">
        <f>IF(A166="","",MAX(E$4:E166))</f>
        <v/>
      </c>
      <c r="H166" s="14" t="str">
        <f t="shared" si="13"/>
        <v/>
      </c>
      <c r="I166" s="14" t="str">
        <f t="shared" si="14"/>
        <v/>
      </c>
      <c r="J166" s="15" t="str">
        <f t="shared" si="15"/>
        <v/>
      </c>
    </row>
    <row r="167" spans="1:10">
      <c r="A167" s="7" t="str">
        <f>IF(子基金及业绩基准周净值!A199="","",子基金及业绩基准周净值!A199)</f>
        <v/>
      </c>
      <c r="B167" s="1" t="str">
        <f>IF(A167="","",VLOOKUP($A167,子基金及业绩基准周净值!$A:$AV,15))</f>
        <v/>
      </c>
      <c r="C167" s="8" t="str">
        <f t="shared" si="12"/>
        <v/>
      </c>
      <c r="D167" s="9" t="str">
        <f>IF(A167="","",C167-(子基金及业绩基准周净值!AH199/子基金及业绩基准周净值!AH198-1))</f>
        <v/>
      </c>
      <c r="E167" s="12" t="str">
        <f>IF(A167="","",(MAX(B$3:B167)-B167)/MAX(B$3:B167))</f>
        <v/>
      </c>
      <c r="F167" s="12" t="str">
        <f>IF(A167="","",MAX(E$4:E167))</f>
        <v/>
      </c>
      <c r="H167" s="14" t="str">
        <f t="shared" si="13"/>
        <v/>
      </c>
      <c r="I167" s="14" t="str">
        <f t="shared" si="14"/>
        <v/>
      </c>
      <c r="J167" s="15" t="str">
        <f t="shared" si="15"/>
        <v/>
      </c>
    </row>
    <row r="168" spans="1:10">
      <c r="A168" s="7" t="str">
        <f>IF(子基金及业绩基准周净值!A200="","",子基金及业绩基准周净值!A200)</f>
        <v/>
      </c>
      <c r="B168" s="1" t="str">
        <f>IF(A168="","",VLOOKUP($A168,子基金及业绩基准周净值!$A:$AV,15))</f>
        <v/>
      </c>
      <c r="C168" s="8" t="str">
        <f t="shared" si="12"/>
        <v/>
      </c>
      <c r="D168" s="9" t="str">
        <f>IF(A168="","",C168-(子基金及业绩基准周净值!AH200/子基金及业绩基准周净值!AH199-1))</f>
        <v/>
      </c>
      <c r="E168" s="12" t="str">
        <f>IF(A168="","",(MAX(B$3:B168)-B168)/MAX(B$3:B168))</f>
        <v/>
      </c>
      <c r="F168" s="12" t="str">
        <f>IF(A168="","",MAX(E$4:E168))</f>
        <v/>
      </c>
      <c r="H168" s="14" t="str">
        <f t="shared" si="13"/>
        <v/>
      </c>
      <c r="I168" s="14" t="str">
        <f t="shared" si="14"/>
        <v/>
      </c>
      <c r="J168" s="15" t="str">
        <f t="shared" si="15"/>
        <v/>
      </c>
    </row>
    <row r="169" spans="1:10">
      <c r="A169" s="7" t="str">
        <f>IF(子基金及业绩基准周净值!A201="","",子基金及业绩基准周净值!A201)</f>
        <v/>
      </c>
      <c r="B169" s="1" t="str">
        <f>IF(A169="","",VLOOKUP($A169,子基金及业绩基准周净值!$A:$AV,15))</f>
        <v/>
      </c>
      <c r="C169" s="8" t="str">
        <f t="shared" si="12"/>
        <v/>
      </c>
      <c r="D169" s="9" t="str">
        <f>IF(A169="","",C169-(子基金及业绩基准周净值!AH201/子基金及业绩基准周净值!AH200-1))</f>
        <v/>
      </c>
      <c r="E169" s="12" t="str">
        <f>IF(A169="","",(MAX(B$3:B169)-B169)/MAX(B$3:B169))</f>
        <v/>
      </c>
      <c r="F169" s="12" t="str">
        <f>IF(A169="","",MAX(E$4:E169))</f>
        <v/>
      </c>
      <c r="H169" s="14" t="str">
        <f t="shared" si="13"/>
        <v/>
      </c>
      <c r="I169" s="14" t="str">
        <f t="shared" si="14"/>
        <v/>
      </c>
      <c r="J169" s="15" t="str">
        <f t="shared" si="15"/>
        <v/>
      </c>
    </row>
    <row r="170" spans="1:10">
      <c r="A170" s="7" t="str">
        <f>IF(子基金及业绩基准周净值!A202="","",子基金及业绩基准周净值!A202)</f>
        <v/>
      </c>
      <c r="B170" s="1" t="str">
        <f>IF(A170="","",VLOOKUP($A170,子基金及业绩基准周净值!$A:$AV,15))</f>
        <v/>
      </c>
      <c r="C170" s="8" t="str">
        <f t="shared" si="12"/>
        <v/>
      </c>
      <c r="D170" s="9" t="str">
        <f>IF(A170="","",C170-(子基金及业绩基准周净值!AH202/子基金及业绩基准周净值!AH201-1))</f>
        <v/>
      </c>
      <c r="E170" s="12" t="str">
        <f>IF(A170="","",(MAX(B$3:B170)-B170)/MAX(B$3:B170))</f>
        <v/>
      </c>
      <c r="F170" s="12" t="str">
        <f>IF(A170="","",MAX(E$4:E170))</f>
        <v/>
      </c>
      <c r="H170" s="14" t="str">
        <f t="shared" si="13"/>
        <v/>
      </c>
      <c r="I170" s="14" t="str">
        <f t="shared" si="14"/>
        <v/>
      </c>
      <c r="J170" s="15" t="str">
        <f t="shared" si="15"/>
        <v/>
      </c>
    </row>
    <row r="171" spans="1:10">
      <c r="A171" s="7" t="str">
        <f>IF(子基金及业绩基准周净值!A203="","",子基金及业绩基准周净值!A203)</f>
        <v/>
      </c>
      <c r="B171" s="1" t="str">
        <f>IF(A171="","",VLOOKUP($A171,子基金及业绩基准周净值!$A:$AV,15))</f>
        <v/>
      </c>
      <c r="C171" s="8" t="str">
        <f t="shared" si="12"/>
        <v/>
      </c>
      <c r="D171" s="9" t="str">
        <f>IF(A171="","",C171-(子基金及业绩基准周净值!AH203/子基金及业绩基准周净值!AH202-1))</f>
        <v/>
      </c>
      <c r="E171" s="12" t="str">
        <f>IF(A171="","",(MAX(B$3:B171)-B171)/MAX(B$3:B171))</f>
        <v/>
      </c>
      <c r="F171" s="12" t="str">
        <f>IF(A171="","",MAX(E$4:E171))</f>
        <v/>
      </c>
      <c r="H171" s="14" t="str">
        <f t="shared" si="13"/>
        <v/>
      </c>
      <c r="I171" s="14" t="str">
        <f t="shared" si="14"/>
        <v/>
      </c>
      <c r="J171" s="15" t="str">
        <f t="shared" si="15"/>
        <v/>
      </c>
    </row>
    <row r="172" spans="1:10">
      <c r="A172" s="7" t="str">
        <f>IF(子基金及业绩基准周净值!A204="","",子基金及业绩基准周净值!A204)</f>
        <v/>
      </c>
      <c r="B172" s="1" t="str">
        <f>IF(A172="","",VLOOKUP($A172,子基金及业绩基准周净值!$A:$AV,15))</f>
        <v/>
      </c>
      <c r="C172" s="8" t="str">
        <f t="shared" si="12"/>
        <v/>
      </c>
      <c r="D172" s="9" t="str">
        <f>IF(A172="","",C172-(子基金及业绩基准周净值!AH204/子基金及业绩基准周净值!AH203-1))</f>
        <v/>
      </c>
      <c r="E172" s="12" t="str">
        <f>IF(A172="","",(MAX(B$3:B172)-B172)/MAX(B$3:B172))</f>
        <v/>
      </c>
      <c r="F172" s="12" t="str">
        <f>IF(A172="","",MAX(E$4:E172))</f>
        <v/>
      </c>
      <c r="H172" s="14" t="str">
        <f t="shared" si="13"/>
        <v/>
      </c>
      <c r="I172" s="14" t="str">
        <f t="shared" si="14"/>
        <v/>
      </c>
      <c r="J172" s="15" t="str">
        <f t="shared" si="15"/>
        <v/>
      </c>
    </row>
    <row r="173" spans="1:10">
      <c r="A173" s="7" t="str">
        <f>IF(子基金及业绩基准周净值!A205="","",子基金及业绩基准周净值!A205)</f>
        <v/>
      </c>
      <c r="B173" s="1" t="str">
        <f>IF(A173="","",VLOOKUP($A173,子基金及业绩基准周净值!$A:$AV,15))</f>
        <v/>
      </c>
      <c r="C173" s="8" t="str">
        <f t="shared" si="12"/>
        <v/>
      </c>
      <c r="D173" s="9" t="str">
        <f>IF(A173="","",C173-(子基金及业绩基准周净值!AH205/子基金及业绩基准周净值!AH204-1))</f>
        <v/>
      </c>
      <c r="E173" s="12" t="str">
        <f>IF(A173="","",(MAX(B$3:B173)-B173)/MAX(B$3:B173))</f>
        <v/>
      </c>
      <c r="F173" s="12" t="str">
        <f>IF(A173="","",MAX(E$4:E173))</f>
        <v/>
      </c>
      <c r="H173" s="14" t="str">
        <f t="shared" si="13"/>
        <v/>
      </c>
      <c r="I173" s="14" t="str">
        <f t="shared" si="14"/>
        <v/>
      </c>
      <c r="J173" s="15" t="str">
        <f t="shared" si="15"/>
        <v/>
      </c>
    </row>
    <row r="174" spans="1:10">
      <c r="A174" s="7" t="str">
        <f>IF(子基金及业绩基准周净值!A206="","",子基金及业绩基准周净值!A206)</f>
        <v/>
      </c>
      <c r="B174" s="1" t="str">
        <f>IF(A174="","",VLOOKUP($A174,子基金及业绩基准周净值!$A:$AV,15))</f>
        <v/>
      </c>
      <c r="C174" s="8" t="str">
        <f t="shared" si="12"/>
        <v/>
      </c>
      <c r="D174" s="9" t="str">
        <f>IF(A174="","",C174-(子基金及业绩基准周净值!AH206/子基金及业绩基准周净值!AH205-1))</f>
        <v/>
      </c>
      <c r="E174" s="12" t="str">
        <f>IF(A174="","",(MAX(B$3:B174)-B174)/MAX(B$3:B174))</f>
        <v/>
      </c>
      <c r="F174" s="12" t="str">
        <f>IF(A174="","",MAX(E$4:E174))</f>
        <v/>
      </c>
      <c r="H174" s="14" t="str">
        <f t="shared" si="13"/>
        <v/>
      </c>
      <c r="I174" s="14" t="str">
        <f t="shared" si="14"/>
        <v/>
      </c>
      <c r="J174" s="15" t="str">
        <f t="shared" si="15"/>
        <v/>
      </c>
    </row>
    <row r="175" spans="1:10">
      <c r="A175" s="7" t="str">
        <f>IF(子基金及业绩基准周净值!A207="","",子基金及业绩基准周净值!A207)</f>
        <v/>
      </c>
      <c r="B175" s="1" t="str">
        <f>IF(A175="","",VLOOKUP($A175,子基金及业绩基准周净值!$A:$AV,15))</f>
        <v/>
      </c>
      <c r="C175" s="8" t="str">
        <f t="shared" si="12"/>
        <v/>
      </c>
      <c r="D175" s="9" t="str">
        <f>IF(A175="","",C175-(子基金及业绩基准周净值!AH207/子基金及业绩基准周净值!AH206-1))</f>
        <v/>
      </c>
      <c r="E175" s="12" t="str">
        <f>IF(A175="","",(MAX(B$3:B175)-B175)/MAX(B$3:B175))</f>
        <v/>
      </c>
      <c r="F175" s="12" t="str">
        <f>IF(A175="","",MAX(E$4:E175))</f>
        <v/>
      </c>
      <c r="H175" s="14" t="str">
        <f t="shared" si="13"/>
        <v/>
      </c>
      <c r="I175" s="14" t="str">
        <f t="shared" si="14"/>
        <v/>
      </c>
      <c r="J175" s="15" t="str">
        <f t="shared" si="15"/>
        <v/>
      </c>
    </row>
    <row r="176" spans="1:10">
      <c r="A176" s="7" t="str">
        <f>IF(子基金及业绩基准周净值!A208="","",子基金及业绩基准周净值!A208)</f>
        <v/>
      </c>
      <c r="B176" s="1" t="str">
        <f>IF(A176="","",VLOOKUP($A176,子基金及业绩基准周净值!$A:$AV,15))</f>
        <v/>
      </c>
      <c r="C176" s="8" t="str">
        <f t="shared" si="12"/>
        <v/>
      </c>
      <c r="D176" s="9" t="str">
        <f>IF(A176="","",C176-(子基金及业绩基准周净值!AH208/子基金及业绩基准周净值!AH207-1))</f>
        <v/>
      </c>
      <c r="E176" s="12" t="str">
        <f>IF(A176="","",(MAX(B$3:B176)-B176)/MAX(B$3:B176))</f>
        <v/>
      </c>
      <c r="F176" s="12" t="str">
        <f>IF(A176="","",MAX(E$4:E176))</f>
        <v/>
      </c>
      <c r="H176" s="14" t="str">
        <f t="shared" si="13"/>
        <v/>
      </c>
      <c r="I176" s="14" t="str">
        <f t="shared" si="14"/>
        <v/>
      </c>
      <c r="J176" s="15" t="str">
        <f t="shared" si="15"/>
        <v/>
      </c>
    </row>
    <row r="177" spans="1:10">
      <c r="A177" s="7" t="str">
        <f>IF(子基金及业绩基准周净值!A209="","",子基金及业绩基准周净值!A209)</f>
        <v/>
      </c>
      <c r="B177" s="1" t="str">
        <f>IF(A177="","",VLOOKUP($A177,子基金及业绩基准周净值!$A:$AV,15))</f>
        <v/>
      </c>
      <c r="C177" s="8" t="str">
        <f t="shared" si="12"/>
        <v/>
      </c>
      <c r="D177" s="9" t="str">
        <f>IF(A177="","",C177-(子基金及业绩基准周净值!AH209/子基金及业绩基准周净值!AH208-1))</f>
        <v/>
      </c>
      <c r="E177" s="12" t="str">
        <f>IF(A177="","",(MAX(B$3:B177)-B177)/MAX(B$3:B177))</f>
        <v/>
      </c>
      <c r="F177" s="12" t="str">
        <f>IF(A177="","",MAX(E$4:E177))</f>
        <v/>
      </c>
      <c r="H177" s="14" t="str">
        <f t="shared" si="13"/>
        <v/>
      </c>
      <c r="I177" s="14" t="str">
        <f t="shared" si="14"/>
        <v/>
      </c>
      <c r="J177" s="15" t="str">
        <f t="shared" si="15"/>
        <v/>
      </c>
    </row>
    <row r="178" spans="1:10">
      <c r="A178" s="7" t="str">
        <f>IF(子基金及业绩基准周净值!A210="","",子基金及业绩基准周净值!A210)</f>
        <v/>
      </c>
      <c r="B178" s="1" t="str">
        <f>IF(A178="","",VLOOKUP($A178,子基金及业绩基准周净值!$A:$AV,15))</f>
        <v/>
      </c>
      <c r="C178" s="8" t="str">
        <f t="shared" si="12"/>
        <v/>
      </c>
      <c r="D178" s="9" t="str">
        <f>IF(A178="","",C178-(子基金及业绩基准周净值!AH210/子基金及业绩基准周净值!AH209-1))</f>
        <v/>
      </c>
      <c r="E178" s="12" t="str">
        <f>IF(A178="","",(MAX(B$3:B178)-B178)/MAX(B$3:B178))</f>
        <v/>
      </c>
      <c r="F178" s="12" t="str">
        <f>IF(A178="","",MAX(E$4:E178))</f>
        <v/>
      </c>
      <c r="H178" s="14" t="str">
        <f t="shared" si="13"/>
        <v/>
      </c>
      <c r="I178" s="14" t="str">
        <f t="shared" si="14"/>
        <v/>
      </c>
      <c r="J178" s="15" t="str">
        <f t="shared" si="15"/>
        <v/>
      </c>
    </row>
    <row r="179" spans="1:10">
      <c r="A179" s="7" t="str">
        <f>IF(子基金及业绩基准周净值!A211="","",子基金及业绩基准周净值!A211)</f>
        <v/>
      </c>
      <c r="B179" s="1" t="str">
        <f>IF(A179="","",VLOOKUP($A179,子基金及业绩基准周净值!$A:$AV,15))</f>
        <v/>
      </c>
      <c r="C179" s="8" t="str">
        <f t="shared" si="12"/>
        <v/>
      </c>
      <c r="D179" s="9" t="str">
        <f>IF(A179="","",C179-(子基金及业绩基准周净值!AH211/子基金及业绩基准周净值!AH210-1))</f>
        <v/>
      </c>
      <c r="E179" s="12" t="str">
        <f>IF(A179="","",(MAX(B$3:B179)-B179)/MAX(B$3:B179))</f>
        <v/>
      </c>
      <c r="F179" s="12" t="str">
        <f>IF(A179="","",MAX(E$4:E179))</f>
        <v/>
      </c>
      <c r="H179" s="14" t="str">
        <f t="shared" si="13"/>
        <v/>
      </c>
      <c r="I179" s="14" t="str">
        <f t="shared" si="14"/>
        <v/>
      </c>
      <c r="J179" s="15" t="str">
        <f t="shared" si="15"/>
        <v/>
      </c>
    </row>
    <row r="180" spans="1:10">
      <c r="A180" s="7" t="str">
        <f>IF(子基金及业绩基准周净值!A212="","",子基金及业绩基准周净值!A212)</f>
        <v/>
      </c>
      <c r="B180" s="1" t="str">
        <f>IF(A180="","",VLOOKUP($A180,子基金及业绩基准周净值!$A:$AV,15))</f>
        <v/>
      </c>
      <c r="C180" s="8" t="str">
        <f t="shared" si="12"/>
        <v/>
      </c>
      <c r="D180" s="9" t="str">
        <f>IF(A180="","",C180-(子基金及业绩基准周净值!AH212/子基金及业绩基准周净值!AH211-1))</f>
        <v/>
      </c>
      <c r="E180" s="12" t="str">
        <f>IF(A180="","",(MAX(B$3:B180)-B180)/MAX(B$3:B180))</f>
        <v/>
      </c>
      <c r="F180" s="12" t="str">
        <f>IF(A180="","",MAX(E$4:E180))</f>
        <v/>
      </c>
      <c r="H180" s="14" t="str">
        <f t="shared" si="13"/>
        <v/>
      </c>
      <c r="I180" s="14" t="str">
        <f t="shared" si="14"/>
        <v/>
      </c>
      <c r="J180" s="15" t="str">
        <f t="shared" si="15"/>
        <v/>
      </c>
    </row>
    <row r="181" spans="1:10">
      <c r="A181" s="7" t="str">
        <f>IF(子基金及业绩基准周净值!A213="","",子基金及业绩基准周净值!A213)</f>
        <v/>
      </c>
      <c r="B181" s="1" t="str">
        <f>IF(A181="","",VLOOKUP($A181,子基金及业绩基准周净值!$A:$AV,15))</f>
        <v/>
      </c>
      <c r="C181" s="8" t="str">
        <f t="shared" si="12"/>
        <v/>
      </c>
      <c r="D181" s="9" t="str">
        <f>IF(A181="","",C181-(子基金及业绩基准周净值!AH213/子基金及业绩基准周净值!AH212-1))</f>
        <v/>
      </c>
      <c r="E181" s="12" t="str">
        <f>IF(A181="","",(MAX(B$3:B181)-B181)/MAX(B$3:B181))</f>
        <v/>
      </c>
      <c r="F181" s="12" t="str">
        <f>IF(A181="","",MAX(E$4:E181))</f>
        <v/>
      </c>
      <c r="H181" s="14" t="str">
        <f t="shared" si="13"/>
        <v/>
      </c>
      <c r="I181" s="14" t="str">
        <f t="shared" si="14"/>
        <v/>
      </c>
      <c r="J181" s="15" t="str">
        <f t="shared" si="15"/>
        <v/>
      </c>
    </row>
    <row r="182" spans="1:10">
      <c r="A182" s="7" t="str">
        <f>IF(子基金及业绩基准周净值!A214="","",子基金及业绩基准周净值!A214)</f>
        <v/>
      </c>
      <c r="B182" s="1" t="str">
        <f>IF(A182="","",VLOOKUP($A182,子基金及业绩基准周净值!$A:$AV,15))</f>
        <v/>
      </c>
      <c r="C182" s="8" t="str">
        <f t="shared" si="12"/>
        <v/>
      </c>
      <c r="D182" s="9" t="str">
        <f>IF(A182="","",C182-(子基金及业绩基准周净值!AH214/子基金及业绩基准周净值!AH213-1))</f>
        <v/>
      </c>
      <c r="E182" s="12" t="str">
        <f>IF(A182="","",(MAX(B$3:B182)-B182)/MAX(B$3:B182))</f>
        <v/>
      </c>
      <c r="F182" s="12" t="str">
        <f>IF(A182="","",MAX(E$4:E182))</f>
        <v/>
      </c>
      <c r="H182" s="14" t="str">
        <f t="shared" si="13"/>
        <v/>
      </c>
      <c r="I182" s="14" t="str">
        <f t="shared" si="14"/>
        <v/>
      </c>
      <c r="J182" s="15" t="str">
        <f t="shared" si="15"/>
        <v/>
      </c>
    </row>
    <row r="183" spans="1:10">
      <c r="A183" s="7" t="str">
        <f>IF(子基金及业绩基准周净值!A215="","",子基金及业绩基准周净值!A215)</f>
        <v/>
      </c>
      <c r="B183" s="1" t="str">
        <f>IF(A183="","",VLOOKUP($A183,子基金及业绩基准周净值!$A:$AV,15))</f>
        <v/>
      </c>
      <c r="C183" s="8" t="str">
        <f t="shared" si="12"/>
        <v/>
      </c>
      <c r="D183" s="9" t="str">
        <f>IF(A183="","",C183-(子基金及业绩基准周净值!AH215/子基金及业绩基准周净值!AH214-1))</f>
        <v/>
      </c>
      <c r="E183" s="12" t="str">
        <f>IF(A183="","",(MAX(B$3:B183)-B183)/MAX(B$3:B183))</f>
        <v/>
      </c>
      <c r="F183" s="12" t="str">
        <f>IF(A183="","",MAX(E$4:E183))</f>
        <v/>
      </c>
      <c r="H183" s="14" t="str">
        <f t="shared" si="13"/>
        <v/>
      </c>
      <c r="I183" s="14" t="str">
        <f t="shared" si="14"/>
        <v/>
      </c>
      <c r="J183" s="15" t="str">
        <f t="shared" si="15"/>
        <v/>
      </c>
    </row>
    <row r="184" spans="1:10">
      <c r="A184" s="7" t="str">
        <f>IF(子基金及业绩基准周净值!A216="","",子基金及业绩基准周净值!A216)</f>
        <v/>
      </c>
      <c r="B184" s="1" t="str">
        <f>IF(A184="","",VLOOKUP($A184,子基金及业绩基准周净值!$A:$AV,15))</f>
        <v/>
      </c>
      <c r="C184" s="8" t="str">
        <f t="shared" si="12"/>
        <v/>
      </c>
      <c r="D184" s="9" t="str">
        <f>IF(A184="","",C184-(子基金及业绩基准周净值!AH216/子基金及业绩基准周净值!AH215-1))</f>
        <v/>
      </c>
      <c r="E184" s="12" t="str">
        <f>IF(A184="","",(MAX(B$3:B184)-B184)/MAX(B$3:B184))</f>
        <v/>
      </c>
      <c r="F184" s="12" t="str">
        <f>IF(A184="","",MAX(E$4:E184))</f>
        <v/>
      </c>
      <c r="H184" s="14" t="str">
        <f t="shared" si="13"/>
        <v/>
      </c>
      <c r="I184" s="14" t="str">
        <f t="shared" si="14"/>
        <v/>
      </c>
      <c r="J184" s="15" t="str">
        <f t="shared" si="15"/>
        <v/>
      </c>
    </row>
    <row r="185" spans="1:10">
      <c r="A185" s="7" t="str">
        <f>IF(子基金及业绩基准周净值!A217="","",子基金及业绩基准周净值!A217)</f>
        <v/>
      </c>
      <c r="B185" s="1" t="str">
        <f>IF(A185="","",VLOOKUP($A185,子基金及业绩基准周净值!$A:$AV,15))</f>
        <v/>
      </c>
      <c r="C185" s="8" t="str">
        <f t="shared" si="12"/>
        <v/>
      </c>
      <c r="D185" s="9" t="str">
        <f>IF(A185="","",C185-(子基金及业绩基准周净值!AH217/子基金及业绩基准周净值!AH216-1))</f>
        <v/>
      </c>
      <c r="E185" s="12" t="str">
        <f>IF(A185="","",(MAX(B$3:B185)-B185)/MAX(B$3:B185))</f>
        <v/>
      </c>
      <c r="F185" s="12" t="str">
        <f>IF(A185="","",MAX(E$4:E185))</f>
        <v/>
      </c>
      <c r="H185" s="14" t="str">
        <f t="shared" si="13"/>
        <v/>
      </c>
      <c r="I185" s="14" t="str">
        <f t="shared" si="14"/>
        <v/>
      </c>
      <c r="J185" s="15" t="str">
        <f t="shared" si="15"/>
        <v/>
      </c>
    </row>
    <row r="186" spans="1:10">
      <c r="A186" s="7" t="str">
        <f>IF(子基金及业绩基准周净值!A218="","",子基金及业绩基准周净值!A218)</f>
        <v/>
      </c>
      <c r="B186" s="1" t="str">
        <f>IF(A186="","",VLOOKUP($A186,子基金及业绩基准周净值!$A:$AV,15))</f>
        <v/>
      </c>
      <c r="C186" s="8" t="str">
        <f t="shared" si="12"/>
        <v/>
      </c>
      <c r="D186" s="9" t="str">
        <f>IF(A186="","",C186-(子基金及业绩基准周净值!AH218/子基金及业绩基准周净值!AH217-1))</f>
        <v/>
      </c>
      <c r="E186" s="12" t="str">
        <f>IF(A186="","",(MAX(B$3:B186)-B186)/MAX(B$3:B186))</f>
        <v/>
      </c>
      <c r="F186" s="12" t="str">
        <f>IF(A186="","",MAX(E$4:E186))</f>
        <v/>
      </c>
      <c r="H186" s="14" t="str">
        <f t="shared" si="13"/>
        <v/>
      </c>
      <c r="I186" s="14" t="str">
        <f t="shared" si="14"/>
        <v/>
      </c>
      <c r="J186" s="15" t="str">
        <f t="shared" si="15"/>
        <v/>
      </c>
    </row>
    <row r="187" spans="1:10">
      <c r="A187" s="7" t="str">
        <f>IF(子基金及业绩基准周净值!A219="","",子基金及业绩基准周净值!A219)</f>
        <v/>
      </c>
      <c r="B187" s="1" t="str">
        <f>IF(A187="","",VLOOKUP($A187,子基金及业绩基准周净值!$A:$AV,15))</f>
        <v/>
      </c>
      <c r="C187" s="8" t="str">
        <f t="shared" si="12"/>
        <v/>
      </c>
      <c r="D187" s="9" t="str">
        <f>IF(A187="","",C187-(子基金及业绩基准周净值!AH219/子基金及业绩基准周净值!AH218-1))</f>
        <v/>
      </c>
      <c r="E187" s="12" t="str">
        <f>IF(A187="","",(MAX(B$3:B187)-B187)/MAX(B$3:B187))</f>
        <v/>
      </c>
      <c r="F187" s="12" t="str">
        <f>IF(A187="","",MAX(E$4:E187))</f>
        <v/>
      </c>
      <c r="H187" s="14" t="str">
        <f t="shared" si="13"/>
        <v/>
      </c>
      <c r="I187" s="14" t="str">
        <f t="shared" si="14"/>
        <v/>
      </c>
      <c r="J187" s="15" t="str">
        <f t="shared" si="15"/>
        <v/>
      </c>
    </row>
    <row r="188" spans="1:10">
      <c r="A188" s="7" t="str">
        <f>IF(子基金及业绩基准周净值!A220="","",子基金及业绩基准周净值!A220)</f>
        <v/>
      </c>
      <c r="B188" s="1" t="str">
        <f>IF(A188="","",VLOOKUP($A188,子基金及业绩基准周净值!$A:$AV,15))</f>
        <v/>
      </c>
      <c r="C188" s="8" t="str">
        <f t="shared" si="12"/>
        <v/>
      </c>
      <c r="D188" s="9" t="str">
        <f>IF(A188="","",C188-(子基金及业绩基准周净值!AH220/子基金及业绩基准周净值!AH219-1))</f>
        <v/>
      </c>
      <c r="E188" s="12" t="str">
        <f>IF(A188="","",(MAX(B$3:B188)-B188)/MAX(B$3:B188))</f>
        <v/>
      </c>
      <c r="F188" s="12" t="str">
        <f>IF(A188="","",MAX(E$4:E188))</f>
        <v/>
      </c>
      <c r="H188" s="14" t="str">
        <f t="shared" si="13"/>
        <v/>
      </c>
      <c r="I188" s="14" t="str">
        <f t="shared" si="14"/>
        <v/>
      </c>
      <c r="J188" s="15" t="str">
        <f t="shared" si="15"/>
        <v/>
      </c>
    </row>
    <row r="189" spans="1:10">
      <c r="A189" s="7" t="str">
        <f>IF(子基金及业绩基准周净值!A221="","",子基金及业绩基准周净值!A221)</f>
        <v/>
      </c>
      <c r="B189" s="1" t="str">
        <f>IF(A189="","",VLOOKUP($A189,子基金及业绩基准周净值!$A:$AV,15))</f>
        <v/>
      </c>
      <c r="C189" s="8" t="str">
        <f t="shared" si="12"/>
        <v/>
      </c>
      <c r="D189" s="9" t="str">
        <f>IF(A189="","",C189-(子基金及业绩基准周净值!AH221/子基金及业绩基准周净值!AH220-1))</f>
        <v/>
      </c>
      <c r="E189" s="12" t="str">
        <f>IF(A189="","",(MAX(B$3:B189)-B189)/MAX(B$3:B189))</f>
        <v/>
      </c>
      <c r="F189" s="12" t="str">
        <f>IF(A189="","",MAX(E$4:E189))</f>
        <v/>
      </c>
      <c r="H189" s="14" t="str">
        <f t="shared" si="13"/>
        <v/>
      </c>
      <c r="I189" s="14" t="str">
        <f t="shared" si="14"/>
        <v/>
      </c>
      <c r="J189" s="15" t="str">
        <f t="shared" si="15"/>
        <v/>
      </c>
    </row>
    <row r="190" spans="1:10">
      <c r="A190" s="7" t="str">
        <f>IF(子基金及业绩基准周净值!A222="","",子基金及业绩基准周净值!A222)</f>
        <v/>
      </c>
      <c r="B190" s="1" t="str">
        <f>IF(A190="","",VLOOKUP($A190,子基金及业绩基准周净值!$A:$AV,15))</f>
        <v/>
      </c>
      <c r="C190" s="8" t="str">
        <f t="shared" si="12"/>
        <v/>
      </c>
      <c r="D190" s="9" t="str">
        <f>IF(A190="","",C190-(子基金及业绩基准周净值!AH222/子基金及业绩基准周净值!AH221-1))</f>
        <v/>
      </c>
      <c r="E190" s="12" t="str">
        <f>IF(A190="","",(MAX(B$3:B190)-B190)/MAX(B$3:B190))</f>
        <v/>
      </c>
      <c r="F190" s="12" t="str">
        <f>IF(A190="","",MAX(E$4:E190))</f>
        <v/>
      </c>
      <c r="H190" s="14" t="str">
        <f t="shared" si="13"/>
        <v/>
      </c>
      <c r="I190" s="14" t="str">
        <f t="shared" si="14"/>
        <v/>
      </c>
      <c r="J190" s="15" t="str">
        <f t="shared" si="15"/>
        <v/>
      </c>
    </row>
    <row r="191" spans="1:10">
      <c r="A191" s="7" t="str">
        <f>IF(子基金及业绩基准周净值!A223="","",子基金及业绩基准周净值!A223)</f>
        <v/>
      </c>
      <c r="B191" s="1" t="str">
        <f>IF(A191="","",VLOOKUP($A191,子基金及业绩基准周净值!$A:$AV,15))</f>
        <v/>
      </c>
      <c r="C191" s="8" t="str">
        <f t="shared" si="12"/>
        <v/>
      </c>
      <c r="D191" s="9" t="str">
        <f>IF(A191="","",C191-(子基金及业绩基准周净值!AH223/子基金及业绩基准周净值!AH222-1))</f>
        <v/>
      </c>
      <c r="E191" s="12" t="str">
        <f>IF(A191="","",(MAX(B$3:B191)-B191)/MAX(B$3:B191))</f>
        <v/>
      </c>
      <c r="F191" s="12" t="str">
        <f>IF(A191="","",MAX(E$4:E191))</f>
        <v/>
      </c>
      <c r="H191" s="14" t="str">
        <f t="shared" si="13"/>
        <v/>
      </c>
      <c r="I191" s="14" t="str">
        <f t="shared" si="14"/>
        <v/>
      </c>
      <c r="J191" s="15" t="str">
        <f t="shared" si="15"/>
        <v/>
      </c>
    </row>
    <row r="192" spans="1:10">
      <c r="A192" s="7" t="str">
        <f>IF(子基金及业绩基准周净值!A224="","",子基金及业绩基准周净值!A224)</f>
        <v/>
      </c>
      <c r="B192" s="1" t="str">
        <f>IF(A192="","",VLOOKUP($A192,子基金及业绩基准周净值!$A:$AV,15))</f>
        <v/>
      </c>
      <c r="C192" s="8" t="str">
        <f t="shared" si="12"/>
        <v/>
      </c>
      <c r="D192" s="9" t="str">
        <f>IF(A192="","",C192-(子基金及业绩基准周净值!AH224/子基金及业绩基准周净值!AH223-1))</f>
        <v/>
      </c>
      <c r="E192" s="12" t="str">
        <f>IF(A192="","",(MAX(B$3:B192)-B192)/MAX(B$3:B192))</f>
        <v/>
      </c>
      <c r="F192" s="12" t="str">
        <f>IF(A192="","",MAX(E$4:E192))</f>
        <v/>
      </c>
      <c r="H192" s="14" t="str">
        <f t="shared" si="13"/>
        <v/>
      </c>
      <c r="I192" s="14" t="str">
        <f t="shared" si="14"/>
        <v/>
      </c>
      <c r="J192" s="15" t="str">
        <f t="shared" si="15"/>
        <v/>
      </c>
    </row>
    <row r="193" spans="1:10">
      <c r="A193" s="7" t="str">
        <f>IF(子基金及业绩基准周净值!A225="","",子基金及业绩基准周净值!A225)</f>
        <v/>
      </c>
      <c r="B193" s="1" t="str">
        <f>IF(A193="","",VLOOKUP($A193,子基金及业绩基准周净值!$A:$AV,15))</f>
        <v/>
      </c>
      <c r="C193" s="8" t="str">
        <f t="shared" si="12"/>
        <v/>
      </c>
      <c r="D193" s="9" t="str">
        <f>IF(A193="","",C193-(子基金及业绩基准周净值!AH225/子基金及业绩基准周净值!AH224-1))</f>
        <v/>
      </c>
      <c r="E193" s="12" t="str">
        <f>IF(A193="","",(MAX(B$3:B193)-B193)/MAX(B$3:B193))</f>
        <v/>
      </c>
      <c r="F193" s="12" t="str">
        <f>IF(A193="","",MAX(E$4:E193))</f>
        <v/>
      </c>
      <c r="H193" s="14" t="str">
        <f t="shared" si="13"/>
        <v/>
      </c>
      <c r="I193" s="14" t="str">
        <f t="shared" si="14"/>
        <v/>
      </c>
      <c r="J193" s="15" t="str">
        <f t="shared" si="15"/>
        <v/>
      </c>
    </row>
    <row r="194" spans="1:10">
      <c r="A194" s="7" t="str">
        <f>IF(子基金及业绩基准周净值!A226="","",子基金及业绩基准周净值!A226)</f>
        <v/>
      </c>
      <c r="B194" s="1" t="str">
        <f>IF(A194="","",VLOOKUP($A194,子基金及业绩基准周净值!$A:$AV,15))</f>
        <v/>
      </c>
      <c r="C194" s="8" t="str">
        <f t="shared" si="12"/>
        <v/>
      </c>
      <c r="D194" s="9" t="str">
        <f>IF(A194="","",C194-(子基金及业绩基准周净值!AH226/子基金及业绩基准周净值!AH225-1))</f>
        <v/>
      </c>
      <c r="E194" s="12" t="str">
        <f>IF(A194="","",(MAX(B$3:B194)-B194)/MAX(B$3:B194))</f>
        <v/>
      </c>
      <c r="F194" s="12" t="str">
        <f>IF(A194="","",MAX(E$4:E194))</f>
        <v/>
      </c>
      <c r="H194" s="14" t="str">
        <f t="shared" si="13"/>
        <v/>
      </c>
      <c r="I194" s="14" t="str">
        <f t="shared" si="14"/>
        <v/>
      </c>
      <c r="J194" s="15" t="str">
        <f t="shared" si="15"/>
        <v/>
      </c>
    </row>
    <row r="195" spans="1:10">
      <c r="A195" s="7" t="str">
        <f>IF(子基金及业绩基准周净值!A227="","",子基金及业绩基准周净值!A227)</f>
        <v/>
      </c>
      <c r="B195" s="1" t="str">
        <f>IF(A195="","",VLOOKUP($A195,子基金及业绩基准周净值!$A:$AV,15))</f>
        <v/>
      </c>
      <c r="C195" s="8" t="str">
        <f t="shared" si="12"/>
        <v/>
      </c>
      <c r="D195" s="9" t="str">
        <f>IF(A195="","",C195-(子基金及业绩基准周净值!AH227/子基金及业绩基准周净值!AH226-1))</f>
        <v/>
      </c>
      <c r="E195" s="12" t="str">
        <f>IF(A195="","",(MAX(B$3:B195)-B195)/MAX(B$3:B195))</f>
        <v/>
      </c>
      <c r="F195" s="12" t="str">
        <f>IF(A195="","",MAX(E$4:E195))</f>
        <v/>
      </c>
      <c r="H195" s="14" t="str">
        <f t="shared" si="13"/>
        <v/>
      </c>
      <c r="I195" s="14" t="str">
        <f t="shared" si="14"/>
        <v/>
      </c>
      <c r="J195" s="15" t="str">
        <f t="shared" si="15"/>
        <v/>
      </c>
    </row>
    <row r="196" spans="1:10">
      <c r="A196" s="7" t="str">
        <f>IF(子基金及业绩基准周净值!A228="","",子基金及业绩基准周净值!A228)</f>
        <v/>
      </c>
      <c r="B196" s="1" t="str">
        <f>IF(A196="","",VLOOKUP($A196,子基金及业绩基准周净值!$A:$AV,15))</f>
        <v/>
      </c>
      <c r="C196" s="8" t="str">
        <f t="shared" ref="C196:C259" si="16">IF(A196="","",(B196-B195)/B195)</f>
        <v/>
      </c>
      <c r="D196" s="9" t="str">
        <f>IF(A196="","",C196-(子基金及业绩基准周净值!AH228/子基金及业绩基准周净值!AH227-1))</f>
        <v/>
      </c>
      <c r="E196" s="12" t="str">
        <f>IF(A196="","",(MAX(B$3:B196)-B196)/MAX(B$3:B196))</f>
        <v/>
      </c>
      <c r="F196" s="12" t="str">
        <f>IF(A196="","",MAX(E$4:E196))</f>
        <v/>
      </c>
      <c r="H196" s="14" t="str">
        <f t="shared" ref="H196:H259" si="17">IF(A196="","",IF(E196&lt;3%,"否","是"))</f>
        <v/>
      </c>
      <c r="I196" s="14" t="str">
        <f t="shared" ref="I196:I259" si="18">IF(A196="","",IF(F196&gt;5%,"是","否"))</f>
        <v/>
      </c>
      <c r="J196" s="15" t="str">
        <f t="shared" ref="J196:J259" si="19">IF(A196="","",IF(G196&gt;=4,"是","否"))</f>
        <v/>
      </c>
    </row>
    <row r="197" spans="1:10">
      <c r="A197" s="7" t="str">
        <f>IF(子基金及业绩基准周净值!A229="","",子基金及业绩基准周净值!A229)</f>
        <v/>
      </c>
      <c r="B197" s="1" t="str">
        <f>IF(A197="","",VLOOKUP($A197,子基金及业绩基准周净值!$A:$AV,15))</f>
        <v/>
      </c>
      <c r="C197" s="8" t="str">
        <f t="shared" si="16"/>
        <v/>
      </c>
      <c r="D197" s="9" t="str">
        <f>IF(A197="","",C197-(子基金及业绩基准周净值!AH229/子基金及业绩基准周净值!AH228-1))</f>
        <v/>
      </c>
      <c r="E197" s="12" t="str">
        <f>IF(A197="","",(MAX(B$3:B197)-B197)/MAX(B$3:B197))</f>
        <v/>
      </c>
      <c r="F197" s="12" t="str">
        <f>IF(A197="","",MAX(E$4:E197))</f>
        <v/>
      </c>
      <c r="H197" s="14" t="str">
        <f t="shared" si="17"/>
        <v/>
      </c>
      <c r="I197" s="14" t="str">
        <f t="shared" si="18"/>
        <v/>
      </c>
      <c r="J197" s="15" t="str">
        <f t="shared" si="19"/>
        <v/>
      </c>
    </row>
    <row r="198" spans="1:10">
      <c r="A198" s="7" t="str">
        <f>IF(子基金及业绩基准周净值!A230="","",子基金及业绩基准周净值!A230)</f>
        <v/>
      </c>
      <c r="B198" s="1" t="str">
        <f>IF(A198="","",VLOOKUP($A198,子基金及业绩基准周净值!$A:$AV,15))</f>
        <v/>
      </c>
      <c r="C198" s="8" t="str">
        <f t="shared" si="16"/>
        <v/>
      </c>
      <c r="D198" s="9" t="str">
        <f>IF(A198="","",C198-(子基金及业绩基准周净值!AH230/子基金及业绩基准周净值!AH229-1))</f>
        <v/>
      </c>
      <c r="E198" s="12" t="str">
        <f>IF(A198="","",(MAX(B$3:B198)-B198)/MAX(B$3:B198))</f>
        <v/>
      </c>
      <c r="F198" s="12" t="str">
        <f>IF(A198="","",MAX(E$4:E198))</f>
        <v/>
      </c>
      <c r="H198" s="14" t="str">
        <f t="shared" si="17"/>
        <v/>
      </c>
      <c r="I198" s="14" t="str">
        <f t="shared" si="18"/>
        <v/>
      </c>
      <c r="J198" s="15" t="str">
        <f t="shared" si="19"/>
        <v/>
      </c>
    </row>
    <row r="199" spans="1:10">
      <c r="A199" s="7" t="str">
        <f>IF(子基金及业绩基准周净值!A231="","",子基金及业绩基准周净值!A231)</f>
        <v/>
      </c>
      <c r="B199" s="1" t="str">
        <f>IF(A199="","",VLOOKUP($A199,子基金及业绩基准周净值!$A:$AV,15))</f>
        <v/>
      </c>
      <c r="C199" s="8" t="str">
        <f t="shared" si="16"/>
        <v/>
      </c>
      <c r="D199" s="9" t="str">
        <f>IF(A199="","",C199-(子基金及业绩基准周净值!AH231/子基金及业绩基准周净值!AH230-1))</f>
        <v/>
      </c>
      <c r="E199" s="12" t="str">
        <f>IF(A199="","",(MAX(B$3:B199)-B199)/MAX(B$3:B199))</f>
        <v/>
      </c>
      <c r="F199" s="12" t="str">
        <f>IF(A199="","",MAX(E$4:E199))</f>
        <v/>
      </c>
      <c r="H199" s="14" t="str">
        <f t="shared" si="17"/>
        <v/>
      </c>
      <c r="I199" s="14" t="str">
        <f t="shared" si="18"/>
        <v/>
      </c>
      <c r="J199" s="15" t="str">
        <f t="shared" si="19"/>
        <v/>
      </c>
    </row>
    <row r="200" spans="1:10">
      <c r="A200" s="7" t="str">
        <f>IF(子基金及业绩基准周净值!A232="","",子基金及业绩基准周净值!A232)</f>
        <v/>
      </c>
      <c r="B200" s="1" t="str">
        <f>IF(A200="","",VLOOKUP($A200,子基金及业绩基准周净值!$A:$AV,15))</f>
        <v/>
      </c>
      <c r="C200" s="8" t="str">
        <f t="shared" si="16"/>
        <v/>
      </c>
      <c r="D200" s="9" t="str">
        <f>IF(A200="","",C200-(子基金及业绩基准周净值!AH232/子基金及业绩基准周净值!AH231-1))</f>
        <v/>
      </c>
      <c r="E200" s="12" t="str">
        <f>IF(A200="","",(MAX(B$3:B200)-B200)/MAX(B$3:B200))</f>
        <v/>
      </c>
      <c r="F200" s="12" t="str">
        <f>IF(A200="","",MAX(E$4:E200))</f>
        <v/>
      </c>
      <c r="H200" s="14" t="str">
        <f t="shared" si="17"/>
        <v/>
      </c>
      <c r="I200" s="14" t="str">
        <f t="shared" si="18"/>
        <v/>
      </c>
      <c r="J200" s="15" t="str">
        <f t="shared" si="19"/>
        <v/>
      </c>
    </row>
    <row r="201" spans="1:10">
      <c r="A201" s="7" t="str">
        <f>IF(子基金及业绩基准周净值!A233="","",子基金及业绩基准周净值!A233)</f>
        <v/>
      </c>
      <c r="B201" s="1" t="str">
        <f>IF(A201="","",VLOOKUP($A201,子基金及业绩基准周净值!$A:$AV,15))</f>
        <v/>
      </c>
      <c r="C201" s="8" t="str">
        <f t="shared" si="16"/>
        <v/>
      </c>
      <c r="D201" s="9" t="str">
        <f>IF(A201="","",C201-(子基金及业绩基准周净值!AH233/子基金及业绩基准周净值!AH232-1))</f>
        <v/>
      </c>
      <c r="E201" s="12" t="str">
        <f>IF(A201="","",(MAX(B$3:B201)-B201)/MAX(B$3:B201))</f>
        <v/>
      </c>
      <c r="F201" s="12" t="str">
        <f>IF(A201="","",MAX(E$4:E201))</f>
        <v/>
      </c>
      <c r="H201" s="14" t="str">
        <f t="shared" si="17"/>
        <v/>
      </c>
      <c r="I201" s="14" t="str">
        <f t="shared" si="18"/>
        <v/>
      </c>
      <c r="J201" s="15" t="str">
        <f t="shared" si="19"/>
        <v/>
      </c>
    </row>
    <row r="202" spans="1:10">
      <c r="A202" s="7" t="str">
        <f>IF(子基金及业绩基准周净值!A234="","",子基金及业绩基准周净值!A234)</f>
        <v/>
      </c>
      <c r="B202" s="1" t="str">
        <f>IF(A202="","",VLOOKUP($A202,子基金及业绩基准周净值!$A:$AV,15))</f>
        <v/>
      </c>
      <c r="C202" s="8" t="str">
        <f t="shared" si="16"/>
        <v/>
      </c>
      <c r="D202" s="9" t="str">
        <f>IF(A202="","",C202-(子基金及业绩基准周净值!AH234/子基金及业绩基准周净值!AH233-1))</f>
        <v/>
      </c>
      <c r="E202" s="12" t="str">
        <f>IF(A202="","",(MAX(B$3:B202)-B202)/MAX(B$3:B202))</f>
        <v/>
      </c>
      <c r="F202" s="12" t="str">
        <f>IF(A202="","",MAX(E$4:E202))</f>
        <v/>
      </c>
      <c r="H202" s="14" t="str">
        <f t="shared" si="17"/>
        <v/>
      </c>
      <c r="I202" s="14" t="str">
        <f t="shared" si="18"/>
        <v/>
      </c>
      <c r="J202" s="15" t="str">
        <f t="shared" si="19"/>
        <v/>
      </c>
    </row>
    <row r="203" spans="1:10">
      <c r="A203" s="7" t="str">
        <f>IF(子基金及业绩基准周净值!A235="","",子基金及业绩基准周净值!A235)</f>
        <v/>
      </c>
      <c r="B203" s="1" t="str">
        <f>IF(A203="","",VLOOKUP($A203,子基金及业绩基准周净值!$A:$AV,15))</f>
        <v/>
      </c>
      <c r="C203" s="8" t="str">
        <f t="shared" si="16"/>
        <v/>
      </c>
      <c r="D203" s="9" t="str">
        <f>IF(A203="","",C203-(子基金及业绩基准周净值!AH235/子基金及业绩基准周净值!AH234-1))</f>
        <v/>
      </c>
      <c r="E203" s="12" t="str">
        <f>IF(A203="","",(MAX(B$3:B203)-B203)/MAX(B$3:B203))</f>
        <v/>
      </c>
      <c r="F203" s="12" t="str">
        <f>IF(A203="","",MAX(E$4:E203))</f>
        <v/>
      </c>
      <c r="H203" s="14" t="str">
        <f t="shared" si="17"/>
        <v/>
      </c>
      <c r="I203" s="14" t="str">
        <f t="shared" si="18"/>
        <v/>
      </c>
      <c r="J203" s="15" t="str">
        <f t="shared" si="19"/>
        <v/>
      </c>
    </row>
    <row r="204" spans="1:10">
      <c r="A204" s="7" t="str">
        <f>IF(子基金及业绩基准周净值!A236="","",子基金及业绩基准周净值!A236)</f>
        <v/>
      </c>
      <c r="B204" s="1" t="str">
        <f>IF(A204="","",VLOOKUP($A204,子基金及业绩基准周净值!$A:$AV,15))</f>
        <v/>
      </c>
      <c r="C204" s="8" t="str">
        <f t="shared" si="16"/>
        <v/>
      </c>
      <c r="D204" s="9" t="str">
        <f>IF(A204="","",C204-(子基金及业绩基准周净值!AH236/子基金及业绩基准周净值!AH235-1))</f>
        <v/>
      </c>
      <c r="E204" s="12" t="str">
        <f>IF(A204="","",(MAX(B$3:B204)-B204)/MAX(B$3:B204))</f>
        <v/>
      </c>
      <c r="F204" s="12" t="str">
        <f>IF(A204="","",MAX(E$4:E204))</f>
        <v/>
      </c>
      <c r="H204" s="14" t="str">
        <f t="shared" si="17"/>
        <v/>
      </c>
      <c r="I204" s="14" t="str">
        <f t="shared" si="18"/>
        <v/>
      </c>
      <c r="J204" s="15" t="str">
        <f t="shared" si="19"/>
        <v/>
      </c>
    </row>
    <row r="205" spans="1:10">
      <c r="A205" s="7" t="str">
        <f>IF(子基金及业绩基准周净值!A237="","",子基金及业绩基准周净值!A237)</f>
        <v/>
      </c>
      <c r="B205" s="1" t="str">
        <f>IF(A205="","",VLOOKUP($A205,子基金及业绩基准周净值!$A:$AV,15))</f>
        <v/>
      </c>
      <c r="C205" s="8" t="str">
        <f t="shared" si="16"/>
        <v/>
      </c>
      <c r="D205" s="9" t="str">
        <f>IF(A205="","",C205-(子基金及业绩基准周净值!AH237/子基金及业绩基准周净值!AH236-1))</f>
        <v/>
      </c>
      <c r="E205" s="12" t="str">
        <f>IF(A205="","",(MAX(B$3:B205)-B205)/MAX(B$3:B205))</f>
        <v/>
      </c>
      <c r="F205" s="12" t="str">
        <f>IF(A205="","",MAX(E$4:E205))</f>
        <v/>
      </c>
      <c r="H205" s="14" t="str">
        <f t="shared" si="17"/>
        <v/>
      </c>
      <c r="I205" s="14" t="str">
        <f t="shared" si="18"/>
        <v/>
      </c>
      <c r="J205" s="15" t="str">
        <f t="shared" si="19"/>
        <v/>
      </c>
    </row>
    <row r="206" spans="1:10">
      <c r="A206" s="7" t="str">
        <f>IF(子基金及业绩基准周净值!A238="","",子基金及业绩基准周净值!A238)</f>
        <v/>
      </c>
      <c r="B206" s="1" t="str">
        <f>IF(A206="","",VLOOKUP($A206,子基金及业绩基准周净值!$A:$AV,15))</f>
        <v/>
      </c>
      <c r="C206" s="8" t="str">
        <f t="shared" si="16"/>
        <v/>
      </c>
      <c r="D206" s="9" t="str">
        <f>IF(A206="","",C206-(子基金及业绩基准周净值!AH238/子基金及业绩基准周净值!AH237-1))</f>
        <v/>
      </c>
      <c r="E206" s="12" t="str">
        <f>IF(A206="","",(MAX(B$3:B206)-B206)/MAX(B$3:B206))</f>
        <v/>
      </c>
      <c r="F206" s="12" t="str">
        <f>IF(A206="","",MAX(E$4:E206))</f>
        <v/>
      </c>
      <c r="H206" s="14" t="str">
        <f t="shared" si="17"/>
        <v/>
      </c>
      <c r="I206" s="14" t="str">
        <f t="shared" si="18"/>
        <v/>
      </c>
      <c r="J206" s="15" t="str">
        <f t="shared" si="19"/>
        <v/>
      </c>
    </row>
    <row r="207" spans="1:10">
      <c r="A207" s="7" t="str">
        <f>IF(子基金及业绩基准周净值!A239="","",子基金及业绩基准周净值!A239)</f>
        <v/>
      </c>
      <c r="B207" s="1" t="str">
        <f>IF(A207="","",VLOOKUP($A207,子基金及业绩基准周净值!$A:$AV,15))</f>
        <v/>
      </c>
      <c r="C207" s="8" t="str">
        <f t="shared" si="16"/>
        <v/>
      </c>
      <c r="D207" s="9" t="str">
        <f>IF(A207="","",C207-(子基金及业绩基准周净值!AH239/子基金及业绩基准周净值!AH238-1))</f>
        <v/>
      </c>
      <c r="E207" s="12" t="str">
        <f>IF(A207="","",(MAX(B$3:B207)-B207)/MAX(B$3:B207))</f>
        <v/>
      </c>
      <c r="F207" s="12" t="str">
        <f>IF(A207="","",MAX(E$4:E207))</f>
        <v/>
      </c>
      <c r="H207" s="14" t="str">
        <f t="shared" si="17"/>
        <v/>
      </c>
      <c r="I207" s="14" t="str">
        <f t="shared" si="18"/>
        <v/>
      </c>
      <c r="J207" s="15" t="str">
        <f t="shared" si="19"/>
        <v/>
      </c>
    </row>
    <row r="208" spans="1:10">
      <c r="A208" s="7" t="str">
        <f>IF(子基金及业绩基准周净值!A240="","",子基金及业绩基准周净值!A240)</f>
        <v/>
      </c>
      <c r="B208" s="1" t="str">
        <f>IF(A208="","",VLOOKUP($A208,子基金及业绩基准周净值!$A:$AV,15))</f>
        <v/>
      </c>
      <c r="C208" s="8" t="str">
        <f t="shared" si="16"/>
        <v/>
      </c>
      <c r="D208" s="9" t="str">
        <f>IF(A208="","",C208-(子基金及业绩基准周净值!AH240/子基金及业绩基准周净值!AH239-1))</f>
        <v/>
      </c>
      <c r="E208" s="12" t="str">
        <f>IF(A208="","",(MAX(B$3:B208)-B208)/MAX(B$3:B208))</f>
        <v/>
      </c>
      <c r="F208" s="12" t="str">
        <f>IF(A208="","",MAX(E$4:E208))</f>
        <v/>
      </c>
      <c r="H208" s="14" t="str">
        <f t="shared" si="17"/>
        <v/>
      </c>
      <c r="I208" s="14" t="str">
        <f t="shared" si="18"/>
        <v/>
      </c>
      <c r="J208" s="15" t="str">
        <f t="shared" si="19"/>
        <v/>
      </c>
    </row>
    <row r="209" spans="1:10">
      <c r="A209" s="7" t="str">
        <f>IF(子基金及业绩基准周净值!A241="","",子基金及业绩基准周净值!A241)</f>
        <v/>
      </c>
      <c r="B209" s="1" t="str">
        <f>IF(A209="","",VLOOKUP($A209,子基金及业绩基准周净值!$A:$AV,15))</f>
        <v/>
      </c>
      <c r="C209" s="8" t="str">
        <f t="shared" si="16"/>
        <v/>
      </c>
      <c r="D209" s="9" t="str">
        <f>IF(A209="","",C209-(子基金及业绩基准周净值!AH241/子基金及业绩基准周净值!AH240-1))</f>
        <v/>
      </c>
      <c r="E209" s="12" t="str">
        <f>IF(A209="","",(MAX(B$3:B209)-B209)/MAX(B$3:B209))</f>
        <v/>
      </c>
      <c r="F209" s="12" t="str">
        <f>IF(A209="","",MAX(E$4:E209))</f>
        <v/>
      </c>
      <c r="H209" s="14" t="str">
        <f t="shared" si="17"/>
        <v/>
      </c>
      <c r="I209" s="14" t="str">
        <f t="shared" si="18"/>
        <v/>
      </c>
      <c r="J209" s="15" t="str">
        <f t="shared" si="19"/>
        <v/>
      </c>
    </row>
    <row r="210" spans="1:10">
      <c r="A210" s="7" t="str">
        <f>IF(子基金及业绩基准周净值!A242="","",子基金及业绩基准周净值!A242)</f>
        <v/>
      </c>
      <c r="B210" s="1" t="str">
        <f>IF(A210="","",VLOOKUP($A210,子基金及业绩基准周净值!$A:$AV,15))</f>
        <v/>
      </c>
      <c r="C210" s="8" t="str">
        <f t="shared" si="16"/>
        <v/>
      </c>
      <c r="D210" s="9" t="str">
        <f>IF(A210="","",C210-(子基金及业绩基准周净值!AH242/子基金及业绩基准周净值!AH241-1))</f>
        <v/>
      </c>
      <c r="E210" s="12" t="str">
        <f>IF(A210="","",(MAX(B$3:B210)-B210)/MAX(B$3:B210))</f>
        <v/>
      </c>
      <c r="F210" s="12" t="str">
        <f>IF(A210="","",MAX(E$4:E210))</f>
        <v/>
      </c>
      <c r="H210" s="14" t="str">
        <f t="shared" si="17"/>
        <v/>
      </c>
      <c r="I210" s="14" t="str">
        <f t="shared" si="18"/>
        <v/>
      </c>
      <c r="J210" s="15" t="str">
        <f t="shared" si="19"/>
        <v/>
      </c>
    </row>
    <row r="211" spans="1:10">
      <c r="A211" s="7" t="str">
        <f>IF(子基金及业绩基准周净值!A243="","",子基金及业绩基准周净值!A243)</f>
        <v/>
      </c>
      <c r="B211" s="1" t="str">
        <f>IF(A211="","",VLOOKUP($A211,子基金及业绩基准周净值!$A:$AV,15))</f>
        <v/>
      </c>
      <c r="C211" s="8" t="str">
        <f t="shared" si="16"/>
        <v/>
      </c>
      <c r="D211" s="9" t="str">
        <f>IF(A211="","",C211-(子基金及业绩基准周净值!AH243/子基金及业绩基准周净值!AH242-1))</f>
        <v/>
      </c>
      <c r="E211" s="12" t="str">
        <f>IF(A211="","",(MAX(B$3:B211)-B211)/MAX(B$3:B211))</f>
        <v/>
      </c>
      <c r="F211" s="12" t="str">
        <f>IF(A211="","",MAX(E$4:E211))</f>
        <v/>
      </c>
      <c r="H211" s="14" t="str">
        <f t="shared" si="17"/>
        <v/>
      </c>
      <c r="I211" s="14" t="str">
        <f t="shared" si="18"/>
        <v/>
      </c>
      <c r="J211" s="15" t="str">
        <f t="shared" si="19"/>
        <v/>
      </c>
    </row>
    <row r="212" spans="1:10">
      <c r="A212" s="7" t="str">
        <f>IF(子基金及业绩基准周净值!A244="","",子基金及业绩基准周净值!A244)</f>
        <v/>
      </c>
      <c r="B212" s="1" t="str">
        <f>IF(A212="","",VLOOKUP($A212,子基金及业绩基准周净值!$A:$AV,15))</f>
        <v/>
      </c>
      <c r="C212" s="8" t="str">
        <f t="shared" si="16"/>
        <v/>
      </c>
      <c r="D212" s="9" t="str">
        <f>IF(A212="","",C212-(子基金及业绩基准周净值!AH244/子基金及业绩基准周净值!AH243-1))</f>
        <v/>
      </c>
      <c r="E212" s="12" t="str">
        <f>IF(A212="","",(MAX(B$3:B212)-B212)/MAX(B$3:B212))</f>
        <v/>
      </c>
      <c r="F212" s="12" t="str">
        <f>IF(A212="","",MAX(E$4:E212))</f>
        <v/>
      </c>
      <c r="H212" s="14" t="str">
        <f t="shared" si="17"/>
        <v/>
      </c>
      <c r="I212" s="14" t="str">
        <f t="shared" si="18"/>
        <v/>
      </c>
      <c r="J212" s="15" t="str">
        <f t="shared" si="19"/>
        <v/>
      </c>
    </row>
    <row r="213" spans="1:10">
      <c r="A213" s="7" t="str">
        <f>IF(子基金及业绩基准周净值!A245="","",子基金及业绩基准周净值!A245)</f>
        <v/>
      </c>
      <c r="B213" s="1" t="str">
        <f>IF(A213="","",VLOOKUP($A213,子基金及业绩基准周净值!$A:$AV,15))</f>
        <v/>
      </c>
      <c r="C213" s="8" t="str">
        <f t="shared" si="16"/>
        <v/>
      </c>
      <c r="D213" s="9" t="str">
        <f>IF(A213="","",C213-(子基金及业绩基准周净值!AH245/子基金及业绩基准周净值!AH244-1))</f>
        <v/>
      </c>
      <c r="E213" s="12" t="str">
        <f>IF(A213="","",(MAX(B$3:B213)-B213)/MAX(B$3:B213))</f>
        <v/>
      </c>
      <c r="F213" s="12" t="str">
        <f>IF(A213="","",MAX(E$4:E213))</f>
        <v/>
      </c>
      <c r="H213" s="14" t="str">
        <f t="shared" si="17"/>
        <v/>
      </c>
      <c r="I213" s="14" t="str">
        <f t="shared" si="18"/>
        <v/>
      </c>
      <c r="J213" s="15" t="str">
        <f t="shared" si="19"/>
        <v/>
      </c>
    </row>
    <row r="214" spans="1:10">
      <c r="A214" s="7" t="str">
        <f>IF(子基金及业绩基准周净值!A246="","",子基金及业绩基准周净值!A246)</f>
        <v/>
      </c>
      <c r="B214" s="1" t="str">
        <f>IF(A214="","",VLOOKUP($A214,子基金及业绩基准周净值!$A:$AV,15))</f>
        <v/>
      </c>
      <c r="C214" s="8" t="str">
        <f t="shared" si="16"/>
        <v/>
      </c>
      <c r="D214" s="9" t="str">
        <f>IF(A214="","",C214-(子基金及业绩基准周净值!AH246/子基金及业绩基准周净值!AH245-1))</f>
        <v/>
      </c>
      <c r="E214" s="12" t="str">
        <f>IF(A214="","",(MAX(B$3:B214)-B214)/MAX(B$3:B214))</f>
        <v/>
      </c>
      <c r="F214" s="12" t="str">
        <f>IF(A214="","",MAX(E$4:E214))</f>
        <v/>
      </c>
      <c r="H214" s="14" t="str">
        <f t="shared" si="17"/>
        <v/>
      </c>
      <c r="I214" s="14" t="str">
        <f t="shared" si="18"/>
        <v/>
      </c>
      <c r="J214" s="15" t="str">
        <f t="shared" si="19"/>
        <v/>
      </c>
    </row>
    <row r="215" spans="1:10">
      <c r="A215" s="7" t="str">
        <f>IF(子基金及业绩基准周净值!A247="","",子基金及业绩基准周净值!A247)</f>
        <v/>
      </c>
      <c r="B215" s="1" t="str">
        <f>IF(A215="","",VLOOKUP($A215,子基金及业绩基准周净值!$A:$AV,15))</f>
        <v/>
      </c>
      <c r="C215" s="8" t="str">
        <f t="shared" si="16"/>
        <v/>
      </c>
      <c r="D215" s="9" t="str">
        <f>IF(A215="","",C215-(子基金及业绩基准周净值!AH247/子基金及业绩基准周净值!AH246-1))</f>
        <v/>
      </c>
      <c r="E215" s="12" t="str">
        <f>IF(A215="","",(MAX(B$3:B215)-B215)/MAX(B$3:B215))</f>
        <v/>
      </c>
      <c r="F215" s="12" t="str">
        <f>IF(A215="","",MAX(E$4:E215))</f>
        <v/>
      </c>
      <c r="H215" s="14" t="str">
        <f t="shared" si="17"/>
        <v/>
      </c>
      <c r="I215" s="14" t="str">
        <f t="shared" si="18"/>
        <v/>
      </c>
      <c r="J215" s="15" t="str">
        <f t="shared" si="19"/>
        <v/>
      </c>
    </row>
    <row r="216" spans="1:10">
      <c r="A216" s="7" t="str">
        <f>IF(子基金及业绩基准周净值!A248="","",子基金及业绩基准周净值!A248)</f>
        <v/>
      </c>
      <c r="B216" s="1" t="str">
        <f>IF(A216="","",VLOOKUP($A216,子基金及业绩基准周净值!$A:$AV,15))</f>
        <v/>
      </c>
      <c r="C216" s="8" t="str">
        <f t="shared" si="16"/>
        <v/>
      </c>
      <c r="D216" s="9" t="str">
        <f>IF(A216="","",C216-(子基金及业绩基准周净值!AH248/子基金及业绩基准周净值!AH247-1))</f>
        <v/>
      </c>
      <c r="E216" s="12" t="str">
        <f>IF(A216="","",(MAX(B$3:B216)-B216)/MAX(B$3:B216))</f>
        <v/>
      </c>
      <c r="F216" s="12" t="str">
        <f>IF(A216="","",MAX(E$4:E216))</f>
        <v/>
      </c>
      <c r="H216" s="14" t="str">
        <f t="shared" si="17"/>
        <v/>
      </c>
      <c r="I216" s="14" t="str">
        <f t="shared" si="18"/>
        <v/>
      </c>
      <c r="J216" s="15" t="str">
        <f t="shared" si="19"/>
        <v/>
      </c>
    </row>
    <row r="217" spans="1:10">
      <c r="A217" s="7" t="str">
        <f>IF(子基金及业绩基准周净值!A249="","",子基金及业绩基准周净值!A249)</f>
        <v/>
      </c>
      <c r="B217" s="1" t="str">
        <f>IF(A217="","",VLOOKUP($A217,子基金及业绩基准周净值!$A:$AV,15))</f>
        <v/>
      </c>
      <c r="C217" s="8" t="str">
        <f t="shared" si="16"/>
        <v/>
      </c>
      <c r="D217" s="9" t="str">
        <f>IF(A217="","",C217-(子基金及业绩基准周净值!AH249/子基金及业绩基准周净值!AH248-1))</f>
        <v/>
      </c>
      <c r="E217" s="12" t="str">
        <f>IF(A217="","",(MAX(B$3:B217)-B217)/MAX(B$3:B217))</f>
        <v/>
      </c>
      <c r="F217" s="12" t="str">
        <f>IF(A217="","",MAX(E$4:E217))</f>
        <v/>
      </c>
      <c r="H217" s="14" t="str">
        <f t="shared" si="17"/>
        <v/>
      </c>
      <c r="I217" s="14" t="str">
        <f t="shared" si="18"/>
        <v/>
      </c>
      <c r="J217" s="15" t="str">
        <f t="shared" si="19"/>
        <v/>
      </c>
    </row>
    <row r="218" spans="1:10">
      <c r="A218" s="7" t="str">
        <f>IF(子基金及业绩基准周净值!A250="","",子基金及业绩基准周净值!A250)</f>
        <v/>
      </c>
      <c r="B218" s="1" t="str">
        <f>IF(A218="","",VLOOKUP($A218,子基金及业绩基准周净值!$A:$AV,15))</f>
        <v/>
      </c>
      <c r="C218" s="8" t="str">
        <f t="shared" si="16"/>
        <v/>
      </c>
      <c r="D218" s="9" t="str">
        <f>IF(A218="","",C218-(子基金及业绩基准周净值!AH250/子基金及业绩基准周净值!AH249-1))</f>
        <v/>
      </c>
      <c r="E218" s="12" t="str">
        <f>IF(A218="","",(MAX(B$3:B218)-B218)/MAX(B$3:B218))</f>
        <v/>
      </c>
      <c r="F218" s="12" t="str">
        <f>IF(A218="","",MAX(E$4:E218))</f>
        <v/>
      </c>
      <c r="H218" s="14" t="str">
        <f t="shared" si="17"/>
        <v/>
      </c>
      <c r="I218" s="14" t="str">
        <f t="shared" si="18"/>
        <v/>
      </c>
      <c r="J218" s="15" t="str">
        <f t="shared" si="19"/>
        <v/>
      </c>
    </row>
    <row r="219" spans="1:10">
      <c r="A219" s="7" t="str">
        <f>IF(子基金及业绩基准周净值!A251="","",子基金及业绩基准周净值!A251)</f>
        <v/>
      </c>
      <c r="B219" s="1" t="str">
        <f>IF(A219="","",VLOOKUP($A219,子基金及业绩基准周净值!$A:$AV,15))</f>
        <v/>
      </c>
      <c r="C219" s="8" t="str">
        <f t="shared" si="16"/>
        <v/>
      </c>
      <c r="D219" s="9" t="str">
        <f>IF(A219="","",C219-(子基金及业绩基准周净值!AH251/子基金及业绩基准周净值!AH250-1))</f>
        <v/>
      </c>
      <c r="E219" s="12" t="str">
        <f>IF(A219="","",(MAX(B$3:B219)-B219)/MAX(B$3:B219))</f>
        <v/>
      </c>
      <c r="F219" s="12" t="str">
        <f>IF(A219="","",MAX(E$4:E219))</f>
        <v/>
      </c>
      <c r="H219" s="14" t="str">
        <f t="shared" si="17"/>
        <v/>
      </c>
      <c r="I219" s="14" t="str">
        <f t="shared" si="18"/>
        <v/>
      </c>
      <c r="J219" s="15" t="str">
        <f t="shared" si="19"/>
        <v/>
      </c>
    </row>
    <row r="220" spans="1:10">
      <c r="A220" s="7" t="str">
        <f>IF(子基金及业绩基准周净值!A252="","",子基金及业绩基准周净值!A252)</f>
        <v/>
      </c>
      <c r="B220" s="1" t="str">
        <f>IF(A220="","",VLOOKUP($A220,子基金及业绩基准周净值!$A:$AV,15))</f>
        <v/>
      </c>
      <c r="C220" s="8" t="str">
        <f t="shared" si="16"/>
        <v/>
      </c>
      <c r="D220" s="9" t="str">
        <f>IF(A220="","",C220-(子基金及业绩基准周净值!AH252/子基金及业绩基准周净值!AH251-1))</f>
        <v/>
      </c>
      <c r="E220" s="12" t="str">
        <f>IF(A220="","",(MAX(B$3:B220)-B220)/MAX(B$3:B220))</f>
        <v/>
      </c>
      <c r="F220" s="12" t="str">
        <f>IF(A220="","",MAX(E$4:E220))</f>
        <v/>
      </c>
      <c r="H220" s="14" t="str">
        <f t="shared" si="17"/>
        <v/>
      </c>
      <c r="I220" s="14" t="str">
        <f t="shared" si="18"/>
        <v/>
      </c>
      <c r="J220" s="15" t="str">
        <f t="shared" si="19"/>
        <v/>
      </c>
    </row>
    <row r="221" spans="1:10">
      <c r="A221" s="7" t="str">
        <f>IF(子基金及业绩基准周净值!A253="","",子基金及业绩基准周净值!A253)</f>
        <v/>
      </c>
      <c r="B221" s="1" t="str">
        <f>IF(A221="","",VLOOKUP($A221,子基金及业绩基准周净值!$A:$AV,15))</f>
        <v/>
      </c>
      <c r="C221" s="8" t="str">
        <f t="shared" si="16"/>
        <v/>
      </c>
      <c r="D221" s="9" t="str">
        <f>IF(A221="","",C221-(子基金及业绩基准周净值!AH253/子基金及业绩基准周净值!AH252-1))</f>
        <v/>
      </c>
      <c r="E221" s="12" t="str">
        <f>IF(A221="","",(MAX(B$3:B221)-B221)/MAX(B$3:B221))</f>
        <v/>
      </c>
      <c r="F221" s="12" t="str">
        <f>IF(A221="","",MAX(E$4:E221))</f>
        <v/>
      </c>
      <c r="H221" s="14" t="str">
        <f t="shared" si="17"/>
        <v/>
      </c>
      <c r="I221" s="14" t="str">
        <f t="shared" si="18"/>
        <v/>
      </c>
      <c r="J221" s="15" t="str">
        <f t="shared" si="19"/>
        <v/>
      </c>
    </row>
    <row r="222" spans="1:10">
      <c r="A222" s="7" t="str">
        <f>IF(子基金及业绩基准周净值!A254="","",子基金及业绩基准周净值!A254)</f>
        <v/>
      </c>
      <c r="B222" s="1" t="str">
        <f>IF(A222="","",VLOOKUP($A222,子基金及业绩基准周净值!$A:$AV,15))</f>
        <v/>
      </c>
      <c r="C222" s="8" t="str">
        <f t="shared" si="16"/>
        <v/>
      </c>
      <c r="D222" s="9" t="str">
        <f>IF(A222="","",C222-(子基金及业绩基准周净值!AH254/子基金及业绩基准周净值!AH253-1))</f>
        <v/>
      </c>
      <c r="E222" s="12" t="str">
        <f>IF(A222="","",(MAX(B$3:B222)-B222)/MAX(B$3:B222))</f>
        <v/>
      </c>
      <c r="F222" s="12" t="str">
        <f>IF(A222="","",MAX(E$4:E222))</f>
        <v/>
      </c>
      <c r="H222" s="14" t="str">
        <f t="shared" si="17"/>
        <v/>
      </c>
      <c r="I222" s="14" t="str">
        <f t="shared" si="18"/>
        <v/>
      </c>
      <c r="J222" s="15" t="str">
        <f t="shared" si="19"/>
        <v/>
      </c>
    </row>
    <row r="223" spans="1:10">
      <c r="A223" s="7" t="str">
        <f>IF(子基金及业绩基准周净值!A255="","",子基金及业绩基准周净值!A255)</f>
        <v/>
      </c>
      <c r="B223" s="1" t="str">
        <f>IF(A223="","",VLOOKUP($A223,子基金及业绩基准周净值!$A:$AV,15))</f>
        <v/>
      </c>
      <c r="C223" s="8" t="str">
        <f t="shared" si="16"/>
        <v/>
      </c>
      <c r="D223" s="9" t="str">
        <f>IF(A223="","",C223-(子基金及业绩基准周净值!AH255/子基金及业绩基准周净值!AH254-1))</f>
        <v/>
      </c>
      <c r="E223" s="12" t="str">
        <f>IF(A223="","",(MAX(B$3:B223)-B223)/MAX(B$3:B223))</f>
        <v/>
      </c>
      <c r="F223" s="12" t="str">
        <f>IF(A223="","",MAX(E$4:E223))</f>
        <v/>
      </c>
      <c r="H223" s="14" t="str">
        <f t="shared" si="17"/>
        <v/>
      </c>
      <c r="I223" s="14" t="str">
        <f t="shared" si="18"/>
        <v/>
      </c>
      <c r="J223" s="15" t="str">
        <f t="shared" si="19"/>
        <v/>
      </c>
    </row>
    <row r="224" spans="1:10">
      <c r="A224" s="7" t="str">
        <f>IF(子基金及业绩基准周净值!A256="","",子基金及业绩基准周净值!A256)</f>
        <v/>
      </c>
      <c r="B224" s="1" t="str">
        <f>IF(A224="","",VLOOKUP($A224,子基金及业绩基准周净值!$A:$AV,15))</f>
        <v/>
      </c>
      <c r="C224" s="8" t="str">
        <f t="shared" si="16"/>
        <v/>
      </c>
      <c r="D224" s="9" t="str">
        <f>IF(A224="","",C224-(子基金及业绩基准周净值!AH256/子基金及业绩基准周净值!AH255-1))</f>
        <v/>
      </c>
      <c r="E224" s="12" t="str">
        <f>IF(A224="","",(MAX(B$3:B224)-B224)/MAX(B$3:B224))</f>
        <v/>
      </c>
      <c r="F224" s="12" t="str">
        <f>IF(A224="","",MAX(E$4:E224))</f>
        <v/>
      </c>
      <c r="H224" s="14" t="str">
        <f t="shared" si="17"/>
        <v/>
      </c>
      <c r="I224" s="14" t="str">
        <f t="shared" si="18"/>
        <v/>
      </c>
      <c r="J224" s="15" t="str">
        <f t="shared" si="19"/>
        <v/>
      </c>
    </row>
    <row r="225" spans="1:10">
      <c r="A225" s="7" t="str">
        <f>IF(子基金及业绩基准周净值!A257="","",子基金及业绩基准周净值!A257)</f>
        <v/>
      </c>
      <c r="B225" s="1" t="str">
        <f>IF(A225="","",VLOOKUP($A225,子基金及业绩基准周净值!$A:$AV,15))</f>
        <v/>
      </c>
      <c r="C225" s="8" t="str">
        <f t="shared" si="16"/>
        <v/>
      </c>
      <c r="D225" s="9" t="str">
        <f>IF(A225="","",C225-(子基金及业绩基准周净值!AH257/子基金及业绩基准周净值!AH256-1))</f>
        <v/>
      </c>
      <c r="E225" s="12" t="str">
        <f>IF(A225="","",(MAX(B$3:B225)-B225)/MAX(B$3:B225))</f>
        <v/>
      </c>
      <c r="F225" s="12" t="str">
        <f>IF(A225="","",MAX(E$4:E225))</f>
        <v/>
      </c>
      <c r="H225" s="14" t="str">
        <f t="shared" si="17"/>
        <v/>
      </c>
      <c r="I225" s="14" t="str">
        <f t="shared" si="18"/>
        <v/>
      </c>
      <c r="J225" s="15" t="str">
        <f t="shared" si="19"/>
        <v/>
      </c>
    </row>
    <row r="226" spans="1:10">
      <c r="A226" s="7" t="str">
        <f>IF(子基金及业绩基准周净值!A258="","",子基金及业绩基准周净值!A258)</f>
        <v/>
      </c>
      <c r="B226" s="1" t="str">
        <f>IF(A226="","",VLOOKUP($A226,子基金及业绩基准周净值!$A:$AV,15))</f>
        <v/>
      </c>
      <c r="C226" s="8" t="str">
        <f t="shared" si="16"/>
        <v/>
      </c>
      <c r="D226" s="9" t="str">
        <f>IF(A226="","",C226-(子基金及业绩基准周净值!AH258/子基金及业绩基准周净值!AH257-1))</f>
        <v/>
      </c>
      <c r="E226" s="12" t="str">
        <f>IF(A226="","",(MAX(B$3:B226)-B226)/MAX(B$3:B226))</f>
        <v/>
      </c>
      <c r="F226" s="12" t="str">
        <f>IF(A226="","",MAX(E$4:E226))</f>
        <v/>
      </c>
      <c r="H226" s="14" t="str">
        <f t="shared" si="17"/>
        <v/>
      </c>
      <c r="I226" s="14" t="str">
        <f t="shared" si="18"/>
        <v/>
      </c>
      <c r="J226" s="15" t="str">
        <f t="shared" si="19"/>
        <v/>
      </c>
    </row>
    <row r="227" spans="1:10">
      <c r="A227" s="7" t="str">
        <f>IF(子基金及业绩基准周净值!A259="","",子基金及业绩基准周净值!A259)</f>
        <v/>
      </c>
      <c r="B227" s="1" t="str">
        <f>IF(A227="","",VLOOKUP($A227,子基金及业绩基准周净值!$A:$AV,15))</f>
        <v/>
      </c>
      <c r="C227" s="8" t="str">
        <f t="shared" si="16"/>
        <v/>
      </c>
      <c r="D227" s="9" t="str">
        <f>IF(A227="","",C227-(子基金及业绩基准周净值!AH259/子基金及业绩基准周净值!AH258-1))</f>
        <v/>
      </c>
      <c r="E227" s="12" t="str">
        <f>IF(A227="","",(MAX(B$3:B227)-B227)/MAX(B$3:B227))</f>
        <v/>
      </c>
      <c r="F227" s="12" t="str">
        <f>IF(A227="","",MAX(E$4:E227))</f>
        <v/>
      </c>
      <c r="H227" s="14" t="str">
        <f t="shared" si="17"/>
        <v/>
      </c>
      <c r="I227" s="14" t="str">
        <f t="shared" si="18"/>
        <v/>
      </c>
      <c r="J227" s="15" t="str">
        <f t="shared" si="19"/>
        <v/>
      </c>
    </row>
    <row r="228" spans="1:10">
      <c r="A228" s="7" t="str">
        <f>IF(子基金及业绩基准周净值!A260="","",子基金及业绩基准周净值!A260)</f>
        <v/>
      </c>
      <c r="B228" s="1" t="str">
        <f>IF(A228="","",VLOOKUP($A228,子基金及业绩基准周净值!$A:$AV,15))</f>
        <v/>
      </c>
      <c r="C228" s="8" t="str">
        <f t="shared" si="16"/>
        <v/>
      </c>
      <c r="D228" s="9" t="str">
        <f>IF(A228="","",C228-(子基金及业绩基准周净值!AH260/子基金及业绩基准周净值!AH259-1))</f>
        <v/>
      </c>
      <c r="E228" s="12" t="str">
        <f>IF(A228="","",(MAX(B$3:B228)-B228)/MAX(B$3:B228))</f>
        <v/>
      </c>
      <c r="F228" s="12" t="str">
        <f>IF(A228="","",MAX(E$4:E228))</f>
        <v/>
      </c>
      <c r="H228" s="14" t="str">
        <f t="shared" si="17"/>
        <v/>
      </c>
      <c r="I228" s="14" t="str">
        <f t="shared" si="18"/>
        <v/>
      </c>
      <c r="J228" s="15" t="str">
        <f t="shared" si="19"/>
        <v/>
      </c>
    </row>
    <row r="229" spans="1:10">
      <c r="A229" s="7" t="str">
        <f>IF(子基金及业绩基准周净值!A261="","",子基金及业绩基准周净值!A261)</f>
        <v/>
      </c>
      <c r="B229" s="1" t="str">
        <f>IF(A229="","",VLOOKUP($A229,子基金及业绩基准周净值!$A:$AV,15))</f>
        <v/>
      </c>
      <c r="C229" s="8" t="str">
        <f t="shared" si="16"/>
        <v/>
      </c>
      <c r="D229" s="9" t="str">
        <f>IF(A229="","",C229-(子基金及业绩基准周净值!AH261/子基金及业绩基准周净值!AH260-1))</f>
        <v/>
      </c>
      <c r="E229" s="12" t="str">
        <f>IF(A229="","",(MAX(B$3:B229)-B229)/MAX(B$3:B229))</f>
        <v/>
      </c>
      <c r="F229" s="12" t="str">
        <f>IF(A229="","",MAX(E$4:E229))</f>
        <v/>
      </c>
      <c r="H229" s="14" t="str">
        <f t="shared" si="17"/>
        <v/>
      </c>
      <c r="I229" s="14" t="str">
        <f t="shared" si="18"/>
        <v/>
      </c>
      <c r="J229" s="15" t="str">
        <f t="shared" si="19"/>
        <v/>
      </c>
    </row>
    <row r="230" spans="1:10">
      <c r="A230" s="7" t="str">
        <f>IF(子基金及业绩基准周净值!A262="","",子基金及业绩基准周净值!A262)</f>
        <v/>
      </c>
      <c r="B230" s="1" t="str">
        <f>IF(A230="","",VLOOKUP($A230,子基金及业绩基准周净值!$A:$AV,15))</f>
        <v/>
      </c>
      <c r="C230" s="8" t="str">
        <f t="shared" si="16"/>
        <v/>
      </c>
      <c r="D230" s="9" t="str">
        <f>IF(A230="","",C230-(子基金及业绩基准周净值!AH262/子基金及业绩基准周净值!AH261-1))</f>
        <v/>
      </c>
      <c r="E230" s="12" t="str">
        <f>IF(A230="","",(MAX(B$3:B230)-B230)/MAX(B$3:B230))</f>
        <v/>
      </c>
      <c r="F230" s="12" t="str">
        <f>IF(A230="","",MAX(E$4:E230))</f>
        <v/>
      </c>
      <c r="H230" s="14" t="str">
        <f t="shared" si="17"/>
        <v/>
      </c>
      <c r="I230" s="14" t="str">
        <f t="shared" si="18"/>
        <v/>
      </c>
      <c r="J230" s="15" t="str">
        <f t="shared" si="19"/>
        <v/>
      </c>
    </row>
    <row r="231" spans="1:10">
      <c r="A231" s="7" t="str">
        <f>IF(子基金及业绩基准周净值!A263="","",子基金及业绩基准周净值!A263)</f>
        <v/>
      </c>
      <c r="B231" s="1" t="str">
        <f>IF(A231="","",VLOOKUP($A231,子基金及业绩基准周净值!$A:$AV,15))</f>
        <v/>
      </c>
      <c r="C231" s="8" t="str">
        <f t="shared" si="16"/>
        <v/>
      </c>
      <c r="D231" s="9" t="str">
        <f>IF(A231="","",C231-(子基金及业绩基准周净值!AH263/子基金及业绩基准周净值!AH262-1))</f>
        <v/>
      </c>
      <c r="E231" s="12" t="str">
        <f>IF(A231="","",(MAX(B$3:B231)-B231)/MAX(B$3:B231))</f>
        <v/>
      </c>
      <c r="F231" s="12" t="str">
        <f>IF(A231="","",MAX(E$4:E231))</f>
        <v/>
      </c>
      <c r="H231" s="14" t="str">
        <f t="shared" si="17"/>
        <v/>
      </c>
      <c r="I231" s="14" t="str">
        <f t="shared" si="18"/>
        <v/>
      </c>
      <c r="J231" s="15" t="str">
        <f t="shared" si="19"/>
        <v/>
      </c>
    </row>
    <row r="232" spans="1:10">
      <c r="A232" s="7" t="str">
        <f>IF(子基金及业绩基准周净值!A264="","",子基金及业绩基准周净值!A264)</f>
        <v/>
      </c>
      <c r="B232" s="1" t="str">
        <f>IF(A232="","",VLOOKUP($A232,子基金及业绩基准周净值!$A:$AV,15))</f>
        <v/>
      </c>
      <c r="C232" s="8" t="str">
        <f t="shared" si="16"/>
        <v/>
      </c>
      <c r="D232" s="9" t="str">
        <f>IF(A232="","",C232-(子基金及业绩基准周净值!AH264/子基金及业绩基准周净值!AH263-1))</f>
        <v/>
      </c>
      <c r="E232" s="12" t="str">
        <f>IF(A232="","",(MAX(B$3:B232)-B232)/MAX(B$3:B232))</f>
        <v/>
      </c>
      <c r="F232" s="12" t="str">
        <f>IF(A232="","",MAX(E$4:E232))</f>
        <v/>
      </c>
      <c r="H232" s="14" t="str">
        <f t="shared" si="17"/>
        <v/>
      </c>
      <c r="I232" s="14" t="str">
        <f t="shared" si="18"/>
        <v/>
      </c>
      <c r="J232" s="15" t="str">
        <f t="shared" si="19"/>
        <v/>
      </c>
    </row>
    <row r="233" spans="1:10">
      <c r="A233" s="7" t="str">
        <f>IF(子基金及业绩基准周净值!A265="","",子基金及业绩基准周净值!A265)</f>
        <v/>
      </c>
      <c r="B233" s="1" t="str">
        <f>IF(A233="","",VLOOKUP($A233,子基金及业绩基准周净值!$A:$AV,15))</f>
        <v/>
      </c>
      <c r="C233" s="8" t="str">
        <f t="shared" si="16"/>
        <v/>
      </c>
      <c r="D233" s="9" t="str">
        <f>IF(A233="","",C233-(子基金及业绩基准周净值!AH265/子基金及业绩基准周净值!AH264-1))</f>
        <v/>
      </c>
      <c r="E233" s="12" t="str">
        <f>IF(A233="","",(MAX(B$3:B233)-B233)/MAX(B$3:B233))</f>
        <v/>
      </c>
      <c r="F233" s="12" t="str">
        <f>IF(A233="","",MAX(E$4:E233))</f>
        <v/>
      </c>
      <c r="H233" s="14" t="str">
        <f t="shared" si="17"/>
        <v/>
      </c>
      <c r="I233" s="14" t="str">
        <f t="shared" si="18"/>
        <v/>
      </c>
      <c r="J233" s="15" t="str">
        <f t="shared" si="19"/>
        <v/>
      </c>
    </row>
    <row r="234" spans="1:10">
      <c r="A234" s="7" t="str">
        <f>IF(子基金及业绩基准周净值!A266="","",子基金及业绩基准周净值!A266)</f>
        <v/>
      </c>
      <c r="B234" s="1" t="str">
        <f>IF(A234="","",VLOOKUP($A234,子基金及业绩基准周净值!$A:$AV,15))</f>
        <v/>
      </c>
      <c r="C234" s="8" t="str">
        <f t="shared" si="16"/>
        <v/>
      </c>
      <c r="D234" s="9" t="str">
        <f>IF(A234="","",C234-(子基金及业绩基准周净值!AH266/子基金及业绩基准周净值!AH265-1))</f>
        <v/>
      </c>
      <c r="E234" s="12" t="str">
        <f>IF(A234="","",(MAX(B$3:B234)-B234)/MAX(B$3:B234))</f>
        <v/>
      </c>
      <c r="F234" s="12" t="str">
        <f>IF(A234="","",MAX(E$4:E234))</f>
        <v/>
      </c>
      <c r="H234" s="14" t="str">
        <f t="shared" si="17"/>
        <v/>
      </c>
      <c r="I234" s="14" t="str">
        <f t="shared" si="18"/>
        <v/>
      </c>
      <c r="J234" s="15" t="str">
        <f t="shared" si="19"/>
        <v/>
      </c>
    </row>
    <row r="235" spans="1:10">
      <c r="A235" s="7" t="str">
        <f>IF(子基金及业绩基准周净值!A267="","",子基金及业绩基准周净值!A267)</f>
        <v/>
      </c>
      <c r="B235" s="1" t="str">
        <f>IF(A235="","",VLOOKUP($A235,子基金及业绩基准周净值!$A:$AV,15))</f>
        <v/>
      </c>
      <c r="C235" s="8" t="str">
        <f t="shared" si="16"/>
        <v/>
      </c>
      <c r="D235" s="9" t="str">
        <f>IF(A235="","",C235-(子基金及业绩基准周净值!AH267/子基金及业绩基准周净值!AH266-1))</f>
        <v/>
      </c>
      <c r="E235" s="12" t="str">
        <f>IF(A235="","",(MAX(B$3:B235)-B235)/MAX(B$3:B235))</f>
        <v/>
      </c>
      <c r="F235" s="12" t="str">
        <f>IF(A235="","",MAX(E$4:E235))</f>
        <v/>
      </c>
      <c r="H235" s="14" t="str">
        <f t="shared" si="17"/>
        <v/>
      </c>
      <c r="I235" s="14" t="str">
        <f t="shared" si="18"/>
        <v/>
      </c>
      <c r="J235" s="15" t="str">
        <f t="shared" si="19"/>
        <v/>
      </c>
    </row>
    <row r="236" spans="1:10">
      <c r="A236" s="7" t="str">
        <f>IF(子基金及业绩基准周净值!A268="","",子基金及业绩基准周净值!A268)</f>
        <v/>
      </c>
      <c r="B236" s="1" t="str">
        <f>IF(A236="","",VLOOKUP($A236,子基金及业绩基准周净值!$A:$AV,15))</f>
        <v/>
      </c>
      <c r="C236" s="8" t="str">
        <f t="shared" si="16"/>
        <v/>
      </c>
      <c r="D236" s="9" t="str">
        <f>IF(A236="","",C236-(子基金及业绩基准周净值!AH268/子基金及业绩基准周净值!AH267-1))</f>
        <v/>
      </c>
      <c r="E236" s="12" t="str">
        <f>IF(A236="","",(MAX(B$3:B236)-B236)/MAX(B$3:B236))</f>
        <v/>
      </c>
      <c r="F236" s="12" t="str">
        <f>IF(A236="","",MAX(E$4:E236))</f>
        <v/>
      </c>
      <c r="H236" s="14" t="str">
        <f t="shared" si="17"/>
        <v/>
      </c>
      <c r="I236" s="14" t="str">
        <f t="shared" si="18"/>
        <v/>
      </c>
      <c r="J236" s="15" t="str">
        <f t="shared" si="19"/>
        <v/>
      </c>
    </row>
    <row r="237" spans="1:10">
      <c r="A237" s="7" t="str">
        <f>IF(子基金及业绩基准周净值!A269="","",子基金及业绩基准周净值!A269)</f>
        <v/>
      </c>
      <c r="B237" s="1" t="str">
        <f>IF(A237="","",VLOOKUP($A237,子基金及业绩基准周净值!$A:$AV,15))</f>
        <v/>
      </c>
      <c r="C237" s="8" t="str">
        <f t="shared" si="16"/>
        <v/>
      </c>
      <c r="D237" s="9" t="str">
        <f>IF(A237="","",C237-(子基金及业绩基准周净值!AH269/子基金及业绩基准周净值!AH268-1))</f>
        <v/>
      </c>
      <c r="E237" s="12" t="str">
        <f>IF(A237="","",(MAX(B$3:B237)-B237)/MAX(B$3:B237))</f>
        <v/>
      </c>
      <c r="F237" s="12" t="str">
        <f>IF(A237="","",MAX(E$4:E237))</f>
        <v/>
      </c>
      <c r="H237" s="14" t="str">
        <f t="shared" si="17"/>
        <v/>
      </c>
      <c r="I237" s="14" t="str">
        <f t="shared" si="18"/>
        <v/>
      </c>
      <c r="J237" s="15" t="str">
        <f t="shared" si="19"/>
        <v/>
      </c>
    </row>
    <row r="238" spans="1:10">
      <c r="A238" s="7" t="str">
        <f>IF(子基金及业绩基准周净值!A270="","",子基金及业绩基准周净值!A270)</f>
        <v/>
      </c>
      <c r="B238" s="1" t="str">
        <f>IF(A238="","",VLOOKUP($A238,子基金及业绩基准周净值!$A:$AV,15))</f>
        <v/>
      </c>
      <c r="C238" s="8" t="str">
        <f t="shared" si="16"/>
        <v/>
      </c>
      <c r="D238" s="9" t="str">
        <f>IF(A238="","",C238-(子基金及业绩基准周净值!AH270/子基金及业绩基准周净值!AH269-1))</f>
        <v/>
      </c>
      <c r="E238" s="12" t="str">
        <f>IF(A238="","",(MAX(B$3:B238)-B238)/MAX(B$3:B238))</f>
        <v/>
      </c>
      <c r="F238" s="12" t="str">
        <f>IF(A238="","",MAX(E$4:E238))</f>
        <v/>
      </c>
      <c r="H238" s="14" t="str">
        <f t="shared" si="17"/>
        <v/>
      </c>
      <c r="I238" s="14" t="str">
        <f t="shared" si="18"/>
        <v/>
      </c>
      <c r="J238" s="15" t="str">
        <f t="shared" si="19"/>
        <v/>
      </c>
    </row>
    <row r="239" spans="1:10">
      <c r="A239" s="7" t="str">
        <f>IF(子基金及业绩基准周净值!A271="","",子基金及业绩基准周净值!A271)</f>
        <v/>
      </c>
      <c r="B239" s="1" t="str">
        <f>IF(A239="","",VLOOKUP($A239,子基金及业绩基准周净值!$A:$AV,15))</f>
        <v/>
      </c>
      <c r="C239" s="8" t="str">
        <f t="shared" si="16"/>
        <v/>
      </c>
      <c r="D239" s="9" t="str">
        <f>IF(A239="","",C239-(子基金及业绩基准周净值!AH271/子基金及业绩基准周净值!AH270-1))</f>
        <v/>
      </c>
      <c r="E239" s="12" t="str">
        <f>IF(A239="","",(MAX(B$3:B239)-B239)/MAX(B$3:B239))</f>
        <v/>
      </c>
      <c r="F239" s="12" t="str">
        <f>IF(A239="","",MAX(E$4:E239))</f>
        <v/>
      </c>
      <c r="H239" s="14" t="str">
        <f t="shared" si="17"/>
        <v/>
      </c>
      <c r="I239" s="14" t="str">
        <f t="shared" si="18"/>
        <v/>
      </c>
      <c r="J239" s="15" t="str">
        <f t="shared" si="19"/>
        <v/>
      </c>
    </row>
    <row r="240" spans="1:10">
      <c r="A240" s="7" t="str">
        <f>IF(子基金及业绩基准周净值!A272="","",子基金及业绩基准周净值!A272)</f>
        <v/>
      </c>
      <c r="B240" s="1" t="str">
        <f>IF(A240="","",VLOOKUP($A240,子基金及业绩基准周净值!$A:$AV,15))</f>
        <v/>
      </c>
      <c r="C240" s="8" t="str">
        <f t="shared" si="16"/>
        <v/>
      </c>
      <c r="D240" s="9" t="str">
        <f>IF(A240="","",C240-(子基金及业绩基准周净值!AH272/子基金及业绩基准周净值!AH271-1))</f>
        <v/>
      </c>
      <c r="E240" s="12" t="str">
        <f>IF(A240="","",(MAX(B$3:B240)-B240)/MAX(B$3:B240))</f>
        <v/>
      </c>
      <c r="F240" s="12" t="str">
        <f>IF(A240="","",MAX(E$4:E240))</f>
        <v/>
      </c>
      <c r="H240" s="14" t="str">
        <f t="shared" si="17"/>
        <v/>
      </c>
      <c r="I240" s="14" t="str">
        <f t="shared" si="18"/>
        <v/>
      </c>
      <c r="J240" s="15" t="str">
        <f t="shared" si="19"/>
        <v/>
      </c>
    </row>
    <row r="241" spans="1:10">
      <c r="A241" s="7" t="str">
        <f>IF(子基金及业绩基准周净值!A273="","",子基金及业绩基准周净值!A273)</f>
        <v/>
      </c>
      <c r="B241" s="1" t="str">
        <f>IF(A241="","",VLOOKUP($A241,子基金及业绩基准周净值!$A:$AV,15))</f>
        <v/>
      </c>
      <c r="C241" s="8" t="str">
        <f t="shared" si="16"/>
        <v/>
      </c>
      <c r="D241" s="9" t="str">
        <f>IF(A241="","",C241-(子基金及业绩基准周净值!AH273/子基金及业绩基准周净值!AH272-1))</f>
        <v/>
      </c>
      <c r="E241" s="12" t="str">
        <f>IF(A241="","",(MAX(B$3:B241)-B241)/MAX(B$3:B241))</f>
        <v/>
      </c>
      <c r="F241" s="12" t="str">
        <f>IF(A241="","",MAX(E$4:E241))</f>
        <v/>
      </c>
      <c r="H241" s="14" t="str">
        <f t="shared" si="17"/>
        <v/>
      </c>
      <c r="I241" s="14" t="str">
        <f t="shared" si="18"/>
        <v/>
      </c>
      <c r="J241" s="15" t="str">
        <f t="shared" si="19"/>
        <v/>
      </c>
    </row>
    <row r="242" spans="1:10">
      <c r="A242" s="7" t="str">
        <f>IF(子基金及业绩基准周净值!A274="","",子基金及业绩基准周净值!A274)</f>
        <v/>
      </c>
      <c r="B242" s="1" t="str">
        <f>IF(A242="","",VLOOKUP($A242,子基金及业绩基准周净值!$A:$AV,15))</f>
        <v/>
      </c>
      <c r="C242" s="8" t="str">
        <f t="shared" si="16"/>
        <v/>
      </c>
      <c r="D242" s="9" t="str">
        <f>IF(A242="","",C242-(子基金及业绩基准周净值!AH274/子基金及业绩基准周净值!AH273-1))</f>
        <v/>
      </c>
      <c r="E242" s="12" t="str">
        <f>IF(A242="","",(MAX(B$3:B242)-B242)/MAX(B$3:B242))</f>
        <v/>
      </c>
      <c r="F242" s="12" t="str">
        <f>IF(A242="","",MAX(E$4:E242))</f>
        <v/>
      </c>
      <c r="H242" s="14" t="str">
        <f t="shared" si="17"/>
        <v/>
      </c>
      <c r="I242" s="14" t="str">
        <f t="shared" si="18"/>
        <v/>
      </c>
      <c r="J242" s="15" t="str">
        <f t="shared" si="19"/>
        <v/>
      </c>
    </row>
    <row r="243" spans="1:10">
      <c r="A243" s="7" t="str">
        <f>IF(子基金及业绩基准周净值!A275="","",子基金及业绩基准周净值!A275)</f>
        <v/>
      </c>
      <c r="B243" s="1" t="str">
        <f>IF(A243="","",VLOOKUP($A243,子基金及业绩基准周净值!$A:$AV,15))</f>
        <v/>
      </c>
      <c r="C243" s="8" t="str">
        <f t="shared" si="16"/>
        <v/>
      </c>
      <c r="D243" s="9" t="str">
        <f>IF(A243="","",C243-(子基金及业绩基准周净值!AH275/子基金及业绩基准周净值!AH274-1))</f>
        <v/>
      </c>
      <c r="E243" s="12" t="str">
        <f>IF(A243="","",(MAX(B$3:B243)-B243)/MAX(B$3:B243))</f>
        <v/>
      </c>
      <c r="F243" s="12" t="str">
        <f>IF(A243="","",MAX(E$4:E243))</f>
        <v/>
      </c>
      <c r="H243" s="14" t="str">
        <f t="shared" si="17"/>
        <v/>
      </c>
      <c r="I243" s="14" t="str">
        <f t="shared" si="18"/>
        <v/>
      </c>
      <c r="J243" s="15" t="str">
        <f t="shared" si="19"/>
        <v/>
      </c>
    </row>
    <row r="244" spans="1:10">
      <c r="A244" s="7" t="str">
        <f>IF(子基金及业绩基准周净值!A276="","",子基金及业绩基准周净值!A276)</f>
        <v/>
      </c>
      <c r="B244" s="1" t="str">
        <f>IF(A244="","",VLOOKUP($A244,子基金及业绩基准周净值!$A:$AV,15))</f>
        <v/>
      </c>
      <c r="C244" s="8" t="str">
        <f t="shared" si="16"/>
        <v/>
      </c>
      <c r="D244" s="9" t="str">
        <f>IF(A244="","",C244-(子基金及业绩基准周净值!AH276/子基金及业绩基准周净值!AH275-1))</f>
        <v/>
      </c>
      <c r="E244" s="12" t="str">
        <f>IF(A244="","",(MAX(B$3:B244)-B244)/MAX(B$3:B244))</f>
        <v/>
      </c>
      <c r="F244" s="12" t="str">
        <f>IF(A244="","",MAX(E$4:E244))</f>
        <v/>
      </c>
      <c r="H244" s="14" t="str">
        <f t="shared" si="17"/>
        <v/>
      </c>
      <c r="I244" s="14" t="str">
        <f t="shared" si="18"/>
        <v/>
      </c>
      <c r="J244" s="15" t="str">
        <f t="shared" si="19"/>
        <v/>
      </c>
    </row>
    <row r="245" spans="1:10">
      <c r="A245" s="7" t="str">
        <f>IF(子基金及业绩基准周净值!A277="","",子基金及业绩基准周净值!A277)</f>
        <v/>
      </c>
      <c r="B245" s="1" t="str">
        <f>IF(A245="","",VLOOKUP($A245,子基金及业绩基准周净值!$A:$AV,15))</f>
        <v/>
      </c>
      <c r="C245" s="8" t="str">
        <f t="shared" si="16"/>
        <v/>
      </c>
      <c r="D245" s="9" t="str">
        <f>IF(A245="","",C245-(子基金及业绩基准周净值!AH277/子基金及业绩基准周净值!AH276-1))</f>
        <v/>
      </c>
      <c r="E245" s="12" t="str">
        <f>IF(A245="","",(MAX(B$3:B245)-B245)/MAX(B$3:B245))</f>
        <v/>
      </c>
      <c r="F245" s="12" t="str">
        <f>IF(A245="","",MAX(E$4:E245))</f>
        <v/>
      </c>
      <c r="H245" s="14" t="str">
        <f t="shared" si="17"/>
        <v/>
      </c>
      <c r="I245" s="14" t="str">
        <f t="shared" si="18"/>
        <v/>
      </c>
      <c r="J245" s="15" t="str">
        <f t="shared" si="19"/>
        <v/>
      </c>
    </row>
    <row r="246" spans="1:10">
      <c r="A246" s="7" t="str">
        <f>IF(子基金及业绩基准周净值!A278="","",子基金及业绩基准周净值!A278)</f>
        <v/>
      </c>
      <c r="B246" s="1" t="str">
        <f>IF(A246="","",VLOOKUP($A246,子基金及业绩基准周净值!$A:$AV,15))</f>
        <v/>
      </c>
      <c r="C246" s="8" t="str">
        <f t="shared" si="16"/>
        <v/>
      </c>
      <c r="D246" s="9" t="str">
        <f>IF(A246="","",C246-(子基金及业绩基准周净值!AH278/子基金及业绩基准周净值!AH277-1))</f>
        <v/>
      </c>
      <c r="E246" s="12" t="str">
        <f>IF(A246="","",(MAX(B$3:B246)-B246)/MAX(B$3:B246))</f>
        <v/>
      </c>
      <c r="F246" s="12" t="str">
        <f>IF(A246="","",MAX(E$4:E246))</f>
        <v/>
      </c>
      <c r="H246" s="14" t="str">
        <f t="shared" si="17"/>
        <v/>
      </c>
      <c r="I246" s="14" t="str">
        <f t="shared" si="18"/>
        <v/>
      </c>
      <c r="J246" s="15" t="str">
        <f t="shared" si="19"/>
        <v/>
      </c>
    </row>
    <row r="247" spans="1:10">
      <c r="A247" s="7" t="str">
        <f>IF(子基金及业绩基准周净值!A279="","",子基金及业绩基准周净值!A279)</f>
        <v/>
      </c>
      <c r="B247" s="1" t="str">
        <f>IF(A247="","",VLOOKUP($A247,子基金及业绩基准周净值!$A:$AV,15))</f>
        <v/>
      </c>
      <c r="C247" s="8" t="str">
        <f t="shared" si="16"/>
        <v/>
      </c>
      <c r="D247" s="9" t="str">
        <f>IF(A247="","",C247-(子基金及业绩基准周净值!AH279/子基金及业绩基准周净值!AH278-1))</f>
        <v/>
      </c>
      <c r="E247" s="12" t="str">
        <f>IF(A247="","",(MAX(B$3:B247)-B247)/MAX(B$3:B247))</f>
        <v/>
      </c>
      <c r="F247" s="12" t="str">
        <f>IF(A247="","",MAX(E$4:E247))</f>
        <v/>
      </c>
      <c r="H247" s="14" t="str">
        <f t="shared" si="17"/>
        <v/>
      </c>
      <c r="I247" s="14" t="str">
        <f t="shared" si="18"/>
        <v/>
      </c>
      <c r="J247" s="15" t="str">
        <f t="shared" si="19"/>
        <v/>
      </c>
    </row>
    <row r="248" spans="1:10">
      <c r="A248" s="7" t="str">
        <f>IF(子基金及业绩基准周净值!A280="","",子基金及业绩基准周净值!A280)</f>
        <v/>
      </c>
      <c r="B248" s="1" t="str">
        <f>IF(A248="","",VLOOKUP($A248,子基金及业绩基准周净值!$A:$AV,15))</f>
        <v/>
      </c>
      <c r="C248" s="8" t="str">
        <f t="shared" si="16"/>
        <v/>
      </c>
      <c r="D248" s="9" t="str">
        <f>IF(A248="","",C248-(子基金及业绩基准周净值!AH280/子基金及业绩基准周净值!AH279-1))</f>
        <v/>
      </c>
      <c r="E248" s="12" t="str">
        <f>IF(A248="","",(MAX(B$3:B248)-B248)/MAX(B$3:B248))</f>
        <v/>
      </c>
      <c r="F248" s="12" t="str">
        <f>IF(A248="","",MAX(E$4:E248))</f>
        <v/>
      </c>
      <c r="H248" s="14" t="str">
        <f t="shared" si="17"/>
        <v/>
      </c>
      <c r="I248" s="14" t="str">
        <f t="shared" si="18"/>
        <v/>
      </c>
      <c r="J248" s="15" t="str">
        <f t="shared" si="19"/>
        <v/>
      </c>
    </row>
    <row r="249" spans="1:10">
      <c r="A249" s="7" t="str">
        <f>IF(子基金及业绩基准周净值!A281="","",子基金及业绩基准周净值!A281)</f>
        <v/>
      </c>
      <c r="B249" s="1" t="str">
        <f>IF(A249="","",VLOOKUP($A249,子基金及业绩基准周净值!$A:$AV,15))</f>
        <v/>
      </c>
      <c r="C249" s="8" t="str">
        <f t="shared" si="16"/>
        <v/>
      </c>
      <c r="D249" s="9" t="str">
        <f>IF(A249="","",C249-(子基金及业绩基准周净值!AH281/子基金及业绩基准周净值!AH280-1))</f>
        <v/>
      </c>
      <c r="E249" s="12" t="str">
        <f>IF(A249="","",(MAX(B$3:B249)-B249)/MAX(B$3:B249))</f>
        <v/>
      </c>
      <c r="F249" s="12" t="str">
        <f>IF(A249="","",MAX(E$4:E249))</f>
        <v/>
      </c>
      <c r="H249" s="14" t="str">
        <f t="shared" si="17"/>
        <v/>
      </c>
      <c r="I249" s="14" t="str">
        <f t="shared" si="18"/>
        <v/>
      </c>
      <c r="J249" s="15" t="str">
        <f t="shared" si="19"/>
        <v/>
      </c>
    </row>
    <row r="250" spans="1:10">
      <c r="A250" s="7" t="str">
        <f>IF(子基金及业绩基准周净值!A282="","",子基金及业绩基准周净值!A282)</f>
        <v/>
      </c>
      <c r="B250" s="1" t="str">
        <f>IF(A250="","",VLOOKUP($A250,子基金及业绩基准周净值!$A:$AV,15))</f>
        <v/>
      </c>
      <c r="C250" s="8" t="str">
        <f t="shared" si="16"/>
        <v/>
      </c>
      <c r="D250" s="9" t="str">
        <f>IF(A250="","",C250-(子基金及业绩基准周净值!AH282/子基金及业绩基准周净值!AH281-1))</f>
        <v/>
      </c>
      <c r="E250" s="12" t="str">
        <f>IF(A250="","",(MAX(B$3:B250)-B250)/MAX(B$3:B250))</f>
        <v/>
      </c>
      <c r="F250" s="12" t="str">
        <f>IF(A250="","",MAX(E$4:E250))</f>
        <v/>
      </c>
      <c r="H250" s="14" t="str">
        <f t="shared" si="17"/>
        <v/>
      </c>
      <c r="I250" s="14" t="str">
        <f t="shared" si="18"/>
        <v/>
      </c>
      <c r="J250" s="15" t="str">
        <f t="shared" si="19"/>
        <v/>
      </c>
    </row>
    <row r="251" spans="1:10">
      <c r="A251" s="7" t="str">
        <f>IF(子基金及业绩基准周净值!A283="","",子基金及业绩基准周净值!A283)</f>
        <v/>
      </c>
      <c r="B251" s="1" t="str">
        <f>IF(A251="","",VLOOKUP($A251,子基金及业绩基准周净值!$A:$AV,15))</f>
        <v/>
      </c>
      <c r="C251" s="8" t="str">
        <f t="shared" si="16"/>
        <v/>
      </c>
      <c r="D251" s="9" t="str">
        <f>IF(A251="","",C251-(子基金及业绩基准周净值!AH283/子基金及业绩基准周净值!AH282-1))</f>
        <v/>
      </c>
      <c r="E251" s="12" t="str">
        <f>IF(A251="","",(MAX(B$3:B251)-B251)/MAX(B$3:B251))</f>
        <v/>
      </c>
      <c r="F251" s="12" t="str">
        <f>IF(A251="","",MAX(E$4:E251))</f>
        <v/>
      </c>
      <c r="H251" s="14" t="str">
        <f t="shared" si="17"/>
        <v/>
      </c>
      <c r="I251" s="14" t="str">
        <f t="shared" si="18"/>
        <v/>
      </c>
      <c r="J251" s="15" t="str">
        <f t="shared" si="19"/>
        <v/>
      </c>
    </row>
    <row r="252" spans="1:10">
      <c r="A252" s="7" t="str">
        <f>IF(子基金及业绩基准周净值!A284="","",子基金及业绩基准周净值!A284)</f>
        <v/>
      </c>
      <c r="B252" s="1" t="str">
        <f>IF(A252="","",VLOOKUP($A252,子基金及业绩基准周净值!$A:$AV,15))</f>
        <v/>
      </c>
      <c r="C252" s="8" t="str">
        <f t="shared" si="16"/>
        <v/>
      </c>
      <c r="D252" s="9" t="str">
        <f>IF(A252="","",C252-(子基金及业绩基准周净值!AH284/子基金及业绩基准周净值!AH283-1))</f>
        <v/>
      </c>
      <c r="E252" s="12" t="str">
        <f>IF(A252="","",(MAX(B$3:B252)-B252)/MAX(B$3:B252))</f>
        <v/>
      </c>
      <c r="F252" s="12" t="str">
        <f>IF(A252="","",MAX(E$4:E252))</f>
        <v/>
      </c>
      <c r="H252" s="14" t="str">
        <f t="shared" si="17"/>
        <v/>
      </c>
      <c r="I252" s="14" t="str">
        <f t="shared" si="18"/>
        <v/>
      </c>
      <c r="J252" s="15" t="str">
        <f t="shared" si="19"/>
        <v/>
      </c>
    </row>
    <row r="253" spans="1:10">
      <c r="A253" s="7" t="str">
        <f>IF(子基金及业绩基准周净值!A285="","",子基金及业绩基准周净值!A285)</f>
        <v/>
      </c>
      <c r="B253" s="1" t="str">
        <f>IF(A253="","",VLOOKUP($A253,子基金及业绩基准周净值!$A:$AV,15))</f>
        <v/>
      </c>
      <c r="C253" s="8" t="str">
        <f t="shared" si="16"/>
        <v/>
      </c>
      <c r="D253" s="9" t="str">
        <f>IF(A253="","",C253-(子基金及业绩基准周净值!AH285/子基金及业绩基准周净值!AH284-1))</f>
        <v/>
      </c>
      <c r="E253" s="12" t="str">
        <f>IF(A253="","",(MAX(B$3:B253)-B253)/MAX(B$3:B253))</f>
        <v/>
      </c>
      <c r="F253" s="12" t="str">
        <f>IF(A253="","",MAX(E$4:E253))</f>
        <v/>
      </c>
      <c r="H253" s="14" t="str">
        <f t="shared" si="17"/>
        <v/>
      </c>
      <c r="I253" s="14" t="str">
        <f t="shared" si="18"/>
        <v/>
      </c>
      <c r="J253" s="15" t="str">
        <f t="shared" si="19"/>
        <v/>
      </c>
    </row>
    <row r="254" spans="1:10">
      <c r="A254" s="7" t="str">
        <f>IF(子基金及业绩基准周净值!A286="","",子基金及业绩基准周净值!A286)</f>
        <v/>
      </c>
      <c r="B254" s="1" t="str">
        <f>IF(A254="","",VLOOKUP($A254,子基金及业绩基准周净值!$A:$AV,15))</f>
        <v/>
      </c>
      <c r="C254" s="8" t="str">
        <f t="shared" si="16"/>
        <v/>
      </c>
      <c r="D254" s="9" t="str">
        <f>IF(A254="","",C254-(子基金及业绩基准周净值!AH286/子基金及业绩基准周净值!AH285-1))</f>
        <v/>
      </c>
      <c r="E254" s="12" t="str">
        <f>IF(A254="","",(MAX(B$3:B254)-B254)/MAX(B$3:B254))</f>
        <v/>
      </c>
      <c r="F254" s="12" t="str">
        <f>IF(A254="","",MAX(E$4:E254))</f>
        <v/>
      </c>
      <c r="H254" s="14" t="str">
        <f t="shared" si="17"/>
        <v/>
      </c>
      <c r="I254" s="14" t="str">
        <f t="shared" si="18"/>
        <v/>
      </c>
      <c r="J254" s="15" t="str">
        <f t="shared" si="19"/>
        <v/>
      </c>
    </row>
    <row r="255" spans="1:10">
      <c r="A255" s="7" t="str">
        <f>IF(子基金及业绩基准周净值!A287="","",子基金及业绩基准周净值!A287)</f>
        <v/>
      </c>
      <c r="B255" s="1" t="str">
        <f>IF(A255="","",VLOOKUP($A255,子基金及业绩基准周净值!$A:$AV,15))</f>
        <v/>
      </c>
      <c r="C255" s="8" t="str">
        <f t="shared" si="16"/>
        <v/>
      </c>
      <c r="D255" s="9" t="str">
        <f>IF(A255="","",C255-(子基金及业绩基准周净值!AH287/子基金及业绩基准周净值!AH286-1))</f>
        <v/>
      </c>
      <c r="E255" s="12" t="str">
        <f>IF(A255="","",(MAX(B$3:B255)-B255)/MAX(B$3:B255))</f>
        <v/>
      </c>
      <c r="F255" s="12" t="str">
        <f>IF(A255="","",MAX(E$4:E255))</f>
        <v/>
      </c>
      <c r="H255" s="14" t="str">
        <f t="shared" si="17"/>
        <v/>
      </c>
      <c r="I255" s="14" t="str">
        <f t="shared" si="18"/>
        <v/>
      </c>
      <c r="J255" s="15" t="str">
        <f t="shared" si="19"/>
        <v/>
      </c>
    </row>
    <row r="256" spans="1:10">
      <c r="A256" s="7" t="str">
        <f>IF(子基金及业绩基准周净值!A288="","",子基金及业绩基准周净值!A288)</f>
        <v/>
      </c>
      <c r="B256" s="1" t="str">
        <f>IF(A256="","",VLOOKUP($A256,子基金及业绩基准周净值!$A:$AV,15))</f>
        <v/>
      </c>
      <c r="C256" s="8" t="str">
        <f t="shared" si="16"/>
        <v/>
      </c>
      <c r="D256" s="9" t="str">
        <f>IF(A256="","",C256-(子基金及业绩基准周净值!AH288/子基金及业绩基准周净值!AH287-1))</f>
        <v/>
      </c>
      <c r="E256" s="12" t="str">
        <f>IF(A256="","",(MAX(B$3:B256)-B256)/MAX(B$3:B256))</f>
        <v/>
      </c>
      <c r="F256" s="12" t="str">
        <f>IF(A256="","",MAX(E$4:E256))</f>
        <v/>
      </c>
      <c r="H256" s="14" t="str">
        <f t="shared" si="17"/>
        <v/>
      </c>
      <c r="I256" s="14" t="str">
        <f t="shared" si="18"/>
        <v/>
      </c>
      <c r="J256" s="15" t="str">
        <f t="shared" si="19"/>
        <v/>
      </c>
    </row>
    <row r="257" spans="1:10">
      <c r="A257" s="7" t="str">
        <f>IF(子基金及业绩基准周净值!A289="","",子基金及业绩基准周净值!A289)</f>
        <v/>
      </c>
      <c r="B257" s="1" t="str">
        <f>IF(A257="","",VLOOKUP($A257,子基金及业绩基准周净值!$A:$AV,15))</f>
        <v/>
      </c>
      <c r="C257" s="8" t="str">
        <f t="shared" si="16"/>
        <v/>
      </c>
      <c r="D257" s="9" t="str">
        <f>IF(A257="","",C257-(子基金及业绩基准周净值!AH289/子基金及业绩基准周净值!AH288-1))</f>
        <v/>
      </c>
      <c r="E257" s="12" t="str">
        <f>IF(A257="","",(MAX(B$3:B257)-B257)/MAX(B$3:B257))</f>
        <v/>
      </c>
      <c r="F257" s="12" t="str">
        <f>IF(A257="","",MAX(E$4:E257))</f>
        <v/>
      </c>
      <c r="H257" s="14" t="str">
        <f t="shared" si="17"/>
        <v/>
      </c>
      <c r="I257" s="14" t="str">
        <f t="shared" si="18"/>
        <v/>
      </c>
      <c r="J257" s="15" t="str">
        <f t="shared" si="19"/>
        <v/>
      </c>
    </row>
    <row r="258" spans="1:10">
      <c r="A258" s="7" t="str">
        <f>IF(子基金及业绩基准周净值!A290="","",子基金及业绩基准周净值!A290)</f>
        <v/>
      </c>
      <c r="B258" s="1" t="str">
        <f>IF(A258="","",VLOOKUP($A258,子基金及业绩基准周净值!$A:$AV,15))</f>
        <v/>
      </c>
      <c r="C258" s="8" t="str">
        <f t="shared" si="16"/>
        <v/>
      </c>
      <c r="D258" s="9" t="str">
        <f>IF(A258="","",C258-(子基金及业绩基准周净值!AH290/子基金及业绩基准周净值!AH289-1))</f>
        <v/>
      </c>
      <c r="E258" s="12" t="str">
        <f>IF(A258="","",(MAX(B$3:B258)-B258)/MAX(B$3:B258))</f>
        <v/>
      </c>
      <c r="F258" s="12" t="str">
        <f>IF(A258="","",MAX(E$4:E258))</f>
        <v/>
      </c>
      <c r="H258" s="14" t="str">
        <f t="shared" si="17"/>
        <v/>
      </c>
      <c r="I258" s="14" t="str">
        <f t="shared" si="18"/>
        <v/>
      </c>
      <c r="J258" s="15" t="str">
        <f t="shared" si="19"/>
        <v/>
      </c>
    </row>
    <row r="259" spans="1:10">
      <c r="A259" s="7" t="str">
        <f>IF(子基金及业绩基准周净值!A291="","",子基金及业绩基准周净值!A291)</f>
        <v/>
      </c>
      <c r="B259" s="1" t="str">
        <f>IF(A259="","",VLOOKUP($A259,子基金及业绩基准周净值!$A:$AV,15))</f>
        <v/>
      </c>
      <c r="C259" s="8" t="str">
        <f t="shared" si="16"/>
        <v/>
      </c>
      <c r="D259" s="9" t="str">
        <f>IF(A259="","",C259-(子基金及业绩基准周净值!AH291/子基金及业绩基准周净值!AH290-1))</f>
        <v/>
      </c>
      <c r="E259" s="12" t="str">
        <f>IF(A259="","",(MAX(B$3:B259)-B259)/MAX(B$3:B259))</f>
        <v/>
      </c>
      <c r="F259" s="12" t="str">
        <f>IF(A259="","",MAX(E$4:E259))</f>
        <v/>
      </c>
      <c r="H259" s="14" t="str">
        <f t="shared" si="17"/>
        <v/>
      </c>
      <c r="I259" s="14" t="str">
        <f t="shared" si="18"/>
        <v/>
      </c>
      <c r="J259" s="15" t="str">
        <f t="shared" si="19"/>
        <v/>
      </c>
    </row>
    <row r="260" spans="1:10">
      <c r="A260" s="7" t="str">
        <f>IF(子基金及业绩基准周净值!A292="","",子基金及业绩基准周净值!A292)</f>
        <v/>
      </c>
      <c r="B260" s="1" t="str">
        <f>IF(A260="","",VLOOKUP($A260,子基金及业绩基准周净值!$A:$AV,15))</f>
        <v/>
      </c>
      <c r="C260" s="8" t="str">
        <f t="shared" ref="C260:C307" si="20">IF(A260="","",(B260-B259)/B259)</f>
        <v/>
      </c>
      <c r="D260" s="9" t="str">
        <f>IF(A260="","",C260-(子基金及业绩基准周净值!AH292/子基金及业绩基准周净值!AH291-1))</f>
        <v/>
      </c>
      <c r="E260" s="12" t="str">
        <f>IF(A260="","",(MAX(B$3:B260)-B260)/MAX(B$3:B260))</f>
        <v/>
      </c>
      <c r="F260" s="12" t="str">
        <f>IF(A260="","",MAX(E$4:E260))</f>
        <v/>
      </c>
      <c r="H260" s="14" t="str">
        <f t="shared" ref="H260:H307" si="21">IF(A260="","",IF(E260&lt;3%,"否","是"))</f>
        <v/>
      </c>
      <c r="I260" s="14" t="str">
        <f t="shared" ref="I260:I307" si="22">IF(A260="","",IF(F260&gt;5%,"是","否"))</f>
        <v/>
      </c>
      <c r="J260" s="15" t="str">
        <f t="shared" ref="J260:J307" si="23">IF(A260="","",IF(G260&gt;=4,"是","否"))</f>
        <v/>
      </c>
    </row>
    <row r="261" spans="1:10">
      <c r="A261" s="7" t="str">
        <f>IF(子基金及业绩基准周净值!A293="","",子基金及业绩基准周净值!A293)</f>
        <v/>
      </c>
      <c r="B261" s="1" t="str">
        <f>IF(A261="","",VLOOKUP($A261,子基金及业绩基准周净值!$A:$AV,15))</f>
        <v/>
      </c>
      <c r="C261" s="8" t="str">
        <f t="shared" si="20"/>
        <v/>
      </c>
      <c r="D261" s="9" t="str">
        <f>IF(A261="","",C261-(子基金及业绩基准周净值!AH293/子基金及业绩基准周净值!AH292-1))</f>
        <v/>
      </c>
      <c r="E261" s="12" t="str">
        <f>IF(A261="","",(MAX(B$3:B261)-B261)/MAX(B$3:B261))</f>
        <v/>
      </c>
      <c r="F261" s="12" t="str">
        <f>IF(A261="","",MAX(E$4:E261))</f>
        <v/>
      </c>
      <c r="H261" s="14" t="str">
        <f t="shared" si="21"/>
        <v/>
      </c>
      <c r="I261" s="14" t="str">
        <f t="shared" si="22"/>
        <v/>
      </c>
      <c r="J261" s="15" t="str">
        <f t="shared" si="23"/>
        <v/>
      </c>
    </row>
    <row r="262" spans="1:10">
      <c r="A262" s="7" t="str">
        <f>IF(子基金及业绩基准周净值!A294="","",子基金及业绩基准周净值!A294)</f>
        <v/>
      </c>
      <c r="B262" s="1" t="str">
        <f>IF(A262="","",VLOOKUP($A262,子基金及业绩基准周净值!$A:$AV,15))</f>
        <v/>
      </c>
      <c r="C262" s="8" t="str">
        <f t="shared" si="20"/>
        <v/>
      </c>
      <c r="D262" s="9" t="str">
        <f>IF(A262="","",C262-(子基金及业绩基准周净值!AH294/子基金及业绩基准周净值!AH293-1))</f>
        <v/>
      </c>
      <c r="E262" s="12" t="str">
        <f>IF(A262="","",(MAX(B$3:B262)-B262)/MAX(B$3:B262))</f>
        <v/>
      </c>
      <c r="F262" s="12" t="str">
        <f>IF(A262="","",MAX(E$4:E262))</f>
        <v/>
      </c>
      <c r="H262" s="14" t="str">
        <f t="shared" si="21"/>
        <v/>
      </c>
      <c r="I262" s="14" t="str">
        <f t="shared" si="22"/>
        <v/>
      </c>
      <c r="J262" s="15" t="str">
        <f t="shared" si="23"/>
        <v/>
      </c>
    </row>
    <row r="263" spans="1:10">
      <c r="A263" s="7" t="str">
        <f>IF(子基金及业绩基准周净值!A295="","",子基金及业绩基准周净值!A295)</f>
        <v/>
      </c>
      <c r="B263" s="1" t="str">
        <f>IF(A263="","",VLOOKUP($A263,子基金及业绩基准周净值!$A:$AV,15))</f>
        <v/>
      </c>
      <c r="C263" s="8" t="str">
        <f t="shared" si="20"/>
        <v/>
      </c>
      <c r="D263" s="9" t="str">
        <f>IF(A263="","",C263-(子基金及业绩基准周净值!AH295/子基金及业绩基准周净值!AH294-1))</f>
        <v/>
      </c>
      <c r="E263" s="12" t="str">
        <f>IF(A263="","",(MAX(B$3:B263)-B263)/MAX(B$3:B263))</f>
        <v/>
      </c>
      <c r="F263" s="12" t="str">
        <f>IF(A263="","",MAX(E$4:E263))</f>
        <v/>
      </c>
      <c r="H263" s="14" t="str">
        <f t="shared" si="21"/>
        <v/>
      </c>
      <c r="I263" s="14" t="str">
        <f t="shared" si="22"/>
        <v/>
      </c>
      <c r="J263" s="15" t="str">
        <f t="shared" si="23"/>
        <v/>
      </c>
    </row>
    <row r="264" spans="1:10">
      <c r="A264" s="7" t="str">
        <f>IF(子基金及业绩基准周净值!A296="","",子基金及业绩基准周净值!A296)</f>
        <v/>
      </c>
      <c r="B264" s="1" t="str">
        <f>IF(A264="","",VLOOKUP($A264,子基金及业绩基准周净值!$A:$AV,15))</f>
        <v/>
      </c>
      <c r="C264" s="8" t="str">
        <f t="shared" si="20"/>
        <v/>
      </c>
      <c r="D264" s="9" t="str">
        <f>IF(A264="","",C264-(子基金及业绩基准周净值!AH296/子基金及业绩基准周净值!AH295-1))</f>
        <v/>
      </c>
      <c r="E264" s="12" t="str">
        <f>IF(A264="","",(MAX(B$3:B264)-B264)/MAX(B$3:B264))</f>
        <v/>
      </c>
      <c r="F264" s="12" t="str">
        <f>IF(A264="","",MAX(E$4:E264))</f>
        <v/>
      </c>
      <c r="H264" s="14" t="str">
        <f t="shared" si="21"/>
        <v/>
      </c>
      <c r="I264" s="14" t="str">
        <f t="shared" si="22"/>
        <v/>
      </c>
      <c r="J264" s="15" t="str">
        <f t="shared" si="23"/>
        <v/>
      </c>
    </row>
    <row r="265" spans="1:10">
      <c r="A265" s="7" t="str">
        <f>IF(子基金及业绩基准周净值!A297="","",子基金及业绩基准周净值!A297)</f>
        <v/>
      </c>
      <c r="B265" s="1" t="str">
        <f>IF(A265="","",VLOOKUP($A265,子基金及业绩基准周净值!$A:$AV,15))</f>
        <v/>
      </c>
      <c r="C265" s="8" t="str">
        <f t="shared" si="20"/>
        <v/>
      </c>
      <c r="D265" s="9" t="str">
        <f>IF(A265="","",C265-(子基金及业绩基准周净值!AH297/子基金及业绩基准周净值!AH296-1))</f>
        <v/>
      </c>
      <c r="E265" s="12" t="str">
        <f>IF(A265="","",(MAX(B$3:B265)-B265)/MAX(B$3:B265))</f>
        <v/>
      </c>
      <c r="F265" s="12" t="str">
        <f>IF(A265="","",MAX(E$4:E265))</f>
        <v/>
      </c>
      <c r="H265" s="14" t="str">
        <f t="shared" si="21"/>
        <v/>
      </c>
      <c r="I265" s="14" t="str">
        <f t="shared" si="22"/>
        <v/>
      </c>
      <c r="J265" s="15" t="str">
        <f t="shared" si="23"/>
        <v/>
      </c>
    </row>
    <row r="266" spans="1:10">
      <c r="A266" s="7" t="str">
        <f>IF(子基金及业绩基准周净值!A298="","",子基金及业绩基准周净值!A298)</f>
        <v/>
      </c>
      <c r="B266" s="1" t="str">
        <f>IF(A266="","",VLOOKUP($A266,子基金及业绩基准周净值!$A:$AV,15))</f>
        <v/>
      </c>
      <c r="C266" s="8" t="str">
        <f t="shared" si="20"/>
        <v/>
      </c>
      <c r="D266" s="9" t="str">
        <f>IF(A266="","",C266-(子基金及业绩基准周净值!AH298/子基金及业绩基准周净值!AH297-1))</f>
        <v/>
      </c>
      <c r="E266" s="12" t="str">
        <f>IF(A266="","",(MAX(B$3:B266)-B266)/MAX(B$3:B266))</f>
        <v/>
      </c>
      <c r="F266" s="12" t="str">
        <f>IF(A266="","",MAX(E$4:E266))</f>
        <v/>
      </c>
      <c r="H266" s="14" t="str">
        <f t="shared" si="21"/>
        <v/>
      </c>
      <c r="I266" s="14" t="str">
        <f t="shared" si="22"/>
        <v/>
      </c>
      <c r="J266" s="15" t="str">
        <f t="shared" si="23"/>
        <v/>
      </c>
    </row>
    <row r="267" spans="1:10">
      <c r="A267" s="7" t="str">
        <f>IF(子基金及业绩基准周净值!A299="","",子基金及业绩基准周净值!A299)</f>
        <v/>
      </c>
      <c r="B267" s="1" t="str">
        <f>IF(A267="","",VLOOKUP($A267,子基金及业绩基准周净值!$A:$AV,15))</f>
        <v/>
      </c>
      <c r="C267" s="8" t="str">
        <f t="shared" si="20"/>
        <v/>
      </c>
      <c r="D267" s="9" t="str">
        <f>IF(A267="","",C267-(子基金及业绩基准周净值!AH299/子基金及业绩基准周净值!AH298-1))</f>
        <v/>
      </c>
      <c r="E267" s="12" t="str">
        <f>IF(A267="","",(MAX(B$3:B267)-B267)/MAX(B$3:B267))</f>
        <v/>
      </c>
      <c r="F267" s="12" t="str">
        <f>IF(A267="","",MAX(E$4:E267))</f>
        <v/>
      </c>
      <c r="H267" s="14" t="str">
        <f t="shared" si="21"/>
        <v/>
      </c>
      <c r="I267" s="14" t="str">
        <f t="shared" si="22"/>
        <v/>
      </c>
      <c r="J267" s="15" t="str">
        <f t="shared" si="23"/>
        <v/>
      </c>
    </row>
    <row r="268" spans="1:10">
      <c r="A268" s="7" t="str">
        <f>IF(子基金及业绩基准周净值!A300="","",子基金及业绩基准周净值!A300)</f>
        <v/>
      </c>
      <c r="B268" s="1" t="str">
        <f>IF(A268="","",VLOOKUP($A268,子基金及业绩基准周净值!$A:$AV,15))</f>
        <v/>
      </c>
      <c r="C268" s="8" t="str">
        <f t="shared" si="20"/>
        <v/>
      </c>
      <c r="D268" s="9" t="str">
        <f>IF(A268="","",C268-(子基金及业绩基准周净值!AH300/子基金及业绩基准周净值!AH299-1))</f>
        <v/>
      </c>
      <c r="E268" s="12" t="str">
        <f>IF(A268="","",(MAX(B$3:B268)-B268)/MAX(B$3:B268))</f>
        <v/>
      </c>
      <c r="F268" s="12" t="str">
        <f>IF(A268="","",MAX(E$4:E268))</f>
        <v/>
      </c>
      <c r="H268" s="14" t="str">
        <f t="shared" si="21"/>
        <v/>
      </c>
      <c r="I268" s="14" t="str">
        <f t="shared" si="22"/>
        <v/>
      </c>
      <c r="J268" s="15" t="str">
        <f t="shared" si="23"/>
        <v/>
      </c>
    </row>
    <row r="269" spans="1:10">
      <c r="A269" s="7" t="str">
        <f>IF(子基金及业绩基准周净值!A301="","",子基金及业绩基准周净值!A301)</f>
        <v/>
      </c>
      <c r="B269" s="1" t="str">
        <f>IF(A269="","",VLOOKUP($A269,子基金及业绩基准周净值!$A:$AV,15))</f>
        <v/>
      </c>
      <c r="C269" s="8" t="str">
        <f t="shared" si="20"/>
        <v/>
      </c>
      <c r="D269" s="9" t="str">
        <f>IF(A269="","",C269-(子基金及业绩基准周净值!AH301/子基金及业绩基准周净值!AH300-1))</f>
        <v/>
      </c>
      <c r="E269" s="12" t="str">
        <f>IF(A269="","",(MAX(B$3:B269)-B269)/MAX(B$3:B269))</f>
        <v/>
      </c>
      <c r="F269" s="12" t="str">
        <f>IF(A269="","",MAX(E$4:E269))</f>
        <v/>
      </c>
      <c r="H269" s="14" t="str">
        <f t="shared" si="21"/>
        <v/>
      </c>
      <c r="I269" s="14" t="str">
        <f t="shared" si="22"/>
        <v/>
      </c>
      <c r="J269" s="15" t="str">
        <f t="shared" si="23"/>
        <v/>
      </c>
    </row>
    <row r="270" spans="1:10">
      <c r="A270" s="7" t="str">
        <f>IF(子基金及业绩基准周净值!A302="","",子基金及业绩基准周净值!A302)</f>
        <v/>
      </c>
      <c r="B270" s="1" t="str">
        <f>IF(A270="","",VLOOKUP($A270,子基金及业绩基准周净值!$A:$AV,15))</f>
        <v/>
      </c>
      <c r="C270" s="8" t="str">
        <f t="shared" si="20"/>
        <v/>
      </c>
      <c r="D270" s="9" t="str">
        <f>IF(A270="","",C270-(子基金及业绩基准周净值!AH302/子基金及业绩基准周净值!AH301-1))</f>
        <v/>
      </c>
      <c r="E270" s="12" t="str">
        <f>IF(A270="","",(MAX(B$3:B270)-B270)/MAX(B$3:B270))</f>
        <v/>
      </c>
      <c r="F270" s="12" t="str">
        <f>IF(A270="","",MAX(E$4:E270))</f>
        <v/>
      </c>
      <c r="H270" s="14" t="str">
        <f t="shared" si="21"/>
        <v/>
      </c>
      <c r="I270" s="14" t="str">
        <f t="shared" si="22"/>
        <v/>
      </c>
      <c r="J270" s="15" t="str">
        <f t="shared" si="23"/>
        <v/>
      </c>
    </row>
    <row r="271" spans="1:10">
      <c r="A271" s="7" t="str">
        <f>IF(子基金及业绩基准周净值!A303="","",子基金及业绩基准周净值!A303)</f>
        <v/>
      </c>
      <c r="B271" s="1" t="str">
        <f>IF(A271="","",VLOOKUP($A271,子基金及业绩基准周净值!$A:$AV,15))</f>
        <v/>
      </c>
      <c r="C271" s="8" t="str">
        <f t="shared" si="20"/>
        <v/>
      </c>
      <c r="D271" s="9" t="str">
        <f>IF(A271="","",C271-(子基金及业绩基准周净值!AH303/子基金及业绩基准周净值!AH302-1))</f>
        <v/>
      </c>
      <c r="E271" s="12" t="str">
        <f>IF(A271="","",(MAX(B$3:B271)-B271)/MAX(B$3:B271))</f>
        <v/>
      </c>
      <c r="F271" s="12" t="str">
        <f>IF(A271="","",MAX(E$4:E271))</f>
        <v/>
      </c>
      <c r="H271" s="14" t="str">
        <f t="shared" si="21"/>
        <v/>
      </c>
      <c r="I271" s="14" t="str">
        <f t="shared" si="22"/>
        <v/>
      </c>
      <c r="J271" s="15" t="str">
        <f t="shared" si="23"/>
        <v/>
      </c>
    </row>
    <row r="272" spans="1:10">
      <c r="A272" s="7" t="str">
        <f>IF(子基金及业绩基准周净值!A304="","",子基金及业绩基准周净值!A304)</f>
        <v/>
      </c>
      <c r="B272" s="1" t="str">
        <f>IF(A272="","",VLOOKUP($A272,子基金及业绩基准周净值!$A:$AV,15))</f>
        <v/>
      </c>
      <c r="C272" s="8" t="str">
        <f t="shared" si="20"/>
        <v/>
      </c>
      <c r="D272" s="9" t="str">
        <f>IF(A272="","",C272-(子基金及业绩基准周净值!AH304/子基金及业绩基准周净值!AH303-1))</f>
        <v/>
      </c>
      <c r="E272" s="12" t="str">
        <f>IF(A272="","",(MAX(B$3:B272)-B272)/MAX(B$3:B272))</f>
        <v/>
      </c>
      <c r="F272" s="12" t="str">
        <f>IF(A272="","",MAX(E$4:E272))</f>
        <v/>
      </c>
      <c r="H272" s="14" t="str">
        <f t="shared" si="21"/>
        <v/>
      </c>
      <c r="I272" s="14" t="str">
        <f t="shared" si="22"/>
        <v/>
      </c>
      <c r="J272" s="15" t="str">
        <f t="shared" si="23"/>
        <v/>
      </c>
    </row>
    <row r="273" spans="1:10">
      <c r="A273" s="7" t="str">
        <f>IF(子基金及业绩基准周净值!A305="","",子基金及业绩基准周净值!A305)</f>
        <v/>
      </c>
      <c r="B273" s="1" t="str">
        <f>IF(A273="","",VLOOKUP($A273,子基金及业绩基准周净值!$A:$AV,15))</f>
        <v/>
      </c>
      <c r="C273" s="8" t="str">
        <f t="shared" si="20"/>
        <v/>
      </c>
      <c r="D273" s="9" t="str">
        <f>IF(A273="","",C273-(子基金及业绩基准周净值!AH305/子基金及业绩基准周净值!AH304-1))</f>
        <v/>
      </c>
      <c r="E273" s="12" t="str">
        <f>IF(A273="","",(MAX(B$3:B273)-B273)/MAX(B$3:B273))</f>
        <v/>
      </c>
      <c r="F273" s="12" t="str">
        <f>IF(A273="","",MAX(E$4:E273))</f>
        <v/>
      </c>
      <c r="H273" s="14" t="str">
        <f t="shared" si="21"/>
        <v/>
      </c>
      <c r="I273" s="14" t="str">
        <f t="shared" si="22"/>
        <v/>
      </c>
      <c r="J273" s="15" t="str">
        <f t="shared" si="23"/>
        <v/>
      </c>
    </row>
    <row r="274" spans="1:10">
      <c r="A274" s="7" t="str">
        <f>IF(子基金及业绩基准周净值!A306="","",子基金及业绩基准周净值!A306)</f>
        <v/>
      </c>
      <c r="B274" s="1" t="str">
        <f>IF(A274="","",VLOOKUP($A274,子基金及业绩基准周净值!$A:$AV,15))</f>
        <v/>
      </c>
      <c r="C274" s="8" t="str">
        <f t="shared" si="20"/>
        <v/>
      </c>
      <c r="D274" s="9" t="str">
        <f>IF(A274="","",C274-(子基金及业绩基准周净值!AH306/子基金及业绩基准周净值!AH305-1))</f>
        <v/>
      </c>
      <c r="E274" s="12" t="str">
        <f>IF(A274="","",(MAX(B$3:B274)-B274)/MAX(B$3:B274))</f>
        <v/>
      </c>
      <c r="F274" s="12" t="str">
        <f>IF(A274="","",MAX(E$4:E274))</f>
        <v/>
      </c>
      <c r="H274" s="14" t="str">
        <f t="shared" si="21"/>
        <v/>
      </c>
      <c r="I274" s="14" t="str">
        <f t="shared" si="22"/>
        <v/>
      </c>
      <c r="J274" s="15" t="str">
        <f t="shared" si="23"/>
        <v/>
      </c>
    </row>
    <row r="275" spans="1:10">
      <c r="A275" s="7" t="str">
        <f>IF(子基金及业绩基准周净值!A307="","",子基金及业绩基准周净值!A307)</f>
        <v/>
      </c>
      <c r="B275" s="1" t="str">
        <f>IF(A275="","",VLOOKUP($A275,子基金及业绩基准周净值!$A:$AV,15))</f>
        <v/>
      </c>
      <c r="C275" s="8" t="str">
        <f t="shared" si="20"/>
        <v/>
      </c>
      <c r="D275" s="9" t="str">
        <f>IF(A275="","",C275-(子基金及业绩基准周净值!AH307/子基金及业绩基准周净值!AH306-1))</f>
        <v/>
      </c>
      <c r="E275" s="12" t="str">
        <f>IF(A275="","",(MAX(B$3:B275)-B275)/MAX(B$3:B275))</f>
        <v/>
      </c>
      <c r="F275" s="12" t="str">
        <f>IF(A275="","",MAX(E$4:E275))</f>
        <v/>
      </c>
      <c r="H275" s="14" t="str">
        <f t="shared" si="21"/>
        <v/>
      </c>
      <c r="I275" s="14" t="str">
        <f t="shared" si="22"/>
        <v/>
      </c>
      <c r="J275" s="15" t="str">
        <f t="shared" si="23"/>
        <v/>
      </c>
    </row>
    <row r="276" spans="1:10">
      <c r="A276" s="7" t="str">
        <f>IF(子基金及业绩基准周净值!A308="","",子基金及业绩基准周净值!A308)</f>
        <v/>
      </c>
      <c r="B276" s="1" t="str">
        <f>IF(A276="","",VLOOKUP($A276,子基金及业绩基准周净值!$A:$AV,15))</f>
        <v/>
      </c>
      <c r="C276" s="8" t="str">
        <f t="shared" si="20"/>
        <v/>
      </c>
      <c r="D276" s="9" t="str">
        <f>IF(A276="","",C276-(子基金及业绩基准周净值!AH308/子基金及业绩基准周净值!AH307-1))</f>
        <v/>
      </c>
      <c r="E276" s="12" t="str">
        <f>IF(A276="","",(MAX(B$3:B276)-B276)/MAX(B$3:B276))</f>
        <v/>
      </c>
      <c r="F276" s="12" t="str">
        <f>IF(A276="","",MAX(E$4:E276))</f>
        <v/>
      </c>
      <c r="H276" s="14" t="str">
        <f t="shared" si="21"/>
        <v/>
      </c>
      <c r="I276" s="14" t="str">
        <f t="shared" si="22"/>
        <v/>
      </c>
      <c r="J276" s="15" t="str">
        <f t="shared" si="23"/>
        <v/>
      </c>
    </row>
    <row r="277" spans="1:10">
      <c r="A277" s="7" t="str">
        <f>IF(子基金及业绩基准周净值!A309="","",子基金及业绩基准周净值!A309)</f>
        <v/>
      </c>
      <c r="B277" s="1" t="str">
        <f>IF(A277="","",VLOOKUP($A277,子基金及业绩基准周净值!$A:$AV,15))</f>
        <v/>
      </c>
      <c r="C277" s="8" t="str">
        <f t="shared" si="20"/>
        <v/>
      </c>
      <c r="D277" s="9" t="str">
        <f>IF(A277="","",C277-(子基金及业绩基准周净值!AH309/子基金及业绩基准周净值!AH308-1))</f>
        <v/>
      </c>
      <c r="E277" s="12" t="str">
        <f>IF(A277="","",(MAX(B$3:B277)-B277)/MAX(B$3:B277))</f>
        <v/>
      </c>
      <c r="F277" s="12" t="str">
        <f>IF(A277="","",MAX(E$4:E277))</f>
        <v/>
      </c>
      <c r="H277" s="14" t="str">
        <f t="shared" si="21"/>
        <v/>
      </c>
      <c r="I277" s="14" t="str">
        <f t="shared" si="22"/>
        <v/>
      </c>
      <c r="J277" s="15" t="str">
        <f t="shared" si="23"/>
        <v/>
      </c>
    </row>
    <row r="278" spans="1:10">
      <c r="A278" s="7" t="str">
        <f>IF(子基金及业绩基准周净值!A310="","",子基金及业绩基准周净值!A310)</f>
        <v/>
      </c>
      <c r="B278" s="1" t="str">
        <f>IF(A278="","",VLOOKUP($A278,子基金及业绩基准周净值!$A:$AV,15))</f>
        <v/>
      </c>
      <c r="C278" s="8" t="str">
        <f t="shared" si="20"/>
        <v/>
      </c>
      <c r="D278" s="9" t="str">
        <f>IF(A278="","",C278-(子基金及业绩基准周净值!AH310/子基金及业绩基准周净值!AH309-1))</f>
        <v/>
      </c>
      <c r="E278" s="12" t="str">
        <f>IF(A278="","",(MAX(B$3:B278)-B278)/MAX(B$3:B278))</f>
        <v/>
      </c>
      <c r="F278" s="12" t="str">
        <f>IF(A278="","",MAX(E$4:E278))</f>
        <v/>
      </c>
      <c r="H278" s="14" t="str">
        <f t="shared" si="21"/>
        <v/>
      </c>
      <c r="I278" s="14" t="str">
        <f t="shared" si="22"/>
        <v/>
      </c>
      <c r="J278" s="15" t="str">
        <f t="shared" si="23"/>
        <v/>
      </c>
    </row>
    <row r="279" spans="1:10">
      <c r="A279" s="7" t="str">
        <f>IF(子基金及业绩基准周净值!A311="","",子基金及业绩基准周净值!A311)</f>
        <v/>
      </c>
      <c r="B279" s="1" t="str">
        <f>IF(A279="","",VLOOKUP($A279,子基金及业绩基准周净值!$A:$AV,15))</f>
        <v/>
      </c>
      <c r="C279" s="8" t="str">
        <f t="shared" si="20"/>
        <v/>
      </c>
      <c r="D279" s="9" t="str">
        <f>IF(A279="","",C279-(子基金及业绩基准周净值!AH311/子基金及业绩基准周净值!AH310-1))</f>
        <v/>
      </c>
      <c r="E279" s="12" t="str">
        <f>IF(A279="","",(MAX(B$3:B279)-B279)/MAX(B$3:B279))</f>
        <v/>
      </c>
      <c r="F279" s="12" t="str">
        <f>IF(A279="","",MAX(E$4:E279))</f>
        <v/>
      </c>
      <c r="H279" s="14" t="str">
        <f t="shared" si="21"/>
        <v/>
      </c>
      <c r="I279" s="14" t="str">
        <f t="shared" si="22"/>
        <v/>
      </c>
      <c r="J279" s="15" t="str">
        <f t="shared" si="23"/>
        <v/>
      </c>
    </row>
    <row r="280" spans="1:10">
      <c r="A280" s="7" t="str">
        <f>IF(子基金及业绩基准周净值!A312="","",子基金及业绩基准周净值!A312)</f>
        <v/>
      </c>
      <c r="B280" s="1" t="str">
        <f>IF(A280="","",VLOOKUP($A280,子基金及业绩基准周净值!$A:$AV,15))</f>
        <v/>
      </c>
      <c r="C280" s="8" t="str">
        <f t="shared" si="20"/>
        <v/>
      </c>
      <c r="D280" s="9" t="str">
        <f>IF(A280="","",C280-(子基金及业绩基准周净值!AH312/子基金及业绩基准周净值!AH311-1))</f>
        <v/>
      </c>
      <c r="E280" s="12" t="str">
        <f>IF(A280="","",(MAX(B$3:B280)-B280)/MAX(B$3:B280))</f>
        <v/>
      </c>
      <c r="F280" s="12" t="str">
        <f>IF(A280="","",MAX(E$4:E280))</f>
        <v/>
      </c>
      <c r="H280" s="14" t="str">
        <f t="shared" si="21"/>
        <v/>
      </c>
      <c r="I280" s="14" t="str">
        <f t="shared" si="22"/>
        <v/>
      </c>
      <c r="J280" s="15" t="str">
        <f t="shared" si="23"/>
        <v/>
      </c>
    </row>
    <row r="281" spans="1:10">
      <c r="A281" s="7" t="str">
        <f>IF(子基金及业绩基准周净值!A313="","",子基金及业绩基准周净值!A313)</f>
        <v/>
      </c>
      <c r="B281" s="1" t="str">
        <f>IF(A281="","",VLOOKUP($A281,子基金及业绩基准周净值!$A:$AV,15))</f>
        <v/>
      </c>
      <c r="C281" s="8" t="str">
        <f t="shared" si="20"/>
        <v/>
      </c>
      <c r="D281" s="9" t="str">
        <f>IF(A281="","",C281-(子基金及业绩基准周净值!AH313/子基金及业绩基准周净值!AH312-1))</f>
        <v/>
      </c>
      <c r="E281" s="12" t="str">
        <f>IF(A281="","",(MAX(B$3:B281)-B281)/MAX(B$3:B281))</f>
        <v/>
      </c>
      <c r="F281" s="12" t="str">
        <f>IF(A281="","",MAX(E$4:E281))</f>
        <v/>
      </c>
      <c r="H281" s="14" t="str">
        <f t="shared" si="21"/>
        <v/>
      </c>
      <c r="I281" s="14" t="str">
        <f t="shared" si="22"/>
        <v/>
      </c>
      <c r="J281" s="15" t="str">
        <f t="shared" si="23"/>
        <v/>
      </c>
    </row>
    <row r="282" spans="1:10">
      <c r="A282" s="7" t="str">
        <f>IF(子基金及业绩基准周净值!A314="","",子基金及业绩基准周净值!A314)</f>
        <v/>
      </c>
      <c r="B282" s="1" t="str">
        <f>IF(A282="","",VLOOKUP($A282,子基金及业绩基准周净值!$A:$AV,15))</f>
        <v/>
      </c>
      <c r="C282" s="8" t="str">
        <f t="shared" si="20"/>
        <v/>
      </c>
      <c r="D282" s="9" t="str">
        <f>IF(A282="","",C282-(子基金及业绩基准周净值!AH314/子基金及业绩基准周净值!AH313-1))</f>
        <v/>
      </c>
      <c r="E282" s="12" t="str">
        <f>IF(A282="","",(MAX(B$3:B282)-B282)/MAX(B$3:B282))</f>
        <v/>
      </c>
      <c r="F282" s="12" t="str">
        <f>IF(A282="","",MAX(E$4:E282))</f>
        <v/>
      </c>
      <c r="H282" s="14" t="str">
        <f t="shared" si="21"/>
        <v/>
      </c>
      <c r="I282" s="14" t="str">
        <f t="shared" si="22"/>
        <v/>
      </c>
      <c r="J282" s="15" t="str">
        <f t="shared" si="23"/>
        <v/>
      </c>
    </row>
    <row r="283" spans="1:10">
      <c r="A283" s="7" t="str">
        <f>IF(子基金及业绩基准周净值!A315="","",子基金及业绩基准周净值!A315)</f>
        <v/>
      </c>
      <c r="B283" s="1" t="str">
        <f>IF(A283="","",VLOOKUP($A283,子基金及业绩基准周净值!$A:$AV,15))</f>
        <v/>
      </c>
      <c r="C283" s="8" t="str">
        <f t="shared" si="20"/>
        <v/>
      </c>
      <c r="D283" s="9" t="str">
        <f>IF(A283="","",C283-(子基金及业绩基准周净值!AH315/子基金及业绩基准周净值!AH314-1))</f>
        <v/>
      </c>
      <c r="E283" s="12" t="str">
        <f>IF(A283="","",(MAX(B$3:B283)-B283)/MAX(B$3:B283))</f>
        <v/>
      </c>
      <c r="F283" s="12" t="str">
        <f>IF(A283="","",MAX(E$4:E283))</f>
        <v/>
      </c>
      <c r="H283" s="14" t="str">
        <f t="shared" si="21"/>
        <v/>
      </c>
      <c r="I283" s="14" t="str">
        <f t="shared" si="22"/>
        <v/>
      </c>
      <c r="J283" s="15" t="str">
        <f t="shared" si="23"/>
        <v/>
      </c>
    </row>
    <row r="284" spans="1:10">
      <c r="A284" s="7" t="str">
        <f>IF(子基金及业绩基准周净值!A316="","",子基金及业绩基准周净值!A316)</f>
        <v/>
      </c>
      <c r="B284" s="1" t="str">
        <f>IF(A284="","",VLOOKUP($A284,子基金及业绩基准周净值!$A:$AV,15))</f>
        <v/>
      </c>
      <c r="C284" s="8" t="str">
        <f t="shared" si="20"/>
        <v/>
      </c>
      <c r="D284" s="9" t="str">
        <f>IF(A284="","",C284-(子基金及业绩基准周净值!AH316/子基金及业绩基准周净值!AH315-1))</f>
        <v/>
      </c>
      <c r="E284" s="12" t="str">
        <f>IF(A284="","",(MAX(B$3:B284)-B284)/MAX(B$3:B284))</f>
        <v/>
      </c>
      <c r="F284" s="12" t="str">
        <f>IF(A284="","",MAX(E$4:E284))</f>
        <v/>
      </c>
      <c r="H284" s="14" t="str">
        <f t="shared" si="21"/>
        <v/>
      </c>
      <c r="I284" s="14" t="str">
        <f t="shared" si="22"/>
        <v/>
      </c>
      <c r="J284" s="15" t="str">
        <f t="shared" si="23"/>
        <v/>
      </c>
    </row>
    <row r="285" spans="1:10">
      <c r="A285" s="7" t="str">
        <f>IF(子基金及业绩基准周净值!A317="","",子基金及业绩基准周净值!A317)</f>
        <v/>
      </c>
      <c r="B285" s="1" t="str">
        <f>IF(A285="","",VLOOKUP($A285,子基金及业绩基准周净值!$A:$AV,15))</f>
        <v/>
      </c>
      <c r="C285" s="8" t="str">
        <f t="shared" si="20"/>
        <v/>
      </c>
      <c r="D285" s="9" t="str">
        <f>IF(A285="","",C285-(子基金及业绩基准周净值!AH317/子基金及业绩基准周净值!AH316-1))</f>
        <v/>
      </c>
      <c r="E285" s="12" t="str">
        <f>IF(A285="","",(MAX(B$3:B285)-B285)/MAX(B$3:B285))</f>
        <v/>
      </c>
      <c r="F285" s="12" t="str">
        <f>IF(A285="","",MAX(E$4:E285))</f>
        <v/>
      </c>
      <c r="H285" s="14" t="str">
        <f t="shared" si="21"/>
        <v/>
      </c>
      <c r="I285" s="14" t="str">
        <f t="shared" si="22"/>
        <v/>
      </c>
      <c r="J285" s="15" t="str">
        <f t="shared" si="23"/>
        <v/>
      </c>
    </row>
    <row r="286" spans="1:10">
      <c r="A286" s="7" t="str">
        <f>IF(子基金及业绩基准周净值!A318="","",子基金及业绩基准周净值!A318)</f>
        <v/>
      </c>
      <c r="B286" s="1" t="str">
        <f>IF(A286="","",VLOOKUP($A286,子基金及业绩基准周净值!$A:$AV,15))</f>
        <v/>
      </c>
      <c r="C286" s="8" t="str">
        <f t="shared" si="20"/>
        <v/>
      </c>
      <c r="D286" s="9" t="str">
        <f>IF(A286="","",C286-(子基金及业绩基准周净值!AH318/子基金及业绩基准周净值!AH317-1))</f>
        <v/>
      </c>
      <c r="E286" s="12" t="str">
        <f>IF(A286="","",(MAX(B$3:B286)-B286)/MAX(B$3:B286))</f>
        <v/>
      </c>
      <c r="F286" s="12" t="str">
        <f>IF(A286="","",MAX(E$4:E286))</f>
        <v/>
      </c>
      <c r="H286" s="14" t="str">
        <f t="shared" si="21"/>
        <v/>
      </c>
      <c r="I286" s="14" t="str">
        <f t="shared" si="22"/>
        <v/>
      </c>
      <c r="J286" s="15" t="str">
        <f t="shared" si="23"/>
        <v/>
      </c>
    </row>
    <row r="287" spans="1:10">
      <c r="A287" s="7" t="str">
        <f>IF(子基金及业绩基准周净值!A319="","",子基金及业绩基准周净值!A319)</f>
        <v/>
      </c>
      <c r="B287" s="1" t="str">
        <f>IF(A287="","",VLOOKUP($A287,子基金及业绩基准周净值!$A:$AV,15))</f>
        <v/>
      </c>
      <c r="C287" s="8" t="str">
        <f t="shared" si="20"/>
        <v/>
      </c>
      <c r="D287" s="9" t="str">
        <f>IF(A287="","",C287-(子基金及业绩基准周净值!AH319/子基金及业绩基准周净值!AH318-1))</f>
        <v/>
      </c>
      <c r="E287" s="12" t="str">
        <f>IF(A287="","",(MAX(B$3:B287)-B287)/MAX(B$3:B287))</f>
        <v/>
      </c>
      <c r="F287" s="12" t="str">
        <f>IF(A287="","",MAX(E$4:E287))</f>
        <v/>
      </c>
      <c r="H287" s="14" t="str">
        <f t="shared" si="21"/>
        <v/>
      </c>
      <c r="I287" s="14" t="str">
        <f t="shared" si="22"/>
        <v/>
      </c>
      <c r="J287" s="15" t="str">
        <f t="shared" si="23"/>
        <v/>
      </c>
    </row>
    <row r="288" spans="1:10">
      <c r="A288" s="7" t="str">
        <f>IF(子基金及业绩基准周净值!A320="","",子基金及业绩基准周净值!A320)</f>
        <v/>
      </c>
      <c r="B288" s="1" t="str">
        <f>IF(A288="","",VLOOKUP($A288,子基金及业绩基准周净值!$A:$AV,15))</f>
        <v/>
      </c>
      <c r="C288" s="8" t="str">
        <f t="shared" si="20"/>
        <v/>
      </c>
      <c r="D288" s="9" t="str">
        <f>IF(A288="","",C288-(子基金及业绩基准周净值!AH320/子基金及业绩基准周净值!AH319-1))</f>
        <v/>
      </c>
      <c r="E288" s="12" t="str">
        <f>IF(A288="","",(MAX(B$3:B288)-B288)/MAX(B$3:B288))</f>
        <v/>
      </c>
      <c r="F288" s="12" t="str">
        <f>IF(A288="","",MAX(E$4:E288))</f>
        <v/>
      </c>
      <c r="H288" s="14" t="str">
        <f t="shared" si="21"/>
        <v/>
      </c>
      <c r="I288" s="14" t="str">
        <f t="shared" si="22"/>
        <v/>
      </c>
      <c r="J288" s="15" t="str">
        <f t="shared" si="23"/>
        <v/>
      </c>
    </row>
    <row r="289" spans="1:10">
      <c r="A289" s="7" t="str">
        <f>IF(子基金及业绩基准周净值!A321="","",子基金及业绩基准周净值!A321)</f>
        <v/>
      </c>
      <c r="B289" s="1" t="str">
        <f>IF(A289="","",VLOOKUP($A289,子基金及业绩基准周净值!$A:$AV,15))</f>
        <v/>
      </c>
      <c r="C289" s="8" t="str">
        <f t="shared" si="20"/>
        <v/>
      </c>
      <c r="D289" s="9" t="str">
        <f>IF(A289="","",C289-(子基金及业绩基准周净值!AH321/子基金及业绩基准周净值!AH320-1))</f>
        <v/>
      </c>
      <c r="E289" s="12" t="str">
        <f>IF(A289="","",(MAX(B$3:B289)-B289)/MAX(B$3:B289))</f>
        <v/>
      </c>
      <c r="F289" s="12" t="str">
        <f>IF(A289="","",MAX(E$4:E289))</f>
        <v/>
      </c>
      <c r="H289" s="14" t="str">
        <f t="shared" si="21"/>
        <v/>
      </c>
      <c r="I289" s="14" t="str">
        <f t="shared" si="22"/>
        <v/>
      </c>
      <c r="J289" s="15" t="str">
        <f t="shared" si="23"/>
        <v/>
      </c>
    </row>
    <row r="290" spans="1:10">
      <c r="A290" s="7" t="str">
        <f>IF(子基金及业绩基准周净值!A322="","",子基金及业绩基准周净值!A322)</f>
        <v/>
      </c>
      <c r="B290" s="1" t="str">
        <f>IF(A290="","",VLOOKUP($A290,子基金及业绩基准周净值!$A:$AV,15))</f>
        <v/>
      </c>
      <c r="C290" s="8" t="str">
        <f t="shared" si="20"/>
        <v/>
      </c>
      <c r="D290" s="9" t="str">
        <f>IF(A290="","",C290-(子基金及业绩基准周净值!AH322/子基金及业绩基准周净值!AH321-1))</f>
        <v/>
      </c>
      <c r="E290" s="12" t="str">
        <f>IF(A290="","",(MAX(B$3:B290)-B290)/MAX(B$3:B290))</f>
        <v/>
      </c>
      <c r="F290" s="12" t="str">
        <f>IF(A290="","",MAX(E$4:E290))</f>
        <v/>
      </c>
      <c r="H290" s="14" t="str">
        <f t="shared" si="21"/>
        <v/>
      </c>
      <c r="I290" s="14" t="str">
        <f t="shared" si="22"/>
        <v/>
      </c>
      <c r="J290" s="15" t="str">
        <f t="shared" si="23"/>
        <v/>
      </c>
    </row>
    <row r="291" spans="1:10">
      <c r="A291" s="7" t="str">
        <f>IF(子基金及业绩基准周净值!A323="","",子基金及业绩基准周净值!A323)</f>
        <v/>
      </c>
      <c r="B291" s="1" t="str">
        <f>IF(A291="","",VLOOKUP($A291,子基金及业绩基准周净值!$A:$AV,15))</f>
        <v/>
      </c>
      <c r="C291" s="8" t="str">
        <f t="shared" si="20"/>
        <v/>
      </c>
      <c r="D291" s="9" t="str">
        <f>IF(A291="","",C291-(子基金及业绩基准周净值!AH323/子基金及业绩基准周净值!AH322-1))</f>
        <v/>
      </c>
      <c r="E291" s="12" t="str">
        <f>IF(A291="","",(MAX(B$3:B291)-B291)/MAX(B$3:B291))</f>
        <v/>
      </c>
      <c r="F291" s="12" t="str">
        <f>IF(A291="","",MAX(E$4:E291))</f>
        <v/>
      </c>
      <c r="H291" s="14" t="str">
        <f t="shared" si="21"/>
        <v/>
      </c>
      <c r="I291" s="14" t="str">
        <f t="shared" si="22"/>
        <v/>
      </c>
      <c r="J291" s="15" t="str">
        <f t="shared" si="23"/>
        <v/>
      </c>
    </row>
    <row r="292" spans="1:10">
      <c r="A292" s="7" t="str">
        <f>IF(子基金及业绩基准周净值!A324="","",子基金及业绩基准周净值!A324)</f>
        <v/>
      </c>
      <c r="B292" s="1" t="str">
        <f>IF(A292="","",VLOOKUP($A292,子基金及业绩基准周净值!$A:$AV,15))</f>
        <v/>
      </c>
      <c r="C292" s="8" t="str">
        <f t="shared" si="20"/>
        <v/>
      </c>
      <c r="D292" s="9" t="str">
        <f>IF(A292="","",C292-(子基金及业绩基准周净值!AH324/子基金及业绩基准周净值!AH323-1))</f>
        <v/>
      </c>
      <c r="E292" s="12" t="str">
        <f>IF(A292="","",(MAX(B$3:B292)-B292)/MAX(B$3:B292))</f>
        <v/>
      </c>
      <c r="F292" s="12" t="str">
        <f>IF(A292="","",MAX(E$4:E292))</f>
        <v/>
      </c>
      <c r="H292" s="14" t="str">
        <f t="shared" si="21"/>
        <v/>
      </c>
      <c r="I292" s="14" t="str">
        <f t="shared" si="22"/>
        <v/>
      </c>
      <c r="J292" s="15" t="str">
        <f t="shared" si="23"/>
        <v/>
      </c>
    </row>
    <row r="293" spans="1:10">
      <c r="A293" s="7" t="str">
        <f>IF(子基金及业绩基准周净值!A325="","",子基金及业绩基准周净值!A325)</f>
        <v/>
      </c>
      <c r="B293" s="1" t="str">
        <f>IF(A293="","",VLOOKUP($A293,子基金及业绩基准周净值!$A:$AV,15))</f>
        <v/>
      </c>
      <c r="C293" s="8" t="str">
        <f t="shared" si="20"/>
        <v/>
      </c>
      <c r="D293" s="9" t="str">
        <f>IF(A293="","",C293-(子基金及业绩基准周净值!AH325/子基金及业绩基准周净值!AH324-1))</f>
        <v/>
      </c>
      <c r="E293" s="12" t="str">
        <f>IF(A293="","",(MAX(B$3:B293)-B293)/MAX(B$3:B293))</f>
        <v/>
      </c>
      <c r="F293" s="12" t="str">
        <f>IF(A293="","",MAX(E$4:E293))</f>
        <v/>
      </c>
      <c r="H293" s="14" t="str">
        <f t="shared" si="21"/>
        <v/>
      </c>
      <c r="I293" s="14" t="str">
        <f t="shared" si="22"/>
        <v/>
      </c>
      <c r="J293" s="15" t="str">
        <f t="shared" si="23"/>
        <v/>
      </c>
    </row>
    <row r="294" spans="1:10">
      <c r="A294" s="7" t="str">
        <f>IF(子基金及业绩基准周净值!A326="","",子基金及业绩基准周净值!A326)</f>
        <v/>
      </c>
      <c r="B294" s="1" t="str">
        <f>IF(A294="","",VLOOKUP($A294,子基金及业绩基准周净值!$A:$AV,15))</f>
        <v/>
      </c>
      <c r="C294" s="8" t="str">
        <f t="shared" si="20"/>
        <v/>
      </c>
      <c r="D294" s="9" t="str">
        <f>IF(A294="","",C294-(子基金及业绩基准周净值!AH326/子基金及业绩基准周净值!AH325-1))</f>
        <v/>
      </c>
      <c r="E294" s="12" t="str">
        <f>IF(A294="","",(MAX(B$3:B294)-B294)/MAX(B$3:B294))</f>
        <v/>
      </c>
      <c r="F294" s="12" t="str">
        <f>IF(A294="","",MAX(E$4:E294))</f>
        <v/>
      </c>
      <c r="H294" s="14" t="str">
        <f t="shared" si="21"/>
        <v/>
      </c>
      <c r="I294" s="14" t="str">
        <f t="shared" si="22"/>
        <v/>
      </c>
      <c r="J294" s="15" t="str">
        <f t="shared" si="23"/>
        <v/>
      </c>
    </row>
    <row r="295" spans="1:10">
      <c r="A295" s="7" t="str">
        <f>IF(子基金及业绩基准周净值!A327="","",子基金及业绩基准周净值!A327)</f>
        <v/>
      </c>
      <c r="B295" s="1" t="str">
        <f>IF(A295="","",VLOOKUP($A295,子基金及业绩基准周净值!$A:$AV,15))</f>
        <v/>
      </c>
      <c r="C295" s="8" t="str">
        <f t="shared" si="20"/>
        <v/>
      </c>
      <c r="D295" s="9" t="str">
        <f>IF(A295="","",C295-(子基金及业绩基准周净值!AH327/子基金及业绩基准周净值!AH326-1))</f>
        <v/>
      </c>
      <c r="E295" s="12" t="str">
        <f>IF(A295="","",(MAX(B$3:B295)-B295)/MAX(B$3:B295))</f>
        <v/>
      </c>
      <c r="F295" s="12" t="str">
        <f>IF(A295="","",MAX(E$4:E295))</f>
        <v/>
      </c>
      <c r="H295" s="14" t="str">
        <f t="shared" si="21"/>
        <v/>
      </c>
      <c r="I295" s="14" t="str">
        <f t="shared" si="22"/>
        <v/>
      </c>
      <c r="J295" s="15" t="str">
        <f t="shared" si="23"/>
        <v/>
      </c>
    </row>
    <row r="296" spans="1:10">
      <c r="A296" s="7" t="str">
        <f>IF(子基金及业绩基准周净值!A328="","",子基金及业绩基准周净值!A328)</f>
        <v/>
      </c>
      <c r="B296" s="1" t="str">
        <f>IF(A296="","",VLOOKUP($A296,子基金及业绩基准周净值!$A:$AV,15))</f>
        <v/>
      </c>
      <c r="C296" s="8" t="str">
        <f t="shared" si="20"/>
        <v/>
      </c>
      <c r="D296" s="9" t="str">
        <f>IF(A296="","",C296-(子基金及业绩基准周净值!AH328/子基金及业绩基准周净值!AH327-1))</f>
        <v/>
      </c>
      <c r="E296" s="12" t="str">
        <f>IF(A296="","",(MAX(B$3:B296)-B296)/MAX(B$3:B296))</f>
        <v/>
      </c>
      <c r="F296" s="12" t="str">
        <f>IF(A296="","",MAX(E$4:E296))</f>
        <v/>
      </c>
      <c r="H296" s="14" t="str">
        <f t="shared" si="21"/>
        <v/>
      </c>
      <c r="I296" s="14" t="str">
        <f t="shared" si="22"/>
        <v/>
      </c>
      <c r="J296" s="15" t="str">
        <f t="shared" si="23"/>
        <v/>
      </c>
    </row>
    <row r="297" spans="1:10">
      <c r="A297" s="7" t="str">
        <f>IF(子基金及业绩基准周净值!A329="","",子基金及业绩基准周净值!A329)</f>
        <v/>
      </c>
      <c r="B297" s="1" t="str">
        <f>IF(A297="","",VLOOKUP($A297,子基金及业绩基准周净值!$A:$AV,15))</f>
        <v/>
      </c>
      <c r="C297" s="8" t="str">
        <f t="shared" si="20"/>
        <v/>
      </c>
      <c r="D297" s="9" t="str">
        <f>IF(A297="","",C297-(子基金及业绩基准周净值!AH329/子基金及业绩基准周净值!AH328-1))</f>
        <v/>
      </c>
      <c r="E297" s="12" t="str">
        <f>IF(A297="","",(MAX(B$3:B297)-B297)/MAX(B$3:B297))</f>
        <v/>
      </c>
      <c r="F297" s="12" t="str">
        <f>IF(A297="","",MAX(E$4:E297))</f>
        <v/>
      </c>
      <c r="H297" s="14" t="str">
        <f t="shared" si="21"/>
        <v/>
      </c>
      <c r="I297" s="14" t="str">
        <f t="shared" si="22"/>
        <v/>
      </c>
      <c r="J297" s="15" t="str">
        <f t="shared" si="23"/>
        <v/>
      </c>
    </row>
    <row r="298" spans="1:10">
      <c r="A298" s="7" t="str">
        <f>IF(子基金及业绩基准周净值!A330="","",子基金及业绩基准周净值!A330)</f>
        <v/>
      </c>
      <c r="B298" s="1" t="str">
        <f>IF(A298="","",VLOOKUP($A298,子基金及业绩基准周净值!$A:$AV,15))</f>
        <v/>
      </c>
      <c r="C298" s="8" t="str">
        <f t="shared" si="20"/>
        <v/>
      </c>
      <c r="D298" s="9" t="str">
        <f>IF(A298="","",C298-(子基金及业绩基准周净值!AH330/子基金及业绩基准周净值!AH329-1))</f>
        <v/>
      </c>
      <c r="E298" s="12" t="str">
        <f>IF(A298="","",(MAX(B$3:B298)-B298)/MAX(B$3:B298))</f>
        <v/>
      </c>
      <c r="F298" s="12" t="str">
        <f>IF(A298="","",MAX(E$4:E298))</f>
        <v/>
      </c>
      <c r="H298" s="14" t="str">
        <f t="shared" si="21"/>
        <v/>
      </c>
      <c r="I298" s="14" t="str">
        <f t="shared" si="22"/>
        <v/>
      </c>
      <c r="J298" s="15" t="str">
        <f t="shared" si="23"/>
        <v/>
      </c>
    </row>
    <row r="299" spans="1:10">
      <c r="A299" s="7" t="str">
        <f>IF(子基金及业绩基准周净值!A331="","",子基金及业绩基准周净值!A331)</f>
        <v/>
      </c>
      <c r="B299" s="1" t="str">
        <f>IF(A299="","",VLOOKUP($A299,子基金及业绩基准周净值!$A:$AV,15))</f>
        <v/>
      </c>
      <c r="C299" s="8" t="str">
        <f t="shared" si="20"/>
        <v/>
      </c>
      <c r="D299" s="9" t="str">
        <f>IF(A299="","",C299-(子基金及业绩基准周净值!AH331/子基金及业绩基准周净值!AH330-1))</f>
        <v/>
      </c>
      <c r="E299" s="12" t="str">
        <f>IF(A299="","",(MAX(B$3:B299)-B299)/MAX(B$3:B299))</f>
        <v/>
      </c>
      <c r="F299" s="12" t="str">
        <f>IF(A299="","",MAX(E$4:E299))</f>
        <v/>
      </c>
      <c r="H299" s="14" t="str">
        <f t="shared" si="21"/>
        <v/>
      </c>
      <c r="I299" s="14" t="str">
        <f t="shared" si="22"/>
        <v/>
      </c>
      <c r="J299" s="15" t="str">
        <f t="shared" si="23"/>
        <v/>
      </c>
    </row>
    <row r="300" spans="1:10">
      <c r="A300" s="7" t="str">
        <f>IF(子基金及业绩基准周净值!A332="","",子基金及业绩基准周净值!A332)</f>
        <v/>
      </c>
      <c r="B300" s="1" t="str">
        <f>IF(A300="","",VLOOKUP($A300,子基金及业绩基准周净值!$A:$AV,15))</f>
        <v/>
      </c>
      <c r="C300" s="8" t="str">
        <f t="shared" si="20"/>
        <v/>
      </c>
      <c r="D300" s="9" t="str">
        <f>IF(A300="","",C300-(子基金及业绩基准周净值!AH332/子基金及业绩基准周净值!AH331-1))</f>
        <v/>
      </c>
      <c r="E300" s="12" t="str">
        <f>IF(A300="","",(MAX(B$3:B300)-B300)/MAX(B$3:B300))</f>
        <v/>
      </c>
      <c r="F300" s="12" t="str">
        <f>IF(A300="","",MAX(E$4:E300))</f>
        <v/>
      </c>
      <c r="H300" s="14" t="str">
        <f t="shared" si="21"/>
        <v/>
      </c>
      <c r="I300" s="14" t="str">
        <f t="shared" si="22"/>
        <v/>
      </c>
      <c r="J300" s="15" t="str">
        <f t="shared" si="23"/>
        <v/>
      </c>
    </row>
    <row r="301" spans="1:10">
      <c r="A301" s="7" t="str">
        <f>IF(子基金及业绩基准周净值!A333="","",子基金及业绩基准周净值!A333)</f>
        <v/>
      </c>
      <c r="B301" s="1" t="str">
        <f>IF(A301="","",VLOOKUP($A301,子基金及业绩基准周净值!$A:$AV,15))</f>
        <v/>
      </c>
      <c r="C301" s="8" t="str">
        <f t="shared" si="20"/>
        <v/>
      </c>
      <c r="D301" s="9" t="str">
        <f>IF(A301="","",C301-(子基金及业绩基准周净值!AH333/子基金及业绩基准周净值!AH332-1))</f>
        <v/>
      </c>
      <c r="E301" s="12" t="str">
        <f>IF(A301="","",(MAX(B$3:B301)-B301)/MAX(B$3:B301))</f>
        <v/>
      </c>
      <c r="F301" s="12" t="str">
        <f>IF(A301="","",MAX(E$4:E301))</f>
        <v/>
      </c>
      <c r="H301" s="14" t="str">
        <f t="shared" si="21"/>
        <v/>
      </c>
      <c r="I301" s="14" t="str">
        <f t="shared" si="22"/>
        <v/>
      </c>
      <c r="J301" s="15" t="str">
        <f t="shared" si="23"/>
        <v/>
      </c>
    </row>
    <row r="302" spans="1:10">
      <c r="A302" s="7" t="str">
        <f>IF(子基金及业绩基准周净值!A334="","",子基金及业绩基准周净值!A334)</f>
        <v/>
      </c>
      <c r="B302" s="1" t="str">
        <f>IF(A302="","",VLOOKUP($A302,子基金及业绩基准周净值!$A:$AV,15))</f>
        <v/>
      </c>
      <c r="C302" s="8" t="str">
        <f t="shared" si="20"/>
        <v/>
      </c>
      <c r="D302" s="9" t="str">
        <f>IF(A302="","",C302-(子基金及业绩基准周净值!AH334/子基金及业绩基准周净值!AH333-1))</f>
        <v/>
      </c>
      <c r="E302" s="12" t="str">
        <f>IF(A302="","",(MAX(B$3:B302)-B302)/MAX(B$3:B302))</f>
        <v/>
      </c>
      <c r="F302" s="12" t="str">
        <f>IF(A302="","",MAX(E$4:E302))</f>
        <v/>
      </c>
      <c r="H302" s="14" t="str">
        <f t="shared" si="21"/>
        <v/>
      </c>
      <c r="I302" s="14" t="str">
        <f t="shared" si="22"/>
        <v/>
      </c>
      <c r="J302" s="15" t="str">
        <f t="shared" si="23"/>
        <v/>
      </c>
    </row>
    <row r="303" spans="1:10">
      <c r="A303" s="7" t="str">
        <f>IF(子基金及业绩基准周净值!A335="","",子基金及业绩基准周净值!A335)</f>
        <v/>
      </c>
      <c r="B303" s="1" t="str">
        <f>IF(A303="","",VLOOKUP($A303,子基金及业绩基准周净值!$A:$AV,15))</f>
        <v/>
      </c>
      <c r="C303" s="8" t="str">
        <f t="shared" si="20"/>
        <v/>
      </c>
      <c r="D303" s="9" t="str">
        <f>IF(A303="","",C303-(子基金及业绩基准周净值!AH335/子基金及业绩基准周净值!AH334-1))</f>
        <v/>
      </c>
      <c r="E303" s="12" t="str">
        <f>IF(A303="","",(MAX(B$3:B303)-B303)/MAX(B$3:B303))</f>
        <v/>
      </c>
      <c r="F303" s="12" t="str">
        <f>IF(A303="","",MAX(E$4:E303))</f>
        <v/>
      </c>
      <c r="H303" s="14" t="str">
        <f t="shared" si="21"/>
        <v/>
      </c>
      <c r="I303" s="14" t="str">
        <f t="shared" si="22"/>
        <v/>
      </c>
      <c r="J303" s="15" t="str">
        <f t="shared" si="23"/>
        <v/>
      </c>
    </row>
    <row r="304" spans="1:10">
      <c r="A304" s="7" t="str">
        <f>IF(子基金及业绩基准周净值!A336="","",子基金及业绩基准周净值!A336)</f>
        <v/>
      </c>
      <c r="B304" s="1" t="str">
        <f>IF(A304="","",VLOOKUP($A304,子基金及业绩基准周净值!$A:$AV,15))</f>
        <v/>
      </c>
      <c r="C304" s="8" t="str">
        <f t="shared" si="20"/>
        <v/>
      </c>
      <c r="D304" s="9" t="str">
        <f>IF(A304="","",C304-(子基金及业绩基准周净值!AH336/子基金及业绩基准周净值!AH335-1))</f>
        <v/>
      </c>
      <c r="E304" s="12" t="str">
        <f>IF(A304="","",(MAX(B$3:B304)-B304)/MAX(B$3:B304))</f>
        <v/>
      </c>
      <c r="F304" s="12" t="str">
        <f>IF(A304="","",MAX(E$4:E304))</f>
        <v/>
      </c>
      <c r="H304" s="14" t="str">
        <f t="shared" si="21"/>
        <v/>
      </c>
      <c r="I304" s="14" t="str">
        <f t="shared" si="22"/>
        <v/>
      </c>
      <c r="J304" s="15" t="str">
        <f t="shared" si="23"/>
        <v/>
      </c>
    </row>
    <row r="305" spans="1:10">
      <c r="A305" s="7" t="str">
        <f>IF(子基金及业绩基准周净值!A337="","",子基金及业绩基准周净值!A337)</f>
        <v/>
      </c>
      <c r="B305" s="1" t="str">
        <f>IF(A305="","",VLOOKUP($A305,子基金及业绩基准周净值!$A:$AV,15))</f>
        <v/>
      </c>
      <c r="C305" s="8" t="str">
        <f t="shared" si="20"/>
        <v/>
      </c>
      <c r="D305" s="9" t="str">
        <f>IF(A305="","",C305-(子基金及业绩基准周净值!AH337/子基金及业绩基准周净值!AH336-1))</f>
        <v/>
      </c>
      <c r="E305" s="12" t="str">
        <f>IF(A305="","",(MAX(B$3:B305)-B305)/MAX(B$3:B305))</f>
        <v/>
      </c>
      <c r="F305" s="12" t="str">
        <f>IF(A305="","",MAX(E$4:E305))</f>
        <v/>
      </c>
      <c r="H305" s="14" t="str">
        <f t="shared" si="21"/>
        <v/>
      </c>
      <c r="I305" s="14" t="str">
        <f t="shared" si="22"/>
        <v/>
      </c>
      <c r="J305" s="15" t="str">
        <f t="shared" si="23"/>
        <v/>
      </c>
    </row>
    <row r="306" spans="1:10">
      <c r="A306" s="7" t="str">
        <f>IF(子基金及业绩基准周净值!A338="","",子基金及业绩基准周净值!A338)</f>
        <v/>
      </c>
      <c r="B306" s="1" t="str">
        <f>IF(A306="","",VLOOKUP($A306,子基金及业绩基准周净值!$A:$AV,15))</f>
        <v/>
      </c>
      <c r="C306" s="8" t="str">
        <f t="shared" si="20"/>
        <v/>
      </c>
      <c r="D306" s="9" t="str">
        <f>IF(A306="","",C306-(子基金及业绩基准周净值!AH338/子基金及业绩基准周净值!AH337-1))</f>
        <v/>
      </c>
      <c r="E306" s="12" t="str">
        <f>IF(A306="","",(MAX(B$3:B306)-B306)/MAX(B$3:B306))</f>
        <v/>
      </c>
      <c r="F306" s="12" t="str">
        <f>IF(A306="","",MAX(E$4:E306))</f>
        <v/>
      </c>
      <c r="H306" s="14" t="str">
        <f t="shared" si="21"/>
        <v/>
      </c>
      <c r="I306" s="14" t="str">
        <f t="shared" si="22"/>
        <v/>
      </c>
      <c r="J306" s="15" t="str">
        <f t="shared" si="23"/>
        <v/>
      </c>
    </row>
    <row r="307" spans="1:10">
      <c r="A307" s="7" t="str">
        <f>IF(子基金及业绩基准周净值!A339="","",子基金及业绩基准周净值!A339)</f>
        <v/>
      </c>
      <c r="B307" s="1" t="str">
        <f>IF(A307="","",VLOOKUP($A307,子基金及业绩基准周净值!$A:$AV,15))</f>
        <v/>
      </c>
      <c r="C307" s="8" t="str">
        <f t="shared" si="20"/>
        <v/>
      </c>
      <c r="D307" s="9" t="str">
        <f>IF(A307="","",C307-(子基金及业绩基准周净值!AH339/子基金及业绩基准周净值!AH338-1))</f>
        <v/>
      </c>
      <c r="E307" s="12" t="str">
        <f>IF(A307="","",(MAX(B$3:B307)-B307)/MAX(B$3:B307))</f>
        <v/>
      </c>
      <c r="F307" s="12" t="str">
        <f>IF(A307="","",MAX(E$4:E307))</f>
        <v/>
      </c>
      <c r="H307" s="14" t="str">
        <f t="shared" si="21"/>
        <v/>
      </c>
      <c r="I307" s="14" t="str">
        <f t="shared" si="22"/>
        <v/>
      </c>
      <c r="J307" s="15" t="str">
        <f t="shared" si="23"/>
        <v/>
      </c>
    </row>
  </sheetData>
  <conditionalFormatting sqref="J3:J1048576">
    <cfRule type="containsText" dxfId="0" priority="1" operator="between" text="是">
      <formula>NOT(ISERROR(SEARCH("是",J3)))</formula>
    </cfRule>
  </conditionalFormatting>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127"/>
  <sheetViews>
    <sheetView topLeftCell="N13" workbookViewId="0">
      <selection activeCell="B46" sqref="B46"/>
    </sheetView>
  </sheetViews>
  <sheetFormatPr defaultColWidth="9" defaultRowHeight="16.8"/>
  <cols>
    <col min="1" max="1" width="11.625" style="1" customWidth="1"/>
    <col min="2" max="2" width="14" style="1" customWidth="1"/>
    <col min="3" max="3" width="10.25" style="1" customWidth="1"/>
    <col min="4" max="4" width="10.25" style="3" customWidth="1"/>
    <col min="5"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3">
        <v>4</v>
      </c>
      <c r="E1" s="1">
        <v>5</v>
      </c>
      <c r="F1" s="1">
        <v>6</v>
      </c>
      <c r="G1" s="14">
        <v>7</v>
      </c>
      <c r="H1" s="1">
        <v>8</v>
      </c>
      <c r="I1" s="1">
        <v>9</v>
      </c>
      <c r="J1" s="18">
        <v>10</v>
      </c>
      <c r="K1" s="1">
        <v>11</v>
      </c>
    </row>
    <row r="2" ht="16.5" customHeight="1" spans="1:11">
      <c r="A2" s="4" t="s">
        <v>2</v>
      </c>
      <c r="B2" s="4" t="s">
        <v>42</v>
      </c>
      <c r="C2" s="5" t="s">
        <v>310</v>
      </c>
      <c r="D2" s="6" t="s">
        <v>311</v>
      </c>
      <c r="E2" s="5" t="s">
        <v>33</v>
      </c>
      <c r="F2" s="5" t="s">
        <v>22</v>
      </c>
      <c r="G2" s="10" t="s">
        <v>312</v>
      </c>
      <c r="H2" s="11" t="s">
        <v>313</v>
      </c>
      <c r="I2" s="11" t="s">
        <v>314</v>
      </c>
      <c r="J2" s="11" t="s">
        <v>315</v>
      </c>
      <c r="K2" s="5" t="s">
        <v>316</v>
      </c>
    </row>
    <row r="3" spans="1:9">
      <c r="A3" s="7">
        <f>IF(子基金及业绩基准周净值!A7="","",子基金及业绩基准周净值!A7)</f>
        <v>45492</v>
      </c>
      <c r="B3" s="1">
        <f>IF(A3="","",VLOOKUP($A3,子基金及业绩基准周净值!$A:$F,5))</f>
        <v>1.0227</v>
      </c>
      <c r="C3" s="8"/>
      <c r="F3" s="12"/>
      <c r="H3" s="14"/>
      <c r="I3" s="14"/>
    </row>
    <row r="4" spans="1:10">
      <c r="A4" s="7">
        <f>IF(子基金及业绩基准周净值!A8="","",子基金及业绩基准周净值!A8)</f>
        <v>45499</v>
      </c>
      <c r="B4" s="1">
        <f>IF(A4="","",VLOOKUP($A4,子基金及业绩基准周净值!$A:$F,5))</f>
        <v>1.0234</v>
      </c>
      <c r="C4" s="8">
        <f>IF(A4="","",(B4-B3)/B3)</f>
        <v>0.000684462696783167</v>
      </c>
      <c r="D4" s="9">
        <f>IF(A4="","",C4-(子基金及业绩基准周净值!AH8/子基金及业绩基准周净值!AH7-1))</f>
        <v>0.00361827819094144</v>
      </c>
      <c r="E4" s="12">
        <f>IF(A4="","",(MAX(B$3:B4)-B4)/MAX(B$3:B4))</f>
        <v>0</v>
      </c>
      <c r="F4" s="12">
        <f>IF(A4="","",MAX(E$4:E4))</f>
        <v>0</v>
      </c>
      <c r="G4" s="17">
        <v>0</v>
      </c>
      <c r="H4" s="14" t="str">
        <f>IF(A4="","",IF(E4&lt;3%,"否","是"))</f>
        <v>否</v>
      </c>
      <c r="I4" s="14" t="str">
        <f>IF(A4="","",IF(F4&gt;5%,"是","否"))</f>
        <v>否</v>
      </c>
      <c r="J4" s="15" t="str">
        <f>IF(A4="","",IF(G4&gt;=4,"是","否"))</f>
        <v>否</v>
      </c>
    </row>
    <row r="5" spans="1:10">
      <c r="A5" s="7">
        <f>IF(子基金及业绩基准周净值!A9="","",子基金及业绩基准周净值!A9)</f>
        <v>45506</v>
      </c>
      <c r="B5" s="1">
        <f>IF(A5="","",VLOOKUP($A5,子基金及业绩基准周净值!$A:$F,5))</f>
        <v>1.0188</v>
      </c>
      <c r="C5" s="8">
        <f>IF(A5="","",(B5-B4)/B4)</f>
        <v>-0.00449482118428782</v>
      </c>
      <c r="D5" s="9">
        <f>IF(A5="","",C5-(子基金及业绩基准周净值!AH9/子基金及业绩基准周净值!AH8-1))</f>
        <v>-0.0046000634182474</v>
      </c>
      <c r="E5" s="12">
        <f>IF(A5="","",(MAX(B$3:B5)-B5)/MAX(B$3:B5))</f>
        <v>0.00449482118428782</v>
      </c>
      <c r="F5" s="12">
        <f>IF(A5="","",MAX(E$4:E5))</f>
        <v>0.00449482118428782</v>
      </c>
      <c r="G5" s="17">
        <v>1</v>
      </c>
      <c r="H5" s="14" t="str">
        <f>IF(A5="","",IF(E5&lt;3%,"否","是"))</f>
        <v>否</v>
      </c>
      <c r="I5" s="14" t="str">
        <f>IF(A5="","",IF(F5&gt;5%,"是","否"))</f>
        <v>否</v>
      </c>
      <c r="J5" s="15" t="str">
        <f t="shared" ref="J5:J68" si="0">IF(A5="","",IF(G5&gt;=4,"是","否"))</f>
        <v>否</v>
      </c>
    </row>
    <row r="6" spans="1:10">
      <c r="A6" s="7">
        <f>IF(子基金及业绩基准周净值!A10="","",子基金及业绩基准周净值!A10)</f>
        <v>45513</v>
      </c>
      <c r="B6" s="1">
        <f>IF(A6="","",VLOOKUP($A6,子基金及业绩基准周净值!$A:$F,5))</f>
        <v>1.0195</v>
      </c>
      <c r="C6" s="8">
        <f t="shared" ref="C6:C68" si="1">IF(A6="","",(B6-B5)/B5)</f>
        <v>0.000687082842560017</v>
      </c>
      <c r="D6" s="9">
        <f>IF(A6="","",C6-(子基金及业绩基准周净值!AH10/子基金及业绩基准周净值!AH9-1))</f>
        <v>0.0029880727161875</v>
      </c>
      <c r="E6" s="12">
        <f>IF(A6="","",(MAX(B$3:B6)-B6)/MAX(B$3:B6))</f>
        <v>0.00381082665624391</v>
      </c>
      <c r="F6" s="12">
        <f>IF(A6="","",MAX(E$4:E6))</f>
        <v>0.00449482118428782</v>
      </c>
      <c r="G6" s="17">
        <v>0</v>
      </c>
      <c r="H6" s="14" t="str">
        <f t="shared" ref="H6:H69" si="2">IF(A6="","",IF(E6&lt;3%,"否","是"))</f>
        <v>否</v>
      </c>
      <c r="I6" s="14" t="str">
        <f t="shared" ref="I6:I69" si="3">IF(A6="","",IF(F6&gt;5%,"是","否"))</f>
        <v>否</v>
      </c>
      <c r="J6" s="15" t="str">
        <f t="shared" si="0"/>
        <v>否</v>
      </c>
    </row>
    <row r="7" spans="1:10">
      <c r="A7" s="7">
        <f>IF(子基金及业绩基准周净值!A11="","",子基金及业绩基准周净值!A11)</f>
        <v>45520</v>
      </c>
      <c r="B7" s="1">
        <f>IF(A7="","",VLOOKUP($A7,子基金及业绩基准周净值!$A:$F,5))</f>
        <v>1.0205</v>
      </c>
      <c r="C7" s="8">
        <f t="shared" si="1"/>
        <v>0.000980872976949377</v>
      </c>
      <c r="D7" s="9">
        <f>IF(A7="","",C7-(子基金及业绩基准周净值!AH11/子基金及业绩基准周净值!AH10-1))</f>
        <v>-0.00256841556780674</v>
      </c>
      <c r="E7" s="12">
        <f>IF(A7="","",(MAX(B$3:B7)-B7)/MAX(B$3:B7))</f>
        <v>0.00283369161618148</v>
      </c>
      <c r="F7" s="12">
        <f>IF(A7="","",MAX(E$4:E7))</f>
        <v>0.00449482118428782</v>
      </c>
      <c r="G7" s="17">
        <v>1</v>
      </c>
      <c r="H7" s="14" t="str">
        <f t="shared" si="2"/>
        <v>否</v>
      </c>
      <c r="I7" s="14" t="str">
        <f t="shared" si="3"/>
        <v>否</v>
      </c>
      <c r="J7" s="15" t="str">
        <f t="shared" si="0"/>
        <v>否</v>
      </c>
    </row>
    <row r="8" spans="1:10">
      <c r="A8" s="7">
        <f>IF(子基金及业绩基准周净值!A12="","",子基金及业绩基准周净值!A12)</f>
        <v>45527</v>
      </c>
      <c r="B8" s="1">
        <f>IF(A8="","",VLOOKUP($A8,子基金及业绩基准周净值!$A:$F,5))</f>
        <v>1.0204</v>
      </c>
      <c r="C8" s="8">
        <f t="shared" si="1"/>
        <v>-9.79911807937178e-5</v>
      </c>
      <c r="D8" s="9">
        <f>IF(A8="","",C8-(子基金及业绩基准周净值!AH12/子基金及业绩基准周净值!AH11-1))</f>
        <v>0.000797024426961461</v>
      </c>
      <c r="E8" s="12">
        <f>IF(A8="","",(MAX(B$3:B8)-B8)/MAX(B$3:B8))</f>
        <v>0.00293140512018772</v>
      </c>
      <c r="F8" s="12">
        <f>IF(A8="","",MAX(E$4:E8))</f>
        <v>0.00449482118428782</v>
      </c>
      <c r="G8" s="17">
        <v>0</v>
      </c>
      <c r="H8" s="14" t="str">
        <f t="shared" si="2"/>
        <v>否</v>
      </c>
      <c r="I8" s="14" t="str">
        <f t="shared" si="3"/>
        <v>否</v>
      </c>
      <c r="J8" s="15" t="str">
        <f t="shared" si="0"/>
        <v>否</v>
      </c>
    </row>
    <row r="9" spans="1:10">
      <c r="A9" s="7">
        <f>IF(子基金及业绩基准周净值!A13="","",子基金及业绩基准周净值!A13)</f>
        <v>45534</v>
      </c>
      <c r="B9" s="1">
        <f>IF(A9="","",VLOOKUP($A9,子基金及业绩基准周净值!$A:$F,5))</f>
        <v>1.0173</v>
      </c>
      <c r="C9" s="8">
        <f t="shared" si="1"/>
        <v>-0.00303802430419432</v>
      </c>
      <c r="D9" s="9">
        <f>IF(A9="","",C9-(子基金及业绩基准周净值!AH13/子基金及业绩基准周净值!AH12-1))</f>
        <v>-0.0041184390169462</v>
      </c>
      <c r="E9" s="12">
        <f>IF(A9="","",(MAX(B$3:B9)-B9)/MAX(B$3:B9))</f>
        <v>0.00596052374438147</v>
      </c>
      <c r="F9" s="12">
        <f>IF(A9="","",MAX(E$4:E9))</f>
        <v>0.00596052374438147</v>
      </c>
      <c r="G9" s="17">
        <v>1</v>
      </c>
      <c r="H9" s="14" t="str">
        <f t="shared" si="2"/>
        <v>否</v>
      </c>
      <c r="I9" s="14" t="str">
        <f t="shared" si="3"/>
        <v>否</v>
      </c>
      <c r="J9" s="15" t="str">
        <f t="shared" si="0"/>
        <v>否</v>
      </c>
    </row>
    <row r="10" spans="1:10">
      <c r="A10" s="7">
        <f>IF(子基金及业绩基准周净值!A14="","",子基金及业绩基准周净值!A14)</f>
        <v>45541</v>
      </c>
      <c r="B10" s="1">
        <f>IF(A10="","",VLOOKUP($A10,子基金及业绩基准周净值!$A:$F,5))</f>
        <v>1.0217</v>
      </c>
      <c r="C10" s="8">
        <f t="shared" si="1"/>
        <v>0.00432517448147052</v>
      </c>
      <c r="D10" s="9">
        <f>IF(A10="","",C10-(子基金及业绩基准周净值!AH14/子基金及业绩基准周净值!AH13-1))</f>
        <v>0.00578393784280007</v>
      </c>
      <c r="E10" s="12">
        <f>IF(A10="","",(MAX(B$3:B10)-B10)/MAX(B$3:B10))</f>
        <v>0.00166112956810635</v>
      </c>
      <c r="F10" s="12">
        <f>IF(A10="","",MAX(E$4:E10))</f>
        <v>0.00596052374438147</v>
      </c>
      <c r="G10" s="17">
        <v>0</v>
      </c>
      <c r="H10" s="14" t="str">
        <f t="shared" si="2"/>
        <v>否</v>
      </c>
      <c r="I10" s="14" t="str">
        <f t="shared" si="3"/>
        <v>否</v>
      </c>
      <c r="J10" s="15" t="str">
        <f t="shared" si="0"/>
        <v>否</v>
      </c>
    </row>
    <row r="11" spans="1:10">
      <c r="A11" s="7">
        <f>IF(子基金及业绩基准周净值!A15="","",子基金及业绩基准周净值!A15)</f>
        <v>45548</v>
      </c>
      <c r="B11" s="1">
        <f>IF(A11="","",VLOOKUP($A11,子基金及业绩基准周净值!$A:$F,5))</f>
        <v>1.0213</v>
      </c>
      <c r="C11" s="8">
        <f t="shared" si="1"/>
        <v>-0.000391504355485912</v>
      </c>
      <c r="D11" s="9">
        <f>IF(A11="","",C11-(子基金及业绩基准周净值!AH15/子基金及业绩基准周净值!AH14-1))</f>
        <v>0.00151584878494498</v>
      </c>
      <c r="E11" s="12">
        <f>IF(A11="","",(MAX(B$3:B11)-B11)/MAX(B$3:B11))</f>
        <v>0.00205198358413132</v>
      </c>
      <c r="F11" s="12">
        <f>IF(A11="","",MAX(E$4:E11))</f>
        <v>0.00596052374438147</v>
      </c>
      <c r="G11" s="17">
        <v>1</v>
      </c>
      <c r="H11" s="14" t="str">
        <f t="shared" si="2"/>
        <v>否</v>
      </c>
      <c r="I11" s="14" t="str">
        <f t="shared" si="3"/>
        <v>否</v>
      </c>
      <c r="J11" s="15" t="str">
        <f t="shared" si="0"/>
        <v>否</v>
      </c>
    </row>
    <row r="12" spans="1:10">
      <c r="A12" s="7">
        <f>IF(子基金及业绩基准周净值!A16="","",子基金及业绩基准周净值!A16)</f>
        <v>45555</v>
      </c>
      <c r="B12" s="1">
        <f>IF(A12="","",VLOOKUP($A12,子基金及业绩基准周净值!$A:$F,5))</f>
        <v>1.0254</v>
      </c>
      <c r="C12" s="8">
        <f t="shared" si="1"/>
        <v>0.00401449133457357</v>
      </c>
      <c r="D12" s="9">
        <f>IF(A12="","",C12-(子基金及业绩基准周净值!AH16/子基金及业绩基准周净值!AH15-1))</f>
        <v>0.00450851485931406</v>
      </c>
      <c r="E12" s="12">
        <f>IF(A12="","",(MAX(B$3:B12)-B12)/MAX(B$3:B12))</f>
        <v>0</v>
      </c>
      <c r="F12" s="12">
        <f>IF(A12="","",MAX(E$4:E12))</f>
        <v>0.00596052374438147</v>
      </c>
      <c r="G12" s="17">
        <v>0</v>
      </c>
      <c r="H12" s="14" t="str">
        <f t="shared" si="2"/>
        <v>否</v>
      </c>
      <c r="I12" s="14" t="str">
        <f t="shared" si="3"/>
        <v>否</v>
      </c>
      <c r="J12" s="15" t="str">
        <f t="shared" si="0"/>
        <v>否</v>
      </c>
    </row>
    <row r="13" spans="1:10">
      <c r="A13" s="7">
        <f>IF(子基金及业绩基准周净值!A17="","",子基金及业绩基准周净值!A17)</f>
        <v>45562</v>
      </c>
      <c r="B13" s="1">
        <f>IF(A13="","",VLOOKUP($A13,子基金及业绩基准周净值!$A:$F,5))</f>
        <v>1.0016</v>
      </c>
      <c r="C13" s="8">
        <f t="shared" si="1"/>
        <v>-0.0232104544567974</v>
      </c>
      <c r="D13" s="9">
        <f>IF(A13="","",C13-(子基金及业绩基准周净值!AH17/子基金及业绩基准周净值!AH16-1))</f>
        <v>-0.0224382956677853</v>
      </c>
      <c r="E13" s="12">
        <f>IF(A13="","",(MAX(B$3:B13)-B13)/MAX(B$3:B13))</f>
        <v>0.0232104544567974</v>
      </c>
      <c r="F13" s="12">
        <f>IF(A13="","",MAX(E$4:E13))</f>
        <v>0.0232104544567974</v>
      </c>
      <c r="G13" s="17">
        <v>1</v>
      </c>
      <c r="H13" s="14" t="str">
        <f t="shared" si="2"/>
        <v>否</v>
      </c>
      <c r="I13" s="14" t="str">
        <f t="shared" si="3"/>
        <v>否</v>
      </c>
      <c r="J13" s="15" t="str">
        <f t="shared" si="0"/>
        <v>否</v>
      </c>
    </row>
    <row r="14" spans="1:10">
      <c r="A14" s="7">
        <f>IF(子基金及业绩基准周净值!A18="","",子基金及业绩基准周净值!A18)</f>
        <v>45565</v>
      </c>
      <c r="B14" s="1">
        <f>IF(A14="","",VLOOKUP($A14,子基金及业绩基准周净值!$A:$F,5))</f>
        <v>0.9982</v>
      </c>
      <c r="C14" s="8">
        <f t="shared" si="1"/>
        <v>-0.00339456869009592</v>
      </c>
      <c r="D14" s="9">
        <f>IF(A14="","",C14-(子基金及业绩基准周净值!AH18/子基金及业绩基准周净值!AH17-1))</f>
        <v>-0.0112815751543497</v>
      </c>
      <c r="E14" s="12">
        <f>IF(A14="","",(MAX(B$3:B14)-B14)/MAX(B$3:B14))</f>
        <v>0.0265262336649114</v>
      </c>
      <c r="F14" s="12">
        <f>IF(A14="","",MAX(E$4:E14))</f>
        <v>0.0265262336649114</v>
      </c>
      <c r="G14" s="17">
        <v>2</v>
      </c>
      <c r="H14" s="14" t="str">
        <f t="shared" si="2"/>
        <v>否</v>
      </c>
      <c r="I14" s="14" t="str">
        <f t="shared" si="3"/>
        <v>否</v>
      </c>
      <c r="J14" s="15" t="str">
        <f t="shared" si="0"/>
        <v>否</v>
      </c>
    </row>
    <row r="15" spans="1:10">
      <c r="A15" s="7">
        <f>IF(子基金及业绩基准周净值!A19="","",子基金及业绩基准周净值!A19)</f>
        <v>45576</v>
      </c>
      <c r="B15" s="1">
        <f>IF(A15="","",VLOOKUP($A15,子基金及业绩基准周净值!$A:$F,5))</f>
        <v>1.0363</v>
      </c>
      <c r="C15" s="8">
        <f t="shared" si="1"/>
        <v>0.0381687036665999</v>
      </c>
      <c r="D15" s="9">
        <f>IF(A15="","",C15-(子基金及业绩基准周净值!AH19/子基金及业绩基准周净值!AH18-1))</f>
        <v>0.0316117075800504</v>
      </c>
      <c r="E15" s="12">
        <f>IF(A15="","",(MAX(B$3:B15)-B15)/MAX(B$3:B15))</f>
        <v>0</v>
      </c>
      <c r="F15" s="12">
        <f>IF(A15="","",MAX(E$4:E15))</f>
        <v>0.0265262336649114</v>
      </c>
      <c r="G15" s="17">
        <v>0</v>
      </c>
      <c r="H15" s="14" t="str">
        <f t="shared" si="2"/>
        <v>否</v>
      </c>
      <c r="I15" s="14" t="str">
        <f t="shared" si="3"/>
        <v>否</v>
      </c>
      <c r="J15" s="15" t="str">
        <f t="shared" si="0"/>
        <v>否</v>
      </c>
    </row>
    <row r="16" spans="1:10">
      <c r="A16" s="7">
        <f>IF(子基金及业绩基准周净值!A20="","",子基金及业绩基准周净值!A20)</f>
        <v>45583</v>
      </c>
      <c r="B16" s="1">
        <f>IF(A16="","",VLOOKUP($A16,子基金及业绩基准周净值!$A:$F,5))</f>
        <v>1.0327</v>
      </c>
      <c r="C16" s="8">
        <f t="shared" si="1"/>
        <v>-0.00347389752002321</v>
      </c>
      <c r="D16" s="9">
        <f>IF(A16="","",C16-(子基金及业绩基准周净值!AH20/子基金及业绩基准周净值!AH19-1))</f>
        <v>-0.00366087130327881</v>
      </c>
      <c r="E16" s="12">
        <f>IF(A16="","",(MAX(B$3:B16)-B16)/MAX(B$3:B16))</f>
        <v>0.00347389752002321</v>
      </c>
      <c r="F16" s="12">
        <f>IF(A16="","",MAX(E$4:E16))</f>
        <v>0.0265262336649114</v>
      </c>
      <c r="G16" s="17">
        <v>1</v>
      </c>
      <c r="H16" s="14" t="str">
        <f t="shared" si="2"/>
        <v>否</v>
      </c>
      <c r="I16" s="14" t="str">
        <f t="shared" si="3"/>
        <v>否</v>
      </c>
      <c r="J16" s="15" t="str">
        <f t="shared" si="0"/>
        <v>否</v>
      </c>
    </row>
    <row r="17" spans="1:10">
      <c r="A17" s="7">
        <f>IF(子基金及业绩基准周净值!A21="","",子基金及业绩基准周净值!A21)</f>
        <v>45590</v>
      </c>
      <c r="B17" s="1">
        <f>IF(A17="","",VLOOKUP($A17,子基金及业绩基准周净值!$A:$F,5))</f>
        <v>1.0387</v>
      </c>
      <c r="C17" s="8">
        <f t="shared" si="1"/>
        <v>0.00581001258836061</v>
      </c>
      <c r="D17" s="9">
        <f>IF(A17="","",C17-(子基金及业绩基准周净值!AH21/子基金及业绩基准周净值!AH20-1))</f>
        <v>-0.000534173916361846</v>
      </c>
      <c r="E17" s="12">
        <f>IF(A17="","",(MAX(B$3:B17)-B17)/MAX(B$3:B17))</f>
        <v>0</v>
      </c>
      <c r="F17" s="12">
        <f>IF(A17="","",MAX(E$4:E17))</f>
        <v>0.0265262336649114</v>
      </c>
      <c r="G17" s="17">
        <v>2</v>
      </c>
      <c r="H17" s="14" t="str">
        <f t="shared" si="2"/>
        <v>否</v>
      </c>
      <c r="I17" s="14" t="str">
        <f t="shared" si="3"/>
        <v>否</v>
      </c>
      <c r="J17" s="15" t="str">
        <f t="shared" si="0"/>
        <v>否</v>
      </c>
    </row>
    <row r="18" spans="1:10">
      <c r="A18" s="7">
        <f>IF(子基金及业绩基准周净值!A22="","",子基金及业绩基准周净值!A22)</f>
        <v>45597</v>
      </c>
      <c r="B18" s="1">
        <f>IF(A18="","",VLOOKUP($A18,子基金及业绩基准周净值!$A:$F,5))</f>
        <v>1.0398</v>
      </c>
      <c r="C18" s="8">
        <f t="shared" si="1"/>
        <v>0.00105901607778964</v>
      </c>
      <c r="D18" s="9">
        <f>IF(A18="","",C18-(子基金及业绩基准周净值!AH22/子基金及业绩基准周净值!AH21-1))</f>
        <v>-0.000339120922763715</v>
      </c>
      <c r="E18" s="12">
        <f>IF(A18="","",(MAX(B$3:B18)-B18)/MAX(B$3:B18))</f>
        <v>0</v>
      </c>
      <c r="F18" s="12">
        <f>IF(A18="","",MAX(E$4:E18))</f>
        <v>0.0265262336649114</v>
      </c>
      <c r="G18" s="17">
        <v>3</v>
      </c>
      <c r="H18" s="14" t="str">
        <f t="shared" si="2"/>
        <v>否</v>
      </c>
      <c r="I18" s="14" t="str">
        <f t="shared" si="3"/>
        <v>否</v>
      </c>
      <c r="J18" s="15" t="str">
        <f t="shared" si="0"/>
        <v>否</v>
      </c>
    </row>
    <row r="19" spans="1:10">
      <c r="A19" s="7">
        <f>IF(子基金及业绩基准周净值!A23="","",子基金及业绩基准周净值!A23)</f>
        <v>45604</v>
      </c>
      <c r="B19" s="1">
        <f>IF(A19="","",VLOOKUP($A19,子基金及业绩基准周净值!$A:$F,5))</f>
        <v>1.041</v>
      </c>
      <c r="C19" s="8">
        <f t="shared" si="1"/>
        <v>0.00115406809001718</v>
      </c>
      <c r="D19" s="9">
        <f>IF(A19="","",C19-(子基金及业绩基准周净值!AH23/子基金及业绩基准周净值!AH22-1))</f>
        <v>-0.00952924629582995</v>
      </c>
      <c r="E19" s="12">
        <f>IF(A19="","",(MAX(B$3:B19)-B19)/MAX(B$3:B19))</f>
        <v>0</v>
      </c>
      <c r="F19" s="12">
        <f>IF(A19="","",MAX(E$4:E19))</f>
        <v>0.0265262336649114</v>
      </c>
      <c r="G19" s="17">
        <v>4</v>
      </c>
      <c r="H19" s="14" t="str">
        <f t="shared" si="2"/>
        <v>否</v>
      </c>
      <c r="I19" s="14" t="str">
        <f t="shared" si="3"/>
        <v>否</v>
      </c>
      <c r="J19" s="19" t="str">
        <f t="shared" si="0"/>
        <v>是</v>
      </c>
    </row>
    <row r="20" spans="1:10">
      <c r="A20" s="7">
        <f>IF(子基金及业绩基准周净值!A24="","",子基金及业绩基准周净值!A24)</f>
        <v>45611</v>
      </c>
      <c r="B20" s="1">
        <f>IF(A20="","",VLOOKUP($A20,子基金及业绩基准周净值!$A:$F,5))</f>
        <v>1.0422</v>
      </c>
      <c r="C20" s="8">
        <f t="shared" si="1"/>
        <v>0.00115273775216147</v>
      </c>
      <c r="D20" s="9">
        <f>IF(A20="","",C20-(子基金及业绩基准周净值!AH24/子基金及业绩基准周净值!AH23-1))</f>
        <v>0.000993496611296618</v>
      </c>
      <c r="E20" s="12">
        <f>IF(A20="","",(MAX(B$3:B20)-B20)/MAX(B$3:B20))</f>
        <v>0</v>
      </c>
      <c r="F20" s="12">
        <f>IF(A20="","",MAX(E$4:E20))</f>
        <v>0.0265262336649114</v>
      </c>
      <c r="G20" s="17">
        <v>0</v>
      </c>
      <c r="H20" s="14" t="str">
        <f t="shared" si="2"/>
        <v>否</v>
      </c>
      <c r="I20" s="14" t="str">
        <f t="shared" si="3"/>
        <v>否</v>
      </c>
      <c r="J20" s="15" t="str">
        <f t="shared" si="0"/>
        <v>否</v>
      </c>
    </row>
    <row r="21" spans="1:10">
      <c r="A21" s="7">
        <f>IF(子基金及业绩基准周净值!A25="","",子基金及业绩基准周净值!A25)</f>
        <v>45618</v>
      </c>
      <c r="B21" s="1">
        <f>IF(A21="","",VLOOKUP($A21,子基金及业绩基准周净值!$A:$F,5))</f>
        <v>1.0434</v>
      </c>
      <c r="C21" s="8">
        <f t="shared" si="1"/>
        <v>0.00115141047783543</v>
      </c>
      <c r="D21" s="9">
        <f>IF(A21="","",C21-(子基金及业绩基准周净值!AH25/子基金及业绩基准周净值!AH24-1))</f>
        <v>0.000583737399660477</v>
      </c>
      <c r="E21" s="12">
        <f>IF(A21="","",(MAX(B$3:B21)-B21)/MAX(B$3:B21))</f>
        <v>0</v>
      </c>
      <c r="F21" s="12">
        <f>IF(A21="","",MAX(E$4:E21))</f>
        <v>0.0265262336649114</v>
      </c>
      <c r="G21" s="17">
        <v>0</v>
      </c>
      <c r="H21" s="14" t="str">
        <f t="shared" si="2"/>
        <v>否</v>
      </c>
      <c r="I21" s="14" t="str">
        <f t="shared" si="3"/>
        <v>否</v>
      </c>
      <c r="J21" s="15" t="str">
        <f t="shared" si="0"/>
        <v>否</v>
      </c>
    </row>
    <row r="22" spans="1:10">
      <c r="A22" s="7">
        <f>IF(子基金及业绩基准周净值!A26="","",子基金及业绩基准周净值!A26)</f>
        <v>45625</v>
      </c>
      <c r="B22" s="1">
        <f>IF(A22="","",VLOOKUP($A22,子基金及业绩基准周净值!$A:$F,5))</f>
        <v>1.0445</v>
      </c>
      <c r="C22" s="8">
        <f t="shared" si="1"/>
        <v>0.00105424573509668</v>
      </c>
      <c r="D22" s="9">
        <f>IF(A22="","",C22-(子基金及业绩基准周净值!AH26/子基金及业绩基准周净值!AH25-1))</f>
        <v>-0.00289674110990382</v>
      </c>
      <c r="E22" s="12">
        <f>IF(A22="","",(MAX(B$3:B22)-B22)/MAX(B$3:B22))</f>
        <v>0</v>
      </c>
      <c r="F22" s="12">
        <f>IF(A22="","",MAX(E$4:E22))</f>
        <v>0.0265262336649114</v>
      </c>
      <c r="G22" s="17">
        <v>1</v>
      </c>
      <c r="H22" s="14" t="str">
        <f t="shared" si="2"/>
        <v>否</v>
      </c>
      <c r="I22" s="14" t="str">
        <f t="shared" si="3"/>
        <v>否</v>
      </c>
      <c r="J22" s="15" t="str">
        <f t="shared" si="0"/>
        <v>否</v>
      </c>
    </row>
    <row r="23" spans="1:10">
      <c r="A23" s="7">
        <f>IF(子基金及业绩基准周净值!A27="","",子基金及业绩基准周净值!A27)</f>
        <v>45632</v>
      </c>
      <c r="B23" s="1">
        <f>IF(A23="","",VLOOKUP($A23,子基金及业绩基准周净值!$A:$F,5))</f>
        <v>1.0457</v>
      </c>
      <c r="C23" s="8">
        <f t="shared" si="1"/>
        <v>0.00114887505983733</v>
      </c>
      <c r="D23" s="9">
        <f>IF(A23="","",C23-(子基金及业绩基准周净值!AH27/子基金及业绩基准周净值!AH26-1))</f>
        <v>-0.00239109756480235</v>
      </c>
      <c r="E23" s="12">
        <f>IF(A23="","",(MAX(B$3:B23)-B23)/MAX(B$3:B23))</f>
        <v>0</v>
      </c>
      <c r="F23" s="12">
        <f>IF(A23="","",MAX(E$4:E23))</f>
        <v>0.0265262336649114</v>
      </c>
      <c r="G23" s="17">
        <v>2</v>
      </c>
      <c r="H23" s="14" t="str">
        <f t="shared" si="2"/>
        <v>否</v>
      </c>
      <c r="I23" s="14" t="str">
        <f t="shared" si="3"/>
        <v>否</v>
      </c>
      <c r="J23" s="15" t="str">
        <f t="shared" si="0"/>
        <v>否</v>
      </c>
    </row>
    <row r="24" spans="1:10">
      <c r="A24" s="7">
        <f>IF(子基金及业绩基准周净值!A28="","",子基金及业绩基准周净值!A28)</f>
        <v>45639</v>
      </c>
      <c r="B24" s="1">
        <f>IF(A24="","",VLOOKUP($A24,子基金及业绩基准周净值!$A:$F,5))</f>
        <v>1.0469</v>
      </c>
      <c r="C24" s="8">
        <f t="shared" si="1"/>
        <v>0.00114755666060999</v>
      </c>
      <c r="D24" s="9">
        <f>IF(A24="","",C24-(子基金及业绩基准周净值!AH28/子基金及业绩基准周净值!AH27-1))</f>
        <v>-0.000616069058110139</v>
      </c>
      <c r="E24" s="12">
        <f>IF(A24="","",(MAX(B$3:B24)-B24)/MAX(B$3:B24))</f>
        <v>0</v>
      </c>
      <c r="F24" s="12">
        <f>IF(A24="","",MAX(E$4:E24))</f>
        <v>0.0265262336649114</v>
      </c>
      <c r="G24" s="17">
        <v>3</v>
      </c>
      <c r="H24" s="14" t="str">
        <f t="shared" si="2"/>
        <v>否</v>
      </c>
      <c r="I24" s="14" t="str">
        <f t="shared" si="3"/>
        <v>否</v>
      </c>
      <c r="J24" s="15" t="str">
        <f t="shared" si="0"/>
        <v>否</v>
      </c>
    </row>
    <row r="25" spans="1:10">
      <c r="A25" s="7">
        <f>IF(子基金及业绩基准周净值!A29="","",子基金及业绩基准周净值!A29)</f>
        <v>45646</v>
      </c>
      <c r="B25" s="1">
        <f>IF(A25="","",VLOOKUP($A25,子基金及业绩基准周净值!$A:$F,5))</f>
        <v>1.0481</v>
      </c>
      <c r="C25" s="8">
        <f t="shared" si="1"/>
        <v>0.00114624128379032</v>
      </c>
      <c r="D25" s="9">
        <f>IF(A25="","",C25-(子基金及业绩基准周净值!AH29/子基金及业绩基准周净值!AH28-1))</f>
        <v>0.00073328345504526</v>
      </c>
      <c r="E25" s="12">
        <f>IF(A25="","",(MAX(B$3:B25)-B25)/MAX(B$3:B25))</f>
        <v>0</v>
      </c>
      <c r="F25" s="12">
        <f>IF(A25="","",MAX(E$4:E25))</f>
        <v>0.0265262336649114</v>
      </c>
      <c r="G25" s="17">
        <v>0</v>
      </c>
      <c r="H25" s="14" t="str">
        <f t="shared" si="2"/>
        <v>否</v>
      </c>
      <c r="I25" s="14" t="str">
        <f t="shared" si="3"/>
        <v>否</v>
      </c>
      <c r="J25" s="15" t="str">
        <f t="shared" si="0"/>
        <v>否</v>
      </c>
    </row>
    <row r="26" spans="1:10">
      <c r="A26" s="7">
        <f>IF(子基金及业绩基准周净值!A30="","",子基金及业绩基准周净值!A30)</f>
        <v>45653</v>
      </c>
      <c r="B26" s="1">
        <f>IF(A26="","",VLOOKUP($A26,子基金及业绩基准周净值!$A:$F,5))</f>
        <v>1.0492</v>
      </c>
      <c r="C26" s="8">
        <f t="shared" si="1"/>
        <v>0.00104951817574647</v>
      </c>
      <c r="D26" s="9">
        <f>IF(A26="","",C26-(子基金及业绩基准周净值!AH30/子基金及业绩基准周净值!AH29-1))</f>
        <v>0.000953520209175802</v>
      </c>
      <c r="E26" s="12">
        <f>IF(A26="","",(MAX(B$3:B26)-B26)/MAX(B$3:B26))</f>
        <v>0</v>
      </c>
      <c r="F26" s="12">
        <f>IF(A26="","",MAX(E$4:E26))</f>
        <v>0.0265262336649114</v>
      </c>
      <c r="G26" s="17">
        <v>0</v>
      </c>
      <c r="H26" s="14" t="str">
        <f t="shared" si="2"/>
        <v>否</v>
      </c>
      <c r="I26" s="14" t="str">
        <f t="shared" si="3"/>
        <v>否</v>
      </c>
      <c r="J26" s="15" t="str">
        <f t="shared" si="0"/>
        <v>否</v>
      </c>
    </row>
    <row r="27" spans="1:10">
      <c r="A27" s="7">
        <f>IF(子基金及业绩基准周净值!A31="","",子基金及业绩基准周净值!A31)</f>
        <v>45660</v>
      </c>
      <c r="B27" s="1">
        <f>IF(A27="","",VLOOKUP($A27,子基金及业绩基准周净值!$A:$F,5))</f>
        <v>1.0504</v>
      </c>
      <c r="C27" s="8">
        <f t="shared" si="1"/>
        <v>0.00114372855508968</v>
      </c>
      <c r="D27" s="9">
        <f>IF(A27="","",C27-(子基金及业绩基准周净值!AH31/子基金及业绩基准周净值!AH30-1))</f>
        <v>0.00549407730514259</v>
      </c>
      <c r="E27" s="12">
        <f>IF(A27="","",(MAX(B$3:B27)-B27)/MAX(B$3:B27))</f>
        <v>0</v>
      </c>
      <c r="F27" s="12">
        <f>IF(A27="","",MAX(E$4:E27))</f>
        <v>0.0265262336649114</v>
      </c>
      <c r="G27" s="17">
        <v>0</v>
      </c>
      <c r="H27" s="14" t="str">
        <f t="shared" si="2"/>
        <v>否</v>
      </c>
      <c r="I27" s="14" t="str">
        <f t="shared" si="3"/>
        <v>否</v>
      </c>
      <c r="J27" s="15" t="str">
        <f t="shared" si="0"/>
        <v>否</v>
      </c>
    </row>
    <row r="28" spans="1:10">
      <c r="A28" s="7">
        <f>IF(子基金及业绩基准周净值!A32="","",子基金及业绩基准周净值!A32)</f>
        <v>45667</v>
      </c>
      <c r="B28" s="1">
        <f>IF(A28="","",VLOOKUP($A28,子基金及业绩基准周净值!$A:$F,5))</f>
        <v>1.0516</v>
      </c>
      <c r="C28" s="8">
        <f t="shared" si="1"/>
        <v>0.00114242193450123</v>
      </c>
      <c r="D28" s="9">
        <f>IF(A28="","",C28-(子基金及业绩基准周净值!AH32/子基金及业绩基准周净值!AH31-1))</f>
        <v>0.000950269957411012</v>
      </c>
      <c r="E28" s="12">
        <f>IF(A28="","",(MAX(B$3:B28)-B28)/MAX(B$3:B28))</f>
        <v>0</v>
      </c>
      <c r="F28" s="12">
        <f>IF(A28="","",MAX(E$4:E28))</f>
        <v>0.0265262336649114</v>
      </c>
      <c r="G28" s="17">
        <v>0</v>
      </c>
      <c r="H28" s="14" t="str">
        <f t="shared" si="2"/>
        <v>否</v>
      </c>
      <c r="I28" s="14" t="str">
        <f t="shared" si="3"/>
        <v>否</v>
      </c>
      <c r="J28" s="15" t="str">
        <f t="shared" si="0"/>
        <v>否</v>
      </c>
    </row>
    <row r="29" spans="1:10">
      <c r="A29" s="7">
        <f>IF(子基金及业绩基准周净值!A33="","",子基金及业绩基准周净值!A33)</f>
        <v>45674</v>
      </c>
      <c r="B29" s="1">
        <f>IF(A29="","",VLOOKUP($A29,子基金及业绩基准周净值!$A:$F,5))</f>
        <v>1.0528</v>
      </c>
      <c r="C29" s="8">
        <f t="shared" si="1"/>
        <v>0.00114111829592989</v>
      </c>
      <c r="D29" s="9">
        <f>IF(A29="","",C29-(子基金及业绩基准周净值!AH33/子基金及业绩基准周净值!AH32-1))</f>
        <v>-0.00262421188625284</v>
      </c>
      <c r="E29" s="12">
        <f>IF(A29="","",(MAX(B$3:B29)-B29)/MAX(B$3:B29))</f>
        <v>0</v>
      </c>
      <c r="F29" s="12">
        <f>IF(A29="","",MAX(E$4:E29))</f>
        <v>0.0265262336649114</v>
      </c>
      <c r="G29" s="17">
        <v>1</v>
      </c>
      <c r="H29" s="14" t="str">
        <f t="shared" si="2"/>
        <v>否</v>
      </c>
      <c r="I29" s="14" t="str">
        <f t="shared" si="3"/>
        <v>否</v>
      </c>
      <c r="J29" s="15" t="str">
        <f t="shared" si="0"/>
        <v>否</v>
      </c>
    </row>
    <row r="30" spans="1:10">
      <c r="A30" s="7">
        <f>IF(子基金及业绩基准周净值!A34="","",子基金及业绩基准周净值!A34)</f>
        <v>45681</v>
      </c>
      <c r="B30" s="1">
        <f>IF(A30="","",VLOOKUP($A30,子基金及业绩基准周净值!$A:$F,5))</f>
        <v>1.0539</v>
      </c>
      <c r="C30" s="8">
        <f t="shared" si="1"/>
        <v>0.00104483282674782</v>
      </c>
      <c r="D30" s="9">
        <f>IF(A30="","",C30-(子基金及业绩基准周净值!AH34/子基金及业绩基准周净值!AH33-1))</f>
        <v>-0.00168817175352222</v>
      </c>
      <c r="E30" s="12">
        <f>IF(A30="","",(MAX(B$3:B30)-B30)/MAX(B$3:B30))</f>
        <v>0</v>
      </c>
      <c r="F30" s="12">
        <f>IF(A30="","",MAX(E$4:E30))</f>
        <v>0.0265262336649114</v>
      </c>
      <c r="G30" s="17">
        <v>2</v>
      </c>
      <c r="H30" s="14" t="str">
        <f t="shared" si="2"/>
        <v>否</v>
      </c>
      <c r="I30" s="14" t="str">
        <f t="shared" si="3"/>
        <v>否</v>
      </c>
      <c r="J30" s="15" t="str">
        <f t="shared" si="0"/>
        <v>否</v>
      </c>
    </row>
    <row r="31" spans="1:10">
      <c r="A31" s="7">
        <f>IF(子基金及业绩基准周净值!A35="","",子基金及业绩基准周净值!A35)</f>
        <v>45684</v>
      </c>
      <c r="B31" s="1">
        <f>IF(A31="","",VLOOKUP($A31,子基金及业绩基准周净值!$A:$F,5))</f>
        <v>1.0555</v>
      </c>
      <c r="C31" s="8">
        <f t="shared" si="1"/>
        <v>0.00151817060442172</v>
      </c>
      <c r="D31" s="9">
        <f>IF(A31="","",C31-(子基金及业绩基准周净值!AH35/子基金及业绩基准周净值!AH34-1))</f>
        <v>0.00121317016945543</v>
      </c>
      <c r="E31" s="12">
        <f>IF(A31="","",(MAX(B$3:B31)-B31)/MAX(B$3:B31))</f>
        <v>0</v>
      </c>
      <c r="F31" s="12">
        <f>IF(A31="","",MAX(E$4:E31))</f>
        <v>0.0265262336649114</v>
      </c>
      <c r="G31" s="17">
        <v>0</v>
      </c>
      <c r="H31" s="14" t="str">
        <f t="shared" si="2"/>
        <v>否</v>
      </c>
      <c r="I31" s="14" t="str">
        <f t="shared" si="3"/>
        <v>否</v>
      </c>
      <c r="J31" s="15" t="str">
        <f t="shared" si="0"/>
        <v>否</v>
      </c>
    </row>
    <row r="32" spans="1:10">
      <c r="A32" s="7">
        <f>IF(子基金及业绩基准周净值!A36="","",子基金及业绩基准周净值!A36)</f>
        <v>45695</v>
      </c>
      <c r="B32" s="1">
        <f>IF(A32="","",VLOOKUP($A32,子基金及业绩基准周净值!$A:$F,5))</f>
        <v>1.0563</v>
      </c>
      <c r="C32" s="8">
        <f t="shared" si="1"/>
        <v>0.000757934628138239</v>
      </c>
      <c r="D32" s="9">
        <f>IF(A32="","",C32-(子基金及业绩基准周净值!AH36/子基金及业绩基准周净值!AH35-1))</f>
        <v>-0.00201506599479338</v>
      </c>
      <c r="E32" s="12">
        <f>IF(A32="","",(MAX(B$3:B32)-B32)/MAX(B$3:B32))</f>
        <v>0</v>
      </c>
      <c r="F32" s="12">
        <f>IF(A32="","",MAX(E$4:E32))</f>
        <v>0.0265262336649114</v>
      </c>
      <c r="G32" s="17">
        <v>1</v>
      </c>
      <c r="H32" s="14" t="str">
        <f t="shared" si="2"/>
        <v>否</v>
      </c>
      <c r="I32" s="14" t="str">
        <f t="shared" si="3"/>
        <v>否</v>
      </c>
      <c r="J32" s="15" t="str">
        <f t="shared" si="0"/>
        <v>否</v>
      </c>
    </row>
    <row r="33" spans="1:10">
      <c r="A33" s="7">
        <f>IF(子基金及业绩基准周净值!A37="","",子基金及业绩基准周净值!A37)</f>
        <v>45702</v>
      </c>
      <c r="B33" s="1">
        <f>IF(A33="","",VLOOKUP($A33,子基金及业绩基准周净值!$A:$F,5))</f>
        <v>1.0575</v>
      </c>
      <c r="C33" s="8">
        <f t="shared" si="1"/>
        <v>0.00113604089747239</v>
      </c>
      <c r="D33" s="9">
        <f>IF(A33="","",C33-(子基金及业绩基准周净值!AH37/子基金及业绩基准周净值!AH36-1))</f>
        <v>-0.00103850042872004</v>
      </c>
      <c r="E33" s="12">
        <f>IF(A33="","",(MAX(B$3:B33)-B33)/MAX(B$3:B33))</f>
        <v>0</v>
      </c>
      <c r="F33" s="12">
        <f>IF(A33="","",MAX(E$4:E33))</f>
        <v>0.0265262336649114</v>
      </c>
      <c r="G33" s="17">
        <v>2</v>
      </c>
      <c r="H33" s="14" t="str">
        <f t="shared" si="2"/>
        <v>否</v>
      </c>
      <c r="I33" s="14" t="str">
        <f t="shared" si="3"/>
        <v>否</v>
      </c>
      <c r="J33" s="15" t="str">
        <f t="shared" si="0"/>
        <v>否</v>
      </c>
    </row>
    <row r="34" spans="1:10">
      <c r="A34" s="7">
        <f>IF(子基金及业绩基准周净值!A38="","",子基金及业绩基准周净值!A38)</f>
        <v>45709</v>
      </c>
      <c r="B34" s="1">
        <f>IF(A34="","",VLOOKUP($A34,子基金及业绩基准周净值!$A:$F,5))</f>
        <v>1.0586</v>
      </c>
      <c r="C34" s="8">
        <f t="shared" si="1"/>
        <v>0.00104018912529539</v>
      </c>
      <c r="D34" s="9">
        <f>IF(A34="","",C34-(子基金及业绩基准周净值!AH38/子基金及业绩基准周净值!AH37-1))</f>
        <v>-0.00484756503341606</v>
      </c>
      <c r="E34" s="12">
        <f>IF(A34="","",(MAX(B$3:B34)-B34)/MAX(B$3:B34))</f>
        <v>0</v>
      </c>
      <c r="F34" s="12">
        <f>IF(A34="","",MAX(E$4:E34))</f>
        <v>0.0265262336649114</v>
      </c>
      <c r="G34" s="17">
        <v>3</v>
      </c>
      <c r="H34" s="14" t="str">
        <f t="shared" si="2"/>
        <v>否</v>
      </c>
      <c r="I34" s="14" t="str">
        <f t="shared" si="3"/>
        <v>否</v>
      </c>
      <c r="J34" s="15" t="str">
        <f t="shared" si="0"/>
        <v>否</v>
      </c>
    </row>
    <row r="35" spans="1:10">
      <c r="A35" s="7">
        <f>IF(子基金及业绩基准周净值!A39="","",子基金及业绩基准周净值!A39)</f>
        <v>45716</v>
      </c>
      <c r="B35" s="1">
        <f>IF(A35="","",VLOOKUP($A35,子基金及业绩基准周净值!$A:$F,5))</f>
        <v>1.0598</v>
      </c>
      <c r="C35" s="8">
        <f t="shared" si="1"/>
        <v>0.00113357264311363</v>
      </c>
      <c r="D35" s="9">
        <f>IF(A35="","",C35-(子基金及业绩基准周净值!AH39/子基金及业绩基准周净值!AH38-1))</f>
        <v>0.00193929757442655</v>
      </c>
      <c r="E35" s="12">
        <f>IF(A35="","",(MAX(B$3:B35)-B35)/MAX(B$3:B35))</f>
        <v>0</v>
      </c>
      <c r="F35" s="12">
        <f>IF(A35="","",MAX(E$4:E35))</f>
        <v>0.0265262336649114</v>
      </c>
      <c r="G35" s="17">
        <v>0</v>
      </c>
      <c r="H35" s="14" t="str">
        <f t="shared" si="2"/>
        <v>否</v>
      </c>
      <c r="I35" s="14" t="str">
        <f t="shared" si="3"/>
        <v>否</v>
      </c>
      <c r="J35" s="15" t="str">
        <f t="shared" si="0"/>
        <v>否</v>
      </c>
    </row>
    <row r="36" spans="1:10">
      <c r="A36" s="7">
        <f>IF(子基金及业绩基准周净值!A40="","",子基金及业绩基准周净值!A40)</f>
        <v>45723</v>
      </c>
      <c r="B36" s="1">
        <f>IF(A36="","",VLOOKUP($A36,子基金及业绩基准周净值!$A:$F,5))</f>
        <v>1.061</v>
      </c>
      <c r="C36" s="8">
        <f t="shared" si="1"/>
        <v>0.00113228911115292</v>
      </c>
      <c r="D36" s="9">
        <f>IF(A36="","",C36-(子基金及业绩基准周净值!AH40/子基金及业绩基准周净值!AH39-1))</f>
        <v>-0.00363226778006154</v>
      </c>
      <c r="E36" s="12">
        <f>IF(A36="","",(MAX(B$3:B36)-B36)/MAX(B$3:B36))</f>
        <v>0</v>
      </c>
      <c r="F36" s="12">
        <f>IF(A36="","",MAX(E$4:E36))</f>
        <v>0.0265262336649114</v>
      </c>
      <c r="G36" s="17">
        <v>1</v>
      </c>
      <c r="H36" s="14" t="str">
        <f t="shared" si="2"/>
        <v>否</v>
      </c>
      <c r="I36" s="14" t="str">
        <f t="shared" si="3"/>
        <v>否</v>
      </c>
      <c r="J36" s="15" t="str">
        <f t="shared" si="0"/>
        <v>否</v>
      </c>
    </row>
    <row r="37" spans="1:10">
      <c r="A37" s="7">
        <f>IF(子基金及业绩基准周净值!A41="","",子基金及业绩基准周净值!A41)</f>
        <v>45730</v>
      </c>
      <c r="B37" s="1">
        <f>IF(A37="","",VLOOKUP($A37,子基金及业绩基准周净值!$A:$F,5))</f>
        <v>1.0622</v>
      </c>
      <c r="C37" s="8">
        <f t="shared" si="1"/>
        <v>0.0011310084825637</v>
      </c>
      <c r="D37" s="9">
        <f>IF(A37="","",C37-(子基金及业绩基准周净值!AH41/子基金及业绩基准周净值!AH40-1))</f>
        <v>-9.92023946693693e-5</v>
      </c>
      <c r="E37" s="12">
        <f>IF(A37="","",(MAX(B$3:B37)-B37)/MAX(B$3:B37))</f>
        <v>0</v>
      </c>
      <c r="F37" s="12">
        <f>IF(A37="","",MAX(E$4:E37))</f>
        <v>0.0265262336649114</v>
      </c>
      <c r="G37" s="17">
        <v>2</v>
      </c>
      <c r="H37" s="14" t="str">
        <f t="shared" si="2"/>
        <v>否</v>
      </c>
      <c r="I37" s="14" t="str">
        <f t="shared" si="3"/>
        <v>否</v>
      </c>
      <c r="J37" s="15" t="str">
        <f t="shared" si="0"/>
        <v>否</v>
      </c>
    </row>
    <row r="38" spans="1:10">
      <c r="A38" s="7">
        <f>IF(子基金及业绩基准周净值!A42="","",子基金及业绩基准周净值!A42)</f>
        <v>45737</v>
      </c>
      <c r="B38" s="1">
        <f>IF(A38="","",VLOOKUP($A38,子基金及业绩基准周净值!$A:$F,5))</f>
        <v>1.0634</v>
      </c>
      <c r="C38" s="8">
        <f t="shared" si="1"/>
        <v>0.00112973074750505</v>
      </c>
      <c r="D38" s="9">
        <f>IF(A38="","",C38-(子基金及业绩基准周净值!AH42/子基金及业绩基准周净值!AH41-1))</f>
        <v>0.00172246397561809</v>
      </c>
      <c r="E38" s="12">
        <f>IF(A38="","",(MAX(B$3:B38)-B38)/MAX(B$3:B38))</f>
        <v>0</v>
      </c>
      <c r="F38" s="12">
        <f>IF(A38="","",MAX(E$4:E38))</f>
        <v>0.0265262336649114</v>
      </c>
      <c r="G38" s="17">
        <v>0</v>
      </c>
      <c r="H38" s="14" t="str">
        <f t="shared" si="2"/>
        <v>否</v>
      </c>
      <c r="I38" s="14" t="str">
        <f t="shared" si="3"/>
        <v>否</v>
      </c>
      <c r="J38" s="15" t="str">
        <f t="shared" si="0"/>
        <v>否</v>
      </c>
    </row>
    <row r="39" spans="1:10">
      <c r="A39" s="7">
        <f>IF(子基金及业绩基准周净值!A43="","",子基金及业绩基准周净值!A43)</f>
        <v>45744</v>
      </c>
      <c r="B39" s="1">
        <f>IF(A39="","",VLOOKUP($A39,子基金及业绩基准周净值!$A:$F,5))</f>
        <v>1.0645</v>
      </c>
      <c r="C39" s="8">
        <f t="shared" si="1"/>
        <v>0.00103441790483365</v>
      </c>
      <c r="D39" s="9">
        <f>IF(A39="","",C39-(子基金及业绩基准周净值!AH43/子基金及业绩基准周净值!AH42-1))</f>
        <v>0.0013164388839844</v>
      </c>
      <c r="E39" s="12">
        <f>IF(A39="","",(MAX(B$3:B39)-B39)/MAX(B$3:B39))</f>
        <v>0</v>
      </c>
      <c r="F39" s="12">
        <f>IF(A39="","",MAX(E$4:E39))</f>
        <v>0.0265262336649114</v>
      </c>
      <c r="G39" s="17">
        <v>0</v>
      </c>
      <c r="H39" s="14" t="str">
        <f t="shared" si="2"/>
        <v>否</v>
      </c>
      <c r="I39" s="14" t="str">
        <f t="shared" si="3"/>
        <v>否</v>
      </c>
      <c r="J39" s="15" t="str">
        <f t="shared" si="0"/>
        <v>否</v>
      </c>
    </row>
    <row r="40" spans="1:10">
      <c r="A40" s="7">
        <f>IF(子基金及业绩基准周净值!A44="","",子基金及业绩基准周净值!A44)</f>
        <v>45750</v>
      </c>
      <c r="B40" s="1">
        <f>IF(A40="","",VLOOKUP($A40,子基金及业绩基准周净值!$A:$F,5))</f>
        <v>1.0657</v>
      </c>
      <c r="C40" s="8">
        <f t="shared" si="1"/>
        <v>0.00112728980742141</v>
      </c>
      <c r="D40" s="9">
        <f>IF(A40="","",C40-(子基金及业绩基准周净值!AH44/子基金及业绩基准周净值!AH43-1))</f>
        <v>-0.000331223486050277</v>
      </c>
      <c r="E40" s="12">
        <f>IF(A40="","",(MAX(B$3:B40)-B40)/MAX(B$3:B40))</f>
        <v>0</v>
      </c>
      <c r="F40" s="12">
        <f>IF(A40="","",MAX(E$4:E40))</f>
        <v>0.0265262336649114</v>
      </c>
      <c r="G40" s="17">
        <v>1</v>
      </c>
      <c r="H40" s="14" t="str">
        <f t="shared" si="2"/>
        <v>否</v>
      </c>
      <c r="I40" s="14" t="str">
        <f t="shared" si="3"/>
        <v>否</v>
      </c>
      <c r="J40" s="15" t="str">
        <f t="shared" si="0"/>
        <v>否</v>
      </c>
    </row>
    <row r="41" spans="1:10">
      <c r="A41" s="7">
        <f>IF(子基金及业绩基准周净值!A45="","",子基金及业绩基准周净值!A45)</f>
        <v>45758</v>
      </c>
      <c r="B41" s="1">
        <f>IF(A41="","",VLOOKUP($A41,子基金及业绩基准周净值!$A:$F,5))</f>
        <v>1.0669</v>
      </c>
      <c r="C41" s="8">
        <f t="shared" si="1"/>
        <v>0.00112602045603816</v>
      </c>
      <c r="D41" s="9">
        <f>IF(A41="","",C41-(子基金及业绩基准周净值!AH45/子基金及业绩基准周净值!AH44-1))</f>
        <v>0.00729498648158977</v>
      </c>
      <c r="E41" s="12">
        <f>IF(A41="","",(MAX(B$3:B41)-B41)/MAX(B$3:B41))</f>
        <v>0</v>
      </c>
      <c r="F41" s="12">
        <f>IF(A41="","",MAX(E$4:E41))</f>
        <v>0.0265262336649114</v>
      </c>
      <c r="G41" s="17">
        <v>0</v>
      </c>
      <c r="H41" s="14" t="str">
        <f t="shared" si="2"/>
        <v>否</v>
      </c>
      <c r="I41" s="14" t="str">
        <f t="shared" si="3"/>
        <v>否</v>
      </c>
      <c r="J41" s="15" t="str">
        <f t="shared" si="0"/>
        <v>否</v>
      </c>
    </row>
    <row r="42" spans="1:10">
      <c r="A42" s="7">
        <f>IF(子基金及业绩基准周净值!A46="","",子基金及业绩基准周净值!A46)</f>
        <v>45765</v>
      </c>
      <c r="B42" s="1">
        <f>IF(A42="","",VLOOKUP($A42,子基金及业绩基准周净值!$A:$F,5))</f>
        <v>1.0681</v>
      </c>
      <c r="C42" s="8">
        <f t="shared" si="1"/>
        <v>0.00112475396007132</v>
      </c>
      <c r="D42" s="9">
        <f>IF(A42="","",C42-(子基金及业绩基准周净值!AH46/子基金及业绩基准周净值!AH45-1))</f>
        <v>-0.00314452447576159</v>
      </c>
      <c r="E42" s="12">
        <f>IF(A42="","",(MAX(B$3:B42)-B42)/MAX(B$3:B42))</f>
        <v>0</v>
      </c>
      <c r="F42" s="12">
        <f>IF(A42="","",MAX(E$4:E42))</f>
        <v>0.0265262336649114</v>
      </c>
      <c r="G42" s="17">
        <v>1</v>
      </c>
      <c r="H42" s="14" t="str">
        <f t="shared" si="2"/>
        <v>否</v>
      </c>
      <c r="I42" s="14" t="str">
        <f t="shared" si="3"/>
        <v>否</v>
      </c>
      <c r="J42" s="15" t="str">
        <f t="shared" si="0"/>
        <v>否</v>
      </c>
    </row>
    <row r="43" spans="1:10">
      <c r="A43" s="7">
        <f>IF(子基金及业绩基准周净值!A47="","",子基金及业绩基准周净值!A47)</f>
        <v>45772</v>
      </c>
      <c r="B43" s="1">
        <f>IF(A43="","",VLOOKUP($A43,子基金及业绩基准周净值!$A:$F,5))</f>
        <v>1.0686</v>
      </c>
      <c r="C43" s="8">
        <f t="shared" si="1"/>
        <v>0.000468120962456647</v>
      </c>
      <c r="D43" s="9">
        <f>IF(A43="","",C43-(子基金及业绩基准周净值!AH47/子基金及业绩基准周净值!AH46-1))</f>
        <v>-0.00191399673708069</v>
      </c>
      <c r="E43" s="12">
        <f>IF(A43="","",(MAX(B$3:B43)-B43)/MAX(B$3:B43))</f>
        <v>0</v>
      </c>
      <c r="F43" s="12">
        <f>IF(A43="","",MAX(E$4:E43))</f>
        <v>0.0265262336649114</v>
      </c>
      <c r="G43" s="17">
        <v>2</v>
      </c>
      <c r="H43" s="14" t="str">
        <f t="shared" si="2"/>
        <v>否</v>
      </c>
      <c r="I43" s="14" t="str">
        <f t="shared" si="3"/>
        <v>否</v>
      </c>
      <c r="J43" s="15" t="str">
        <f t="shared" si="0"/>
        <v>否</v>
      </c>
    </row>
    <row r="44" spans="1:10">
      <c r="A44" s="7">
        <f>IF(子基金及业绩基准周净值!A48="","",子基金及业绩基准周净值!A48)</f>
        <v>45786</v>
      </c>
      <c r="B44" s="1">
        <f>IF(A44="","",VLOOKUP($A44,子基金及业绩基准周净值!$A:$F,5))</f>
        <v>1.068</v>
      </c>
      <c r="C44" s="8">
        <f t="shared" si="1"/>
        <v>-0.000561482313307069</v>
      </c>
      <c r="D44" s="9">
        <f>IF(A44="","",C44-(子基金及业绩基准周净值!AH48/子基金及业绩基准周净值!AH47-1))</f>
        <v>-0.00723134841581082</v>
      </c>
      <c r="E44" s="12">
        <f>IF(A44="","",(MAX(B$3:B44)-B44)/MAX(B$3:B44))</f>
        <v>0.000561482313307069</v>
      </c>
      <c r="F44" s="12">
        <f>IF(A44="","",MAX(E$4:E44))</f>
        <v>0.0265262336649114</v>
      </c>
      <c r="G44" s="17">
        <v>3</v>
      </c>
      <c r="H44" s="14" t="str">
        <f t="shared" si="2"/>
        <v>否</v>
      </c>
      <c r="I44" s="14" t="str">
        <f t="shared" si="3"/>
        <v>否</v>
      </c>
      <c r="J44" s="15" t="str">
        <f t="shared" si="0"/>
        <v>否</v>
      </c>
    </row>
    <row r="45" spans="1:10">
      <c r="A45" s="7">
        <f>IF(子基金及业绩基准周净值!A49="","",子基金及业绩基准周净值!A49)</f>
        <v>45793</v>
      </c>
      <c r="B45" s="1">
        <f>IF(A45="","",VLOOKUP($A45,子基金及业绩基准周净值!$A:$F,5))</f>
        <v>1.068</v>
      </c>
      <c r="C45" s="8">
        <f t="shared" si="1"/>
        <v>0</v>
      </c>
      <c r="D45" s="9">
        <f>IF(A45="","",C45-(子基金及业绩基准周净值!AH49/子基金及业绩基准周净值!AH48-1))</f>
        <v>-0.00992640178423976</v>
      </c>
      <c r="E45" s="12">
        <f>IF(A45="","",(MAX(B$3:B45)-B45)/MAX(B$3:B45))</f>
        <v>0.000561482313307069</v>
      </c>
      <c r="F45" s="12">
        <f>IF(A45="","",MAX(E$4:E45))</f>
        <v>0.0265262336649114</v>
      </c>
      <c r="G45" s="17">
        <v>4</v>
      </c>
      <c r="H45" s="14" t="str">
        <f t="shared" si="2"/>
        <v>否</v>
      </c>
      <c r="I45" s="14" t="str">
        <f t="shared" si="3"/>
        <v>否</v>
      </c>
      <c r="J45" s="15" t="str">
        <f t="shared" si="0"/>
        <v>是</v>
      </c>
    </row>
    <row r="46" spans="1:10">
      <c r="A46" s="7">
        <f>IF(子基金及业绩基准周净值!A50="","",子基金及业绩基准周净值!A50)</f>
        <v>45800</v>
      </c>
      <c r="B46" s="1">
        <f>IF(A46="","",VLOOKUP($A46,子基金及业绩基准周净值!$A:$F,5))</f>
        <v>1.0678</v>
      </c>
      <c r="C46" s="8">
        <f t="shared" si="1"/>
        <v>-0.000187265917602976</v>
      </c>
      <c r="D46" s="9">
        <f>IF(A46="","",C46-(子基金及业绩基准周净值!AH50/子基金及业绩基准周净值!AH49-1))</f>
        <v>0.00692106413932637</v>
      </c>
      <c r="E46" s="12">
        <f>IF(A46="","",(MAX(B$3:B46)-B46)/MAX(B$3:B46))</f>
        <v>0.000748643084409425</v>
      </c>
      <c r="F46" s="12">
        <f>IF(A46="","",MAX(E$4:E46))</f>
        <v>0.0265262336649114</v>
      </c>
      <c r="G46" s="17">
        <v>0</v>
      </c>
      <c r="H46" s="14" t="str">
        <f t="shared" si="2"/>
        <v>否</v>
      </c>
      <c r="I46" s="14" t="str">
        <f t="shared" si="3"/>
        <v>否</v>
      </c>
      <c r="J46" s="15" t="str">
        <f t="shared" si="0"/>
        <v>否</v>
      </c>
    </row>
    <row r="47" spans="1:10">
      <c r="A47" s="7">
        <f>IF(子基金及业绩基准周净值!A51="","",子基金及业绩基准周净值!A51)</f>
        <v>45807</v>
      </c>
      <c r="B47" s="1">
        <f>IF(A47="","",VLOOKUP($A47,子基金及业绩基准周净值!$A:$F,5))</f>
        <v>0</v>
      </c>
      <c r="C47" s="8">
        <f t="shared" si="1"/>
        <v>-1</v>
      </c>
      <c r="D47" s="9">
        <f>IF(A47="","",C47-(子基金及业绩基准周净值!AH51/子基金及业绩基准周净值!AH50-1))</f>
        <v>-1.00146298750833</v>
      </c>
      <c r="E47" s="12">
        <f>IF(A47="","",(MAX(B$3:B47)-B47)/MAX(B$3:B47))</f>
        <v>1</v>
      </c>
      <c r="F47" s="12">
        <f>IF(A47="","",MAX(E$4:E47))</f>
        <v>1</v>
      </c>
      <c r="G47" s="17" t="e">
        <f>IF(A47="","",MAX(FREQUENCY(IF($D$3:D47&lt;0,ROW($D$3:D47)),IF($D$3:D47&gt;=0,ROW($D$3:D47)))))</f>
        <v>#VALUE!</v>
      </c>
      <c r="H47" s="14" t="str">
        <f t="shared" si="2"/>
        <v>是</v>
      </c>
      <c r="I47" s="14" t="str">
        <f t="shared" si="3"/>
        <v>是</v>
      </c>
      <c r="J47" s="15" t="e">
        <f t="shared" si="0"/>
        <v>#VALUE!</v>
      </c>
    </row>
    <row r="48" spans="1:10">
      <c r="A48" s="7">
        <f>IF(子基金及业绩基准周净值!A52="","",子基金及业绩基准周净值!A52)</f>
        <v>45814</v>
      </c>
      <c r="B48" s="1">
        <f>IF(A48="","",VLOOKUP($A48,子基金及业绩基准周净值!$A:$F,5))</f>
        <v>0</v>
      </c>
      <c r="C48" s="8" t="e">
        <f t="shared" si="1"/>
        <v>#DIV/0!</v>
      </c>
      <c r="D48" s="9" t="e">
        <f>IF(A48="","",C48-(子基金及业绩基准周净值!AH52/子基金及业绩基准周净值!AH51-1))</f>
        <v>#DIV/0!</v>
      </c>
      <c r="E48" s="12">
        <f>IF(A48="","",(MAX(B$3:B48)-B48)/MAX(B$3:B48))</f>
        <v>1</v>
      </c>
      <c r="F48" s="12">
        <f>IF(A48="","",MAX(E$4:E48))</f>
        <v>1</v>
      </c>
      <c r="G48" s="17" t="e">
        <f>IF(A48="","",MAX(FREQUENCY(IF($D$3:D48&lt;0,ROW($D$3:D48)),IF($D$3:D48&gt;=0,ROW($D$3:D48)))))</f>
        <v>#DIV/0!</v>
      </c>
      <c r="H48" s="14" t="str">
        <f t="shared" si="2"/>
        <v>是</v>
      </c>
      <c r="I48" s="14" t="str">
        <f t="shared" si="3"/>
        <v>是</v>
      </c>
      <c r="J48" s="15" t="e">
        <f t="shared" si="0"/>
        <v>#DIV/0!</v>
      </c>
    </row>
    <row r="49" spans="1:10">
      <c r="A49" s="7">
        <f>IF(子基金及业绩基准周净值!A53="","",子基金及业绩基准周净值!A53)</f>
        <v>45821</v>
      </c>
      <c r="B49" s="1">
        <f>IF(A49="","",VLOOKUP($A49,子基金及业绩基准周净值!$A:$F,5))</f>
        <v>0</v>
      </c>
      <c r="C49" s="8" t="e">
        <f t="shared" si="1"/>
        <v>#DIV/0!</v>
      </c>
      <c r="D49" s="9" t="e">
        <f>IF(A49="","",C49-(子基金及业绩基准周净值!AH53/子基金及业绩基准周净值!AH52-1))</f>
        <v>#DIV/0!</v>
      </c>
      <c r="E49" s="12">
        <f>IF(A49="","",(MAX(B$3:B49)-B49)/MAX(B$3:B49))</f>
        <v>1</v>
      </c>
      <c r="F49" s="12">
        <f>IF(A49="","",MAX(E$4:E49))</f>
        <v>1</v>
      </c>
      <c r="G49" s="17" t="e">
        <f>IF(A49="","",MAX(FREQUENCY(IF($D$3:D49&lt;0,ROW($D$3:D49)),IF($D$3:D49&gt;=0,ROW($D$3:D49)))))</f>
        <v>#DIV/0!</v>
      </c>
      <c r="H49" s="14" t="str">
        <f t="shared" si="2"/>
        <v>是</v>
      </c>
      <c r="I49" s="14" t="str">
        <f t="shared" si="3"/>
        <v>是</v>
      </c>
      <c r="J49" s="15" t="e">
        <f t="shared" si="0"/>
        <v>#DIV/0!</v>
      </c>
    </row>
    <row r="50" spans="1:10">
      <c r="A50" s="7">
        <f>IF(子基金及业绩基准周净值!A54="","",子基金及业绩基准周净值!A54)</f>
        <v>45828</v>
      </c>
      <c r="B50" s="1">
        <f>IF(A50="","",VLOOKUP($A50,子基金及业绩基准周净值!$A:$F,5))</f>
        <v>0</v>
      </c>
      <c r="C50" s="8" t="e">
        <f t="shared" si="1"/>
        <v>#DIV/0!</v>
      </c>
      <c r="D50" s="9" t="e">
        <f>IF(A50="","",C50-(子基金及业绩基准周净值!AH54/子基金及业绩基准周净值!AH53-1))</f>
        <v>#DIV/0!</v>
      </c>
      <c r="E50" s="12">
        <f>IF(A50="","",(MAX(B$3:B50)-B50)/MAX(B$3:B50))</f>
        <v>1</v>
      </c>
      <c r="F50" s="12">
        <f>IF(A50="","",MAX(E$4:E50))</f>
        <v>1</v>
      </c>
      <c r="G50" s="17" t="e">
        <f>IF(A50="","",MAX(FREQUENCY(IF($D$3:D50&lt;0,ROW($D$3:D50)),IF($D$3:D50&gt;=0,ROW($D$3:D50)))))</f>
        <v>#DIV/0!</v>
      </c>
      <c r="H50" s="14" t="str">
        <f t="shared" si="2"/>
        <v>是</v>
      </c>
      <c r="I50" s="14" t="str">
        <f t="shared" si="3"/>
        <v>是</v>
      </c>
      <c r="J50" s="15" t="e">
        <f t="shared" si="0"/>
        <v>#DIV/0!</v>
      </c>
    </row>
    <row r="51" spans="1:10">
      <c r="A51" s="7">
        <f>IF(子基金及业绩基准周净值!A55="","",子基金及业绩基准周净值!A55)</f>
        <v>45835</v>
      </c>
      <c r="B51" s="1">
        <f>IF(A51="","",VLOOKUP($A51,子基金及业绩基准周净值!$A:$F,5))</f>
        <v>0</v>
      </c>
      <c r="C51" s="8" t="e">
        <f t="shared" si="1"/>
        <v>#DIV/0!</v>
      </c>
      <c r="D51" s="9" t="e">
        <f>IF(A51="","",C51-(子基金及业绩基准周净值!AH55/子基金及业绩基准周净值!AH54-1))</f>
        <v>#DIV/0!</v>
      </c>
      <c r="E51" s="12">
        <f>IF(A51="","",(MAX(B$3:B51)-B51)/MAX(B$3:B51))</f>
        <v>1</v>
      </c>
      <c r="F51" s="12">
        <f>IF(A51="","",MAX(E$4:E51))</f>
        <v>1</v>
      </c>
      <c r="G51" s="17" t="e">
        <f>IF(A51="","",MAX(FREQUENCY(IF($D$3:D51&lt;0,ROW($D$3:D51)),IF($D$3:D51&gt;=0,ROW($D$3:D51)))))</f>
        <v>#DIV/0!</v>
      </c>
      <c r="H51" s="14" t="str">
        <f t="shared" si="2"/>
        <v>是</v>
      </c>
      <c r="I51" s="14" t="str">
        <f t="shared" si="3"/>
        <v>是</v>
      </c>
      <c r="J51" s="15" t="e">
        <f t="shared" si="0"/>
        <v>#DIV/0!</v>
      </c>
    </row>
    <row r="52" spans="1:10">
      <c r="A52" s="7">
        <f>IF(子基金及业绩基准周净值!A56="","",子基金及业绩基准周净值!A56)</f>
        <v>45842</v>
      </c>
      <c r="B52" s="1">
        <f>IF(A52="","",VLOOKUP($A52,子基金及业绩基准周净值!$A:$F,5))</f>
        <v>0</v>
      </c>
      <c r="C52" s="8" t="e">
        <f t="shared" si="1"/>
        <v>#DIV/0!</v>
      </c>
      <c r="D52" s="9" t="e">
        <f>IF(A52="","",C52-(子基金及业绩基准周净值!AH56/子基金及业绩基准周净值!AH55-1))</f>
        <v>#DIV/0!</v>
      </c>
      <c r="E52" s="12">
        <f>IF(A52="","",(MAX(B$3:B52)-B52)/MAX(B$3:B52))</f>
        <v>1</v>
      </c>
      <c r="F52" s="12">
        <f>IF(A52="","",MAX(E$4:E52))</f>
        <v>1</v>
      </c>
      <c r="G52" s="17" t="e">
        <f>IF(A52="","",MAX(FREQUENCY(IF($D$3:D52&lt;0,ROW($D$3:D52)),IF($D$3:D52&gt;=0,ROW($D$3:D52)))))</f>
        <v>#DIV/0!</v>
      </c>
      <c r="H52" s="14" t="str">
        <f t="shared" si="2"/>
        <v>是</v>
      </c>
      <c r="I52" s="14" t="str">
        <f t="shared" si="3"/>
        <v>是</v>
      </c>
      <c r="J52" s="15" t="e">
        <f t="shared" si="0"/>
        <v>#DIV/0!</v>
      </c>
    </row>
    <row r="53" spans="1:10">
      <c r="A53" s="7">
        <f>IF(子基金及业绩基准周净值!A57="","",子基金及业绩基准周净值!A57)</f>
        <v>45849</v>
      </c>
      <c r="B53" s="1">
        <f>IF(A53="","",VLOOKUP($A53,子基金及业绩基准周净值!$A:$F,5))</f>
        <v>0</v>
      </c>
      <c r="C53" s="8" t="e">
        <f t="shared" si="1"/>
        <v>#DIV/0!</v>
      </c>
      <c r="D53" s="9" t="e">
        <f>IF(A53="","",C53-(子基金及业绩基准周净值!AH57/子基金及业绩基准周净值!AH56-1))</f>
        <v>#DIV/0!</v>
      </c>
      <c r="E53" s="12">
        <f>IF(A53="","",(MAX(B$3:B53)-B53)/MAX(B$3:B53))</f>
        <v>1</v>
      </c>
      <c r="F53" s="12">
        <f>IF(A53="","",MAX(E$4:E53))</f>
        <v>1</v>
      </c>
      <c r="G53" s="17" t="e">
        <f>IF(A53="","",MAX(FREQUENCY(IF($D$3:D53&lt;0,ROW($D$3:D53)),IF($D$3:D53&gt;=0,ROW($D$3:D53)))))</f>
        <v>#DIV/0!</v>
      </c>
      <c r="H53" s="14" t="str">
        <f t="shared" si="2"/>
        <v>是</v>
      </c>
      <c r="I53" s="14" t="str">
        <f t="shared" si="3"/>
        <v>是</v>
      </c>
      <c r="J53" s="15" t="e">
        <f t="shared" si="0"/>
        <v>#DIV/0!</v>
      </c>
    </row>
    <row r="54" spans="1:10">
      <c r="A54" s="7">
        <f>IF(子基金及业绩基准周净值!A58="","",子基金及业绩基准周净值!A58)</f>
        <v>45856</v>
      </c>
      <c r="B54" s="1">
        <f>IF(A54="","",VLOOKUP($A54,子基金及业绩基准周净值!$A:$F,5))</f>
        <v>0</v>
      </c>
      <c r="C54" s="8" t="e">
        <f t="shared" si="1"/>
        <v>#DIV/0!</v>
      </c>
      <c r="D54" s="9" t="e">
        <f>IF(A54="","",C54-(子基金及业绩基准周净值!AH58/子基金及业绩基准周净值!AH57-1))</f>
        <v>#DIV/0!</v>
      </c>
      <c r="E54" s="12">
        <f>IF(A54="","",(MAX(B$3:B54)-B54)/MAX(B$3:B54))</f>
        <v>1</v>
      </c>
      <c r="F54" s="12">
        <f>IF(A54="","",MAX(E$4:E54))</f>
        <v>1</v>
      </c>
      <c r="G54" s="17" t="e">
        <f>IF(A54="","",MAX(FREQUENCY(IF($D$3:D54&lt;0,ROW($D$3:D54)),IF($D$3:D54&gt;=0,ROW($D$3:D54)))))</f>
        <v>#DIV/0!</v>
      </c>
      <c r="H54" s="14" t="str">
        <f t="shared" si="2"/>
        <v>是</v>
      </c>
      <c r="I54" s="14" t="str">
        <f t="shared" si="3"/>
        <v>是</v>
      </c>
      <c r="J54" s="15" t="e">
        <f t="shared" si="0"/>
        <v>#DIV/0!</v>
      </c>
    </row>
    <row r="55" spans="1:10">
      <c r="A55" s="7">
        <f>IF(子基金及业绩基准周净值!A59="","",子基金及业绩基准周净值!A59)</f>
        <v>45863</v>
      </c>
      <c r="B55" s="1">
        <f>IF(A55="","",VLOOKUP($A55,子基金及业绩基准周净值!$A:$F,5))</f>
        <v>0</v>
      </c>
      <c r="C55" s="8" t="e">
        <f t="shared" si="1"/>
        <v>#DIV/0!</v>
      </c>
      <c r="D55" s="9" t="e">
        <f>IF(A55="","",C55-(子基金及业绩基准周净值!AH59/子基金及业绩基准周净值!AH58-1))</f>
        <v>#DIV/0!</v>
      </c>
      <c r="E55" s="12">
        <f>IF(A55="","",(MAX(B$3:B55)-B55)/MAX(B$3:B55))</f>
        <v>1</v>
      </c>
      <c r="F55" s="12">
        <f>IF(A55="","",MAX(E$4:E55))</f>
        <v>1</v>
      </c>
      <c r="G55" s="17" t="e">
        <f>IF(A55="","",MAX(FREQUENCY(IF($D$3:D55&lt;0,ROW($D$3:D55)),IF($D$3:D55&gt;=0,ROW($D$3:D55)))))</f>
        <v>#DIV/0!</v>
      </c>
      <c r="H55" s="14" t="str">
        <f t="shared" si="2"/>
        <v>是</v>
      </c>
      <c r="I55" s="14" t="str">
        <f t="shared" si="3"/>
        <v>是</v>
      </c>
      <c r="J55" s="15" t="e">
        <f t="shared" si="0"/>
        <v>#DIV/0!</v>
      </c>
    </row>
    <row r="56" spans="1:10">
      <c r="A56" s="7">
        <f>IF(子基金及业绩基准周净值!A60="","",子基金及业绩基准周净值!A60)</f>
        <v>45870</v>
      </c>
      <c r="B56" s="1">
        <f>IF(A56="","",VLOOKUP($A56,子基金及业绩基准周净值!$A:$F,5))</f>
        <v>0</v>
      </c>
      <c r="C56" s="8" t="e">
        <f t="shared" si="1"/>
        <v>#DIV/0!</v>
      </c>
      <c r="D56" s="9" t="e">
        <f>IF(A56="","",C56-(子基金及业绩基准周净值!AH60/子基金及业绩基准周净值!AH59-1))</f>
        <v>#DIV/0!</v>
      </c>
      <c r="E56" s="12">
        <f>IF(A56="","",(MAX(B$3:B56)-B56)/MAX(B$3:B56))</f>
        <v>1</v>
      </c>
      <c r="F56" s="12">
        <f>IF(A56="","",MAX(E$4:E56))</f>
        <v>1</v>
      </c>
      <c r="G56" s="17" t="e">
        <f>IF(A56="","",MAX(FREQUENCY(IF($D$3:D56&lt;0,ROW($D$3:D56)),IF($D$3:D56&gt;=0,ROW($D$3:D56)))))</f>
        <v>#DIV/0!</v>
      </c>
      <c r="H56" s="14" t="str">
        <f t="shared" si="2"/>
        <v>是</v>
      </c>
      <c r="I56" s="14" t="str">
        <f t="shared" si="3"/>
        <v>是</v>
      </c>
      <c r="J56" s="15" t="e">
        <f t="shared" si="0"/>
        <v>#DIV/0!</v>
      </c>
    </row>
    <row r="57" spans="1:10">
      <c r="A57" s="7">
        <f>IF(子基金及业绩基准周净值!A61="","",子基金及业绩基准周净值!A61)</f>
        <v>45877</v>
      </c>
      <c r="B57" s="1">
        <f>IF(A57="","",VLOOKUP($A57,子基金及业绩基准周净值!$A:$F,5))</f>
        <v>0</v>
      </c>
      <c r="C57" s="8" t="e">
        <f t="shared" si="1"/>
        <v>#DIV/0!</v>
      </c>
      <c r="D57" s="9" t="e">
        <f>IF(A57="","",C57-(子基金及业绩基准周净值!AH61/子基金及业绩基准周净值!AH60-1))</f>
        <v>#DIV/0!</v>
      </c>
      <c r="E57" s="12">
        <f>IF(A57="","",(MAX(B$3:B57)-B57)/MAX(B$3:B57))</f>
        <v>1</v>
      </c>
      <c r="F57" s="12">
        <f>IF(A57="","",MAX(E$4:E57))</f>
        <v>1</v>
      </c>
      <c r="G57" s="17" t="e">
        <f>IF(A57="","",MAX(FREQUENCY(IF($D$3:D57&lt;0,ROW($D$3:D57)),IF($D$3:D57&gt;=0,ROW($D$3:D57)))))</f>
        <v>#DIV/0!</v>
      </c>
      <c r="H57" s="14" t="str">
        <f t="shared" si="2"/>
        <v>是</v>
      </c>
      <c r="I57" s="14" t="str">
        <f t="shared" si="3"/>
        <v>是</v>
      </c>
      <c r="J57" s="15" t="e">
        <f t="shared" si="0"/>
        <v>#DIV/0!</v>
      </c>
    </row>
    <row r="58" spans="1:10">
      <c r="A58" s="7">
        <f>IF(子基金及业绩基准周净值!A62="","",子基金及业绩基准周净值!A62)</f>
        <v>45884</v>
      </c>
      <c r="B58" s="1">
        <f>IF(A58="","",VLOOKUP($A58,子基金及业绩基准周净值!$A:$F,5))</f>
        <v>0</v>
      </c>
      <c r="C58" s="8" t="e">
        <f t="shared" si="1"/>
        <v>#DIV/0!</v>
      </c>
      <c r="D58" s="9" t="e">
        <f>IF(A58="","",C58-(子基金及业绩基准周净值!AH62/子基金及业绩基准周净值!AH61-1))</f>
        <v>#DIV/0!</v>
      </c>
      <c r="E58" s="12">
        <f>IF(A58="","",(MAX(B$3:B58)-B58)/MAX(B$3:B58))</f>
        <v>1</v>
      </c>
      <c r="F58" s="12">
        <f>IF(A58="","",MAX(E$4:E58))</f>
        <v>1</v>
      </c>
      <c r="G58" s="17" t="e">
        <f>IF(A58="","",MAX(FREQUENCY(IF($D$3:D58&lt;0,ROW($D$3:D58)),IF($D$3:D58&gt;=0,ROW($D$3:D58)))))</f>
        <v>#DIV/0!</v>
      </c>
      <c r="H58" s="14" t="str">
        <f t="shared" si="2"/>
        <v>是</v>
      </c>
      <c r="I58" s="14" t="str">
        <f t="shared" si="3"/>
        <v>是</v>
      </c>
      <c r="J58" s="15" t="e">
        <f t="shared" si="0"/>
        <v>#DIV/0!</v>
      </c>
    </row>
    <row r="59" spans="1:10">
      <c r="A59" s="7">
        <f>IF(子基金及业绩基准周净值!A63="","",子基金及业绩基准周净值!A63)</f>
        <v>45891</v>
      </c>
      <c r="B59" s="1">
        <f>IF(A59="","",VLOOKUP($A59,子基金及业绩基准周净值!$A:$F,5))</f>
        <v>0</v>
      </c>
      <c r="C59" s="8" t="e">
        <f t="shared" si="1"/>
        <v>#DIV/0!</v>
      </c>
      <c r="D59" s="9" t="e">
        <f>IF(A59="","",C59-(子基金及业绩基准周净值!AH63/子基金及业绩基准周净值!AH62-1))</f>
        <v>#DIV/0!</v>
      </c>
      <c r="E59" s="12">
        <f>IF(A59="","",(MAX(B$3:B59)-B59)/MAX(B$3:B59))</f>
        <v>1</v>
      </c>
      <c r="F59" s="12">
        <f>IF(A59="","",MAX(E$4:E59))</f>
        <v>1</v>
      </c>
      <c r="G59" s="17" t="e">
        <f>IF(A59="","",MAX(FREQUENCY(IF($D$3:D59&lt;0,ROW($D$3:D59)),IF($D$3:D59&gt;=0,ROW($D$3:D59)))))</f>
        <v>#DIV/0!</v>
      </c>
      <c r="H59" s="14" t="str">
        <f t="shared" si="2"/>
        <v>是</v>
      </c>
      <c r="I59" s="14" t="str">
        <f t="shared" si="3"/>
        <v>是</v>
      </c>
      <c r="J59" s="15" t="e">
        <f t="shared" si="0"/>
        <v>#DIV/0!</v>
      </c>
    </row>
    <row r="60" spans="1:10">
      <c r="A60" s="7">
        <f>IF(子基金及业绩基准周净值!A64="","",子基金及业绩基准周净值!A64)</f>
        <v>45898</v>
      </c>
      <c r="B60" s="1">
        <f>IF(A60="","",VLOOKUP($A60,子基金及业绩基准周净值!$A:$F,5))</f>
        <v>0</v>
      </c>
      <c r="C60" s="8" t="e">
        <f t="shared" si="1"/>
        <v>#DIV/0!</v>
      </c>
      <c r="D60" s="9" t="e">
        <f>IF(A60="","",C60-(子基金及业绩基准周净值!AH64/子基金及业绩基准周净值!AH63-1))</f>
        <v>#DIV/0!</v>
      </c>
      <c r="E60" s="12">
        <f>IF(A60="","",(MAX(B$3:B60)-B60)/MAX(B$3:B60))</f>
        <v>1</v>
      </c>
      <c r="F60" s="12">
        <f>IF(A60="","",MAX(E$4:E60))</f>
        <v>1</v>
      </c>
      <c r="G60" s="17" t="e">
        <f>IF(A60="","",MAX(FREQUENCY(IF($D$3:D60&lt;0,ROW($D$3:D60)),IF($D$3:D60&gt;=0,ROW($D$3:D60)))))</f>
        <v>#DIV/0!</v>
      </c>
      <c r="H60" s="14" t="str">
        <f t="shared" si="2"/>
        <v>是</v>
      </c>
      <c r="I60" s="14" t="str">
        <f t="shared" si="3"/>
        <v>是</v>
      </c>
      <c r="J60" s="15" t="e">
        <f t="shared" si="0"/>
        <v>#DIV/0!</v>
      </c>
    </row>
    <row r="61" spans="1:10">
      <c r="A61" s="7">
        <f>IF(子基金及业绩基准周净值!A65="","",子基金及业绩基准周净值!A65)</f>
        <v>45905</v>
      </c>
      <c r="B61" s="1">
        <f>IF(A61="","",VLOOKUP($A61,子基金及业绩基准周净值!$A:$F,5))</f>
        <v>0</v>
      </c>
      <c r="C61" s="8" t="e">
        <f t="shared" si="1"/>
        <v>#DIV/0!</v>
      </c>
      <c r="D61" s="9" t="e">
        <f>IF(A61="","",C61-(子基金及业绩基准周净值!AH65/子基金及业绩基准周净值!AH64-1))</f>
        <v>#DIV/0!</v>
      </c>
      <c r="E61" s="12">
        <f>IF(A61="","",(MAX(B$3:B61)-B61)/MAX(B$3:B61))</f>
        <v>1</v>
      </c>
      <c r="F61" s="12">
        <f>IF(A61="","",MAX(E$4:E61))</f>
        <v>1</v>
      </c>
      <c r="G61" s="17" t="e">
        <f>IF(A61="","",MAX(FREQUENCY(IF($D$3:D61&lt;0,ROW($D$3:D61)),IF($D$3:D61&gt;=0,ROW($D$3:D61)))))</f>
        <v>#DIV/0!</v>
      </c>
      <c r="H61" s="14" t="str">
        <f t="shared" si="2"/>
        <v>是</v>
      </c>
      <c r="I61" s="14" t="str">
        <f t="shared" si="3"/>
        <v>是</v>
      </c>
      <c r="J61" s="15" t="e">
        <f t="shared" si="0"/>
        <v>#DIV/0!</v>
      </c>
    </row>
    <row r="62" spans="1:10">
      <c r="A62" s="7">
        <f>IF(子基金及业绩基准周净值!A66="","",子基金及业绩基准周净值!A66)</f>
        <v>45912</v>
      </c>
      <c r="B62" s="1">
        <f>IF(A62="","",VLOOKUP($A62,子基金及业绩基准周净值!$A:$F,5))</f>
        <v>0</v>
      </c>
      <c r="C62" s="8" t="e">
        <f t="shared" si="1"/>
        <v>#DIV/0!</v>
      </c>
      <c r="D62" s="9" t="e">
        <f>IF(A62="","",C62-(子基金及业绩基准周净值!AH66/子基金及业绩基准周净值!AH65-1))</f>
        <v>#DIV/0!</v>
      </c>
      <c r="E62" s="12">
        <f>IF(A62="","",(MAX(B$3:B62)-B62)/MAX(B$3:B62))</f>
        <v>1</v>
      </c>
      <c r="F62" s="12">
        <f>IF(A62="","",MAX(E$4:E62))</f>
        <v>1</v>
      </c>
      <c r="G62" s="17" t="e">
        <f>IF(A62="","",MAX(FREQUENCY(IF($D$3:D62&lt;0,ROW($D$3:D62)),IF($D$3:D62&gt;=0,ROW($D$3:D62)))))</f>
        <v>#DIV/0!</v>
      </c>
      <c r="H62" s="14" t="str">
        <f t="shared" si="2"/>
        <v>是</v>
      </c>
      <c r="I62" s="14" t="str">
        <f t="shared" si="3"/>
        <v>是</v>
      </c>
      <c r="J62" s="15" t="e">
        <f t="shared" si="0"/>
        <v>#DIV/0!</v>
      </c>
    </row>
    <row r="63" spans="1:10">
      <c r="A63" s="7">
        <f>IF(子基金及业绩基准周净值!A67="","",子基金及业绩基准周净值!A67)</f>
        <v>45919</v>
      </c>
      <c r="B63" s="1">
        <f>IF(A63="","",VLOOKUP($A63,子基金及业绩基准周净值!$A:$F,5))</f>
        <v>0</v>
      </c>
      <c r="C63" s="8" t="e">
        <f t="shared" si="1"/>
        <v>#DIV/0!</v>
      </c>
      <c r="D63" s="9" t="e">
        <f>IF(A63="","",C63-(子基金及业绩基准周净值!AH67/子基金及业绩基准周净值!AH66-1))</f>
        <v>#DIV/0!</v>
      </c>
      <c r="E63" s="12">
        <f>IF(A63="","",(MAX(B$3:B63)-B63)/MAX(B$3:B63))</f>
        <v>1</v>
      </c>
      <c r="F63" s="12">
        <f>IF(A63="","",MAX(E$4:E63))</f>
        <v>1</v>
      </c>
      <c r="G63" s="17" t="e">
        <f>IF(A63="","",MAX(FREQUENCY(IF($D$3:D63&lt;0,ROW($D$3:D63)),IF($D$3:D63&gt;=0,ROW($D$3:D63)))))</f>
        <v>#DIV/0!</v>
      </c>
      <c r="H63" s="14" t="str">
        <f t="shared" si="2"/>
        <v>是</v>
      </c>
      <c r="I63" s="14" t="str">
        <f t="shared" si="3"/>
        <v>是</v>
      </c>
      <c r="J63" s="15" t="e">
        <f t="shared" si="0"/>
        <v>#DIV/0!</v>
      </c>
    </row>
    <row r="64" spans="1:10">
      <c r="A64" s="7">
        <f>IF(子基金及业绩基准周净值!A68="","",子基金及业绩基准周净值!A68)</f>
        <v>45926</v>
      </c>
      <c r="B64" s="1">
        <f>IF(A64="","",VLOOKUP($A64,子基金及业绩基准周净值!$A:$F,5))</f>
        <v>0</v>
      </c>
      <c r="C64" s="8" t="e">
        <f t="shared" si="1"/>
        <v>#DIV/0!</v>
      </c>
      <c r="D64" s="9" t="e">
        <f>IF(A64="","",C64-(子基金及业绩基准周净值!AH68/子基金及业绩基准周净值!AH67-1))</f>
        <v>#DIV/0!</v>
      </c>
      <c r="E64" s="12">
        <f>IF(A64="","",(MAX(B$3:B64)-B64)/MAX(B$3:B64))</f>
        <v>1</v>
      </c>
      <c r="F64" s="12">
        <f>IF(A64="","",MAX(E$4:E64))</f>
        <v>1</v>
      </c>
      <c r="G64" s="17" t="e">
        <f>IF(A64="","",MAX(FREQUENCY(IF($D$3:D64&lt;0,ROW($D$3:D64)),IF($D$3:D64&gt;=0,ROW($D$3:D64)))))</f>
        <v>#DIV/0!</v>
      </c>
      <c r="H64" s="14" t="str">
        <f t="shared" si="2"/>
        <v>是</v>
      </c>
      <c r="I64" s="14" t="str">
        <f t="shared" si="3"/>
        <v>是</v>
      </c>
      <c r="J64" s="15" t="e">
        <f t="shared" si="0"/>
        <v>#DIV/0!</v>
      </c>
    </row>
    <row r="65" spans="1:10">
      <c r="A65" s="7">
        <f>IF(子基金及业绩基准周净值!A69="","",子基金及业绩基准周净值!A69)</f>
        <v>45940</v>
      </c>
      <c r="B65" s="1">
        <f>IF(A65="","",VLOOKUP($A65,子基金及业绩基准周净值!$A:$F,5))</f>
        <v>0</v>
      </c>
      <c r="C65" s="8" t="e">
        <f t="shared" si="1"/>
        <v>#DIV/0!</v>
      </c>
      <c r="D65" s="9" t="e">
        <f>IF(A65="","",C65-(子基金及业绩基准周净值!AH69/子基金及业绩基准周净值!AH68-1))</f>
        <v>#DIV/0!</v>
      </c>
      <c r="E65" s="12">
        <f>IF(A65="","",(MAX(B$3:B65)-B65)/MAX(B$3:B65))</f>
        <v>1</v>
      </c>
      <c r="F65" s="12">
        <f>IF(A65="","",MAX(E$4:E65))</f>
        <v>1</v>
      </c>
      <c r="G65" s="17" t="e">
        <f>IF(A65="","",MAX(FREQUENCY(IF($D$3:D65&lt;0,ROW($D$3:D65)),IF($D$3:D65&gt;=0,ROW($D$3:D65)))))</f>
        <v>#DIV/0!</v>
      </c>
      <c r="H65" s="14" t="str">
        <f t="shared" si="2"/>
        <v>是</v>
      </c>
      <c r="I65" s="14" t="str">
        <f t="shared" si="3"/>
        <v>是</v>
      </c>
      <c r="J65" s="15" t="e">
        <f t="shared" si="0"/>
        <v>#DIV/0!</v>
      </c>
    </row>
    <row r="66" spans="1:10">
      <c r="A66" s="7">
        <f>IF(子基金及业绩基准周净值!A70="","",子基金及业绩基准周净值!A70)</f>
        <v>45947</v>
      </c>
      <c r="B66" s="1">
        <f>IF(A66="","",VLOOKUP($A66,子基金及业绩基准周净值!$A:$F,5))</f>
        <v>0</v>
      </c>
      <c r="C66" s="8" t="e">
        <f t="shared" si="1"/>
        <v>#DIV/0!</v>
      </c>
      <c r="D66" s="9" t="e">
        <f>IF(A66="","",C66-(子基金及业绩基准周净值!AH70/子基金及业绩基准周净值!AH69-1))</f>
        <v>#DIV/0!</v>
      </c>
      <c r="E66" s="12">
        <f>IF(A66="","",(MAX(B$3:B66)-B66)/MAX(B$3:B66))</f>
        <v>1</v>
      </c>
      <c r="F66" s="12">
        <f>IF(A66="","",MAX(E$4:E66))</f>
        <v>1</v>
      </c>
      <c r="G66" s="17" t="e">
        <f>IF(A66="","",MAX(FREQUENCY(IF($D$3:D66&lt;0,ROW($D$3:D66)),IF($D$3:D66&gt;=0,ROW($D$3:D66)))))</f>
        <v>#DIV/0!</v>
      </c>
      <c r="H66" s="14" t="str">
        <f t="shared" si="2"/>
        <v>是</v>
      </c>
      <c r="I66" s="14" t="str">
        <f t="shared" si="3"/>
        <v>是</v>
      </c>
      <c r="J66" s="15" t="e">
        <f t="shared" si="0"/>
        <v>#DIV/0!</v>
      </c>
    </row>
    <row r="67" spans="1:10">
      <c r="A67" s="7">
        <f>IF(子基金及业绩基准周净值!A71="","",子基金及业绩基准周净值!A71)</f>
        <v>45954</v>
      </c>
      <c r="B67" s="1">
        <f>IF(A67="","",VLOOKUP($A67,子基金及业绩基准周净值!$A:$F,5))</f>
        <v>0</v>
      </c>
      <c r="C67" s="8" t="e">
        <f t="shared" si="1"/>
        <v>#DIV/0!</v>
      </c>
      <c r="D67" s="9" t="e">
        <f>IF(A67="","",C67-(子基金及业绩基准周净值!AH71/子基金及业绩基准周净值!AH70-1))</f>
        <v>#DIV/0!</v>
      </c>
      <c r="E67" s="12">
        <f>IF(A67="","",(MAX(B$3:B67)-B67)/MAX(B$3:B67))</f>
        <v>1</v>
      </c>
      <c r="F67" s="12">
        <f>IF(A67="","",MAX(E$4:E67))</f>
        <v>1</v>
      </c>
      <c r="G67" s="17" t="e">
        <f>IF(A67="","",MAX(FREQUENCY(IF($D$3:D67&lt;0,ROW($D$3:D67)),IF($D$3:D67&gt;=0,ROW($D$3:D67)))))</f>
        <v>#DIV/0!</v>
      </c>
      <c r="H67" s="14" t="str">
        <f t="shared" si="2"/>
        <v>是</v>
      </c>
      <c r="I67" s="14" t="str">
        <f t="shared" si="3"/>
        <v>是</v>
      </c>
      <c r="J67" s="15" t="e">
        <f t="shared" si="0"/>
        <v>#DIV/0!</v>
      </c>
    </row>
    <row r="68" spans="1:10">
      <c r="A68" s="7">
        <f>IF(子基金及业绩基准周净值!A72="","",子基金及业绩基准周净值!A72)</f>
        <v>45961</v>
      </c>
      <c r="B68" s="1">
        <f>IF(A68="","",VLOOKUP($A68,子基金及业绩基准周净值!$A:$F,5))</f>
        <v>0</v>
      </c>
      <c r="C68" s="8" t="e">
        <f t="shared" si="1"/>
        <v>#DIV/0!</v>
      </c>
      <c r="D68" s="9" t="e">
        <f>IF(A68="","",C68-(子基金及业绩基准周净值!AH72/子基金及业绩基准周净值!AH71-1))</f>
        <v>#DIV/0!</v>
      </c>
      <c r="E68" s="12">
        <f>IF(A68="","",(MAX(B$3:B68)-B68)/MAX(B$3:B68))</f>
        <v>1</v>
      </c>
      <c r="F68" s="12">
        <f>IF(A68="","",MAX(E$4:E68))</f>
        <v>1</v>
      </c>
      <c r="G68" s="17" t="e">
        <f>IF(A68="","",MAX(FREQUENCY(IF($D$3:D68&lt;0,ROW($D$3:D68)),IF($D$3:D68&gt;=0,ROW($D$3:D68)))))</f>
        <v>#DIV/0!</v>
      </c>
      <c r="H68" s="14" t="str">
        <f t="shared" si="2"/>
        <v>是</v>
      </c>
      <c r="I68" s="14" t="str">
        <f t="shared" si="3"/>
        <v>是</v>
      </c>
      <c r="J68" s="15" t="e">
        <f t="shared" si="0"/>
        <v>#DIV/0!</v>
      </c>
    </row>
    <row r="69" spans="1:10">
      <c r="A69" s="7" t="str">
        <f>IF(子基金及业绩基准周净值!A73="","",子基金及业绩基准周净值!A73)</f>
        <v/>
      </c>
      <c r="B69" s="1" t="str">
        <f>IF(A69="","",VLOOKUP($A69,子基金及业绩基准周净值!$A:$F,5))</f>
        <v/>
      </c>
      <c r="C69" s="8" t="str">
        <f t="shared" ref="C69:C127" si="4">IF(A69="","",(B69-B68)/B68)</f>
        <v/>
      </c>
      <c r="D69" s="9" t="str">
        <f>IF(A69="","",C69-(子基金及业绩基准周净值!AH73/子基金及业绩基准周净值!AH72-1))</f>
        <v/>
      </c>
      <c r="E69" s="12" t="str">
        <f>IF(A69="","",(MAX(B$3:B69)-B69)/MAX(B$3:B69))</f>
        <v/>
      </c>
      <c r="F69" s="12" t="str">
        <f>IF(A69="","",MAX(E$4:E69))</f>
        <v/>
      </c>
      <c r="G69" s="17" t="str">
        <f>IF(A69="","",MAX(FREQUENCY(IF($D$3:D69&lt;0,ROW($D$3:D69)),IF($D$3:D69&gt;=0,ROW($D$3:D69)))))</f>
        <v/>
      </c>
      <c r="H69" s="14" t="str">
        <f t="shared" si="2"/>
        <v/>
      </c>
      <c r="I69" s="14" t="str">
        <f t="shared" si="3"/>
        <v/>
      </c>
      <c r="J69" s="15" t="str">
        <f t="shared" ref="J69:J127" si="5">IF(A69="","",IF(G69&gt;=4,"是","否"))</f>
        <v/>
      </c>
    </row>
    <row r="70" spans="1:10">
      <c r="A70" s="7" t="str">
        <f>IF(子基金及业绩基准周净值!A74="","",子基金及业绩基准周净值!A74)</f>
        <v/>
      </c>
      <c r="B70" s="1" t="str">
        <f>IF(A70="","",VLOOKUP($A70,子基金及业绩基准周净值!$A:$F,5))</f>
        <v/>
      </c>
      <c r="C70" s="8" t="str">
        <f t="shared" si="4"/>
        <v/>
      </c>
      <c r="D70" s="9" t="str">
        <f>IF(A70="","",C70-(子基金及业绩基准周净值!AH74/子基金及业绩基准周净值!AH73-1))</f>
        <v/>
      </c>
      <c r="E70" s="12" t="str">
        <f>IF(A70="","",(MAX(B$3:B70)-B70)/MAX(B$3:B70))</f>
        <v/>
      </c>
      <c r="F70" s="12" t="str">
        <f>IF(A70="","",MAX(E$4:E70))</f>
        <v/>
      </c>
      <c r="G70" s="17" t="str">
        <f>IF(A70="","",MAX(FREQUENCY(IF($D$3:D70&lt;0,ROW($D$3:D70)),IF($D$3:D70&gt;=0,ROW($D$3:D70)))))</f>
        <v/>
      </c>
      <c r="H70" s="14" t="str">
        <f t="shared" ref="H70:H127" si="6">IF(A70="","",IF(E70&lt;3%,"否","是"))</f>
        <v/>
      </c>
      <c r="I70" s="14" t="str">
        <f t="shared" ref="I70:I127" si="7">IF(A70="","",IF(F70&gt;5%,"是","否"))</f>
        <v/>
      </c>
      <c r="J70" s="15" t="str">
        <f t="shared" si="5"/>
        <v/>
      </c>
    </row>
    <row r="71" spans="1:10">
      <c r="A71" s="7" t="str">
        <f>IF(子基金及业绩基准周净值!A75="","",子基金及业绩基准周净值!A75)</f>
        <v/>
      </c>
      <c r="B71" s="1" t="str">
        <f>IF(A71="","",VLOOKUP($A71,子基金及业绩基准周净值!$A:$F,5))</f>
        <v/>
      </c>
      <c r="C71" s="8" t="str">
        <f t="shared" si="4"/>
        <v/>
      </c>
      <c r="D71" s="9" t="str">
        <f>IF(A71="","",C71-(子基金及业绩基准周净值!AH75/子基金及业绩基准周净值!AH74-1))</f>
        <v/>
      </c>
      <c r="E71" s="12" t="str">
        <f>IF(A71="","",(MAX(B$3:B71)-B71)/MAX(B$3:B71))</f>
        <v/>
      </c>
      <c r="F71" s="12" t="str">
        <f>IF(A71="","",MAX(E$4:E71))</f>
        <v/>
      </c>
      <c r="G71" s="17" t="str">
        <f>IF(A71="","",MAX(FREQUENCY(IF($D$3:D71&lt;0,ROW($D$3:D71)),IF($D$3:D71&gt;=0,ROW($D$3:D71)))))</f>
        <v/>
      </c>
      <c r="H71" s="14" t="str">
        <f t="shared" si="6"/>
        <v/>
      </c>
      <c r="I71" s="14" t="str">
        <f t="shared" si="7"/>
        <v/>
      </c>
      <c r="J71" s="15" t="str">
        <f t="shared" si="5"/>
        <v/>
      </c>
    </row>
    <row r="72" spans="1:10">
      <c r="A72" s="7" t="str">
        <f>IF(子基金及业绩基准周净值!A76="","",子基金及业绩基准周净值!A76)</f>
        <v/>
      </c>
      <c r="B72" s="1" t="str">
        <f>IF(A72="","",VLOOKUP($A72,子基金及业绩基准周净值!$A:$F,5))</f>
        <v/>
      </c>
      <c r="C72" s="8" t="str">
        <f t="shared" si="4"/>
        <v/>
      </c>
      <c r="D72" s="9" t="str">
        <f>IF(A72="","",C72-(子基金及业绩基准周净值!AH76/子基金及业绩基准周净值!AH75-1))</f>
        <v/>
      </c>
      <c r="E72" s="12" t="str">
        <f>IF(A72="","",(MAX(B$3:B72)-B72)/MAX(B$3:B72))</f>
        <v/>
      </c>
      <c r="F72" s="12" t="str">
        <f>IF(A72="","",MAX(E$4:E72))</f>
        <v/>
      </c>
      <c r="G72" s="17" t="str">
        <f>IF(A72="","",MAX(FREQUENCY(IF($D$3:D72&lt;0,ROW($D$3:D72)),IF($D$3:D72&gt;=0,ROW($D$3:D72)))))</f>
        <v/>
      </c>
      <c r="H72" s="14" t="str">
        <f t="shared" si="6"/>
        <v/>
      </c>
      <c r="I72" s="14" t="str">
        <f t="shared" si="7"/>
        <v/>
      </c>
      <c r="J72" s="15" t="str">
        <f t="shared" si="5"/>
        <v/>
      </c>
    </row>
    <row r="73" spans="1:10">
      <c r="A73" s="7" t="str">
        <f>IF(子基金及业绩基准周净值!A77="","",子基金及业绩基准周净值!A77)</f>
        <v/>
      </c>
      <c r="B73" s="1" t="str">
        <f>IF(A73="","",VLOOKUP($A73,子基金及业绩基准周净值!$A:$F,5))</f>
        <v/>
      </c>
      <c r="C73" s="8" t="str">
        <f t="shared" si="4"/>
        <v/>
      </c>
      <c r="D73" s="9" t="str">
        <f>IF(A73="","",C73-(子基金及业绩基准周净值!AH77/子基金及业绩基准周净值!AH76-1))</f>
        <v/>
      </c>
      <c r="E73" s="12" t="str">
        <f>IF(A73="","",(MAX(B$3:B73)-B73)/MAX(B$3:B73))</f>
        <v/>
      </c>
      <c r="F73" s="12" t="str">
        <f>IF(A73="","",MAX(E$4:E73))</f>
        <v/>
      </c>
      <c r="G73" s="17" t="str">
        <f>IF(A73="","",MAX(FREQUENCY(IF($D$3:D73&lt;0,ROW($D$3:D73)),IF($D$3:D73&gt;=0,ROW($D$3:D73)))))</f>
        <v/>
      </c>
      <c r="H73" s="14" t="str">
        <f t="shared" si="6"/>
        <v/>
      </c>
      <c r="I73" s="14" t="str">
        <f t="shared" si="7"/>
        <v/>
      </c>
      <c r="J73" s="15" t="str">
        <f t="shared" si="5"/>
        <v/>
      </c>
    </row>
    <row r="74" spans="1:10">
      <c r="A74" s="7" t="str">
        <f>IF(子基金及业绩基准周净值!A78="","",子基金及业绩基准周净值!A78)</f>
        <v/>
      </c>
      <c r="B74" s="1" t="str">
        <f>IF(A74="","",VLOOKUP($A74,子基金及业绩基准周净值!$A:$F,5))</f>
        <v/>
      </c>
      <c r="C74" s="8" t="str">
        <f t="shared" si="4"/>
        <v/>
      </c>
      <c r="D74" s="9" t="str">
        <f>IF(A74="","",C74-(子基金及业绩基准周净值!AH78/子基金及业绩基准周净值!AH77-1))</f>
        <v/>
      </c>
      <c r="E74" s="12" t="str">
        <f>IF(A74="","",(MAX(B$3:B74)-B74)/MAX(B$3:B74))</f>
        <v/>
      </c>
      <c r="F74" s="12" t="str">
        <f>IF(A74="","",MAX(E$4:E74))</f>
        <v/>
      </c>
      <c r="G74" s="17" t="str">
        <f>IF(A74="","",MAX(FREQUENCY(IF($D$3:D74&lt;0,ROW($D$3:D74)),IF($D$3:D74&gt;=0,ROW($D$3:D74)))))</f>
        <v/>
      </c>
      <c r="H74" s="14" t="str">
        <f t="shared" si="6"/>
        <v/>
      </c>
      <c r="I74" s="14" t="str">
        <f t="shared" si="7"/>
        <v/>
      </c>
      <c r="J74" s="15" t="str">
        <f t="shared" si="5"/>
        <v/>
      </c>
    </row>
    <row r="75" spans="1:10">
      <c r="A75" s="7" t="str">
        <f>IF(子基金及业绩基准周净值!A79="","",子基金及业绩基准周净值!A79)</f>
        <v/>
      </c>
      <c r="B75" s="1" t="str">
        <f>IF(A75="","",VLOOKUP($A75,子基金及业绩基准周净值!$A:$F,5))</f>
        <v/>
      </c>
      <c r="C75" s="8" t="str">
        <f t="shared" si="4"/>
        <v/>
      </c>
      <c r="D75" s="9" t="str">
        <f>IF(A75="","",C75-(子基金及业绩基准周净值!AH79/子基金及业绩基准周净值!AH78-1))</f>
        <v/>
      </c>
      <c r="E75" s="12" t="str">
        <f>IF(A75="","",(MAX(B$3:B75)-B75)/MAX(B$3:B75))</f>
        <v/>
      </c>
      <c r="F75" s="12" t="str">
        <f>IF(A75="","",MAX(E$4:E75))</f>
        <v/>
      </c>
      <c r="G75" s="17" t="str">
        <f>IF(A75="","",MAX(FREQUENCY(IF($D$3:D75&lt;0,ROW($D$3:D75)),IF($D$3:D75&gt;=0,ROW($D$3:D75)))))</f>
        <v/>
      </c>
      <c r="H75" s="14" t="str">
        <f t="shared" si="6"/>
        <v/>
      </c>
      <c r="I75" s="14" t="str">
        <f t="shared" si="7"/>
        <v/>
      </c>
      <c r="J75" s="15" t="str">
        <f t="shared" si="5"/>
        <v/>
      </c>
    </row>
    <row r="76" spans="1:10">
      <c r="A76" s="7" t="str">
        <f>IF(子基金及业绩基准周净值!A80="","",子基金及业绩基准周净值!A80)</f>
        <v/>
      </c>
      <c r="B76" s="1" t="str">
        <f>IF(A76="","",VLOOKUP($A76,子基金及业绩基准周净值!$A:$F,5))</f>
        <v/>
      </c>
      <c r="C76" s="8" t="str">
        <f t="shared" si="4"/>
        <v/>
      </c>
      <c r="D76" s="9" t="str">
        <f>IF(A76="","",C76-(子基金及业绩基准周净值!AH80/子基金及业绩基准周净值!AH79-1))</f>
        <v/>
      </c>
      <c r="E76" s="12" t="str">
        <f>IF(A76="","",(MAX(B$3:B76)-B76)/MAX(B$3:B76))</f>
        <v/>
      </c>
      <c r="F76" s="12" t="str">
        <f>IF(A76="","",MAX(E$4:E76))</f>
        <v/>
      </c>
      <c r="G76" s="17" t="str">
        <f>IF(A76="","",MAX(FREQUENCY(IF($D$3:D76&lt;0,ROW($D$3:D76)),IF($D$3:D76&gt;=0,ROW($D$3:D76)))))</f>
        <v/>
      </c>
      <c r="H76" s="14" t="str">
        <f t="shared" si="6"/>
        <v/>
      </c>
      <c r="I76" s="14" t="str">
        <f t="shared" si="7"/>
        <v/>
      </c>
      <c r="J76" s="15" t="str">
        <f t="shared" si="5"/>
        <v/>
      </c>
    </row>
    <row r="77" spans="1:10">
      <c r="A77" s="7" t="str">
        <f>IF(子基金及业绩基准周净值!A81="","",子基金及业绩基准周净值!A81)</f>
        <v/>
      </c>
      <c r="B77" s="1" t="str">
        <f>IF(A77="","",VLOOKUP($A77,子基金及业绩基准周净值!$A:$F,5))</f>
        <v/>
      </c>
      <c r="C77" s="8" t="str">
        <f t="shared" si="4"/>
        <v/>
      </c>
      <c r="D77" s="9" t="str">
        <f>IF(A77="","",C77-(子基金及业绩基准周净值!AH81/子基金及业绩基准周净值!AH80-1))</f>
        <v/>
      </c>
      <c r="E77" s="12" t="str">
        <f>IF(A77="","",(MAX(B$3:B77)-B77)/MAX(B$3:B77))</f>
        <v/>
      </c>
      <c r="F77" s="12" t="str">
        <f>IF(A77="","",MAX(E$4:E77))</f>
        <v/>
      </c>
      <c r="G77" s="17" t="str">
        <f>IF(A77="","",MAX(FREQUENCY(IF($D$3:D77&lt;0,ROW($D$3:D77)),IF($D$3:D77&gt;=0,ROW($D$3:D77)))))</f>
        <v/>
      </c>
      <c r="H77" s="14" t="str">
        <f t="shared" si="6"/>
        <v/>
      </c>
      <c r="I77" s="14" t="str">
        <f t="shared" si="7"/>
        <v/>
      </c>
      <c r="J77" s="15" t="str">
        <f t="shared" si="5"/>
        <v/>
      </c>
    </row>
    <row r="78" spans="1:10">
      <c r="A78" s="7" t="str">
        <f>IF(子基金及业绩基准周净值!A82="","",子基金及业绩基准周净值!A82)</f>
        <v/>
      </c>
      <c r="B78" s="1" t="str">
        <f>IF(A78="","",VLOOKUP($A78,子基金及业绩基准周净值!$A:$F,5))</f>
        <v/>
      </c>
      <c r="C78" s="8" t="str">
        <f t="shared" si="4"/>
        <v/>
      </c>
      <c r="D78" s="9" t="str">
        <f>IF(A78="","",C78-(子基金及业绩基准周净值!AH82/子基金及业绩基准周净值!AH81-1))</f>
        <v/>
      </c>
      <c r="E78" s="12" t="str">
        <f>IF(A78="","",(MAX(B$3:B78)-B78)/MAX(B$3:B78))</f>
        <v/>
      </c>
      <c r="F78" s="12" t="str">
        <f>IF(A78="","",MAX(E$4:E78))</f>
        <v/>
      </c>
      <c r="G78" s="17" t="str">
        <f>IF(A78="","",MAX(FREQUENCY(IF($D$3:D78&lt;0,ROW($D$3:D78)),IF($D$3:D78&gt;=0,ROW($D$3:D78)))))</f>
        <v/>
      </c>
      <c r="H78" s="14" t="str">
        <f t="shared" si="6"/>
        <v/>
      </c>
      <c r="I78" s="14" t="str">
        <f t="shared" si="7"/>
        <v/>
      </c>
      <c r="J78" s="15" t="str">
        <f t="shared" si="5"/>
        <v/>
      </c>
    </row>
    <row r="79" spans="1:10">
      <c r="A79" s="7" t="str">
        <f>IF(子基金及业绩基准周净值!A83="","",子基金及业绩基准周净值!A83)</f>
        <v/>
      </c>
      <c r="B79" s="1" t="str">
        <f>IF(A79="","",VLOOKUP($A79,子基金及业绩基准周净值!$A:$F,5))</f>
        <v/>
      </c>
      <c r="C79" s="8" t="str">
        <f t="shared" si="4"/>
        <v/>
      </c>
      <c r="D79" s="9" t="str">
        <f>IF(A79="","",C79-(子基金及业绩基准周净值!AH83/子基金及业绩基准周净值!AH82-1))</f>
        <v/>
      </c>
      <c r="E79" s="12" t="str">
        <f>IF(A79="","",(MAX(B$3:B79)-B79)/MAX(B$3:B79))</f>
        <v/>
      </c>
      <c r="F79" s="12" t="str">
        <f>IF(A79="","",MAX(E$4:E79))</f>
        <v/>
      </c>
      <c r="G79" s="17" t="str">
        <f>IF(A79="","",MAX(FREQUENCY(IF($D$3:D79&lt;0,ROW($D$3:D79)),IF($D$3:D79&gt;=0,ROW($D$3:D79)))))</f>
        <v/>
      </c>
      <c r="H79" s="14" t="str">
        <f t="shared" si="6"/>
        <v/>
      </c>
      <c r="I79" s="14" t="str">
        <f t="shared" si="7"/>
        <v/>
      </c>
      <c r="J79" s="15" t="str">
        <f t="shared" si="5"/>
        <v/>
      </c>
    </row>
    <row r="80" spans="1:10">
      <c r="A80" s="7" t="str">
        <f>IF(子基金及业绩基准周净值!A84="","",子基金及业绩基准周净值!A84)</f>
        <v/>
      </c>
      <c r="B80" s="1" t="str">
        <f>IF(A80="","",VLOOKUP($A80,子基金及业绩基准周净值!$A:$F,5))</f>
        <v/>
      </c>
      <c r="C80" s="8" t="str">
        <f t="shared" si="4"/>
        <v/>
      </c>
      <c r="D80" s="9" t="str">
        <f>IF(A80="","",C80-(子基金及业绩基准周净值!AH84/子基金及业绩基准周净值!AH83-1))</f>
        <v/>
      </c>
      <c r="E80" s="12" t="str">
        <f>IF(A80="","",(MAX(B$3:B80)-B80)/MAX(B$3:B80))</f>
        <v/>
      </c>
      <c r="F80" s="12" t="str">
        <f>IF(A80="","",MAX(E$4:E80))</f>
        <v/>
      </c>
      <c r="G80" s="17" t="str">
        <f>IF(A80="","",MAX(FREQUENCY(IF($D$3:D80&lt;0,ROW($D$3:D80)),IF($D$3:D80&gt;=0,ROW($D$3:D80)))))</f>
        <v/>
      </c>
      <c r="H80" s="14" t="str">
        <f t="shared" si="6"/>
        <v/>
      </c>
      <c r="I80" s="14" t="str">
        <f t="shared" si="7"/>
        <v/>
      </c>
      <c r="J80" s="15" t="str">
        <f t="shared" si="5"/>
        <v/>
      </c>
    </row>
    <row r="81" spans="1:10">
      <c r="A81" s="7" t="str">
        <f>IF(子基金及业绩基准周净值!A85="","",子基金及业绩基准周净值!A85)</f>
        <v/>
      </c>
      <c r="B81" s="1" t="str">
        <f>IF(A81="","",VLOOKUP($A81,子基金及业绩基准周净值!$A:$F,5))</f>
        <v/>
      </c>
      <c r="C81" s="8" t="str">
        <f t="shared" si="4"/>
        <v/>
      </c>
      <c r="D81" s="9" t="str">
        <f>IF(A81="","",C81-(子基金及业绩基准周净值!AH85/子基金及业绩基准周净值!AH84-1))</f>
        <v/>
      </c>
      <c r="E81" s="12" t="str">
        <f>IF(A81="","",(MAX(B$3:B81)-B81)/MAX(B$3:B81))</f>
        <v/>
      </c>
      <c r="F81" s="12" t="str">
        <f>IF(A81="","",MAX(E$4:E81))</f>
        <v/>
      </c>
      <c r="G81" s="17" t="str">
        <f>IF(A81="","",MAX(FREQUENCY(IF($D$3:D81&lt;0,ROW($D$3:D81)),IF($D$3:D81&gt;=0,ROW($D$3:D81)))))</f>
        <v/>
      </c>
      <c r="H81" s="14" t="str">
        <f t="shared" si="6"/>
        <v/>
      </c>
      <c r="I81" s="14" t="str">
        <f t="shared" si="7"/>
        <v/>
      </c>
      <c r="J81" s="15" t="str">
        <f t="shared" si="5"/>
        <v/>
      </c>
    </row>
    <row r="82" spans="1:10">
      <c r="A82" s="7" t="str">
        <f>IF(子基金及业绩基准周净值!A86="","",子基金及业绩基准周净值!A86)</f>
        <v/>
      </c>
      <c r="B82" s="1" t="str">
        <f>IF(A82="","",VLOOKUP($A82,子基金及业绩基准周净值!$A:$F,5))</f>
        <v/>
      </c>
      <c r="C82" s="8" t="str">
        <f t="shared" si="4"/>
        <v/>
      </c>
      <c r="D82" s="9" t="str">
        <f>IF(A82="","",C82-(子基金及业绩基准周净值!AH86/子基金及业绩基准周净值!AH85-1))</f>
        <v/>
      </c>
      <c r="E82" s="12" t="str">
        <f>IF(A82="","",(MAX(B$3:B82)-B82)/MAX(B$3:B82))</f>
        <v/>
      </c>
      <c r="F82" s="12" t="str">
        <f>IF(A82="","",MAX(E$4:E82))</f>
        <v/>
      </c>
      <c r="G82" s="17" t="str">
        <f>IF(A82="","",MAX(FREQUENCY(IF($D$3:D82&lt;0,ROW($D$3:D82)),IF($D$3:D82&gt;=0,ROW($D$3:D82)))))</f>
        <v/>
      </c>
      <c r="H82" s="14" t="str">
        <f t="shared" si="6"/>
        <v/>
      </c>
      <c r="I82" s="14" t="str">
        <f t="shared" si="7"/>
        <v/>
      </c>
      <c r="J82" s="15" t="str">
        <f t="shared" si="5"/>
        <v/>
      </c>
    </row>
    <row r="83" spans="1:10">
      <c r="A83" s="7" t="str">
        <f>IF(子基金及业绩基准周净值!A87="","",子基金及业绩基准周净值!A87)</f>
        <v/>
      </c>
      <c r="B83" s="1" t="str">
        <f>IF(A83="","",VLOOKUP($A83,子基金及业绩基准周净值!$A:$F,5))</f>
        <v/>
      </c>
      <c r="C83" s="8" t="str">
        <f t="shared" si="4"/>
        <v/>
      </c>
      <c r="D83" s="9" t="str">
        <f>IF(A83="","",C83-(子基金及业绩基准周净值!AH87/子基金及业绩基准周净值!AH86-1))</f>
        <v/>
      </c>
      <c r="E83" s="12" t="str">
        <f>IF(A83="","",(MAX(B$3:B83)-B83)/MAX(B$3:B83))</f>
        <v/>
      </c>
      <c r="F83" s="12" t="str">
        <f>IF(A83="","",MAX(E$4:E83))</f>
        <v/>
      </c>
      <c r="G83" s="17" t="str">
        <f>IF(A83="","",MAX(FREQUENCY(IF($D$3:D83&lt;0,ROW($D$3:D83)),IF($D$3:D83&gt;=0,ROW($D$3:D83)))))</f>
        <v/>
      </c>
      <c r="H83" s="14" t="str">
        <f t="shared" si="6"/>
        <v/>
      </c>
      <c r="I83" s="14" t="str">
        <f t="shared" si="7"/>
        <v/>
      </c>
      <c r="J83" s="15" t="str">
        <f t="shared" si="5"/>
        <v/>
      </c>
    </row>
    <row r="84" spans="1:10">
      <c r="A84" s="7" t="str">
        <f>IF(子基金及业绩基准周净值!A88="","",子基金及业绩基准周净值!A88)</f>
        <v/>
      </c>
      <c r="B84" s="1" t="str">
        <f>IF(A84="","",VLOOKUP($A84,子基金及业绩基准周净值!$A:$F,5))</f>
        <v/>
      </c>
      <c r="C84" s="8" t="str">
        <f t="shared" si="4"/>
        <v/>
      </c>
      <c r="D84" s="9" t="str">
        <f>IF(A84="","",C84-(子基金及业绩基准周净值!AH88/子基金及业绩基准周净值!AH87-1))</f>
        <v/>
      </c>
      <c r="E84" s="12" t="str">
        <f>IF(A84="","",(MAX(B$3:B84)-B84)/MAX(B$3:B84))</f>
        <v/>
      </c>
      <c r="F84" s="12" t="str">
        <f>IF(A84="","",MAX(E$4:E84))</f>
        <v/>
      </c>
      <c r="G84" s="17" t="str">
        <f>IF(A84="","",MAX(FREQUENCY(IF($D$3:D84&lt;0,ROW($D$3:D84)),IF($D$3:D84&gt;=0,ROW($D$3:D84)))))</f>
        <v/>
      </c>
      <c r="H84" s="14" t="str">
        <f t="shared" si="6"/>
        <v/>
      </c>
      <c r="I84" s="14" t="str">
        <f t="shared" si="7"/>
        <v/>
      </c>
      <c r="J84" s="15" t="str">
        <f t="shared" si="5"/>
        <v/>
      </c>
    </row>
    <row r="85" spans="1:10">
      <c r="A85" s="7" t="str">
        <f>IF(子基金及业绩基准周净值!A89="","",子基金及业绩基准周净值!A89)</f>
        <v/>
      </c>
      <c r="B85" s="1" t="str">
        <f>IF(A85="","",VLOOKUP($A85,子基金及业绩基准周净值!$A:$F,5))</f>
        <v/>
      </c>
      <c r="C85" s="8" t="str">
        <f t="shared" si="4"/>
        <v/>
      </c>
      <c r="D85" s="9" t="str">
        <f>IF(A85="","",C85-(子基金及业绩基准周净值!AH89/子基金及业绩基准周净值!AH88-1))</f>
        <v/>
      </c>
      <c r="E85" s="12" t="str">
        <f>IF(A85="","",(MAX(B$3:B85)-B85)/MAX(B$3:B85))</f>
        <v/>
      </c>
      <c r="F85" s="12" t="str">
        <f>IF(A85="","",MAX(E$4:E85))</f>
        <v/>
      </c>
      <c r="G85" s="17" t="str">
        <f>IF(A85="","",MAX(FREQUENCY(IF($D$3:D85&lt;0,ROW($D$3:D85)),IF($D$3:D85&gt;=0,ROW($D$3:D85)))))</f>
        <v/>
      </c>
      <c r="H85" s="14" t="str">
        <f t="shared" si="6"/>
        <v/>
      </c>
      <c r="I85" s="14" t="str">
        <f t="shared" si="7"/>
        <v/>
      </c>
      <c r="J85" s="15" t="str">
        <f t="shared" si="5"/>
        <v/>
      </c>
    </row>
    <row r="86" spans="1:10">
      <c r="A86" s="7" t="str">
        <f>IF(子基金及业绩基准周净值!A90="","",子基金及业绩基准周净值!A90)</f>
        <v/>
      </c>
      <c r="B86" s="1" t="str">
        <f>IF(A86="","",VLOOKUP($A86,子基金及业绩基准周净值!$A:$F,5))</f>
        <v/>
      </c>
      <c r="C86" s="8" t="str">
        <f t="shared" si="4"/>
        <v/>
      </c>
      <c r="D86" s="9" t="str">
        <f>IF(A86="","",C86-(子基金及业绩基准周净值!AH90/子基金及业绩基准周净值!AH89-1))</f>
        <v/>
      </c>
      <c r="E86" s="12" t="str">
        <f>IF(A86="","",(MAX(B$3:B86)-B86)/MAX(B$3:B86))</f>
        <v/>
      </c>
      <c r="F86" s="12" t="str">
        <f>IF(A86="","",MAX(E$4:E86))</f>
        <v/>
      </c>
      <c r="G86" s="17" t="str">
        <f>IF(A86="","",MAX(FREQUENCY(IF($D$3:D86&lt;0,ROW($D$3:D86)),IF($D$3:D86&gt;=0,ROW($D$3:D86)))))</f>
        <v/>
      </c>
      <c r="H86" s="14" t="str">
        <f t="shared" si="6"/>
        <v/>
      </c>
      <c r="I86" s="14" t="str">
        <f t="shared" si="7"/>
        <v/>
      </c>
      <c r="J86" s="15" t="str">
        <f t="shared" si="5"/>
        <v/>
      </c>
    </row>
    <row r="87" spans="1:10">
      <c r="A87" s="7" t="str">
        <f>IF(子基金及业绩基准周净值!A91="","",子基金及业绩基准周净值!A91)</f>
        <v/>
      </c>
      <c r="B87" s="1" t="str">
        <f>IF(A87="","",VLOOKUP($A87,子基金及业绩基准周净值!$A:$F,5))</f>
        <v/>
      </c>
      <c r="C87" s="8" t="str">
        <f t="shared" si="4"/>
        <v/>
      </c>
      <c r="D87" s="9" t="str">
        <f>IF(A87="","",C87-(子基金及业绩基准周净值!AH91/子基金及业绩基准周净值!AH90-1))</f>
        <v/>
      </c>
      <c r="E87" s="12" t="str">
        <f>IF(A87="","",(MAX(B$3:B87)-B87)/MAX(B$3:B87))</f>
        <v/>
      </c>
      <c r="F87" s="12" t="str">
        <f>IF(A87="","",MAX(E$4:E87))</f>
        <v/>
      </c>
      <c r="G87" s="17" t="str">
        <f>IF(A87="","",MAX(FREQUENCY(IF($D$3:D87&lt;0,ROW($D$3:D87)),IF($D$3:D87&gt;=0,ROW($D$3:D87)))))</f>
        <v/>
      </c>
      <c r="H87" s="14" t="str">
        <f t="shared" si="6"/>
        <v/>
      </c>
      <c r="I87" s="14" t="str">
        <f t="shared" si="7"/>
        <v/>
      </c>
      <c r="J87" s="15" t="str">
        <f t="shared" si="5"/>
        <v/>
      </c>
    </row>
    <row r="88" spans="1:10">
      <c r="A88" s="7" t="str">
        <f>IF(子基金及业绩基准周净值!A92="","",子基金及业绩基准周净值!A92)</f>
        <v/>
      </c>
      <c r="B88" s="1" t="str">
        <f>IF(A88="","",VLOOKUP($A88,子基金及业绩基准周净值!$A:$F,5))</f>
        <v/>
      </c>
      <c r="C88" s="8" t="str">
        <f t="shared" si="4"/>
        <v/>
      </c>
      <c r="D88" s="9" t="str">
        <f>IF(A88="","",C88-(子基金及业绩基准周净值!AH92/子基金及业绩基准周净值!AH91-1))</f>
        <v/>
      </c>
      <c r="E88" s="12" t="str">
        <f>IF(A88="","",(MAX(B$3:B88)-B88)/MAX(B$3:B88))</f>
        <v/>
      </c>
      <c r="F88" s="12" t="str">
        <f>IF(A88="","",MAX(E$4:E88))</f>
        <v/>
      </c>
      <c r="G88" s="17" t="str">
        <f>IF(A88="","",MAX(FREQUENCY(IF($D$3:D88&lt;0,ROW($D$3:D88)),IF($D$3:D88&gt;=0,ROW($D$3:D88)))))</f>
        <v/>
      </c>
      <c r="H88" s="14" t="str">
        <f t="shared" si="6"/>
        <v/>
      </c>
      <c r="I88" s="14" t="str">
        <f t="shared" si="7"/>
        <v/>
      </c>
      <c r="J88" s="15" t="str">
        <f t="shared" si="5"/>
        <v/>
      </c>
    </row>
    <row r="89" spans="1:10">
      <c r="A89" s="7" t="str">
        <f>IF(子基金及业绩基准周净值!A93="","",子基金及业绩基准周净值!A93)</f>
        <v/>
      </c>
      <c r="B89" s="1" t="str">
        <f>IF(A89="","",VLOOKUP($A89,子基金及业绩基准周净值!$A:$F,5))</f>
        <v/>
      </c>
      <c r="C89" s="8" t="str">
        <f t="shared" si="4"/>
        <v/>
      </c>
      <c r="D89" s="9" t="str">
        <f>IF(A89="","",C89-(子基金及业绩基准周净值!AH93/子基金及业绩基准周净值!AH92-1))</f>
        <v/>
      </c>
      <c r="E89" s="12" t="str">
        <f>IF(A89="","",(MAX(B$3:B89)-B89)/MAX(B$3:B89))</f>
        <v/>
      </c>
      <c r="F89" s="12" t="str">
        <f>IF(A89="","",MAX(E$4:E89))</f>
        <v/>
      </c>
      <c r="G89" s="17" t="str">
        <f>IF(A89="","",MAX(FREQUENCY(IF($D$3:D89&lt;0,ROW($D$3:D89)),IF($D$3:D89&gt;=0,ROW($D$3:D89)))))</f>
        <v/>
      </c>
      <c r="H89" s="14" t="str">
        <f t="shared" si="6"/>
        <v/>
      </c>
      <c r="I89" s="14" t="str">
        <f t="shared" si="7"/>
        <v/>
      </c>
      <c r="J89" s="15" t="str">
        <f t="shared" si="5"/>
        <v/>
      </c>
    </row>
    <row r="90" spans="1:10">
      <c r="A90" s="7" t="str">
        <f>IF(子基金及业绩基准周净值!A94="","",子基金及业绩基准周净值!A94)</f>
        <v/>
      </c>
      <c r="B90" s="1" t="str">
        <f>IF(A90="","",VLOOKUP($A90,子基金及业绩基准周净值!$A:$F,5))</f>
        <v/>
      </c>
      <c r="C90" s="8" t="str">
        <f t="shared" si="4"/>
        <v/>
      </c>
      <c r="D90" s="9" t="str">
        <f>IF(A90="","",C90-(子基金及业绩基准周净值!AH94/子基金及业绩基准周净值!AH93-1))</f>
        <v/>
      </c>
      <c r="E90" s="12" t="str">
        <f>IF(A90="","",(MAX(B$3:B90)-B90)/MAX(B$3:B90))</f>
        <v/>
      </c>
      <c r="F90" s="12" t="str">
        <f>IF(A90="","",MAX(E$4:E90))</f>
        <v/>
      </c>
      <c r="G90" s="17" t="str">
        <f>IF(A90="","",MAX(FREQUENCY(IF($D$3:D90&lt;0,ROW($D$3:D90)),IF($D$3:D90&gt;=0,ROW($D$3:D90)))))</f>
        <v/>
      </c>
      <c r="H90" s="14" t="str">
        <f t="shared" si="6"/>
        <v/>
      </c>
      <c r="I90" s="14" t="str">
        <f t="shared" si="7"/>
        <v/>
      </c>
      <c r="J90" s="15" t="str">
        <f t="shared" si="5"/>
        <v/>
      </c>
    </row>
    <row r="91" spans="1:10">
      <c r="A91" s="7" t="str">
        <f>IF(子基金及业绩基准周净值!A95="","",子基金及业绩基准周净值!A95)</f>
        <v/>
      </c>
      <c r="B91" s="1" t="str">
        <f>IF(A91="","",VLOOKUP($A91,子基金及业绩基准周净值!$A:$F,5))</f>
        <v/>
      </c>
      <c r="C91" s="8" t="str">
        <f t="shared" si="4"/>
        <v/>
      </c>
      <c r="D91" s="9" t="str">
        <f>IF(A91="","",C91-(子基金及业绩基准周净值!AH95/子基金及业绩基准周净值!AH94-1))</f>
        <v/>
      </c>
      <c r="E91" s="12" t="str">
        <f>IF(A91="","",(MAX(B$3:B91)-B91)/MAX(B$3:B91))</f>
        <v/>
      </c>
      <c r="F91" s="12" t="str">
        <f>IF(A91="","",MAX(E$4:E91))</f>
        <v/>
      </c>
      <c r="G91" s="17" t="str">
        <f>IF(A91="","",MAX(FREQUENCY(IF($D$3:D91&lt;0,ROW($D$3:D91)),IF($D$3:D91&gt;=0,ROW($D$3:D91)))))</f>
        <v/>
      </c>
      <c r="H91" s="14" t="str">
        <f t="shared" si="6"/>
        <v/>
      </c>
      <c r="I91" s="14" t="str">
        <f t="shared" si="7"/>
        <v/>
      </c>
      <c r="J91" s="15" t="str">
        <f t="shared" si="5"/>
        <v/>
      </c>
    </row>
    <row r="92" spans="1:10">
      <c r="A92" s="7" t="str">
        <f>IF(子基金及业绩基准周净值!A96="","",子基金及业绩基准周净值!A96)</f>
        <v/>
      </c>
      <c r="B92" s="1" t="str">
        <f>IF(A92="","",VLOOKUP($A92,子基金及业绩基准周净值!$A:$F,5))</f>
        <v/>
      </c>
      <c r="C92" s="8" t="str">
        <f t="shared" si="4"/>
        <v/>
      </c>
      <c r="D92" s="9" t="str">
        <f>IF(A92="","",C92-(子基金及业绩基准周净值!AH96/子基金及业绩基准周净值!AH95-1))</f>
        <v/>
      </c>
      <c r="E92" s="12" t="str">
        <f>IF(A92="","",(MAX(B$3:B92)-B92)/MAX(B$3:B92))</f>
        <v/>
      </c>
      <c r="F92" s="12" t="str">
        <f>IF(A92="","",MAX(E$4:E92))</f>
        <v/>
      </c>
      <c r="G92" s="17" t="str">
        <f>IF(A92="","",MAX(FREQUENCY(IF($D$3:D92&lt;0,ROW($D$3:D92)),IF($D$3:D92&gt;=0,ROW($D$3:D92)))))</f>
        <v/>
      </c>
      <c r="H92" s="14" t="str">
        <f t="shared" si="6"/>
        <v/>
      </c>
      <c r="I92" s="14" t="str">
        <f t="shared" si="7"/>
        <v/>
      </c>
      <c r="J92" s="15" t="str">
        <f t="shared" si="5"/>
        <v/>
      </c>
    </row>
    <row r="93" spans="1:10">
      <c r="A93" s="7" t="str">
        <f>IF(子基金及业绩基准周净值!A97="","",子基金及业绩基准周净值!A97)</f>
        <v/>
      </c>
      <c r="B93" s="1" t="str">
        <f>IF(A93="","",VLOOKUP($A93,子基金及业绩基准周净值!$A:$F,5))</f>
        <v/>
      </c>
      <c r="C93" s="8" t="str">
        <f t="shared" si="4"/>
        <v/>
      </c>
      <c r="D93" s="9" t="str">
        <f>IF(A93="","",C93-(子基金及业绩基准周净值!AH97/子基金及业绩基准周净值!AH96-1))</f>
        <v/>
      </c>
      <c r="E93" s="12" t="str">
        <f>IF(A93="","",(MAX(B$3:B93)-B93)/MAX(B$3:B93))</f>
        <v/>
      </c>
      <c r="F93" s="12" t="str">
        <f>IF(A93="","",MAX(E$4:E93))</f>
        <v/>
      </c>
      <c r="G93" s="17" t="str">
        <f>IF(A93="","",MAX(FREQUENCY(IF($D$3:D93&lt;0,ROW($D$3:D93)),IF($D$3:D93&gt;=0,ROW($D$3:D93)))))</f>
        <v/>
      </c>
      <c r="H93" s="14" t="str">
        <f t="shared" si="6"/>
        <v/>
      </c>
      <c r="I93" s="14" t="str">
        <f t="shared" si="7"/>
        <v/>
      </c>
      <c r="J93" s="15" t="str">
        <f t="shared" si="5"/>
        <v/>
      </c>
    </row>
    <row r="94" spans="1:10">
      <c r="A94" s="7" t="str">
        <f>IF(子基金及业绩基准周净值!A98="","",子基金及业绩基准周净值!A98)</f>
        <v/>
      </c>
      <c r="B94" s="1" t="str">
        <f>IF(A94="","",VLOOKUP($A94,子基金及业绩基准周净值!$A:$F,5))</f>
        <v/>
      </c>
      <c r="C94" s="8" t="str">
        <f t="shared" si="4"/>
        <v/>
      </c>
      <c r="D94" s="9" t="str">
        <f>IF(A94="","",C94-(子基金及业绩基准周净值!AH98/子基金及业绩基准周净值!AH97-1))</f>
        <v/>
      </c>
      <c r="E94" s="12" t="str">
        <f>IF(A94="","",(MAX(B$3:B94)-B94)/MAX(B$3:B94))</f>
        <v/>
      </c>
      <c r="F94" s="12" t="str">
        <f>IF(A94="","",MAX(E$4:E94))</f>
        <v/>
      </c>
      <c r="G94" s="17" t="str">
        <f>IF(A94="","",MAX(FREQUENCY(IF($D$3:D94&lt;0,ROW($D$3:D94)),IF($D$3:D94&gt;=0,ROW($D$3:D94)))))</f>
        <v/>
      </c>
      <c r="H94" s="14" t="str">
        <f t="shared" si="6"/>
        <v/>
      </c>
      <c r="I94" s="14" t="str">
        <f t="shared" si="7"/>
        <v/>
      </c>
      <c r="J94" s="15" t="str">
        <f t="shared" si="5"/>
        <v/>
      </c>
    </row>
    <row r="95" spans="1:10">
      <c r="A95" s="7" t="str">
        <f>IF(子基金及业绩基准周净值!A99="","",子基金及业绩基准周净值!A99)</f>
        <v/>
      </c>
      <c r="B95" s="1" t="str">
        <f>IF(A95="","",VLOOKUP($A95,子基金及业绩基准周净值!$A:$F,5))</f>
        <v/>
      </c>
      <c r="C95" s="8" t="str">
        <f t="shared" si="4"/>
        <v/>
      </c>
      <c r="D95" s="9" t="str">
        <f>IF(A95="","",C95-(子基金及业绩基准周净值!AH99/子基金及业绩基准周净值!AH98-1))</f>
        <v/>
      </c>
      <c r="E95" s="12" t="str">
        <f>IF(A95="","",(MAX(B$3:B95)-B95)/MAX(B$3:B95))</f>
        <v/>
      </c>
      <c r="F95" s="12" t="str">
        <f>IF(A95="","",MAX(E$4:E95))</f>
        <v/>
      </c>
      <c r="G95" s="17" t="str">
        <f>IF(A95="","",MAX(FREQUENCY(IF($D$3:D95&lt;0,ROW($D$3:D95)),IF($D$3:D95&gt;=0,ROW($D$3:D95)))))</f>
        <v/>
      </c>
      <c r="H95" s="14" t="str">
        <f t="shared" si="6"/>
        <v/>
      </c>
      <c r="I95" s="14" t="str">
        <f t="shared" si="7"/>
        <v/>
      </c>
      <c r="J95" s="15" t="str">
        <f t="shared" si="5"/>
        <v/>
      </c>
    </row>
    <row r="96" spans="1:10">
      <c r="A96" s="7" t="str">
        <f>IF(子基金及业绩基准周净值!A100="","",子基金及业绩基准周净值!A100)</f>
        <v/>
      </c>
      <c r="B96" s="1" t="str">
        <f>IF(A96="","",VLOOKUP($A96,子基金及业绩基准周净值!$A:$F,5))</f>
        <v/>
      </c>
      <c r="C96" s="8" t="str">
        <f t="shared" si="4"/>
        <v/>
      </c>
      <c r="D96" s="9" t="str">
        <f>IF(A96="","",C96-(子基金及业绩基准周净值!AH100/子基金及业绩基准周净值!AH99-1))</f>
        <v/>
      </c>
      <c r="E96" s="12" t="str">
        <f>IF(A96="","",(MAX(B$3:B96)-B96)/MAX(B$3:B96))</f>
        <v/>
      </c>
      <c r="F96" s="12" t="str">
        <f>IF(A96="","",MAX(E$4:E96))</f>
        <v/>
      </c>
      <c r="G96" s="17" t="str">
        <f>IF(A96="","",MAX(FREQUENCY(IF($D$3:D96&lt;0,ROW($D$3:D96)),IF($D$3:D96&gt;=0,ROW($D$3:D96)))))</f>
        <v/>
      </c>
      <c r="H96" s="14" t="str">
        <f t="shared" si="6"/>
        <v/>
      </c>
      <c r="I96" s="14" t="str">
        <f t="shared" si="7"/>
        <v/>
      </c>
      <c r="J96" s="15" t="str">
        <f t="shared" si="5"/>
        <v/>
      </c>
    </row>
    <row r="97" spans="1:10">
      <c r="A97" s="7" t="str">
        <f>IF(子基金及业绩基准周净值!A101="","",子基金及业绩基准周净值!A101)</f>
        <v/>
      </c>
      <c r="B97" s="1" t="str">
        <f>IF(A97="","",VLOOKUP($A97,子基金及业绩基准周净值!$A:$F,5))</f>
        <v/>
      </c>
      <c r="C97" s="8" t="str">
        <f t="shared" si="4"/>
        <v/>
      </c>
      <c r="D97" s="9" t="str">
        <f>IF(A97="","",C97-(子基金及业绩基准周净值!AH101/子基金及业绩基准周净值!AH100-1))</f>
        <v/>
      </c>
      <c r="E97" s="12" t="str">
        <f>IF(A97="","",(MAX(B$3:B97)-B97)/MAX(B$3:B97))</f>
        <v/>
      </c>
      <c r="F97" s="12" t="str">
        <f>IF(A97="","",MAX(E$4:E97))</f>
        <v/>
      </c>
      <c r="G97" s="17" t="str">
        <f>IF(A97="","",MAX(FREQUENCY(IF($D$3:D97&lt;0,ROW($D$3:D97)),IF($D$3:D97&gt;=0,ROW($D$3:D97)))))</f>
        <v/>
      </c>
      <c r="H97" s="14" t="str">
        <f t="shared" si="6"/>
        <v/>
      </c>
      <c r="I97" s="14" t="str">
        <f t="shared" si="7"/>
        <v/>
      </c>
      <c r="J97" s="15" t="str">
        <f t="shared" si="5"/>
        <v/>
      </c>
    </row>
    <row r="98" spans="1:10">
      <c r="A98" s="7" t="str">
        <f>IF(子基金及业绩基准周净值!A102="","",子基金及业绩基准周净值!A102)</f>
        <v/>
      </c>
      <c r="B98" s="1" t="str">
        <f>IF(A98="","",VLOOKUP($A98,子基金及业绩基准周净值!$A:$F,5))</f>
        <v/>
      </c>
      <c r="C98" s="8" t="str">
        <f t="shared" si="4"/>
        <v/>
      </c>
      <c r="D98" s="9" t="str">
        <f>IF(A98="","",C98-(子基金及业绩基准周净值!AH102/子基金及业绩基准周净值!AH101-1))</f>
        <v/>
      </c>
      <c r="E98" s="12" t="str">
        <f>IF(A98="","",(MAX(B$3:B98)-B98)/MAX(B$3:B98))</f>
        <v/>
      </c>
      <c r="F98" s="12" t="str">
        <f>IF(A98="","",MAX(E$4:E98))</f>
        <v/>
      </c>
      <c r="G98" s="17" t="str">
        <f>IF(A98="","",MAX(FREQUENCY(IF($D$3:D98&lt;0,ROW($D$3:D98)),IF($D$3:D98&gt;=0,ROW($D$3:D98)))))</f>
        <v/>
      </c>
      <c r="H98" s="14" t="str">
        <f t="shared" si="6"/>
        <v/>
      </c>
      <c r="I98" s="14" t="str">
        <f t="shared" si="7"/>
        <v/>
      </c>
      <c r="J98" s="15" t="str">
        <f t="shared" si="5"/>
        <v/>
      </c>
    </row>
    <row r="99" spans="1:10">
      <c r="A99" s="7" t="str">
        <f>IF(子基金及业绩基准周净值!A103="","",子基金及业绩基准周净值!A103)</f>
        <v/>
      </c>
      <c r="B99" s="1" t="str">
        <f>IF(A99="","",VLOOKUP($A99,子基金及业绩基准周净值!$A:$F,5))</f>
        <v/>
      </c>
      <c r="C99" s="8" t="str">
        <f t="shared" si="4"/>
        <v/>
      </c>
      <c r="D99" s="9" t="str">
        <f>IF(A99="","",C99-(子基金及业绩基准周净值!AH103/子基金及业绩基准周净值!AH102-1))</f>
        <v/>
      </c>
      <c r="E99" s="12" t="str">
        <f>IF(A99="","",(MAX(B$3:B99)-B99)/MAX(B$3:B99))</f>
        <v/>
      </c>
      <c r="F99" s="12" t="str">
        <f>IF(A99="","",MAX(E$4:E99))</f>
        <v/>
      </c>
      <c r="G99" s="17" t="str">
        <f>IF(A99="","",MAX(FREQUENCY(IF($D$3:D99&lt;0,ROW($D$3:D99)),IF($D$3:D99&gt;=0,ROW($D$3:D99)))))</f>
        <v/>
      </c>
      <c r="H99" s="14" t="str">
        <f t="shared" si="6"/>
        <v/>
      </c>
      <c r="I99" s="14" t="str">
        <f t="shared" si="7"/>
        <v/>
      </c>
      <c r="J99" s="15" t="str">
        <f t="shared" si="5"/>
        <v/>
      </c>
    </row>
    <row r="100" spans="1:10">
      <c r="A100" s="7" t="str">
        <f>IF(子基金及业绩基准周净值!A104="","",子基金及业绩基准周净值!A104)</f>
        <v/>
      </c>
      <c r="B100" s="1" t="str">
        <f>IF(A100="","",VLOOKUP($A100,子基金及业绩基准周净值!$A:$F,5))</f>
        <v/>
      </c>
      <c r="C100" s="8" t="str">
        <f t="shared" si="4"/>
        <v/>
      </c>
      <c r="D100" s="9" t="str">
        <f>IF(A100="","",C100-(子基金及业绩基准周净值!AH104/子基金及业绩基准周净值!AH103-1))</f>
        <v/>
      </c>
      <c r="E100" s="12" t="str">
        <f>IF(A100="","",(MAX(B$3:B100)-B100)/MAX(B$3:B100))</f>
        <v/>
      </c>
      <c r="F100" s="12" t="str">
        <f>IF(A100="","",MAX(E$4:E100))</f>
        <v/>
      </c>
      <c r="G100" s="17" t="str">
        <f>IF(A100="","",MAX(FREQUENCY(IF($D$3:D100&lt;0,ROW($D$3:D100)),IF($D$3:D100&gt;=0,ROW($D$3:D100)))))</f>
        <v/>
      </c>
      <c r="H100" s="14" t="str">
        <f t="shared" si="6"/>
        <v/>
      </c>
      <c r="I100" s="14" t="str">
        <f t="shared" si="7"/>
        <v/>
      </c>
      <c r="J100" s="15" t="str">
        <f t="shared" si="5"/>
        <v/>
      </c>
    </row>
    <row r="101" spans="1:10">
      <c r="A101" s="7" t="str">
        <f>IF(子基金及业绩基准周净值!A105="","",子基金及业绩基准周净值!A105)</f>
        <v/>
      </c>
      <c r="B101" s="1" t="str">
        <f>IF(A101="","",VLOOKUP($A101,子基金及业绩基准周净值!$A:$F,5))</f>
        <v/>
      </c>
      <c r="C101" s="8" t="str">
        <f t="shared" si="4"/>
        <v/>
      </c>
      <c r="D101" s="9" t="str">
        <f>IF(A101="","",C101-(子基金及业绩基准周净值!AH105/子基金及业绩基准周净值!AH104-1))</f>
        <v/>
      </c>
      <c r="E101" s="12" t="str">
        <f>IF(A101="","",(MAX(B$3:B101)-B101)/MAX(B$3:B101))</f>
        <v/>
      </c>
      <c r="F101" s="12" t="str">
        <f>IF(A101="","",MAX(E$4:E101))</f>
        <v/>
      </c>
      <c r="G101" s="17" t="str">
        <f>IF(A101="","",MAX(FREQUENCY(IF($D$3:D101&lt;0,ROW($D$3:D101)),IF($D$3:D101&gt;=0,ROW($D$3:D101)))))</f>
        <v/>
      </c>
      <c r="H101" s="14" t="str">
        <f t="shared" si="6"/>
        <v/>
      </c>
      <c r="I101" s="14" t="str">
        <f t="shared" si="7"/>
        <v/>
      </c>
      <c r="J101" s="15" t="str">
        <f t="shared" si="5"/>
        <v/>
      </c>
    </row>
    <row r="102" spans="1:10">
      <c r="A102" s="7" t="str">
        <f>IF(子基金及业绩基准周净值!A106="","",子基金及业绩基准周净值!A106)</f>
        <v/>
      </c>
      <c r="B102" s="1" t="str">
        <f>IF(A102="","",VLOOKUP($A102,子基金及业绩基准周净值!$A:$F,5))</f>
        <v/>
      </c>
      <c r="C102" s="8" t="str">
        <f t="shared" si="4"/>
        <v/>
      </c>
      <c r="D102" s="9" t="str">
        <f>IF(A102="","",C102-(子基金及业绩基准周净值!AH106/子基金及业绩基准周净值!AH105-1))</f>
        <v/>
      </c>
      <c r="E102" s="12" t="str">
        <f>IF(A102="","",(MAX(B$3:B102)-B102)/MAX(B$3:B102))</f>
        <v/>
      </c>
      <c r="F102" s="12" t="str">
        <f>IF(A102="","",MAX(E$4:E102))</f>
        <v/>
      </c>
      <c r="G102" s="17" t="str">
        <f>IF(A102="","",MAX(FREQUENCY(IF($D$3:D102&lt;0,ROW($D$3:D102)),IF($D$3:D102&gt;=0,ROW($D$3:D102)))))</f>
        <v/>
      </c>
      <c r="H102" s="14" t="str">
        <f t="shared" si="6"/>
        <v/>
      </c>
      <c r="I102" s="14" t="str">
        <f t="shared" si="7"/>
        <v/>
      </c>
      <c r="J102" s="15" t="str">
        <f t="shared" si="5"/>
        <v/>
      </c>
    </row>
    <row r="103" spans="1:10">
      <c r="A103" s="7" t="str">
        <f>IF(子基金及业绩基准周净值!A107="","",子基金及业绩基准周净值!A107)</f>
        <v/>
      </c>
      <c r="B103" s="1" t="str">
        <f>IF(A103="","",VLOOKUP($A103,子基金及业绩基准周净值!$A:$F,5))</f>
        <v/>
      </c>
      <c r="C103" s="8" t="str">
        <f t="shared" si="4"/>
        <v/>
      </c>
      <c r="D103" s="9" t="str">
        <f>IF(A103="","",C103-(子基金及业绩基准周净值!AH107/子基金及业绩基准周净值!AH106-1))</f>
        <v/>
      </c>
      <c r="E103" s="12" t="str">
        <f>IF(A103="","",(MAX(B$3:B103)-B103)/MAX(B$3:B103))</f>
        <v/>
      </c>
      <c r="F103" s="12" t="str">
        <f>IF(A103="","",MAX(E$4:E103))</f>
        <v/>
      </c>
      <c r="G103" s="17" t="str">
        <f>IF(A103="","",MAX(FREQUENCY(IF($D$3:D103&lt;0,ROW($D$3:D103)),IF($D$3:D103&gt;=0,ROW($D$3:D103)))))</f>
        <v/>
      </c>
      <c r="H103" s="14" t="str">
        <f t="shared" si="6"/>
        <v/>
      </c>
      <c r="I103" s="14" t="str">
        <f t="shared" si="7"/>
        <v/>
      </c>
      <c r="J103" s="15" t="str">
        <f t="shared" si="5"/>
        <v/>
      </c>
    </row>
    <row r="104" spans="1:10">
      <c r="A104" s="7" t="str">
        <f>IF(子基金及业绩基准周净值!A108="","",子基金及业绩基准周净值!A108)</f>
        <v/>
      </c>
      <c r="B104" s="1" t="str">
        <f>IF(A104="","",VLOOKUP($A104,子基金及业绩基准周净值!$A:$F,5))</f>
        <v/>
      </c>
      <c r="C104" s="8" t="str">
        <f t="shared" si="4"/>
        <v/>
      </c>
      <c r="D104" s="9" t="str">
        <f>IF(A104="","",C104-(子基金及业绩基准周净值!AH108/子基金及业绩基准周净值!AH107-1))</f>
        <v/>
      </c>
      <c r="E104" s="12" t="str">
        <f>IF(A104="","",(MAX(B$3:B104)-B104)/MAX(B$3:B104))</f>
        <v/>
      </c>
      <c r="F104" s="12" t="str">
        <f>IF(A104="","",MAX(E$4:E104))</f>
        <v/>
      </c>
      <c r="G104" s="17" t="str">
        <f>IF(A104="","",MAX(FREQUENCY(IF($D$3:D104&lt;0,ROW($D$3:D104)),IF($D$3:D104&gt;=0,ROW($D$3:D104)))))</f>
        <v/>
      </c>
      <c r="H104" s="14" t="str">
        <f t="shared" si="6"/>
        <v/>
      </c>
      <c r="I104" s="14" t="str">
        <f t="shared" si="7"/>
        <v/>
      </c>
      <c r="J104" s="15" t="str">
        <f t="shared" si="5"/>
        <v/>
      </c>
    </row>
    <row r="105" spans="1:10">
      <c r="A105" s="7" t="str">
        <f>IF(子基金及业绩基准周净值!A109="","",子基金及业绩基准周净值!A109)</f>
        <v/>
      </c>
      <c r="B105" s="1" t="str">
        <f>IF(A105="","",VLOOKUP($A105,子基金及业绩基准周净值!$A:$F,5))</f>
        <v/>
      </c>
      <c r="C105" s="8" t="str">
        <f t="shared" si="4"/>
        <v/>
      </c>
      <c r="D105" s="9" t="str">
        <f>IF(A105="","",C105-(子基金及业绩基准周净值!AH109/子基金及业绩基准周净值!AH108-1))</f>
        <v/>
      </c>
      <c r="E105" s="12" t="str">
        <f>IF(A105="","",(MAX(B$3:B105)-B105)/MAX(B$3:B105))</f>
        <v/>
      </c>
      <c r="F105" s="12" t="str">
        <f>IF(A105="","",MAX(E$4:E105))</f>
        <v/>
      </c>
      <c r="G105" s="17" t="str">
        <f>IF(A105="","",MAX(FREQUENCY(IF($D$3:D105&lt;0,ROW($D$3:D105)),IF($D$3:D105&gt;=0,ROW($D$3:D105)))))</f>
        <v/>
      </c>
      <c r="H105" s="14" t="str">
        <f t="shared" si="6"/>
        <v/>
      </c>
      <c r="I105" s="14" t="str">
        <f t="shared" si="7"/>
        <v/>
      </c>
      <c r="J105" s="15" t="str">
        <f t="shared" si="5"/>
        <v/>
      </c>
    </row>
    <row r="106" spans="1:10">
      <c r="A106" s="7" t="str">
        <f>IF(子基金及业绩基准周净值!A110="","",子基金及业绩基准周净值!A110)</f>
        <v/>
      </c>
      <c r="B106" s="1" t="str">
        <f>IF(A106="","",VLOOKUP($A106,子基金及业绩基准周净值!$A:$F,5))</f>
        <v/>
      </c>
      <c r="C106" s="8" t="str">
        <f t="shared" si="4"/>
        <v/>
      </c>
      <c r="D106" s="9" t="str">
        <f>IF(A106="","",C106-(子基金及业绩基准周净值!AH110/子基金及业绩基准周净值!AH109-1))</f>
        <v/>
      </c>
      <c r="E106" s="12" t="str">
        <f>IF(A106="","",(MAX(B$3:B106)-B106)/MAX(B$3:B106))</f>
        <v/>
      </c>
      <c r="F106" s="12" t="str">
        <f>IF(A106="","",MAX(E$4:E106))</f>
        <v/>
      </c>
      <c r="G106" s="17" t="str">
        <f>IF(A106="","",MAX(FREQUENCY(IF($D$3:D106&lt;0,ROW($D$3:D106)),IF($D$3:D106&gt;=0,ROW($D$3:D106)))))</f>
        <v/>
      </c>
      <c r="H106" s="14" t="str">
        <f t="shared" si="6"/>
        <v/>
      </c>
      <c r="I106" s="14" t="str">
        <f t="shared" si="7"/>
        <v/>
      </c>
      <c r="J106" s="15" t="str">
        <f t="shared" si="5"/>
        <v/>
      </c>
    </row>
    <row r="107" spans="1:10">
      <c r="A107" s="7" t="str">
        <f>IF(子基金及业绩基准周净值!A111="","",子基金及业绩基准周净值!A111)</f>
        <v/>
      </c>
      <c r="B107" s="1" t="str">
        <f>IF(A107="","",VLOOKUP($A107,子基金及业绩基准周净值!$A:$F,5))</f>
        <v/>
      </c>
      <c r="C107" s="8" t="str">
        <f t="shared" si="4"/>
        <v/>
      </c>
      <c r="D107" s="9" t="str">
        <f>IF(A107="","",C107-(子基金及业绩基准周净值!AH111/子基金及业绩基准周净值!AH110-1))</f>
        <v/>
      </c>
      <c r="E107" s="12" t="str">
        <f>IF(A107="","",(MAX(B$3:B107)-B107)/MAX(B$3:B107))</f>
        <v/>
      </c>
      <c r="F107" s="12" t="str">
        <f>IF(A107="","",MAX(E$4:E107))</f>
        <v/>
      </c>
      <c r="G107" s="17" t="str">
        <f>IF(A107="","",MAX(FREQUENCY(IF($D$3:D107&lt;0,ROW($D$3:D107)),IF($D$3:D107&gt;=0,ROW($D$3:D107)))))</f>
        <v/>
      </c>
      <c r="H107" s="14" t="str">
        <f t="shared" si="6"/>
        <v/>
      </c>
      <c r="I107" s="14" t="str">
        <f t="shared" si="7"/>
        <v/>
      </c>
      <c r="J107" s="15" t="str">
        <f t="shared" si="5"/>
        <v/>
      </c>
    </row>
    <row r="108" spans="1:10">
      <c r="A108" s="7" t="str">
        <f>IF(子基金及业绩基准周净值!A112="","",子基金及业绩基准周净值!A112)</f>
        <v/>
      </c>
      <c r="B108" s="1" t="str">
        <f>IF(A108="","",VLOOKUP($A108,子基金及业绩基准周净值!$A:$F,5))</f>
        <v/>
      </c>
      <c r="C108" s="8" t="str">
        <f t="shared" si="4"/>
        <v/>
      </c>
      <c r="D108" s="9" t="str">
        <f>IF(A108="","",C108-(子基金及业绩基准周净值!AH112/子基金及业绩基准周净值!AH111-1))</f>
        <v/>
      </c>
      <c r="E108" s="12" t="str">
        <f>IF(A108="","",(MAX(B$3:B108)-B108)/MAX(B$3:B108))</f>
        <v/>
      </c>
      <c r="F108" s="12" t="str">
        <f>IF(A108="","",MAX(E$4:E108))</f>
        <v/>
      </c>
      <c r="G108" s="17" t="str">
        <f>IF(A108="","",MAX(FREQUENCY(IF($D$3:D108&lt;0,ROW($D$3:D108)),IF($D$3:D108&gt;=0,ROW($D$3:D108)))))</f>
        <v/>
      </c>
      <c r="H108" s="14" t="str">
        <f t="shared" si="6"/>
        <v/>
      </c>
      <c r="I108" s="14" t="str">
        <f t="shared" si="7"/>
        <v/>
      </c>
      <c r="J108" s="15" t="str">
        <f t="shared" si="5"/>
        <v/>
      </c>
    </row>
    <row r="109" spans="1:10">
      <c r="A109" s="7" t="str">
        <f>IF(子基金及业绩基准周净值!A113="","",子基金及业绩基准周净值!A113)</f>
        <v/>
      </c>
      <c r="B109" s="1" t="str">
        <f>IF(A109="","",VLOOKUP($A109,子基金及业绩基准周净值!$A:$F,5))</f>
        <v/>
      </c>
      <c r="C109" s="8" t="str">
        <f t="shared" si="4"/>
        <v/>
      </c>
      <c r="D109" s="9" t="str">
        <f>IF(A109="","",C109-(子基金及业绩基准周净值!AH113/子基金及业绩基准周净值!AH112-1))</f>
        <v/>
      </c>
      <c r="E109" s="12" t="str">
        <f>IF(A109="","",(MAX(B$3:B109)-B109)/MAX(B$3:B109))</f>
        <v/>
      </c>
      <c r="F109" s="12" t="str">
        <f>IF(A109="","",MAX(E$4:E109))</f>
        <v/>
      </c>
      <c r="G109" s="17" t="str">
        <f>IF(A109="","",MAX(FREQUENCY(IF($D$3:D109&lt;0,ROW($D$3:D109)),IF($D$3:D109&gt;=0,ROW($D$3:D109)))))</f>
        <v/>
      </c>
      <c r="H109" s="14" t="str">
        <f t="shared" si="6"/>
        <v/>
      </c>
      <c r="I109" s="14" t="str">
        <f t="shared" si="7"/>
        <v/>
      </c>
      <c r="J109" s="15" t="str">
        <f t="shared" si="5"/>
        <v/>
      </c>
    </row>
    <row r="110" spans="1:10">
      <c r="A110" s="7" t="str">
        <f>IF(子基金及业绩基准周净值!A114="","",子基金及业绩基准周净值!A114)</f>
        <v/>
      </c>
      <c r="B110" s="1" t="str">
        <f>IF(A110="","",VLOOKUP($A110,子基金及业绩基准周净值!$A:$F,5))</f>
        <v/>
      </c>
      <c r="C110" s="8" t="str">
        <f t="shared" si="4"/>
        <v/>
      </c>
      <c r="D110" s="9" t="str">
        <f>IF(A110="","",C110-(子基金及业绩基准周净值!AH114/子基金及业绩基准周净值!AH113-1))</f>
        <v/>
      </c>
      <c r="E110" s="12" t="str">
        <f>IF(A110="","",(MAX(B$3:B110)-B110)/MAX(B$3:B110))</f>
        <v/>
      </c>
      <c r="F110" s="12" t="str">
        <f>IF(A110="","",MAX(E$4:E110))</f>
        <v/>
      </c>
      <c r="G110" s="17" t="str">
        <f>IF(A110="","",MAX(FREQUENCY(IF($D$3:D110&lt;0,ROW($D$3:D110)),IF($D$3:D110&gt;=0,ROW($D$3:D110)))))</f>
        <v/>
      </c>
      <c r="H110" s="14" t="str">
        <f t="shared" si="6"/>
        <v/>
      </c>
      <c r="I110" s="14" t="str">
        <f t="shared" si="7"/>
        <v/>
      </c>
      <c r="J110" s="15" t="str">
        <f t="shared" si="5"/>
        <v/>
      </c>
    </row>
    <row r="111" spans="1:10">
      <c r="A111" s="7" t="str">
        <f>IF(子基金及业绩基准周净值!A115="","",子基金及业绩基准周净值!A115)</f>
        <v/>
      </c>
      <c r="B111" s="1" t="str">
        <f>IF(A111="","",VLOOKUP($A111,子基金及业绩基准周净值!$A:$F,5))</f>
        <v/>
      </c>
      <c r="C111" s="8" t="str">
        <f t="shared" si="4"/>
        <v/>
      </c>
      <c r="D111" s="9" t="str">
        <f>IF(A111="","",C111-(子基金及业绩基准周净值!AH115/子基金及业绩基准周净值!AH114-1))</f>
        <v/>
      </c>
      <c r="E111" s="12" t="str">
        <f>IF(A111="","",(MAX(B$3:B111)-B111)/MAX(B$3:B111))</f>
        <v/>
      </c>
      <c r="F111" s="12" t="str">
        <f>IF(A111="","",MAX(E$4:E111))</f>
        <v/>
      </c>
      <c r="G111" s="17" t="str">
        <f>IF(A111="","",MAX(FREQUENCY(IF($D$3:D111&lt;0,ROW($D$3:D111)),IF($D$3:D111&gt;=0,ROW($D$3:D111)))))</f>
        <v/>
      </c>
      <c r="H111" s="14" t="str">
        <f t="shared" si="6"/>
        <v/>
      </c>
      <c r="I111" s="14" t="str">
        <f t="shared" si="7"/>
        <v/>
      </c>
      <c r="J111" s="15" t="str">
        <f t="shared" si="5"/>
        <v/>
      </c>
    </row>
    <row r="112" spans="1:10">
      <c r="A112" s="7" t="str">
        <f>IF(子基金及业绩基准周净值!A116="","",子基金及业绩基准周净值!A116)</f>
        <v/>
      </c>
      <c r="B112" s="1" t="str">
        <f>IF(A112="","",VLOOKUP($A112,子基金及业绩基准周净值!$A:$F,5))</f>
        <v/>
      </c>
      <c r="C112" s="8" t="str">
        <f t="shared" si="4"/>
        <v/>
      </c>
      <c r="D112" s="9" t="str">
        <f>IF(A112="","",C112-(子基金及业绩基准周净值!AH116/子基金及业绩基准周净值!AH115-1))</f>
        <v/>
      </c>
      <c r="E112" s="12" t="str">
        <f>IF(A112="","",(MAX(B$3:B112)-B112)/MAX(B$3:B112))</f>
        <v/>
      </c>
      <c r="F112" s="12" t="str">
        <f>IF(A112="","",MAX(E$4:E112))</f>
        <v/>
      </c>
      <c r="G112" s="17" t="str">
        <f>IF(A112="","",MAX(FREQUENCY(IF($D$3:D112&lt;0,ROW($D$3:D112)),IF($D$3:D112&gt;=0,ROW($D$3:D112)))))</f>
        <v/>
      </c>
      <c r="H112" s="14" t="str">
        <f t="shared" si="6"/>
        <v/>
      </c>
      <c r="I112" s="14" t="str">
        <f t="shared" si="7"/>
        <v/>
      </c>
      <c r="J112" s="15" t="str">
        <f t="shared" si="5"/>
        <v/>
      </c>
    </row>
    <row r="113" spans="1:10">
      <c r="A113" s="7" t="str">
        <f>IF(子基金及业绩基准周净值!A117="","",子基金及业绩基准周净值!A117)</f>
        <v/>
      </c>
      <c r="B113" s="1" t="str">
        <f>IF(A113="","",VLOOKUP($A113,子基金及业绩基准周净值!$A:$F,5))</f>
        <v/>
      </c>
      <c r="C113" s="8" t="str">
        <f t="shared" si="4"/>
        <v/>
      </c>
      <c r="D113" s="9" t="str">
        <f>IF(A113="","",C113-(子基金及业绩基准周净值!AH117/子基金及业绩基准周净值!AH116-1))</f>
        <v/>
      </c>
      <c r="E113" s="12" t="str">
        <f>IF(A113="","",(MAX(B$3:B113)-B113)/MAX(B$3:B113))</f>
        <v/>
      </c>
      <c r="F113" s="12" t="str">
        <f>IF(A113="","",MAX(E$4:E113))</f>
        <v/>
      </c>
      <c r="G113" s="17" t="str">
        <f>IF(A113="","",MAX(FREQUENCY(IF($D$3:D113&lt;0,ROW($D$3:D113)),IF($D$3:D113&gt;=0,ROW($D$3:D113)))))</f>
        <v/>
      </c>
      <c r="H113" s="14" t="str">
        <f t="shared" si="6"/>
        <v/>
      </c>
      <c r="I113" s="14" t="str">
        <f t="shared" si="7"/>
        <v/>
      </c>
      <c r="J113" s="15" t="str">
        <f t="shared" si="5"/>
        <v/>
      </c>
    </row>
    <row r="114" spans="1:10">
      <c r="A114" s="7" t="str">
        <f>IF(子基金及业绩基准周净值!A118="","",子基金及业绩基准周净值!A118)</f>
        <v/>
      </c>
      <c r="B114" s="1" t="str">
        <f>IF(A114="","",VLOOKUP($A114,子基金及业绩基准周净值!$A:$F,5))</f>
        <v/>
      </c>
      <c r="C114" s="8" t="str">
        <f t="shared" si="4"/>
        <v/>
      </c>
      <c r="D114" s="9" t="str">
        <f>IF(A114="","",C114-(子基金及业绩基准周净值!AH118/子基金及业绩基准周净值!AH117-1))</f>
        <v/>
      </c>
      <c r="E114" s="12" t="str">
        <f>IF(A114="","",(MAX(B$3:B114)-B114)/MAX(B$3:B114))</f>
        <v/>
      </c>
      <c r="F114" s="12" t="str">
        <f>IF(A114="","",MAX(E$4:E114))</f>
        <v/>
      </c>
      <c r="G114" s="17" t="str">
        <f>IF(A114="","",MAX(FREQUENCY(IF($D$3:D114&lt;0,ROW($D$3:D114)),IF($D$3:D114&gt;=0,ROW($D$3:D114)))))</f>
        <v/>
      </c>
      <c r="H114" s="14" t="str">
        <f t="shared" si="6"/>
        <v/>
      </c>
      <c r="I114" s="14" t="str">
        <f t="shared" si="7"/>
        <v/>
      </c>
      <c r="J114" s="15" t="str">
        <f t="shared" si="5"/>
        <v/>
      </c>
    </row>
    <row r="115" spans="1:10">
      <c r="A115" s="7" t="str">
        <f>IF(子基金及业绩基准周净值!A119="","",子基金及业绩基准周净值!A119)</f>
        <v/>
      </c>
      <c r="B115" s="1" t="str">
        <f>IF(A115="","",VLOOKUP($A115,子基金及业绩基准周净值!$A:$F,5))</f>
        <v/>
      </c>
      <c r="C115" s="8" t="str">
        <f t="shared" si="4"/>
        <v/>
      </c>
      <c r="D115" s="9" t="str">
        <f>IF(A115="","",C115-(子基金及业绩基准周净值!AH119/子基金及业绩基准周净值!AH118-1))</f>
        <v/>
      </c>
      <c r="E115" s="12" t="str">
        <f>IF(A115="","",(MAX(B$3:B115)-B115)/MAX(B$3:B115))</f>
        <v/>
      </c>
      <c r="F115" s="12" t="str">
        <f>IF(A115="","",MAX(E$4:E115))</f>
        <v/>
      </c>
      <c r="G115" s="17" t="str">
        <f>IF(A115="","",MAX(FREQUENCY(IF($D$3:D115&lt;0,ROW($D$3:D115)),IF($D$3:D115&gt;=0,ROW($D$3:D115)))))</f>
        <v/>
      </c>
      <c r="H115" s="14" t="str">
        <f t="shared" si="6"/>
        <v/>
      </c>
      <c r="I115" s="14" t="str">
        <f t="shared" si="7"/>
        <v/>
      </c>
      <c r="J115" s="15" t="str">
        <f t="shared" si="5"/>
        <v/>
      </c>
    </row>
    <row r="116" spans="1:10">
      <c r="A116" s="7" t="str">
        <f>IF(子基金及业绩基准周净值!A120="","",子基金及业绩基准周净值!A120)</f>
        <v/>
      </c>
      <c r="B116" s="1" t="str">
        <f>IF(A116="","",VLOOKUP($A116,子基金及业绩基准周净值!$A:$F,5))</f>
        <v/>
      </c>
      <c r="C116" s="8" t="str">
        <f t="shared" si="4"/>
        <v/>
      </c>
      <c r="D116" s="9" t="str">
        <f>IF(A116="","",C116-(子基金及业绩基准周净值!AH120/子基金及业绩基准周净值!AH119-1))</f>
        <v/>
      </c>
      <c r="E116" s="12" t="str">
        <f>IF(A116="","",(MAX(B$3:B116)-B116)/MAX(B$3:B116))</f>
        <v/>
      </c>
      <c r="F116" s="12" t="str">
        <f>IF(A116="","",MAX(E$4:E116))</f>
        <v/>
      </c>
      <c r="G116" s="17" t="str">
        <f>IF(A116="","",MAX(FREQUENCY(IF($D$3:D116&lt;0,ROW($D$3:D116)),IF($D$3:D116&gt;=0,ROW($D$3:D116)))))</f>
        <v/>
      </c>
      <c r="H116" s="14" t="str">
        <f t="shared" si="6"/>
        <v/>
      </c>
      <c r="I116" s="14" t="str">
        <f t="shared" si="7"/>
        <v/>
      </c>
      <c r="J116" s="15" t="str">
        <f t="shared" si="5"/>
        <v/>
      </c>
    </row>
    <row r="117" spans="1:10">
      <c r="A117" s="7" t="str">
        <f>IF(子基金及业绩基准周净值!A121="","",子基金及业绩基准周净值!A121)</f>
        <v/>
      </c>
      <c r="B117" s="1" t="str">
        <f>IF(A117="","",VLOOKUP($A117,子基金及业绩基准周净值!$A:$F,5))</f>
        <v/>
      </c>
      <c r="C117" s="8" t="str">
        <f t="shared" si="4"/>
        <v/>
      </c>
      <c r="D117" s="9" t="str">
        <f>IF(A117="","",C117-(子基金及业绩基准周净值!AH121/子基金及业绩基准周净值!AH120-1))</f>
        <v/>
      </c>
      <c r="E117" s="12" t="str">
        <f>IF(A117="","",(MAX(B$3:B117)-B117)/MAX(B$3:B117))</f>
        <v/>
      </c>
      <c r="F117" s="12" t="str">
        <f>IF(A117="","",MAX(E$4:E117))</f>
        <v/>
      </c>
      <c r="G117" s="17" t="str">
        <f>IF(A117="","",MAX(FREQUENCY(IF($D$3:D117&lt;0,ROW($D$3:D117)),IF($D$3:D117&gt;=0,ROW($D$3:D117)))))</f>
        <v/>
      </c>
      <c r="H117" s="14" t="str">
        <f t="shared" si="6"/>
        <v/>
      </c>
      <c r="I117" s="14" t="str">
        <f t="shared" si="7"/>
        <v/>
      </c>
      <c r="J117" s="15" t="str">
        <f t="shared" si="5"/>
        <v/>
      </c>
    </row>
    <row r="118" spans="1:10">
      <c r="A118" s="7" t="str">
        <f>IF(子基金及业绩基准周净值!A122="","",子基金及业绩基准周净值!A122)</f>
        <v/>
      </c>
      <c r="B118" s="1" t="str">
        <f>IF(A118="","",VLOOKUP($A118,子基金及业绩基准周净值!$A:$F,5))</f>
        <v/>
      </c>
      <c r="C118" s="8" t="str">
        <f t="shared" si="4"/>
        <v/>
      </c>
      <c r="D118" s="9" t="str">
        <f>IF(A118="","",C118-(子基金及业绩基准周净值!AH122/子基金及业绩基准周净值!AH121-1))</f>
        <v/>
      </c>
      <c r="E118" s="12" t="str">
        <f>IF(A118="","",(MAX(B$3:B118)-B118)/MAX(B$3:B118))</f>
        <v/>
      </c>
      <c r="F118" s="12" t="str">
        <f>IF(A118="","",MAX(E$4:E118))</f>
        <v/>
      </c>
      <c r="G118" s="17" t="str">
        <f>IF(A118="","",MAX(FREQUENCY(IF($D$3:D118&lt;0,ROW($D$3:D118)),IF($D$3:D118&gt;=0,ROW($D$3:D118)))))</f>
        <v/>
      </c>
      <c r="H118" s="14" t="str">
        <f t="shared" si="6"/>
        <v/>
      </c>
      <c r="I118" s="14" t="str">
        <f t="shared" si="7"/>
        <v/>
      </c>
      <c r="J118" s="15" t="str">
        <f t="shared" si="5"/>
        <v/>
      </c>
    </row>
    <row r="119" spans="1:10">
      <c r="A119" s="7" t="str">
        <f>IF(子基金及业绩基准周净值!A123="","",子基金及业绩基准周净值!A123)</f>
        <v/>
      </c>
      <c r="B119" s="1" t="str">
        <f>IF(A119="","",VLOOKUP($A119,子基金及业绩基准周净值!$A:$F,5))</f>
        <v/>
      </c>
      <c r="C119" s="8" t="str">
        <f t="shared" si="4"/>
        <v/>
      </c>
      <c r="D119" s="9" t="str">
        <f>IF(A119="","",C119-(子基金及业绩基准周净值!AH123/子基金及业绩基准周净值!AH122-1))</f>
        <v/>
      </c>
      <c r="E119" s="12" t="str">
        <f>IF(A119="","",(MAX(B$3:B119)-B119)/MAX(B$3:B119))</f>
        <v/>
      </c>
      <c r="F119" s="12" t="str">
        <f>IF(A119="","",MAX(E$4:E119))</f>
        <v/>
      </c>
      <c r="G119" s="17" t="str">
        <f>IF(A119="","",MAX(FREQUENCY(IF($D$3:D119&lt;0,ROW($D$3:D119)),IF($D$3:D119&gt;=0,ROW($D$3:D119)))))</f>
        <v/>
      </c>
      <c r="H119" s="14" t="str">
        <f t="shared" si="6"/>
        <v/>
      </c>
      <c r="I119" s="14" t="str">
        <f t="shared" si="7"/>
        <v/>
      </c>
      <c r="J119" s="15" t="str">
        <f t="shared" si="5"/>
        <v/>
      </c>
    </row>
    <row r="120" spans="1:10">
      <c r="A120" s="7" t="str">
        <f>IF(子基金及业绩基准周净值!A124="","",子基金及业绩基准周净值!A124)</f>
        <v/>
      </c>
      <c r="B120" s="1" t="str">
        <f>IF(A120="","",VLOOKUP($A120,子基金及业绩基准周净值!$A:$F,5))</f>
        <v/>
      </c>
      <c r="C120" s="8" t="str">
        <f t="shared" si="4"/>
        <v/>
      </c>
      <c r="D120" s="9" t="str">
        <f>IF(A120="","",C120-(子基金及业绩基准周净值!AH124/子基金及业绩基准周净值!AH123-1))</f>
        <v/>
      </c>
      <c r="E120" s="12" t="str">
        <f>IF(A120="","",(MAX(B$3:B120)-B120)/MAX(B$3:B120))</f>
        <v/>
      </c>
      <c r="F120" s="12" t="str">
        <f>IF(A120="","",MAX(E$4:E120))</f>
        <v/>
      </c>
      <c r="G120" s="17" t="str">
        <f>IF(A120="","",MAX(FREQUENCY(IF($D$3:D120&lt;0,ROW($D$3:D120)),IF($D$3:D120&gt;=0,ROW($D$3:D120)))))</f>
        <v/>
      </c>
      <c r="H120" s="14" t="str">
        <f t="shared" si="6"/>
        <v/>
      </c>
      <c r="I120" s="14" t="str">
        <f t="shared" si="7"/>
        <v/>
      </c>
      <c r="J120" s="15" t="str">
        <f t="shared" si="5"/>
        <v/>
      </c>
    </row>
    <row r="121" spans="1:10">
      <c r="A121" s="7" t="str">
        <f>IF(子基金及业绩基准周净值!A125="","",子基金及业绩基准周净值!A125)</f>
        <v/>
      </c>
      <c r="B121" s="1" t="str">
        <f>IF(A121="","",VLOOKUP($A121,子基金及业绩基准周净值!$A:$F,5))</f>
        <v/>
      </c>
      <c r="C121" s="8" t="str">
        <f t="shared" si="4"/>
        <v/>
      </c>
      <c r="D121" s="9" t="str">
        <f>IF(A121="","",C121-(子基金及业绩基准周净值!AH125/子基金及业绩基准周净值!AH124-1))</f>
        <v/>
      </c>
      <c r="E121" s="12" t="str">
        <f>IF(A121="","",(MAX(B$3:B121)-B121)/MAX(B$3:B121))</f>
        <v/>
      </c>
      <c r="F121" s="12" t="str">
        <f>IF(A121="","",MAX(E$4:E121))</f>
        <v/>
      </c>
      <c r="G121" s="17" t="str">
        <f>IF(A121="","",MAX(FREQUENCY(IF($D$3:D121&lt;0,ROW($D$3:D121)),IF($D$3:D121&gt;=0,ROW($D$3:D121)))))</f>
        <v/>
      </c>
      <c r="H121" s="14" t="str">
        <f t="shared" si="6"/>
        <v/>
      </c>
      <c r="I121" s="14" t="str">
        <f t="shared" si="7"/>
        <v/>
      </c>
      <c r="J121" s="15" t="str">
        <f t="shared" si="5"/>
        <v/>
      </c>
    </row>
    <row r="122" spans="1:10">
      <c r="A122" s="7" t="str">
        <f>IF(子基金及业绩基准周净值!A126="","",子基金及业绩基准周净值!A126)</f>
        <v/>
      </c>
      <c r="B122" s="1" t="str">
        <f>IF(A122="","",VLOOKUP($A122,子基金及业绩基准周净值!$A:$F,5))</f>
        <v/>
      </c>
      <c r="C122" s="8" t="str">
        <f t="shared" si="4"/>
        <v/>
      </c>
      <c r="D122" s="9" t="str">
        <f>IF(A122="","",C122-(子基金及业绩基准周净值!AH126/子基金及业绩基准周净值!AH125-1))</f>
        <v/>
      </c>
      <c r="E122" s="12" t="str">
        <f>IF(A122="","",(MAX(B$3:B122)-B122)/MAX(B$3:B122))</f>
        <v/>
      </c>
      <c r="F122" s="12" t="str">
        <f>IF(A122="","",MAX(E$4:E122))</f>
        <v/>
      </c>
      <c r="G122" s="17" t="str">
        <f>IF(A122="","",MAX(FREQUENCY(IF($D$3:D122&lt;0,ROW($D$3:D122)),IF($D$3:D122&gt;=0,ROW($D$3:D122)))))</f>
        <v/>
      </c>
      <c r="H122" s="14" t="str">
        <f t="shared" si="6"/>
        <v/>
      </c>
      <c r="I122" s="14" t="str">
        <f t="shared" si="7"/>
        <v/>
      </c>
      <c r="J122" s="15" t="str">
        <f t="shared" si="5"/>
        <v/>
      </c>
    </row>
    <row r="123" spans="1:10">
      <c r="A123" s="7" t="str">
        <f>IF(子基金及业绩基准周净值!A127="","",子基金及业绩基准周净值!A127)</f>
        <v/>
      </c>
      <c r="B123" s="1" t="str">
        <f>IF(A123="","",VLOOKUP($A123,子基金及业绩基准周净值!$A:$F,5))</f>
        <v/>
      </c>
      <c r="C123" s="8" t="str">
        <f t="shared" si="4"/>
        <v/>
      </c>
      <c r="D123" s="9" t="str">
        <f>IF(A123="","",C123-(子基金及业绩基准周净值!AH127/子基金及业绩基准周净值!AH126-1))</f>
        <v/>
      </c>
      <c r="E123" s="12" t="str">
        <f>IF(A123="","",(MAX(B$3:B123)-B123)/MAX(B$3:B123))</f>
        <v/>
      </c>
      <c r="F123" s="12" t="str">
        <f>IF(A123="","",MAX(E$4:E123))</f>
        <v/>
      </c>
      <c r="G123" s="17" t="str">
        <f>IF(A123="","",MAX(FREQUENCY(IF($D$3:D123&lt;0,ROW($D$3:D123)),IF($D$3:D123&gt;=0,ROW($D$3:D123)))))</f>
        <v/>
      </c>
      <c r="H123" s="14" t="str">
        <f t="shared" si="6"/>
        <v/>
      </c>
      <c r="I123" s="14" t="str">
        <f t="shared" si="7"/>
        <v/>
      </c>
      <c r="J123" s="15" t="str">
        <f t="shared" si="5"/>
        <v/>
      </c>
    </row>
    <row r="124" spans="1:10">
      <c r="A124" s="7" t="str">
        <f>IF(子基金及业绩基准周净值!A128="","",子基金及业绩基准周净值!A128)</f>
        <v/>
      </c>
      <c r="B124" s="1" t="str">
        <f>IF(A124="","",VLOOKUP($A124,子基金及业绩基准周净值!$A:$F,5))</f>
        <v/>
      </c>
      <c r="C124" s="8" t="str">
        <f t="shared" si="4"/>
        <v/>
      </c>
      <c r="D124" s="9" t="str">
        <f>IF(A124="","",C124-(子基金及业绩基准周净值!AH128/子基金及业绩基准周净值!AH127-1))</f>
        <v/>
      </c>
      <c r="E124" s="12" t="str">
        <f>IF(A124="","",(MAX(B$3:B124)-B124)/MAX(B$3:B124))</f>
        <v/>
      </c>
      <c r="F124" s="12" t="str">
        <f>IF(A124="","",MAX(E$4:E124))</f>
        <v/>
      </c>
      <c r="G124" s="17" t="str">
        <f>IF(A124="","",MAX(FREQUENCY(IF($D$3:D124&lt;0,ROW($D$3:D124)),IF($D$3:D124&gt;=0,ROW($D$3:D124)))))</f>
        <v/>
      </c>
      <c r="H124" s="14" t="str">
        <f t="shared" si="6"/>
        <v/>
      </c>
      <c r="I124" s="14" t="str">
        <f t="shared" si="7"/>
        <v/>
      </c>
      <c r="J124" s="15" t="str">
        <f t="shared" si="5"/>
        <v/>
      </c>
    </row>
    <row r="125" spans="1:10">
      <c r="A125" s="7" t="str">
        <f>IF(子基金及业绩基准周净值!A129="","",子基金及业绩基准周净值!A129)</f>
        <v/>
      </c>
      <c r="B125" s="1" t="str">
        <f>IF(A125="","",VLOOKUP($A125,子基金及业绩基准周净值!$A:$F,5))</f>
        <v/>
      </c>
      <c r="C125" s="8" t="str">
        <f t="shared" si="4"/>
        <v/>
      </c>
      <c r="D125" s="9" t="str">
        <f>IF(A125="","",C125-(子基金及业绩基准周净值!AH129/子基金及业绩基准周净值!AH128-1))</f>
        <v/>
      </c>
      <c r="E125" s="12" t="str">
        <f>IF(A125="","",(MAX(B$3:B125)-B125)/MAX(B$3:B125))</f>
        <v/>
      </c>
      <c r="F125" s="12" t="str">
        <f>IF(A125="","",MAX(E$4:E125))</f>
        <v/>
      </c>
      <c r="G125" s="17" t="str">
        <f>IF(A125="","",MAX(FREQUENCY(IF($D$3:D125&lt;0,ROW($D$3:D125)),IF($D$3:D125&gt;=0,ROW($D$3:D125)))))</f>
        <v/>
      </c>
      <c r="H125" s="14" t="str">
        <f t="shared" si="6"/>
        <v/>
      </c>
      <c r="I125" s="14" t="str">
        <f t="shared" si="7"/>
        <v/>
      </c>
      <c r="J125" s="15" t="str">
        <f t="shared" si="5"/>
        <v/>
      </c>
    </row>
    <row r="126" spans="1:10">
      <c r="A126" s="7" t="str">
        <f>IF(子基金及业绩基准周净值!A130="","",子基金及业绩基准周净值!A130)</f>
        <v/>
      </c>
      <c r="B126" s="1" t="str">
        <f>IF(A126="","",VLOOKUP($A126,子基金及业绩基准周净值!$A:$F,5))</f>
        <v/>
      </c>
      <c r="C126" s="8" t="str">
        <f t="shared" si="4"/>
        <v/>
      </c>
      <c r="D126" s="9" t="str">
        <f>IF(A126="","",C126-(子基金及业绩基准周净值!AH130/子基金及业绩基准周净值!AH129-1))</f>
        <v/>
      </c>
      <c r="E126" s="12" t="str">
        <f>IF(A126="","",(MAX(B$3:B126)-B126)/MAX(B$3:B126))</f>
        <v/>
      </c>
      <c r="F126" s="12" t="str">
        <f>IF(A126="","",MAX(E$4:E126))</f>
        <v/>
      </c>
      <c r="G126" s="17" t="str">
        <f>IF(A126="","",MAX(FREQUENCY(IF($D$3:D126&lt;0,ROW($D$3:D126)),IF($D$3:D126&gt;=0,ROW($D$3:D126)))))</f>
        <v/>
      </c>
      <c r="H126" s="14" t="str">
        <f t="shared" si="6"/>
        <v/>
      </c>
      <c r="I126" s="14" t="str">
        <f t="shared" si="7"/>
        <v/>
      </c>
      <c r="J126" s="15" t="str">
        <f t="shared" si="5"/>
        <v/>
      </c>
    </row>
    <row r="127" spans="1:10">
      <c r="A127" s="7" t="str">
        <f>IF(子基金及业绩基准周净值!A131="","",子基金及业绩基准周净值!A131)</f>
        <v/>
      </c>
      <c r="B127" s="1" t="str">
        <f>IF(A127="","",VLOOKUP($A127,子基金及业绩基准周净值!$A:$F,5))</f>
        <v/>
      </c>
      <c r="C127" s="8" t="str">
        <f t="shared" si="4"/>
        <v/>
      </c>
      <c r="D127" s="9" t="str">
        <f>IF(A127="","",C127-(子基金及业绩基准周净值!AH131/子基金及业绩基准周净值!AH130-1))</f>
        <v/>
      </c>
      <c r="E127" s="12" t="str">
        <f>IF(A127="","",(MAX(B$3:B127)-B127)/MAX(B$3:B127))</f>
        <v/>
      </c>
      <c r="F127" s="12" t="str">
        <f>IF(A127="","",MAX(E$4:E127))</f>
        <v/>
      </c>
      <c r="G127" s="17" t="str">
        <f>IF(A127="","",MAX(FREQUENCY(IF($D$3:D127&lt;0,ROW($D$3:D127)),IF($D$3:D127&gt;=0,ROW($D$3:D127)))))</f>
        <v/>
      </c>
      <c r="H127" s="14" t="str">
        <f t="shared" si="6"/>
        <v/>
      </c>
      <c r="I127" s="14" t="str">
        <f t="shared" si="7"/>
        <v/>
      </c>
      <c r="J127" s="15" t="str">
        <f t="shared" si="5"/>
        <v/>
      </c>
    </row>
  </sheetData>
  <conditionalFormatting sqref="J3:J127">
    <cfRule type="containsText" dxfId="0" priority="1" operator="between" text="是">
      <formula>NOT(ISERROR(SEARCH("是",J3)))</formula>
    </cfRule>
  </conditionalFormatting>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27"/>
  <sheetViews>
    <sheetView topLeftCell="A13" workbookViewId="0">
      <selection activeCell="F45" sqref="F45"/>
    </sheetView>
  </sheetViews>
  <sheetFormatPr defaultColWidth="9" defaultRowHeight="16.8"/>
  <cols>
    <col min="1" max="1" width="11.625" style="1" customWidth="1"/>
    <col min="2" max="2" width="23.25" style="1" customWidth="1"/>
    <col min="3" max="3" width="10.25" style="1" customWidth="1"/>
    <col min="4" max="4" width="10.25" style="3" customWidth="1"/>
    <col min="5" max="6" width="10.25" style="1" customWidth="1"/>
    <col min="7" max="7" width="17.375" style="14" customWidth="1"/>
    <col min="8" max="9" width="22.125" style="1" customWidth="1"/>
    <col min="10" max="10" width="16.25" style="15" customWidth="1"/>
    <col min="11" max="16384" width="9" style="1"/>
  </cols>
  <sheetData>
    <row r="1" spans="1:11">
      <c r="A1" s="1">
        <v>1</v>
      </c>
      <c r="B1" s="1">
        <v>2</v>
      </c>
      <c r="C1" s="1">
        <v>3</v>
      </c>
      <c r="D1" s="3">
        <v>4</v>
      </c>
      <c r="E1" s="1">
        <v>5</v>
      </c>
      <c r="F1" s="1">
        <v>6</v>
      </c>
      <c r="G1" s="14">
        <v>7</v>
      </c>
      <c r="H1" s="1">
        <v>8</v>
      </c>
      <c r="I1" s="1">
        <v>9</v>
      </c>
      <c r="J1" s="18">
        <v>10</v>
      </c>
      <c r="K1" s="1">
        <v>11</v>
      </c>
    </row>
    <row r="2" ht="16.5" customHeight="1" spans="1:11">
      <c r="A2" s="4" t="s">
        <v>2</v>
      </c>
      <c r="B2" s="4" t="s">
        <v>46</v>
      </c>
      <c r="C2" s="5" t="s">
        <v>310</v>
      </c>
      <c r="D2" s="6" t="s">
        <v>311</v>
      </c>
      <c r="E2" s="5" t="s">
        <v>33</v>
      </c>
      <c r="F2" s="5" t="s">
        <v>22</v>
      </c>
      <c r="G2" s="10" t="s">
        <v>312</v>
      </c>
      <c r="H2" s="11" t="s">
        <v>313</v>
      </c>
      <c r="I2" s="11" t="s">
        <v>314</v>
      </c>
      <c r="J2" s="11" t="s">
        <v>315</v>
      </c>
      <c r="K2" s="5" t="s">
        <v>316</v>
      </c>
    </row>
    <row r="3" spans="1:9">
      <c r="A3" s="7">
        <f>IF(子基金及业绩基准周净值!A21="","",子基金及业绩基准周净值!A21)</f>
        <v>45590</v>
      </c>
      <c r="B3" s="1">
        <f>IF(A3="","",VLOOKUP($A3,子基金及业绩基准周净值!$A:$AV,9))</f>
        <v>1.0902</v>
      </c>
      <c r="C3" s="8"/>
      <c r="F3" s="12"/>
      <c r="H3" s="14"/>
      <c r="I3" s="14"/>
    </row>
    <row r="4" spans="1:10">
      <c r="A4" s="7">
        <f>IF(子基金及业绩基准周净值!A22="","",子基金及业绩基准周净值!A22)</f>
        <v>45597</v>
      </c>
      <c r="B4" s="16">
        <f>IF(A4="","",VLOOKUP($A4,子基金及业绩基准周净值!$A:$AV,9))</f>
        <v>1.09428</v>
      </c>
      <c r="C4" s="8">
        <f>IF(A4="","",(B4-B3)/B3)</f>
        <v>0.00374243258117764</v>
      </c>
      <c r="D4" s="9">
        <f>IF(A4="","",C4-(子基金及业绩基准周净值!AG22/子基金及业绩基准周净值!AG21-1))</f>
        <v>0.00641541500451422</v>
      </c>
      <c r="E4" s="12">
        <f>IF(A4="","",(MAX(B$3:B4)-B4)/MAX(B$3:B4))</f>
        <v>0</v>
      </c>
      <c r="F4" s="12">
        <f>IF(A4="","",MAX(E$4:E4))</f>
        <v>0</v>
      </c>
      <c r="G4" s="17">
        <v>0</v>
      </c>
      <c r="H4" s="14" t="str">
        <f>IF(A4="","",IF(E4&lt;3%,"否","是"))</f>
        <v>否</v>
      </c>
      <c r="I4" s="14" t="str">
        <f>IF(A4="","",IF(F4&gt;5%,"是","否"))</f>
        <v>否</v>
      </c>
      <c r="J4" s="15" t="str">
        <f>IF(A4="","",IF(G4&gt;=4,"是","否"))</f>
        <v>否</v>
      </c>
    </row>
    <row r="5" spans="1:10">
      <c r="A5" s="7">
        <f>IF(子基金及业绩基准周净值!A23="","",子基金及业绩基准周净值!A23)</f>
        <v>45604</v>
      </c>
      <c r="B5" s="16">
        <f>IF(A5="","",VLOOKUP($A5,子基金及业绩基准周净值!$A:$AV,9))</f>
        <v>1.10068</v>
      </c>
      <c r="C5" s="8">
        <f>IF(A5="","",(B5-B4)/B4)</f>
        <v>0.00584859450963207</v>
      </c>
      <c r="D5" s="9">
        <f>IF(A5="","",C5-(子基金及业绩基准周净值!AG23/子基金及业绩基准周净值!AG22-1))</f>
        <v>-0.00476765501188733</v>
      </c>
      <c r="E5" s="12">
        <f>IF(A5="","",(MAX(B$3:B5)-B5)/MAX(B$3:B5))</f>
        <v>0</v>
      </c>
      <c r="F5" s="12">
        <f>IF(A5="","",MAX(E$4:E5))</f>
        <v>0</v>
      </c>
      <c r="G5" s="17">
        <v>1</v>
      </c>
      <c r="H5" s="14" t="str">
        <f t="shared" ref="H5:H68" si="0">IF(A5="","",IF(E5&lt;3%,"否","是"))</f>
        <v>否</v>
      </c>
      <c r="I5" s="14" t="str">
        <f t="shared" ref="I5:I68" si="1">IF(A5="","",IF(F5&gt;5%,"是","否"))</f>
        <v>否</v>
      </c>
      <c r="J5" s="15" t="str">
        <f t="shared" ref="J5:J68" si="2">IF(A5="","",IF(G5&gt;=4,"是","否"))</f>
        <v>否</v>
      </c>
    </row>
    <row r="6" spans="1:10">
      <c r="A6" s="7">
        <f>IF(子基金及业绩基准周净值!A24="","",子基金及业绩基准周净值!A24)</f>
        <v>45611</v>
      </c>
      <c r="B6" s="16">
        <f>IF(A6="","",VLOOKUP($A6,子基金及业绩基准周净值!$A:$AV,9))</f>
        <v>1.09868</v>
      </c>
      <c r="C6" s="8">
        <f t="shared" ref="C6:C69" si="3">IF(A6="","",(B6-B5)/B5)</f>
        <v>-0.00181705854562634</v>
      </c>
      <c r="D6" s="9">
        <f>IF(A6="","",C6-(子基金及业绩基准周净值!AG24/子基金及业绩基准周净值!AG23-1))</f>
        <v>-0.00280193302430258</v>
      </c>
      <c r="E6" s="12">
        <f>IF(A6="","",(MAX(B$3:B6)-B6)/MAX(B$3:B6))</f>
        <v>0.00181705854562634</v>
      </c>
      <c r="F6" s="12">
        <f>IF(A6="","",MAX(E$4:E6))</f>
        <v>0.00181705854562634</v>
      </c>
      <c r="G6" s="17">
        <v>2</v>
      </c>
      <c r="H6" s="14" t="str">
        <f t="shared" si="0"/>
        <v>否</v>
      </c>
      <c r="I6" s="14" t="str">
        <f t="shared" si="1"/>
        <v>否</v>
      </c>
      <c r="J6" s="15" t="str">
        <f t="shared" si="2"/>
        <v>否</v>
      </c>
    </row>
    <row r="7" spans="1:10">
      <c r="A7" s="7">
        <f>IF(子基金及业绩基准周净值!A25="","",子基金及业绩基准周净值!A25)</f>
        <v>45618</v>
      </c>
      <c r="B7" s="16">
        <f>IF(A7="","",VLOOKUP($A7,子基金及业绩基准周净值!$A:$AV,9))</f>
        <v>1.10556</v>
      </c>
      <c r="C7" s="8">
        <f t="shared" si="3"/>
        <v>0.0062620599264572</v>
      </c>
      <c r="D7" s="9">
        <f>IF(A7="","",C7-(子基金及业绩基准周净值!AG25/子基金及业绩基准周净值!AG24-1))</f>
        <v>-0.00229210227839674</v>
      </c>
      <c r="E7" s="12">
        <f>IF(A7="","",(MAX(B$3:B7)-B7)/MAX(B$3:B7))</f>
        <v>0</v>
      </c>
      <c r="F7" s="12">
        <f>IF(A7="","",MAX(E$4:E7))</f>
        <v>0.00181705854562634</v>
      </c>
      <c r="G7" s="17">
        <v>3</v>
      </c>
      <c r="H7" s="14" t="str">
        <f t="shared" si="0"/>
        <v>否</v>
      </c>
      <c r="I7" s="14" t="str">
        <f t="shared" si="1"/>
        <v>否</v>
      </c>
      <c r="J7" s="15" t="str">
        <f t="shared" si="2"/>
        <v>否</v>
      </c>
    </row>
    <row r="8" spans="1:10">
      <c r="A8" s="7">
        <f>IF(子基金及业绩基准周净值!A26="","",子基金及业绩基准周净值!A26)</f>
        <v>45625</v>
      </c>
      <c r="B8" s="16">
        <f>IF(A8="","",VLOOKUP($A8,子基金及业绩基准周净值!$A:$AV,9))</f>
        <v>1.10908</v>
      </c>
      <c r="C8" s="8">
        <f t="shared" si="3"/>
        <v>0.0031839067983646</v>
      </c>
      <c r="D8" s="9">
        <f>IF(A8="","",C8-(子基金及业绩基准周净值!AG26/子基金及业绩基准周净值!AG25-1))</f>
        <v>-0.00647991652789255</v>
      </c>
      <c r="E8" s="12">
        <f>IF(A8="","",(MAX(B$3:B8)-B8)/MAX(B$3:B8))</f>
        <v>0</v>
      </c>
      <c r="F8" s="12">
        <f>IF(A8="","",MAX(E$4:E8))</f>
        <v>0.00181705854562634</v>
      </c>
      <c r="G8" s="17">
        <v>4</v>
      </c>
      <c r="H8" s="14" t="str">
        <f t="shared" si="0"/>
        <v>否</v>
      </c>
      <c r="I8" s="14" t="str">
        <f t="shared" si="1"/>
        <v>否</v>
      </c>
      <c r="J8" s="15" t="str">
        <f t="shared" si="2"/>
        <v>是</v>
      </c>
    </row>
    <row r="9" spans="1:10">
      <c r="A9" s="7">
        <f>IF(子基金及业绩基准周净值!A27="","",子基金及业绩基准周净值!A27)</f>
        <v>45632</v>
      </c>
      <c r="B9" s="16">
        <f>IF(A9="","",VLOOKUP($A9,子基金及业绩基准周净值!$A:$AV,9))</f>
        <v>1.11267999</v>
      </c>
      <c r="C9" s="8">
        <f t="shared" si="3"/>
        <v>0.00324592455007744</v>
      </c>
      <c r="D9" s="9">
        <f>IF(A9="","",C9-(子基金及业绩基准周净值!AG27/子基金及业绩基准周净值!AG26-1))</f>
        <v>-0.00564902750316587</v>
      </c>
      <c r="E9" s="12">
        <f>IF(A9="","",(MAX(B$3:B9)-B9)/MAX(B$3:B9))</f>
        <v>0</v>
      </c>
      <c r="F9" s="12">
        <f>IF(A9="","",MAX(E$4:E9))</f>
        <v>0.00181705854562634</v>
      </c>
      <c r="G9" s="17">
        <v>5</v>
      </c>
      <c r="H9" s="14" t="str">
        <f t="shared" si="0"/>
        <v>否</v>
      </c>
      <c r="I9" s="14" t="str">
        <f t="shared" si="1"/>
        <v>否</v>
      </c>
      <c r="J9" s="15" t="str">
        <f t="shared" si="2"/>
        <v>是</v>
      </c>
    </row>
    <row r="10" spans="1:10">
      <c r="A10" s="7">
        <f>IF(子基金及业绩基准周净值!A28="","",子基金及业绩基准周净值!A28)</f>
        <v>45639</v>
      </c>
      <c r="B10" s="16">
        <f>IF(A10="","",VLOOKUP($A10,子基金及业绩基准周净值!$A:$AV,9))</f>
        <v>1.11708</v>
      </c>
      <c r="C10" s="8">
        <f t="shared" si="3"/>
        <v>0.00395442538694357</v>
      </c>
      <c r="D10" s="9">
        <f>IF(A10="","",C10-(子基金及业绩基准周净值!AG28/子基金及业绩基准周净值!AG27-1))</f>
        <v>0.000814507073365057</v>
      </c>
      <c r="E10" s="12">
        <f>IF(A10="","",(MAX(B$3:B10)-B10)/MAX(B$3:B10))</f>
        <v>0</v>
      </c>
      <c r="F10" s="12">
        <f>IF(A10="","",MAX(E$4:E10))</f>
        <v>0.00181705854562634</v>
      </c>
      <c r="G10" s="17">
        <v>0</v>
      </c>
      <c r="H10" s="14" t="str">
        <f t="shared" si="0"/>
        <v>否</v>
      </c>
      <c r="I10" s="14" t="str">
        <f t="shared" si="1"/>
        <v>否</v>
      </c>
      <c r="J10" s="15" t="str">
        <f t="shared" si="2"/>
        <v>否</v>
      </c>
    </row>
    <row r="11" spans="1:10">
      <c r="A11" s="7">
        <f>IF(子基金及业绩基准周净值!A29="","",子基金及业绩基准周净值!A29)</f>
        <v>45646</v>
      </c>
      <c r="B11" s="16">
        <f>IF(A11="","",VLOOKUP($A11,子基金及业绩基准周净值!$A:$AV,9))</f>
        <v>1.11964</v>
      </c>
      <c r="C11" s="8">
        <f t="shared" si="3"/>
        <v>0.00229168904644242</v>
      </c>
      <c r="D11" s="9">
        <f>IF(A11="","",C11-(子基金及业绩基准周净值!AG29/子基金及业绩基准周净值!AG28-1))</f>
        <v>0.00140202336697051</v>
      </c>
      <c r="E11" s="12">
        <f>IF(A11="","",(MAX(B$3:B11)-B11)/MAX(B$3:B11))</f>
        <v>0</v>
      </c>
      <c r="F11" s="12">
        <f>IF(A11="","",MAX(E$4:E11))</f>
        <v>0.00181705854562634</v>
      </c>
      <c r="G11" s="17">
        <v>0</v>
      </c>
      <c r="H11" s="14" t="str">
        <f t="shared" si="0"/>
        <v>否</v>
      </c>
      <c r="I11" s="14" t="str">
        <f t="shared" si="1"/>
        <v>否</v>
      </c>
      <c r="J11" s="15" t="str">
        <f t="shared" si="2"/>
        <v>否</v>
      </c>
    </row>
    <row r="12" spans="1:10">
      <c r="A12" s="7">
        <f>IF(子基金及业绩基准周净值!A30="","",子基金及业绩基准周净值!A30)</f>
        <v>45653</v>
      </c>
      <c r="B12" s="16">
        <f>IF(A12="","",VLOOKUP($A12,子基金及业绩基准周净值!$A:$AV,9))</f>
        <v>1.11396</v>
      </c>
      <c r="C12" s="8">
        <f t="shared" si="3"/>
        <v>-0.00507305919759915</v>
      </c>
      <c r="D12" s="9">
        <f>IF(A12="","",C12-(子基金及业绩基准周净值!AG30/子基金及业绩基准周净值!AG29-1))</f>
        <v>0.000427869469708302</v>
      </c>
      <c r="E12" s="12">
        <f>IF(A12="","",(MAX(B$3:B12)-B12)/MAX(B$3:B12))</f>
        <v>0.00507305919759915</v>
      </c>
      <c r="F12" s="12">
        <f>IF(A12="","",MAX(E$4:E12))</f>
        <v>0.00507305919759915</v>
      </c>
      <c r="G12" s="17">
        <v>0</v>
      </c>
      <c r="H12" s="14" t="str">
        <f t="shared" si="0"/>
        <v>否</v>
      </c>
      <c r="I12" s="14" t="str">
        <f t="shared" si="1"/>
        <v>否</v>
      </c>
      <c r="J12" s="15" t="str">
        <f t="shared" si="2"/>
        <v>否</v>
      </c>
    </row>
    <row r="13" spans="1:10">
      <c r="A13" s="7">
        <f>IF(子基金及业绩基准周净值!A31="","",子基金及业绩基准周净值!A31)</f>
        <v>45660</v>
      </c>
      <c r="B13" s="16">
        <f>IF(A13="","",VLOOKUP($A13,子基金及业绩基准周净值!$A:$AV,9))</f>
        <v>1.10836</v>
      </c>
      <c r="C13" s="8">
        <f t="shared" si="3"/>
        <v>-0.005027110488707</v>
      </c>
      <c r="D13" s="9">
        <f>IF(A13="","",C13-(子基金及业绩基准周净值!AG31/子基金及业绩基准周净值!AG30-1))</f>
        <v>0.00072492244467267</v>
      </c>
      <c r="E13" s="12">
        <f>IF(A13="","",(MAX(B$3:B13)-B13)/MAX(B$3:B13))</f>
        <v>0.0100746668572041</v>
      </c>
      <c r="F13" s="12">
        <f>IF(A13="","",MAX(E$4:E13))</f>
        <v>0.0100746668572041</v>
      </c>
      <c r="G13" s="17">
        <v>0</v>
      </c>
      <c r="H13" s="14" t="str">
        <f t="shared" si="0"/>
        <v>否</v>
      </c>
      <c r="I13" s="14" t="str">
        <f t="shared" si="1"/>
        <v>否</v>
      </c>
      <c r="J13" s="15" t="str">
        <f t="shared" si="2"/>
        <v>否</v>
      </c>
    </row>
    <row r="14" spans="1:10">
      <c r="A14" s="7">
        <f>IF(子基金及业绩基准周净值!A32="","",子基金及业绩基准周净值!A32)</f>
        <v>45667</v>
      </c>
      <c r="B14" s="16">
        <f>IF(A14="","",VLOOKUP($A14,子基金及业绩基准周净值!$A:$AV,9))</f>
        <v>1.11012</v>
      </c>
      <c r="C14" s="8">
        <f t="shared" si="3"/>
        <v>0.00158793171893607</v>
      </c>
      <c r="D14" s="9">
        <f>IF(A14="","",C14-(子基金及业绩基准周净值!AG32/子基金及业绩基准周净值!AG31-1))</f>
        <v>-0.00184508372249408</v>
      </c>
      <c r="E14" s="12">
        <f>IF(A14="","",(MAX(B$3:B14)-B14)/MAX(B$3:B14))</f>
        <v>0.00850273302132826</v>
      </c>
      <c r="F14" s="12">
        <f>IF(A14="","",MAX(E$4:E14))</f>
        <v>0.0100746668572041</v>
      </c>
      <c r="G14" s="17">
        <v>1</v>
      </c>
      <c r="H14" s="14" t="str">
        <f t="shared" si="0"/>
        <v>否</v>
      </c>
      <c r="I14" s="14" t="str">
        <f t="shared" si="1"/>
        <v>否</v>
      </c>
      <c r="J14" s="15" t="str">
        <f t="shared" si="2"/>
        <v>否</v>
      </c>
    </row>
    <row r="15" spans="1:10">
      <c r="A15" s="7">
        <f>IF(子基金及业绩基准周净值!A33="","",子基金及业绩基准周净值!A33)</f>
        <v>45674</v>
      </c>
      <c r="B15" s="16">
        <f>IF(A15="","",VLOOKUP($A15,子基金及业绩基准周净值!$A:$AV,9))</f>
        <v>1.11124</v>
      </c>
      <c r="C15" s="8">
        <f t="shared" si="3"/>
        <v>0.00100889993874537</v>
      </c>
      <c r="D15" s="9">
        <f>IF(A15="","",C15-(子基金及业绩基准周净值!AG33/子基金及业绩基准周净值!AG32-1))</f>
        <v>-0.00737571191843195</v>
      </c>
      <c r="E15" s="12">
        <f>IF(A15="","",(MAX(B$3:B15)-B15)/MAX(B$3:B15))</f>
        <v>0.00750241148940728</v>
      </c>
      <c r="F15" s="12">
        <f>IF(A15="","",MAX(E$4:E15))</f>
        <v>0.0100746668572041</v>
      </c>
      <c r="G15" s="17">
        <v>2</v>
      </c>
      <c r="H15" s="14" t="str">
        <f t="shared" si="0"/>
        <v>否</v>
      </c>
      <c r="I15" s="14" t="str">
        <f t="shared" si="1"/>
        <v>否</v>
      </c>
      <c r="J15" s="15" t="str">
        <f t="shared" si="2"/>
        <v>否</v>
      </c>
    </row>
    <row r="16" spans="1:10">
      <c r="A16" s="7">
        <f>IF(子基金及业绩基准周净值!A34="","",子基金及业绩基准周净值!A34)</f>
        <v>45681</v>
      </c>
      <c r="B16" s="16">
        <f>IF(A16="","",VLOOKUP($A16,子基金及业绩基准周净值!$A:$AV,9))</f>
        <v>1.10876</v>
      </c>
      <c r="C16" s="8">
        <f t="shared" si="3"/>
        <v>-0.00223174111803034</v>
      </c>
      <c r="D16" s="9">
        <f>IF(A16="","",C16-(子基金及业绩基准周净值!AG34/子基金及业绩基准周净值!AG33-1))</f>
        <v>-0.00668871720671557</v>
      </c>
      <c r="E16" s="12">
        <f>IF(A16="","",(MAX(B$3:B16)-B16)/MAX(B$3:B16))</f>
        <v>0.00971740916723232</v>
      </c>
      <c r="F16" s="12">
        <f>IF(A16="","",MAX(E$4:E16))</f>
        <v>0.0100746668572041</v>
      </c>
      <c r="G16" s="17">
        <v>3</v>
      </c>
      <c r="H16" s="14" t="str">
        <f t="shared" si="0"/>
        <v>否</v>
      </c>
      <c r="I16" s="14" t="str">
        <f t="shared" si="1"/>
        <v>否</v>
      </c>
      <c r="J16" s="15" t="str">
        <f t="shared" si="2"/>
        <v>否</v>
      </c>
    </row>
    <row r="17" spans="1:10">
      <c r="A17" s="7">
        <f>IF(子基金及业绩基准周净值!A35="","",子基金及业绩基准周净值!A35)</f>
        <v>45684</v>
      </c>
      <c r="B17" s="16">
        <f>IF(A17="","",VLOOKUP($A17,子基金及业绩基准周净值!$A:$AV,9))</f>
        <v>1.10724</v>
      </c>
      <c r="C17" s="8">
        <f t="shared" si="3"/>
        <v>-0.0013709008261481</v>
      </c>
      <c r="D17" s="9">
        <f>IF(A17="","",C17-(子基金及业绩基准周净值!AG35/子基金及业绩基准周净值!AG34-1))</f>
        <v>-0.00146789510526568</v>
      </c>
      <c r="E17" s="12">
        <f>IF(A17="","",(MAX(B$3:B17)-B17)/MAX(B$3:B17))</f>
        <v>0.011074988389125</v>
      </c>
      <c r="F17" s="12">
        <f>IF(A17="","",MAX(E$4:E17))</f>
        <v>0.011074988389125</v>
      </c>
      <c r="G17" s="17">
        <v>4</v>
      </c>
      <c r="H17" s="14" t="str">
        <f t="shared" si="0"/>
        <v>否</v>
      </c>
      <c r="I17" s="14" t="str">
        <f t="shared" si="1"/>
        <v>否</v>
      </c>
      <c r="J17" s="15" t="str">
        <f t="shared" si="2"/>
        <v>是</v>
      </c>
    </row>
    <row r="18" spans="1:10">
      <c r="A18" s="7">
        <f>IF(子基金及业绩基准周净值!A36="","",子基金及业绩基准周净值!A36)</f>
        <v>45695</v>
      </c>
      <c r="B18" s="16">
        <f>IF(A18="","",VLOOKUP($A18,子基金及业绩基准周净值!$A:$AV,9))</f>
        <v>1.119</v>
      </c>
      <c r="C18" s="8">
        <f t="shared" si="3"/>
        <v>0.0106210035764604</v>
      </c>
      <c r="D18" s="9">
        <f>IF(A18="","",C18-(子基金及业绩基准周净值!AG36/子基金及业绩基准周净值!AG35-1))</f>
        <v>0.00382099778430837</v>
      </c>
      <c r="E18" s="12">
        <f>IF(A18="","",(MAX(B$3:B18)-B18)/MAX(B$3:B18))</f>
        <v>0.000571612303954819</v>
      </c>
      <c r="F18" s="12">
        <f>IF(A18="","",MAX(E$4:E18))</f>
        <v>0.011074988389125</v>
      </c>
      <c r="G18" s="17">
        <v>0</v>
      </c>
      <c r="H18" s="14" t="str">
        <f t="shared" si="0"/>
        <v>否</v>
      </c>
      <c r="I18" s="14" t="str">
        <f t="shared" si="1"/>
        <v>否</v>
      </c>
      <c r="J18" s="15" t="str">
        <f t="shared" si="2"/>
        <v>否</v>
      </c>
    </row>
    <row r="19" spans="1:10">
      <c r="A19" s="7">
        <f>IF(子基金及业绩基准周净值!A37="","",子基金及业绩基准周净值!A37)</f>
        <v>45702</v>
      </c>
      <c r="B19" s="16">
        <f>IF(A19="","",VLOOKUP($A19,子基金及业绩基准周净值!$A:$AV,9))</f>
        <v>1.12668</v>
      </c>
      <c r="C19" s="8">
        <f t="shared" si="3"/>
        <v>0.00686327077747981</v>
      </c>
      <c r="D19" s="9">
        <f>IF(A19="","",C19-(子基金及业绩基准周净值!AG37/子基金及业绩基准周净值!AG36-1))</f>
        <v>0.00331440534551983</v>
      </c>
      <c r="E19" s="12">
        <f>IF(A19="","",(MAX(B$3:B19)-B19)/MAX(B$3:B19))</f>
        <v>0</v>
      </c>
      <c r="F19" s="12">
        <f>IF(A19="","",MAX(E$4:E19))</f>
        <v>0.011074988389125</v>
      </c>
      <c r="G19" s="17">
        <v>0</v>
      </c>
      <c r="H19" s="14" t="str">
        <f t="shared" si="0"/>
        <v>否</v>
      </c>
      <c r="I19" s="14" t="str">
        <f t="shared" si="1"/>
        <v>否</v>
      </c>
      <c r="J19" s="15" t="str">
        <f t="shared" si="2"/>
        <v>否</v>
      </c>
    </row>
    <row r="20" spans="1:10">
      <c r="A20" s="7">
        <f>IF(子基金及业绩基准周净值!A38="","",子基金及业绩基准周净值!A38)</f>
        <v>45709</v>
      </c>
      <c r="B20" s="16">
        <f>IF(A20="","",VLOOKUP($A20,子基金及业绩基准周净值!$A:$AV,9))</f>
        <v>1.13108</v>
      </c>
      <c r="C20" s="8">
        <f t="shared" si="3"/>
        <v>0.00390527922746493</v>
      </c>
      <c r="D20" s="9">
        <f>IF(A20="","",C20-(子基金及业绩基准周净值!AG38/子基金及业绩基准周净值!AG37-1))</f>
        <v>0.000524279523050625</v>
      </c>
      <c r="E20" s="12">
        <f>IF(A20="","",(MAX(B$3:B20)-B20)/MAX(B$3:B20))</f>
        <v>0</v>
      </c>
      <c r="F20" s="12">
        <f>IF(A20="","",MAX(E$4:E20))</f>
        <v>0.011074988389125</v>
      </c>
      <c r="G20" s="17">
        <v>0</v>
      </c>
      <c r="H20" s="14" t="str">
        <f t="shared" si="0"/>
        <v>否</v>
      </c>
      <c r="I20" s="14" t="str">
        <f t="shared" si="1"/>
        <v>否</v>
      </c>
      <c r="J20" s="15" t="str">
        <f t="shared" si="2"/>
        <v>否</v>
      </c>
    </row>
    <row r="21" spans="1:10">
      <c r="A21" s="7">
        <f>IF(子基金及业绩基准周净值!A39="","",子基金及业绩基准周净值!A39)</f>
        <v>45716</v>
      </c>
      <c r="B21" s="16">
        <f>IF(A21="","",VLOOKUP($A21,子基金及业绩基准周净值!$A:$AV,9))</f>
        <v>1.13036</v>
      </c>
      <c r="C21" s="8">
        <f t="shared" si="3"/>
        <v>-0.000636559748205303</v>
      </c>
      <c r="D21" s="9">
        <f>IF(A21="","",C21-(子基金及业绩基准周净值!AG39/子基金及业绩基准周净值!AG38-1))</f>
        <v>-0.00103279429571034</v>
      </c>
      <c r="E21" s="12">
        <f>IF(A21="","",(MAX(B$3:B21)-B21)/MAX(B$3:B21))</f>
        <v>0.000636559748205303</v>
      </c>
      <c r="F21" s="12">
        <f>IF(A21="","",MAX(E$4:E21))</f>
        <v>0.011074988389125</v>
      </c>
      <c r="G21" s="17">
        <v>1</v>
      </c>
      <c r="H21" s="14" t="str">
        <f t="shared" si="0"/>
        <v>否</v>
      </c>
      <c r="I21" s="14" t="str">
        <f t="shared" si="1"/>
        <v>否</v>
      </c>
      <c r="J21" s="15" t="str">
        <f t="shared" si="2"/>
        <v>否</v>
      </c>
    </row>
    <row r="22" spans="1:10">
      <c r="A22" s="7">
        <f>IF(子基金及业绩基准周净值!A40="","",子基金及业绩基准周净值!A40)</f>
        <v>45723</v>
      </c>
      <c r="B22" s="1">
        <f>IF(A22="","",VLOOKUP($A22,子基金及业绩基准周净值!$A:$AV,9))</f>
        <v>1.13716</v>
      </c>
      <c r="C22" s="8">
        <f t="shared" si="3"/>
        <v>0.00601578258254</v>
      </c>
      <c r="D22" s="9">
        <f>IF(A22="","",C22-(子基金及业绩基准周净值!AG40/子基金及业绩基准周净值!AG39-1))</f>
        <v>-0.00435922132487241</v>
      </c>
      <c r="E22" s="12">
        <f>IF(A22="","",(MAX(B$3:B22)-B22)/MAX(B$3:B22))</f>
        <v>0</v>
      </c>
      <c r="F22" s="12">
        <f>IF(A22="","",MAX(E$4:E22))</f>
        <v>0.011074988389125</v>
      </c>
      <c r="G22" s="17">
        <v>2</v>
      </c>
      <c r="H22" s="14" t="str">
        <f t="shared" si="0"/>
        <v>否</v>
      </c>
      <c r="I22" s="14" t="str">
        <f t="shared" si="1"/>
        <v>否</v>
      </c>
      <c r="J22" s="15" t="str">
        <f t="shared" si="2"/>
        <v>否</v>
      </c>
    </row>
    <row r="23" spans="1:10">
      <c r="A23" s="7">
        <f>IF(子基金及业绩基准周净值!A41="","",子基金及业绩基准周净值!A41)</f>
        <v>45730</v>
      </c>
      <c r="B23" s="1">
        <f>IF(A23="","",VLOOKUP($A23,子基金及业绩基准周净值!$A:$AV,9))</f>
        <v>1.13828</v>
      </c>
      <c r="C23" s="8">
        <f t="shared" si="3"/>
        <v>0.000984909775229528</v>
      </c>
      <c r="D23" s="9">
        <f>IF(A23="","",C23-(子基金及业绩基准周净值!AG41/子基金及业绩基准周净值!AG40-1))</f>
        <v>-0.00167348476573087</v>
      </c>
      <c r="E23" s="12">
        <f>IF(A23="","",(MAX(B$3:B23)-B23)/MAX(B$3:B23))</f>
        <v>0</v>
      </c>
      <c r="F23" s="12">
        <f>IF(A23="","",MAX(E$4:E23))</f>
        <v>0.011074988389125</v>
      </c>
      <c r="G23" s="17">
        <v>3</v>
      </c>
      <c r="H23" s="14" t="str">
        <f t="shared" si="0"/>
        <v>否</v>
      </c>
      <c r="I23" s="14" t="str">
        <f t="shared" si="1"/>
        <v>否</v>
      </c>
      <c r="J23" s="15" t="str">
        <f t="shared" si="2"/>
        <v>否</v>
      </c>
    </row>
    <row r="24" spans="1:10">
      <c r="A24" s="7">
        <f>IF(子基金及业绩基准周净值!A42="","",子基金及业绩基准周净值!A42)</f>
        <v>45737</v>
      </c>
      <c r="B24" s="1">
        <f>IF(A24="","",VLOOKUP($A24,子基金及业绩基准周净值!$A:$AV,9))</f>
        <v>1.14108</v>
      </c>
      <c r="C24" s="8">
        <f t="shared" si="3"/>
        <v>0.00245985170608298</v>
      </c>
      <c r="D24" s="9">
        <f>IF(A24="","",C24-(子基金及业绩基准周净值!AG42/子基金及业绩基准周净值!AG41-1))</f>
        <v>-0.00178848286220412</v>
      </c>
      <c r="E24" s="12">
        <f>IF(A24="","",(MAX(B$3:B24)-B24)/MAX(B$3:B24))</f>
        <v>0</v>
      </c>
      <c r="F24" s="12">
        <f>IF(A24="","",MAX(E$4:E24))</f>
        <v>0.011074988389125</v>
      </c>
      <c r="G24" s="17">
        <v>4</v>
      </c>
      <c r="H24" s="14" t="str">
        <f t="shared" si="0"/>
        <v>否</v>
      </c>
      <c r="I24" s="14" t="str">
        <f t="shared" si="1"/>
        <v>否</v>
      </c>
      <c r="J24" s="15" t="str">
        <f t="shared" si="2"/>
        <v>是</v>
      </c>
    </row>
    <row r="25" spans="1:10">
      <c r="A25" s="7">
        <f>IF(子基金及业绩基准周净值!A43="","",子基金及业绩基准周净值!A43)</f>
        <v>45744</v>
      </c>
      <c r="B25" s="1">
        <f>IF(A25="","",VLOOKUP($A25,子基金及业绩基准周净值!$A:$AV,9))</f>
        <v>1.14052</v>
      </c>
      <c r="C25" s="8">
        <f t="shared" si="3"/>
        <v>-0.000490763136677635</v>
      </c>
      <c r="D25" s="9">
        <f>IF(A25="","",C25-(子基金及业绩基准周净值!AG43/子基金及业绩基准周净值!AG42-1))</f>
        <v>0.00315291940858207</v>
      </c>
      <c r="E25" s="12">
        <f>IF(A25="","",(MAX(B$3:B25)-B25)/MAX(B$3:B25))</f>
        <v>0.000490763136677635</v>
      </c>
      <c r="F25" s="12">
        <f>IF(A25="","",MAX(E$4:E25))</f>
        <v>0.011074988389125</v>
      </c>
      <c r="G25" s="17">
        <v>0</v>
      </c>
      <c r="H25" s="14" t="str">
        <f t="shared" si="0"/>
        <v>否</v>
      </c>
      <c r="I25" s="14" t="str">
        <f t="shared" si="1"/>
        <v>否</v>
      </c>
      <c r="J25" s="15" t="str">
        <f t="shared" si="2"/>
        <v>否</v>
      </c>
    </row>
    <row r="26" spans="1:10">
      <c r="A26" s="7">
        <f>IF(子基金及业绩基准周净值!A44="","",子基金及业绩基准周净值!A44)</f>
        <v>45750</v>
      </c>
      <c r="B26" s="1">
        <f>IF(A26="","",VLOOKUP($A26,子基金及业绩基准周净值!$A:$AV,9))</f>
        <v>1.14092</v>
      </c>
      <c r="C26" s="8">
        <f t="shared" si="3"/>
        <v>0.00035071721670813</v>
      </c>
      <c r="D26" s="9">
        <f>IF(A26="","",C26-(子基金及业绩基准周净值!AG44/子基金及业绩基准周净值!AG43-1))</f>
        <v>-0.00135291322978756</v>
      </c>
      <c r="E26" s="12">
        <f>IF(A26="","",(MAX(B$3:B26)-B26)/MAX(B$3:B26))</f>
        <v>0.000140218039050864</v>
      </c>
      <c r="F26" s="12">
        <f>IF(A26="","",MAX(E$4:E26))</f>
        <v>0.011074988389125</v>
      </c>
      <c r="G26" s="17">
        <v>1</v>
      </c>
      <c r="H26" s="14" t="str">
        <f t="shared" si="0"/>
        <v>否</v>
      </c>
      <c r="I26" s="14" t="str">
        <f t="shared" si="1"/>
        <v>否</v>
      </c>
      <c r="J26" s="15" t="str">
        <f t="shared" si="2"/>
        <v>否</v>
      </c>
    </row>
    <row r="27" spans="1:10">
      <c r="A27" s="7">
        <f>IF(子基金及业绩基准周净值!A45="","",子基金及业绩基准周净值!A45)</f>
        <v>45758</v>
      </c>
      <c r="B27" s="1">
        <f>IF(A27="","",VLOOKUP($A27,子基金及业绩基准周净值!$A:$AV,9))</f>
        <v>1.14116</v>
      </c>
      <c r="C27" s="8">
        <f t="shared" si="3"/>
        <v>0.000210356554359655</v>
      </c>
      <c r="D27" s="9">
        <f>IF(A27="","",C27-(子基金及业绩基准周净值!AG45/子基金及业绩基准周净值!AG44-1))</f>
        <v>0.00240837857279332</v>
      </c>
      <c r="E27" s="12">
        <f>IF(A27="","",(MAX(B$3:B27)-B27)/MAX(B$3:B27))</f>
        <v>0</v>
      </c>
      <c r="F27" s="12">
        <f>IF(A27="","",MAX(E$4:E27))</f>
        <v>0.011074988389125</v>
      </c>
      <c r="G27" s="17">
        <v>0</v>
      </c>
      <c r="H27" s="14" t="str">
        <f t="shared" si="0"/>
        <v>否</v>
      </c>
      <c r="I27" s="14" t="str">
        <f t="shared" si="1"/>
        <v>否</v>
      </c>
      <c r="J27" s="15" t="str">
        <f t="shared" si="2"/>
        <v>否</v>
      </c>
    </row>
    <row r="28" spans="1:10">
      <c r="A28" s="7">
        <f>IF(子基金及业绩基准周净值!A46="","",子基金及业绩基准周净值!A46)</f>
        <v>45765</v>
      </c>
      <c r="B28" s="1">
        <f>IF(A28="","",VLOOKUP($A28,子基金及业绩基准周净值!$A:$AV,9))</f>
        <v>1.14124</v>
      </c>
      <c r="C28" s="8">
        <f t="shared" si="3"/>
        <v>7.01041045953942e-5</v>
      </c>
      <c r="D28" s="9">
        <f>IF(A28="","",C28-(子基金及业绩基准周净值!AG46/子基金及业绩基准周净值!AG45-1))</f>
        <v>-0.00343258583711693</v>
      </c>
      <c r="E28" s="12">
        <f>IF(A28="","",(MAX(B$3:B28)-B28)/MAX(B$3:B28))</f>
        <v>0</v>
      </c>
      <c r="F28" s="12">
        <f>IF(A28="","",MAX(E$4:E28))</f>
        <v>0.011074988389125</v>
      </c>
      <c r="G28" s="17">
        <v>1</v>
      </c>
      <c r="H28" s="14" t="str">
        <f t="shared" si="0"/>
        <v>否</v>
      </c>
      <c r="I28" s="14" t="str">
        <f t="shared" si="1"/>
        <v>否</v>
      </c>
      <c r="J28" s="15" t="str">
        <f t="shared" si="2"/>
        <v>否</v>
      </c>
    </row>
    <row r="29" spans="1:10">
      <c r="A29" s="7">
        <f>IF(子基金及业绩基准周净值!A47="","",子基金及业绩基准周净值!A47)</f>
        <v>45772</v>
      </c>
      <c r="B29" s="1">
        <f>IF(A29="","",VLOOKUP($A29,子基金及业绩基准周净值!$A:$AV,9))</f>
        <v>1.14116</v>
      </c>
      <c r="C29" s="8">
        <f t="shared" si="3"/>
        <v>-7.00991903544215e-5</v>
      </c>
      <c r="D29" s="9">
        <f>IF(A29="","",C29-(子基金及业绩基准周净值!AG47/子基金及业绩基准周净值!AG46-1))</f>
        <v>-0.0070028322015894</v>
      </c>
      <c r="E29" s="12">
        <f>IF(A29="","",(MAX(B$3:B29)-B29)/MAX(B$3:B29))</f>
        <v>7.00991903544215e-5</v>
      </c>
      <c r="F29" s="12">
        <f>IF(A29="","",MAX(E$4:E29))</f>
        <v>0.011074988389125</v>
      </c>
      <c r="G29" s="17">
        <v>2</v>
      </c>
      <c r="H29" s="14" t="str">
        <f t="shared" si="0"/>
        <v>否</v>
      </c>
      <c r="I29" s="14" t="str">
        <f t="shared" si="1"/>
        <v>否</v>
      </c>
      <c r="J29" s="15" t="str">
        <f t="shared" si="2"/>
        <v>否</v>
      </c>
    </row>
    <row r="30" spans="1:10">
      <c r="A30" s="7">
        <f>IF(子基金及业绩基准周净值!A48="","",子基金及业绩基准周净值!A48)</f>
        <v>45786</v>
      </c>
      <c r="B30" s="1">
        <f>IF(A30="","",VLOOKUP($A30,子基金及业绩基准周净值!$A:$AV,9))</f>
        <v>1.14116</v>
      </c>
      <c r="C30" s="8">
        <f t="shared" si="3"/>
        <v>0</v>
      </c>
      <c r="D30" s="9">
        <f>IF(A30="","",C30-(子基金及业绩基准周净值!AG48/子基金及业绩基准周净值!AG47-1))</f>
        <v>-0.00937049604534645</v>
      </c>
      <c r="E30" s="12">
        <f>IF(A30="","",(MAX(B$3:B30)-B30)/MAX(B$3:B30))</f>
        <v>7.00991903544215e-5</v>
      </c>
      <c r="F30" s="12">
        <f>IF(A30="","",MAX(E$4:E30))</f>
        <v>0.011074988389125</v>
      </c>
      <c r="G30" s="17">
        <v>3</v>
      </c>
      <c r="H30" s="14" t="str">
        <f t="shared" si="0"/>
        <v>否</v>
      </c>
      <c r="I30" s="14" t="str">
        <f t="shared" si="1"/>
        <v>否</v>
      </c>
      <c r="J30" s="15" t="str">
        <f t="shared" si="2"/>
        <v>否</v>
      </c>
    </row>
    <row r="31" spans="1:10">
      <c r="A31" s="7">
        <f>IF(子基金及业绩基准周净值!A49="","",子基金及业绩基准周净值!A49)</f>
        <v>45793</v>
      </c>
      <c r="B31" s="1">
        <f>IF(A31="","",VLOOKUP($A31,子基金及业绩基准周净值!$A:$AV,9))</f>
        <v>1.1414</v>
      </c>
      <c r="C31" s="8">
        <f t="shared" si="3"/>
        <v>0.000210312313785988</v>
      </c>
      <c r="D31" s="9">
        <f>IF(A31="","",C31-(子基金及业绩基准周净值!AG49/子基金及业绩基准周净值!AG48-1))</f>
        <v>3.96417593684366e-5</v>
      </c>
      <c r="E31" s="12">
        <f>IF(A31="","",(MAX(B$3:B31)-B31)/MAX(B$3:B31))</f>
        <v>0</v>
      </c>
      <c r="F31" s="12">
        <f>IF(A31="","",MAX(E$4:E31))</f>
        <v>0.011074988389125</v>
      </c>
      <c r="G31" s="17">
        <v>0</v>
      </c>
      <c r="H31" s="14" t="str">
        <f t="shared" si="0"/>
        <v>否</v>
      </c>
      <c r="I31" s="14" t="str">
        <f t="shared" si="1"/>
        <v>否</v>
      </c>
      <c r="J31" s="15" t="str">
        <f t="shared" si="2"/>
        <v>否</v>
      </c>
    </row>
    <row r="32" spans="1:10">
      <c r="A32" s="7">
        <f>IF(子基金及业绩基准周净值!A50="","",子基金及业绩基准周净值!A50)</f>
        <v>45800</v>
      </c>
      <c r="B32" s="1">
        <f>IF(A32="","",VLOOKUP($A32,子基金及业绩基准周净值!$A:$AV,9))</f>
        <v>1.14212</v>
      </c>
      <c r="C32" s="8">
        <f t="shared" si="3"/>
        <v>0.000630804275451248</v>
      </c>
      <c r="D32" s="9">
        <f>IF(A32="","",C32-(子基金及业绩基准周净值!AG50/子基金及业绩基准周净值!AG49-1))</f>
        <v>-0.00540305469284831</v>
      </c>
      <c r="E32" s="12">
        <f>IF(A32="","",(MAX(B$3:B32)-B32)/MAX(B$3:B32))</f>
        <v>0</v>
      </c>
      <c r="F32" s="12">
        <f>IF(A32="","",MAX(E$4:E32))</f>
        <v>0.011074988389125</v>
      </c>
      <c r="G32" s="17">
        <v>1</v>
      </c>
      <c r="H32" s="14" t="str">
        <f t="shared" si="0"/>
        <v>否</v>
      </c>
      <c r="I32" s="14" t="str">
        <f t="shared" si="1"/>
        <v>否</v>
      </c>
      <c r="J32" s="15" t="str">
        <f t="shared" si="2"/>
        <v>否</v>
      </c>
    </row>
    <row r="33" spans="1:10">
      <c r="A33" s="7">
        <f>IF(子基金及业绩基准周净值!A51="","",子基金及业绩基准周净值!A51)</f>
        <v>45807</v>
      </c>
      <c r="B33" s="1">
        <f>IF(A33="","",VLOOKUP($A33,子基金及业绩基准周净值!$A:$AV,9))</f>
        <v>1.14228</v>
      </c>
      <c r="C33" s="8">
        <f t="shared" si="3"/>
        <v>0.000140090358281037</v>
      </c>
      <c r="D33" s="9">
        <f>IF(A33="","",C33-(子基金及业绩基准周净值!AG51/子基金及业绩基准周净值!AG50-1))</f>
        <v>-0.00194094615995029</v>
      </c>
      <c r="E33" s="12">
        <f>IF(A33="","",(MAX(B$3:B33)-B33)/MAX(B$3:B33))</f>
        <v>0</v>
      </c>
      <c r="F33" s="12">
        <f>IF(A33="","",MAX(E$4:E33))</f>
        <v>0.011074988389125</v>
      </c>
      <c r="G33" s="17">
        <v>2</v>
      </c>
      <c r="H33" s="14" t="str">
        <f t="shared" si="0"/>
        <v>否</v>
      </c>
      <c r="I33" s="14" t="str">
        <f t="shared" si="1"/>
        <v>否</v>
      </c>
      <c r="J33" s="15" t="str">
        <f t="shared" si="2"/>
        <v>否</v>
      </c>
    </row>
    <row r="34" spans="1:10">
      <c r="A34" s="7">
        <f>IF(子基金及业绩基准周净值!A52="","",子基金及业绩基准周净值!A52)</f>
        <v>45814</v>
      </c>
      <c r="B34" s="1">
        <f>IF(A34="","",VLOOKUP($A34,子基金及业绩基准周净值!$A:$AV,9))</f>
        <v>1.14292</v>
      </c>
      <c r="C34" s="8">
        <f t="shared" si="3"/>
        <v>0.000560282942886135</v>
      </c>
      <c r="D34" s="9">
        <f>IF(A34="","",C34-(子基金及业绩基准周净值!AG52/子基金及业绩基准周净值!AG51-1))</f>
        <v>-0.00221980882117489</v>
      </c>
      <c r="E34" s="12">
        <f>IF(A34="","",(MAX(B$3:B34)-B34)/MAX(B$3:B34))</f>
        <v>0</v>
      </c>
      <c r="F34" s="12">
        <f>IF(A34="","",MAX(E$4:E34))</f>
        <v>0.011074988389125</v>
      </c>
      <c r="G34" s="17">
        <v>3</v>
      </c>
      <c r="H34" s="14" t="str">
        <f t="shared" si="0"/>
        <v>否</v>
      </c>
      <c r="I34" s="14" t="str">
        <f t="shared" si="1"/>
        <v>否</v>
      </c>
      <c r="J34" s="15" t="str">
        <f t="shared" si="2"/>
        <v>否</v>
      </c>
    </row>
    <row r="35" spans="1:10">
      <c r="A35" s="7">
        <f>IF(子基金及业绩基准周净值!A53="","",子基金及业绩基准周净值!A53)</f>
        <v>45821</v>
      </c>
      <c r="B35" s="1">
        <f>IF(A35="","",VLOOKUP($A35,子基金及业绩基准周净值!$A:$AV,9))</f>
        <v>1.14251999</v>
      </c>
      <c r="C35" s="8">
        <f t="shared" si="3"/>
        <v>-0.000349989500577377</v>
      </c>
      <c r="D35" s="9">
        <f>IF(A35="","",C35-(子基金及业绩基准周净值!AG53/子基金及业绩基准周净值!AG52-1))</f>
        <v>-0.00180773172849455</v>
      </c>
      <c r="E35" s="12">
        <f>IF(A35="","",(MAX(B$3:B35)-B35)/MAX(B$3:B35))</f>
        <v>0.000349989500577377</v>
      </c>
      <c r="F35" s="12">
        <f>IF(A35="","",MAX(E$4:E35))</f>
        <v>0.011074988389125</v>
      </c>
      <c r="G35" s="17">
        <v>4</v>
      </c>
      <c r="H35" s="14" t="str">
        <f t="shared" si="0"/>
        <v>否</v>
      </c>
      <c r="I35" s="14" t="str">
        <f t="shared" si="1"/>
        <v>否</v>
      </c>
      <c r="J35" s="15" t="str">
        <f t="shared" si="2"/>
        <v>是</v>
      </c>
    </row>
    <row r="36" spans="1:10">
      <c r="A36" s="7">
        <f>IF(子基金及业绩基准周净值!A54="","",子基金及业绩基准周净值!A54)</f>
        <v>45828</v>
      </c>
      <c r="B36" s="1">
        <f>IF(A36="","",VLOOKUP($A36,子基金及业绩基准周净值!$A:$AV,9))</f>
        <v>1.14116</v>
      </c>
      <c r="C36" s="8">
        <f t="shared" si="3"/>
        <v>-0.00119034241142694</v>
      </c>
      <c r="D36" s="9">
        <f>IF(A36="","",C36-(子基金及业绩基准周净值!AG54/子基金及业绩基准周净值!AG53-1))</f>
        <v>0.00220275028056489</v>
      </c>
      <c r="E36" s="12">
        <f>IF(A36="","",(MAX(B$3:B36)-B36)/MAX(B$3:B36))</f>
        <v>0.00153991530465823</v>
      </c>
      <c r="F36" s="12">
        <f>IF(A36="","",MAX(E$4:E36))</f>
        <v>0.011074988389125</v>
      </c>
      <c r="G36" s="17">
        <v>0</v>
      </c>
      <c r="H36" s="14" t="str">
        <f t="shared" si="0"/>
        <v>否</v>
      </c>
      <c r="I36" s="14" t="str">
        <f t="shared" si="1"/>
        <v>否</v>
      </c>
      <c r="J36" s="15" t="str">
        <f t="shared" si="2"/>
        <v>否</v>
      </c>
    </row>
    <row r="37" spans="1:10">
      <c r="A37" s="7">
        <f>IF(子基金及业绩基准周净值!A55="","",子基金及业绩基准周净值!A55)</f>
        <v>45835</v>
      </c>
      <c r="B37" s="1">
        <f>IF(A37="","",VLOOKUP($A37,子基金及业绩基准周净值!$A:$AV,9))</f>
        <v>1.13892</v>
      </c>
      <c r="C37" s="8">
        <f t="shared" si="3"/>
        <v>-0.00196291492866909</v>
      </c>
      <c r="D37" s="9">
        <f>IF(A37="","",C37-(子基金及业绩基准周净值!AG55/子基金及业绩基准周净值!AG54-1))</f>
        <v>-0.00510131827040408</v>
      </c>
      <c r="E37" s="12">
        <f>IF(A37="","",(MAX(B$3:B37)-B37)/MAX(B$3:B37))</f>
        <v>0.00349980751058692</v>
      </c>
      <c r="F37" s="12">
        <f>IF(A37="","",MAX(E$4:E37))</f>
        <v>0.011074988389125</v>
      </c>
      <c r="G37" s="17">
        <v>1</v>
      </c>
      <c r="H37" s="14" t="str">
        <f t="shared" si="0"/>
        <v>否</v>
      </c>
      <c r="I37" s="14" t="str">
        <f t="shared" si="1"/>
        <v>否</v>
      </c>
      <c r="J37" s="15" t="str">
        <f t="shared" si="2"/>
        <v>否</v>
      </c>
    </row>
    <row r="38" spans="1:10">
      <c r="A38" s="7">
        <f>IF(子基金及业绩基准周净值!A56="","",子基金及业绩基准周净值!A56)</f>
        <v>45842</v>
      </c>
      <c r="B38" s="1">
        <f>IF(A38="","",VLOOKUP($A38,子基金及业绩基准周净值!$A:$AV,9))</f>
        <v>1.14604</v>
      </c>
      <c r="C38" s="8">
        <f t="shared" si="3"/>
        <v>0.006251536543392</v>
      </c>
      <c r="D38" s="9">
        <f>IF(A38="","",C38-(子基金及业绩基准周净值!AG56/子基金及业绩基准周净值!AG55-1))</f>
        <v>0.000303217274496169</v>
      </c>
      <c r="E38" s="12">
        <f>IF(A38="","",(MAX(B$3:B38)-B38)/MAX(B$3:B38))</f>
        <v>0</v>
      </c>
      <c r="F38" s="12">
        <f>IF(A38="","",MAX(E$4:E38))</f>
        <v>0.011074988389125</v>
      </c>
      <c r="G38" s="17">
        <v>0</v>
      </c>
      <c r="H38" s="14" t="str">
        <f t="shared" si="0"/>
        <v>否</v>
      </c>
      <c r="I38" s="14" t="str">
        <f t="shared" si="1"/>
        <v>否</v>
      </c>
      <c r="J38" s="15" t="str">
        <f t="shared" si="2"/>
        <v>否</v>
      </c>
    </row>
    <row r="39" spans="1:10">
      <c r="A39" s="7">
        <f>IF(子基金及业绩基准周净值!A57="","",子基金及业绩基准周净值!A57)</f>
        <v>45849</v>
      </c>
      <c r="B39" s="1">
        <f>IF(A39="","",VLOOKUP($A39,子基金及业绩基准周净值!$A:$AV,9))</f>
        <v>1.14372</v>
      </c>
      <c r="C39" s="8">
        <f t="shared" si="3"/>
        <v>-0.00202436215140822</v>
      </c>
      <c r="D39" s="9">
        <f>IF(A39="","",C39-(子基金及业绩基准周净值!AG57/子基金及业绩基准周净值!AG56-1))</f>
        <v>-0.00191527432890448</v>
      </c>
      <c r="E39" s="12">
        <f>IF(A39="","",(MAX(B$3:B39)-B39)/MAX(B$3:B39))</f>
        <v>0.00202436215140822</v>
      </c>
      <c r="F39" s="12">
        <f>IF(A39="","",MAX(E$4:E39))</f>
        <v>0.011074988389125</v>
      </c>
      <c r="G39" s="17">
        <v>1</v>
      </c>
      <c r="H39" s="14" t="str">
        <f t="shared" si="0"/>
        <v>否</v>
      </c>
      <c r="I39" s="14" t="str">
        <f t="shared" si="1"/>
        <v>否</v>
      </c>
      <c r="J39" s="15" t="str">
        <f t="shared" si="2"/>
        <v>否</v>
      </c>
    </row>
    <row r="40" spans="1:10">
      <c r="A40" s="7">
        <f>IF(子基金及业绩基准周净值!A58="","",子基金及业绩基准周净值!A58)</f>
        <v>45856</v>
      </c>
      <c r="B40" s="1">
        <f>IF(A40="","",VLOOKUP($A40,子基金及业绩基准周净值!$A:$AV,9))</f>
        <v>1.14652</v>
      </c>
      <c r="C40" s="8">
        <f t="shared" si="3"/>
        <v>0.00244815164550757</v>
      </c>
      <c r="D40" s="9">
        <f>IF(A40="","",C40-(子基金及业绩基准周净值!AG58/子基金及业绩基准周净值!AG57-1))</f>
        <v>-0.00115903687218825</v>
      </c>
      <c r="E40" s="12">
        <f>IF(A40="","",(MAX(B$3:B40)-B40)/MAX(B$3:B40))</f>
        <v>0</v>
      </c>
      <c r="F40" s="12">
        <f>IF(A40="","",MAX(E$4:E40))</f>
        <v>0.011074988389125</v>
      </c>
      <c r="G40" s="17">
        <v>2</v>
      </c>
      <c r="H40" s="14" t="str">
        <f t="shared" si="0"/>
        <v>否</v>
      </c>
      <c r="I40" s="14" t="str">
        <f t="shared" si="1"/>
        <v>否</v>
      </c>
      <c r="J40" s="15" t="str">
        <f t="shared" si="2"/>
        <v>否</v>
      </c>
    </row>
    <row r="41" spans="1:10">
      <c r="A41" s="7">
        <f>IF(子基金及业绩基准周净值!A59="","",子基金及业绩基准周净值!A59)</f>
        <v>45863</v>
      </c>
      <c r="B41" s="1">
        <f>IF(A41="","",VLOOKUP($A41,子基金及业绩基准周净值!$A:$AV,9))</f>
        <v>1.14276</v>
      </c>
      <c r="C41" s="8">
        <f t="shared" si="3"/>
        <v>-0.00327948923699542</v>
      </c>
      <c r="D41" s="9">
        <f>IF(A41="","",C41-(子基金及业绩基准周净值!AG59/子基金及业绩基准周净值!AG58-1))</f>
        <v>-0.00480404587845909</v>
      </c>
      <c r="E41" s="12">
        <f>IF(A41="","",(MAX(B$3:B41)-B41)/MAX(B$3:B41))</f>
        <v>0.00327948923699542</v>
      </c>
      <c r="F41" s="12">
        <f>IF(A41="","",MAX(E$4:E41))</f>
        <v>0.011074988389125</v>
      </c>
      <c r="G41" s="17">
        <v>3</v>
      </c>
      <c r="H41" s="14" t="str">
        <f t="shared" si="0"/>
        <v>否</v>
      </c>
      <c r="I41" s="14" t="str">
        <f t="shared" si="1"/>
        <v>否</v>
      </c>
      <c r="J41" s="15" t="str">
        <f t="shared" si="2"/>
        <v>否</v>
      </c>
    </row>
    <row r="42" spans="1:10">
      <c r="A42" s="7">
        <f>IF(子基金及业绩基准周净值!A60="","",子基金及业绩基准周净值!A60)</f>
        <v>45870</v>
      </c>
      <c r="B42" s="1">
        <f>IF(A42="","",VLOOKUP($A42,子基金及业绩基准周净值!$A:$AV,9))</f>
        <v>1.14564</v>
      </c>
      <c r="C42" s="8">
        <f t="shared" si="3"/>
        <v>0.00252021421820854</v>
      </c>
      <c r="D42" s="9">
        <f>IF(A42="","",C42-(子基金及业绩基准周净值!AG60/子基金及业绩基准周净值!AG59-1))</f>
        <v>-0.000435764373518484</v>
      </c>
      <c r="E42" s="12">
        <f>IF(A42="","",(MAX(B$3:B42)-B42)/MAX(B$3:B42))</f>
        <v>0.000767540034190413</v>
      </c>
      <c r="F42" s="12">
        <f>IF(A42="","",MAX(E$4:E42))</f>
        <v>0.011074988389125</v>
      </c>
      <c r="G42" s="17">
        <v>4</v>
      </c>
      <c r="H42" s="14" t="str">
        <f t="shared" si="0"/>
        <v>否</v>
      </c>
      <c r="I42" s="14" t="str">
        <f t="shared" si="1"/>
        <v>否</v>
      </c>
      <c r="J42" s="15" t="str">
        <f t="shared" si="2"/>
        <v>是</v>
      </c>
    </row>
    <row r="43" spans="1:10">
      <c r="A43" s="7">
        <f>IF(子基金及业绩基准周净值!A61="","",子基金及业绩基准周净值!A61)</f>
        <v>45877</v>
      </c>
      <c r="B43" s="1">
        <f>IF(A43="","",VLOOKUP($A43,子基金及业绩基准周净值!$A:$AV,9))</f>
        <v>1.14572</v>
      </c>
      <c r="C43" s="8">
        <f t="shared" si="3"/>
        <v>6.98299640376384e-5</v>
      </c>
      <c r="D43" s="9">
        <f>IF(A43="","",C43-(子基金及业绩基准周净值!AG61/子基金及业绩基准周净值!AG60-1))</f>
        <v>-0.00519361555041549</v>
      </c>
      <c r="E43" s="12">
        <f>IF(A43="","",(MAX(B$3:B43)-B43)/MAX(B$3:B43))</f>
        <v>0.000697763667445759</v>
      </c>
      <c r="F43" s="12">
        <f>IF(A43="","",MAX(E$4:E43))</f>
        <v>0.011074988389125</v>
      </c>
      <c r="G43" s="17">
        <v>5</v>
      </c>
      <c r="H43" s="14" t="str">
        <f t="shared" si="0"/>
        <v>否</v>
      </c>
      <c r="I43" s="14" t="str">
        <f t="shared" si="1"/>
        <v>否</v>
      </c>
      <c r="J43" s="15" t="str">
        <f t="shared" si="2"/>
        <v>是</v>
      </c>
    </row>
    <row r="44" spans="1:10">
      <c r="A44" s="7">
        <f>IF(子基金及业绩基准周净值!A62="","",子基金及业绩基准周净值!A62)</f>
        <v>45884</v>
      </c>
      <c r="B44" s="1">
        <f>IF(A44="","",VLOOKUP($A44,子基金及业绩基准周净值!$A:$AV,9))</f>
        <v>1.1358</v>
      </c>
      <c r="C44" s="8">
        <f t="shared" si="3"/>
        <v>-0.00865831093111768</v>
      </c>
      <c r="D44" s="9">
        <f>IF(A44="","",C44-(子基金及业绩基准周净值!AG62/子基金及业绩基准周净值!AG61-1))</f>
        <v>-0.00310243804370269</v>
      </c>
      <c r="E44" s="12">
        <f>IF(A44="","",(MAX(B$3:B44)-B44)/MAX(B$3:B44))</f>
        <v>0.00935003314377426</v>
      </c>
      <c r="F44" s="12">
        <f>IF(A44="","",MAX(E$4:E44))</f>
        <v>0.011074988389125</v>
      </c>
      <c r="G44" s="17">
        <v>6</v>
      </c>
      <c r="H44" s="14" t="str">
        <f t="shared" si="0"/>
        <v>否</v>
      </c>
      <c r="I44" s="14" t="str">
        <f t="shared" si="1"/>
        <v>否</v>
      </c>
      <c r="J44" s="15" t="str">
        <f t="shared" si="2"/>
        <v>是</v>
      </c>
    </row>
    <row r="45" spans="1:9">
      <c r="A45" s="7"/>
      <c r="C45" s="8"/>
      <c r="D45" s="9"/>
      <c r="E45" s="12"/>
      <c r="F45" s="12"/>
      <c r="G45" s="17"/>
      <c r="H45" s="14"/>
      <c r="I45" s="14"/>
    </row>
    <row r="46" spans="1:10">
      <c r="A46" s="7">
        <f>IF(子基金及业绩基准周净值!A64="","",子基金及业绩基准周净值!A64)</f>
        <v>45898</v>
      </c>
      <c r="B46" s="1">
        <f>IF(A46="","",VLOOKUP($A46,子基金及业绩基准周净值!$A:$AV,9))</f>
        <v>0</v>
      </c>
      <c r="C46" s="8" t="e">
        <f t="shared" si="3"/>
        <v>#DIV/0!</v>
      </c>
      <c r="D46" s="9" t="e">
        <f>IF(A46="","",C46-(子基金及业绩基准周净值!AG64/子基金及业绩基准周净值!AG63-1))</f>
        <v>#DIV/0!</v>
      </c>
      <c r="E46" s="12">
        <f>IF(A46="","",(MAX(B$3:B46)-B46)/MAX(B$3:B46))</f>
        <v>1</v>
      </c>
      <c r="F46" s="12">
        <f>IF(A46="","",MAX(E$4:E46))</f>
        <v>1</v>
      </c>
      <c r="G46" s="17" t="e">
        <f>IF(A46="","",MAX(FREQUENCY(IF($D$3:D46&lt;0,ROW($D$3:D46)),IF($D$3:D46&gt;=0,ROW($D$3:D46)))))</f>
        <v>#DIV/0!</v>
      </c>
      <c r="H46" s="14" t="str">
        <f t="shared" si="0"/>
        <v>是</v>
      </c>
      <c r="I46" s="14" t="str">
        <f t="shared" si="1"/>
        <v>是</v>
      </c>
      <c r="J46" s="15" t="e">
        <f t="shared" si="2"/>
        <v>#DIV/0!</v>
      </c>
    </row>
    <row r="47" spans="1:10">
      <c r="A47" s="7">
        <f>IF(子基金及业绩基准周净值!A65="","",子基金及业绩基准周净值!A65)</f>
        <v>45905</v>
      </c>
      <c r="B47" s="1">
        <f>IF(A47="","",VLOOKUP($A47,子基金及业绩基准周净值!$A:$AV,9))</f>
        <v>0</v>
      </c>
      <c r="C47" s="8" t="e">
        <f t="shared" si="3"/>
        <v>#DIV/0!</v>
      </c>
      <c r="D47" s="9" t="e">
        <f>IF(A47="","",C47-(子基金及业绩基准周净值!AG65/子基金及业绩基准周净值!AG64-1))</f>
        <v>#DIV/0!</v>
      </c>
      <c r="E47" s="12">
        <f>IF(A47="","",(MAX(B$3:B47)-B47)/MAX(B$3:B47))</f>
        <v>1</v>
      </c>
      <c r="F47" s="12">
        <f>IF(A47="","",MAX(E$4:E47))</f>
        <v>1</v>
      </c>
      <c r="G47" s="17" t="e">
        <f>IF(A47="","",MAX(FREQUENCY(IF($D$3:D47&lt;0,ROW($D$3:D47)),IF($D$3:D47&gt;=0,ROW($D$3:D47)))))</f>
        <v>#DIV/0!</v>
      </c>
      <c r="H47" s="14" t="str">
        <f t="shared" si="0"/>
        <v>是</v>
      </c>
      <c r="I47" s="14" t="str">
        <f t="shared" si="1"/>
        <v>是</v>
      </c>
      <c r="J47" s="15" t="e">
        <f t="shared" si="2"/>
        <v>#DIV/0!</v>
      </c>
    </row>
    <row r="48" spans="1:10">
      <c r="A48" s="7">
        <f>IF(子基金及业绩基准周净值!A66="","",子基金及业绩基准周净值!A66)</f>
        <v>45912</v>
      </c>
      <c r="B48" s="1">
        <f>IF(A48="","",VLOOKUP($A48,子基金及业绩基准周净值!$A:$AV,9))</f>
        <v>0</v>
      </c>
      <c r="C48" s="8" t="e">
        <f t="shared" si="3"/>
        <v>#DIV/0!</v>
      </c>
      <c r="D48" s="9" t="e">
        <f>IF(A48="","",C48-(子基金及业绩基准周净值!AG66/子基金及业绩基准周净值!AG65-1))</f>
        <v>#DIV/0!</v>
      </c>
      <c r="E48" s="12">
        <f>IF(A48="","",(MAX(B$3:B48)-B48)/MAX(B$3:B48))</f>
        <v>1</v>
      </c>
      <c r="F48" s="12">
        <f>IF(A48="","",MAX(E$4:E48))</f>
        <v>1</v>
      </c>
      <c r="G48" s="17" t="e">
        <f>IF(A48="","",MAX(FREQUENCY(IF($D$3:D48&lt;0,ROW($D$3:D48)),IF($D$3:D48&gt;=0,ROW($D$3:D48)))))</f>
        <v>#DIV/0!</v>
      </c>
      <c r="H48" s="14" t="str">
        <f t="shared" si="0"/>
        <v>是</v>
      </c>
      <c r="I48" s="14" t="str">
        <f t="shared" si="1"/>
        <v>是</v>
      </c>
      <c r="J48" s="15" t="e">
        <f t="shared" si="2"/>
        <v>#DIV/0!</v>
      </c>
    </row>
    <row r="49" spans="1:10">
      <c r="A49" s="7">
        <f>IF(子基金及业绩基准周净值!A67="","",子基金及业绩基准周净值!A67)</f>
        <v>45919</v>
      </c>
      <c r="B49" s="1">
        <f>IF(A49="","",VLOOKUP($A49,子基金及业绩基准周净值!$A:$AV,9))</f>
        <v>0</v>
      </c>
      <c r="C49" s="8" t="e">
        <f t="shared" si="3"/>
        <v>#DIV/0!</v>
      </c>
      <c r="D49" s="9" t="e">
        <f>IF(A49="","",C49-(子基金及业绩基准周净值!AG67/子基金及业绩基准周净值!AG66-1))</f>
        <v>#DIV/0!</v>
      </c>
      <c r="E49" s="12">
        <f>IF(A49="","",(MAX(B$3:B49)-B49)/MAX(B$3:B49))</f>
        <v>1</v>
      </c>
      <c r="F49" s="12">
        <f>IF(A49="","",MAX(E$4:E49))</f>
        <v>1</v>
      </c>
      <c r="G49" s="17" t="e">
        <f>IF(A49="","",MAX(FREQUENCY(IF($D$3:D49&lt;0,ROW($D$3:D49)),IF($D$3:D49&gt;=0,ROW($D$3:D49)))))</f>
        <v>#DIV/0!</v>
      </c>
      <c r="H49" s="14" t="str">
        <f t="shared" si="0"/>
        <v>是</v>
      </c>
      <c r="I49" s="14" t="str">
        <f t="shared" si="1"/>
        <v>是</v>
      </c>
      <c r="J49" s="15" t="e">
        <f t="shared" si="2"/>
        <v>#DIV/0!</v>
      </c>
    </row>
    <row r="50" spans="1:10">
      <c r="A50" s="7">
        <f>IF(子基金及业绩基准周净值!A68="","",子基金及业绩基准周净值!A68)</f>
        <v>45926</v>
      </c>
      <c r="B50" s="1">
        <f>IF(A50="","",VLOOKUP($A50,子基金及业绩基准周净值!$A:$AV,9))</f>
        <v>0</v>
      </c>
      <c r="C50" s="8" t="e">
        <f t="shared" si="3"/>
        <v>#DIV/0!</v>
      </c>
      <c r="D50" s="9" t="e">
        <f>IF(A50="","",C50-(子基金及业绩基准周净值!AG68/子基金及业绩基准周净值!AG67-1))</f>
        <v>#DIV/0!</v>
      </c>
      <c r="E50" s="12">
        <f>IF(A50="","",(MAX(B$3:B50)-B50)/MAX(B$3:B50))</f>
        <v>1</v>
      </c>
      <c r="F50" s="12">
        <f>IF(A50="","",MAX(E$4:E50))</f>
        <v>1</v>
      </c>
      <c r="G50" s="17" t="e">
        <f>IF(A50="","",MAX(FREQUENCY(IF($D$3:D50&lt;0,ROW($D$3:D50)),IF($D$3:D50&gt;=0,ROW($D$3:D50)))))</f>
        <v>#DIV/0!</v>
      </c>
      <c r="H50" s="14" t="str">
        <f t="shared" si="0"/>
        <v>是</v>
      </c>
      <c r="I50" s="14" t="str">
        <f t="shared" si="1"/>
        <v>是</v>
      </c>
      <c r="J50" s="15" t="e">
        <f t="shared" si="2"/>
        <v>#DIV/0!</v>
      </c>
    </row>
    <row r="51" spans="1:10">
      <c r="A51" s="7">
        <f>IF(子基金及业绩基准周净值!A69="","",子基金及业绩基准周净值!A69)</f>
        <v>45940</v>
      </c>
      <c r="B51" s="1">
        <f>IF(A51="","",VLOOKUP($A51,子基金及业绩基准周净值!$A:$AV,9))</f>
        <v>0</v>
      </c>
      <c r="C51" s="8" t="e">
        <f t="shared" si="3"/>
        <v>#DIV/0!</v>
      </c>
      <c r="D51" s="9" t="e">
        <f>IF(A51="","",C51-(子基金及业绩基准周净值!AG69/子基金及业绩基准周净值!AG68-1))</f>
        <v>#DIV/0!</v>
      </c>
      <c r="E51" s="12">
        <f>IF(A51="","",(MAX(B$3:B51)-B51)/MAX(B$3:B51))</f>
        <v>1</v>
      </c>
      <c r="F51" s="12">
        <f>IF(A51="","",MAX(E$4:E51))</f>
        <v>1</v>
      </c>
      <c r="G51" s="17" t="e">
        <f>IF(A51="","",MAX(FREQUENCY(IF($D$3:D51&lt;0,ROW($D$3:D51)),IF($D$3:D51&gt;=0,ROW($D$3:D51)))))</f>
        <v>#DIV/0!</v>
      </c>
      <c r="H51" s="14" t="str">
        <f t="shared" si="0"/>
        <v>是</v>
      </c>
      <c r="I51" s="14" t="str">
        <f t="shared" si="1"/>
        <v>是</v>
      </c>
      <c r="J51" s="15" t="e">
        <f t="shared" si="2"/>
        <v>#DIV/0!</v>
      </c>
    </row>
    <row r="52" spans="1:10">
      <c r="A52" s="7">
        <f>IF(子基金及业绩基准周净值!A70="","",子基金及业绩基准周净值!A70)</f>
        <v>45947</v>
      </c>
      <c r="B52" s="1">
        <f>IF(A52="","",VLOOKUP($A52,子基金及业绩基准周净值!$A:$AV,9))</f>
        <v>0</v>
      </c>
      <c r="C52" s="8" t="e">
        <f t="shared" si="3"/>
        <v>#DIV/0!</v>
      </c>
      <c r="D52" s="9" t="e">
        <f>IF(A52="","",C52-(子基金及业绩基准周净值!AG70/子基金及业绩基准周净值!AG69-1))</f>
        <v>#DIV/0!</v>
      </c>
      <c r="E52" s="12">
        <f>IF(A52="","",(MAX(B$3:B52)-B52)/MAX(B$3:B52))</f>
        <v>1</v>
      </c>
      <c r="F52" s="12">
        <f>IF(A52="","",MAX(E$4:E52))</f>
        <v>1</v>
      </c>
      <c r="G52" s="17" t="e">
        <f>IF(A52="","",MAX(FREQUENCY(IF($D$3:D52&lt;0,ROW($D$3:D52)),IF($D$3:D52&gt;=0,ROW($D$3:D52)))))</f>
        <v>#DIV/0!</v>
      </c>
      <c r="H52" s="14" t="str">
        <f t="shared" si="0"/>
        <v>是</v>
      </c>
      <c r="I52" s="14" t="str">
        <f t="shared" si="1"/>
        <v>是</v>
      </c>
      <c r="J52" s="15" t="e">
        <f t="shared" si="2"/>
        <v>#DIV/0!</v>
      </c>
    </row>
    <row r="53" spans="1:10">
      <c r="A53" s="7">
        <f>IF(子基金及业绩基准周净值!A71="","",子基金及业绩基准周净值!A71)</f>
        <v>45954</v>
      </c>
      <c r="B53" s="1">
        <f>IF(A53="","",VLOOKUP($A53,子基金及业绩基准周净值!$A:$AV,9))</f>
        <v>0</v>
      </c>
      <c r="C53" s="8" t="e">
        <f t="shared" si="3"/>
        <v>#DIV/0!</v>
      </c>
      <c r="D53" s="9" t="e">
        <f>IF(A53="","",C53-(子基金及业绩基准周净值!AG71/子基金及业绩基准周净值!AG70-1))</f>
        <v>#DIV/0!</v>
      </c>
      <c r="E53" s="12">
        <f>IF(A53="","",(MAX(B$3:B53)-B53)/MAX(B$3:B53))</f>
        <v>1</v>
      </c>
      <c r="F53" s="12">
        <f>IF(A53="","",MAX(E$4:E53))</f>
        <v>1</v>
      </c>
      <c r="G53" s="17" t="e">
        <f>IF(A53="","",MAX(FREQUENCY(IF($D$3:D53&lt;0,ROW($D$3:D53)),IF($D$3:D53&gt;=0,ROW($D$3:D53)))))</f>
        <v>#DIV/0!</v>
      </c>
      <c r="H53" s="14" t="str">
        <f t="shared" si="0"/>
        <v>是</v>
      </c>
      <c r="I53" s="14" t="str">
        <f t="shared" si="1"/>
        <v>是</v>
      </c>
      <c r="J53" s="15" t="e">
        <f t="shared" si="2"/>
        <v>#DIV/0!</v>
      </c>
    </row>
    <row r="54" spans="1:10">
      <c r="A54" s="7">
        <f>IF(子基金及业绩基准周净值!A72="","",子基金及业绩基准周净值!A72)</f>
        <v>45961</v>
      </c>
      <c r="B54" s="1">
        <f>IF(A54="","",VLOOKUP($A54,子基金及业绩基准周净值!$A:$AV,9))</f>
        <v>0</v>
      </c>
      <c r="C54" s="8" t="e">
        <f t="shared" si="3"/>
        <v>#DIV/0!</v>
      </c>
      <c r="D54" s="9" t="e">
        <f>IF(A54="","",C54-(子基金及业绩基准周净值!AG72/子基金及业绩基准周净值!AG71-1))</f>
        <v>#DIV/0!</v>
      </c>
      <c r="E54" s="12">
        <f>IF(A54="","",(MAX(B$3:B54)-B54)/MAX(B$3:B54))</f>
        <v>1</v>
      </c>
      <c r="F54" s="12">
        <f>IF(A54="","",MAX(E$4:E54))</f>
        <v>1</v>
      </c>
      <c r="G54" s="17" t="e">
        <f>IF(A54="","",MAX(FREQUENCY(IF($D$3:D54&lt;0,ROW($D$3:D54)),IF($D$3:D54&gt;=0,ROW($D$3:D54)))))</f>
        <v>#DIV/0!</v>
      </c>
      <c r="H54" s="14" t="str">
        <f t="shared" si="0"/>
        <v>是</v>
      </c>
      <c r="I54" s="14" t="str">
        <f t="shared" si="1"/>
        <v>是</v>
      </c>
      <c r="J54" s="15" t="e">
        <f t="shared" si="2"/>
        <v>#DIV/0!</v>
      </c>
    </row>
    <row r="55" spans="1:10">
      <c r="A55" s="7" t="str">
        <f>IF(子基金及业绩基准周净值!A73="","",子基金及业绩基准周净值!A73)</f>
        <v/>
      </c>
      <c r="B55" s="1" t="str">
        <f>IF(A55="","",VLOOKUP($A55,子基金及业绩基准周净值!$A:$AV,9))</f>
        <v/>
      </c>
      <c r="C55" s="8" t="str">
        <f t="shared" si="3"/>
        <v/>
      </c>
      <c r="D55" s="9" t="str">
        <f>IF(A55="","",C55-(子基金及业绩基准周净值!AG73/子基金及业绩基准周净值!AG72-1))</f>
        <v/>
      </c>
      <c r="E55" s="12" t="str">
        <f>IF(A55="","",(MAX(B$3:B55)-B55)/MAX(B$3:B55))</f>
        <v/>
      </c>
      <c r="F55" s="12" t="str">
        <f>IF(A55="","",MAX(E$4:E55))</f>
        <v/>
      </c>
      <c r="G55" s="17" t="str">
        <f>IF(A55="","",MAX(FREQUENCY(IF($D$3:D55&lt;0,ROW($D$3:D55)),IF($D$3:D55&gt;=0,ROW($D$3:D55)))))</f>
        <v/>
      </c>
      <c r="H55" s="14" t="str">
        <f t="shared" si="0"/>
        <v/>
      </c>
      <c r="I55" s="14" t="str">
        <f t="shared" si="1"/>
        <v/>
      </c>
      <c r="J55" s="15" t="str">
        <f t="shared" si="2"/>
        <v/>
      </c>
    </row>
    <row r="56" spans="1:10">
      <c r="A56" s="7" t="str">
        <f>IF(子基金及业绩基准周净值!A74="","",子基金及业绩基准周净值!A74)</f>
        <v/>
      </c>
      <c r="B56" s="1" t="str">
        <f>IF(A56="","",VLOOKUP($A56,子基金及业绩基准周净值!$A:$AV,9))</f>
        <v/>
      </c>
      <c r="C56" s="8" t="str">
        <f t="shared" si="3"/>
        <v/>
      </c>
      <c r="D56" s="9" t="str">
        <f>IF(A56="","",C56-(子基金及业绩基准周净值!AG74/子基金及业绩基准周净值!AG73-1))</f>
        <v/>
      </c>
      <c r="E56" s="12" t="str">
        <f>IF(A56="","",(MAX(B$3:B56)-B56)/MAX(B$3:B56))</f>
        <v/>
      </c>
      <c r="F56" s="12" t="str">
        <f>IF(A56="","",MAX(E$4:E56))</f>
        <v/>
      </c>
      <c r="G56" s="17" t="str">
        <f>IF(A56="","",MAX(FREQUENCY(IF($D$3:D56&lt;0,ROW($D$3:D56)),IF($D$3:D56&gt;=0,ROW($D$3:D56)))))</f>
        <v/>
      </c>
      <c r="H56" s="14" t="str">
        <f t="shared" si="0"/>
        <v/>
      </c>
      <c r="I56" s="14" t="str">
        <f t="shared" si="1"/>
        <v/>
      </c>
      <c r="J56" s="15" t="str">
        <f t="shared" si="2"/>
        <v/>
      </c>
    </row>
    <row r="57" spans="1:10">
      <c r="A57" s="7" t="str">
        <f>IF(子基金及业绩基准周净值!A75="","",子基金及业绩基准周净值!A75)</f>
        <v/>
      </c>
      <c r="B57" s="1" t="str">
        <f>IF(A57="","",VLOOKUP($A57,子基金及业绩基准周净值!$A:$AV,9))</f>
        <v/>
      </c>
      <c r="C57" s="8" t="str">
        <f t="shared" si="3"/>
        <v/>
      </c>
      <c r="D57" s="9" t="str">
        <f>IF(A57="","",C57-(子基金及业绩基准周净值!AG75/子基金及业绩基准周净值!AG74-1))</f>
        <v/>
      </c>
      <c r="E57" s="12" t="str">
        <f>IF(A57="","",(MAX(B$3:B57)-B57)/MAX(B$3:B57))</f>
        <v/>
      </c>
      <c r="F57" s="12" t="str">
        <f>IF(A57="","",MAX(E$4:E57))</f>
        <v/>
      </c>
      <c r="G57" s="17" t="str">
        <f>IF(A57="","",MAX(FREQUENCY(IF($D$3:D57&lt;0,ROW($D$3:D57)),IF($D$3:D57&gt;=0,ROW($D$3:D57)))))</f>
        <v/>
      </c>
      <c r="H57" s="14" t="str">
        <f t="shared" si="0"/>
        <v/>
      </c>
      <c r="I57" s="14" t="str">
        <f t="shared" si="1"/>
        <v/>
      </c>
      <c r="J57" s="15" t="str">
        <f t="shared" si="2"/>
        <v/>
      </c>
    </row>
    <row r="58" spans="1:10">
      <c r="A58" s="7" t="str">
        <f>IF(子基金及业绩基准周净值!A76="","",子基金及业绩基准周净值!A76)</f>
        <v/>
      </c>
      <c r="B58" s="1" t="str">
        <f>IF(A58="","",VLOOKUP($A58,子基金及业绩基准周净值!$A:$AV,9))</f>
        <v/>
      </c>
      <c r="C58" s="8" t="str">
        <f t="shared" si="3"/>
        <v/>
      </c>
      <c r="D58" s="9" t="str">
        <f>IF(A58="","",C58-(子基金及业绩基准周净值!AG76/子基金及业绩基准周净值!AG75-1))</f>
        <v/>
      </c>
      <c r="E58" s="12" t="str">
        <f>IF(A58="","",(MAX(B$3:B58)-B58)/MAX(B$3:B58))</f>
        <v/>
      </c>
      <c r="F58" s="12" t="str">
        <f>IF(A58="","",MAX(E$4:E58))</f>
        <v/>
      </c>
      <c r="G58" s="17" t="str">
        <f>IF(A58="","",MAX(FREQUENCY(IF($D$3:D58&lt;0,ROW($D$3:D58)),IF($D$3:D58&gt;=0,ROW($D$3:D58)))))</f>
        <v/>
      </c>
      <c r="H58" s="14" t="str">
        <f t="shared" si="0"/>
        <v/>
      </c>
      <c r="I58" s="14" t="str">
        <f t="shared" si="1"/>
        <v/>
      </c>
      <c r="J58" s="15" t="str">
        <f t="shared" si="2"/>
        <v/>
      </c>
    </row>
    <row r="59" spans="1:10">
      <c r="A59" s="7" t="str">
        <f>IF(子基金及业绩基准周净值!A77="","",子基金及业绩基准周净值!A77)</f>
        <v/>
      </c>
      <c r="B59" s="1" t="str">
        <f>IF(A59="","",VLOOKUP($A59,子基金及业绩基准周净值!$A:$AV,9))</f>
        <v/>
      </c>
      <c r="C59" s="8" t="str">
        <f t="shared" si="3"/>
        <v/>
      </c>
      <c r="D59" s="9" t="str">
        <f>IF(A59="","",C59-(子基金及业绩基准周净值!AG77/子基金及业绩基准周净值!AG76-1))</f>
        <v/>
      </c>
      <c r="E59" s="12" t="str">
        <f>IF(A59="","",(MAX(B$3:B59)-B59)/MAX(B$3:B59))</f>
        <v/>
      </c>
      <c r="F59" s="12" t="str">
        <f>IF(A59="","",MAX(E$4:E59))</f>
        <v/>
      </c>
      <c r="G59" s="17" t="str">
        <f>IF(A59="","",MAX(FREQUENCY(IF($D$3:D59&lt;0,ROW($D$3:D59)),IF($D$3:D59&gt;=0,ROW($D$3:D59)))))</f>
        <v/>
      </c>
      <c r="H59" s="14" t="str">
        <f t="shared" si="0"/>
        <v/>
      </c>
      <c r="I59" s="14" t="str">
        <f t="shared" si="1"/>
        <v/>
      </c>
      <c r="J59" s="15" t="str">
        <f t="shared" si="2"/>
        <v/>
      </c>
    </row>
    <row r="60" spans="1:10">
      <c r="A60" s="7" t="str">
        <f>IF(子基金及业绩基准周净值!A78="","",子基金及业绩基准周净值!A78)</f>
        <v/>
      </c>
      <c r="B60" s="1" t="str">
        <f>IF(A60="","",VLOOKUP($A60,子基金及业绩基准周净值!$A:$AV,9))</f>
        <v/>
      </c>
      <c r="C60" s="8" t="str">
        <f t="shared" si="3"/>
        <v/>
      </c>
      <c r="D60" s="9" t="str">
        <f>IF(A60="","",C60-(子基金及业绩基准周净值!AG78/子基金及业绩基准周净值!AG77-1))</f>
        <v/>
      </c>
      <c r="E60" s="12" t="str">
        <f>IF(A60="","",(MAX(B$3:B60)-B60)/MAX(B$3:B60))</f>
        <v/>
      </c>
      <c r="F60" s="12" t="str">
        <f>IF(A60="","",MAX(E$4:E60))</f>
        <v/>
      </c>
      <c r="G60" s="17" t="str">
        <f>IF(A60="","",MAX(FREQUENCY(IF($D$3:D60&lt;0,ROW($D$3:D60)),IF($D$3:D60&gt;=0,ROW($D$3:D60)))))</f>
        <v/>
      </c>
      <c r="H60" s="14" t="str">
        <f t="shared" si="0"/>
        <v/>
      </c>
      <c r="I60" s="14" t="str">
        <f t="shared" si="1"/>
        <v/>
      </c>
      <c r="J60" s="15" t="str">
        <f t="shared" si="2"/>
        <v/>
      </c>
    </row>
    <row r="61" spans="1:10">
      <c r="A61" s="7" t="str">
        <f>IF(子基金及业绩基准周净值!A79="","",子基金及业绩基准周净值!A79)</f>
        <v/>
      </c>
      <c r="B61" s="1" t="str">
        <f>IF(A61="","",VLOOKUP($A61,子基金及业绩基准周净值!$A:$AV,9))</f>
        <v/>
      </c>
      <c r="C61" s="8" t="str">
        <f t="shared" si="3"/>
        <v/>
      </c>
      <c r="D61" s="9" t="str">
        <f>IF(A61="","",C61-(子基金及业绩基准周净值!AG79/子基金及业绩基准周净值!AG78-1))</f>
        <v/>
      </c>
      <c r="E61" s="12" t="str">
        <f>IF(A61="","",(MAX(B$3:B61)-B61)/MAX(B$3:B61))</f>
        <v/>
      </c>
      <c r="F61" s="12" t="str">
        <f>IF(A61="","",MAX(E$4:E61))</f>
        <v/>
      </c>
      <c r="G61" s="17" t="str">
        <f>IF(A61="","",MAX(FREQUENCY(IF($D$3:D61&lt;0,ROW($D$3:D61)),IF($D$3:D61&gt;=0,ROW($D$3:D61)))))</f>
        <v/>
      </c>
      <c r="H61" s="14" t="str">
        <f t="shared" si="0"/>
        <v/>
      </c>
      <c r="I61" s="14" t="str">
        <f t="shared" si="1"/>
        <v/>
      </c>
      <c r="J61" s="15" t="str">
        <f t="shared" si="2"/>
        <v/>
      </c>
    </row>
    <row r="62" spans="1:10">
      <c r="A62" s="7" t="str">
        <f>IF(子基金及业绩基准周净值!A80="","",子基金及业绩基准周净值!A80)</f>
        <v/>
      </c>
      <c r="B62" s="1" t="str">
        <f>IF(A62="","",VLOOKUP($A62,子基金及业绩基准周净值!$A:$AV,9))</f>
        <v/>
      </c>
      <c r="C62" s="8" t="str">
        <f t="shared" si="3"/>
        <v/>
      </c>
      <c r="D62" s="9" t="str">
        <f>IF(A62="","",C62-(子基金及业绩基准周净值!AG80/子基金及业绩基准周净值!AG79-1))</f>
        <v/>
      </c>
      <c r="E62" s="12" t="str">
        <f>IF(A62="","",(MAX(B$3:B62)-B62)/MAX(B$3:B62))</f>
        <v/>
      </c>
      <c r="F62" s="12" t="str">
        <f>IF(A62="","",MAX(E$4:E62))</f>
        <v/>
      </c>
      <c r="G62" s="17" t="str">
        <f>IF(A62="","",MAX(FREQUENCY(IF($D$3:D62&lt;0,ROW($D$3:D62)),IF($D$3:D62&gt;=0,ROW($D$3:D62)))))</f>
        <v/>
      </c>
      <c r="H62" s="14" t="str">
        <f t="shared" si="0"/>
        <v/>
      </c>
      <c r="I62" s="14" t="str">
        <f t="shared" si="1"/>
        <v/>
      </c>
      <c r="J62" s="15" t="str">
        <f t="shared" si="2"/>
        <v/>
      </c>
    </row>
    <row r="63" spans="1:10">
      <c r="A63" s="7" t="str">
        <f>IF(子基金及业绩基准周净值!A81="","",子基金及业绩基准周净值!A81)</f>
        <v/>
      </c>
      <c r="B63" s="1" t="str">
        <f>IF(A63="","",VLOOKUP($A63,子基金及业绩基准周净值!$A:$AV,9))</f>
        <v/>
      </c>
      <c r="C63" s="8" t="str">
        <f t="shared" si="3"/>
        <v/>
      </c>
      <c r="D63" s="9" t="str">
        <f>IF(A63="","",C63-(子基金及业绩基准周净值!AG81/子基金及业绩基准周净值!AG80-1))</f>
        <v/>
      </c>
      <c r="E63" s="12" t="str">
        <f>IF(A63="","",(MAX(B$3:B63)-B63)/MAX(B$3:B63))</f>
        <v/>
      </c>
      <c r="F63" s="12" t="str">
        <f>IF(A63="","",MAX(E$4:E63))</f>
        <v/>
      </c>
      <c r="G63" s="17" t="str">
        <f>IF(A63="","",MAX(FREQUENCY(IF($D$3:D63&lt;0,ROW($D$3:D63)),IF($D$3:D63&gt;=0,ROW($D$3:D63)))))</f>
        <v/>
      </c>
      <c r="H63" s="14" t="str">
        <f t="shared" si="0"/>
        <v/>
      </c>
      <c r="I63" s="14" t="str">
        <f t="shared" si="1"/>
        <v/>
      </c>
      <c r="J63" s="15" t="str">
        <f t="shared" si="2"/>
        <v/>
      </c>
    </row>
    <row r="64" spans="1:10">
      <c r="A64" s="7" t="str">
        <f>IF(子基金及业绩基准周净值!A82="","",子基金及业绩基准周净值!A82)</f>
        <v/>
      </c>
      <c r="B64" s="1" t="str">
        <f>IF(A64="","",VLOOKUP($A64,子基金及业绩基准周净值!$A:$AV,9))</f>
        <v/>
      </c>
      <c r="C64" s="8" t="str">
        <f t="shared" si="3"/>
        <v/>
      </c>
      <c r="D64" s="9" t="str">
        <f>IF(A64="","",C64-(子基金及业绩基准周净值!AG82/子基金及业绩基准周净值!AG81-1))</f>
        <v/>
      </c>
      <c r="E64" s="12" t="str">
        <f>IF(A64="","",(MAX(B$3:B64)-B64)/MAX(B$3:B64))</f>
        <v/>
      </c>
      <c r="F64" s="12" t="str">
        <f>IF(A64="","",MAX(E$4:E64))</f>
        <v/>
      </c>
      <c r="G64" s="17" t="str">
        <f>IF(A64="","",MAX(FREQUENCY(IF($D$3:D64&lt;0,ROW($D$3:D64)),IF($D$3:D64&gt;=0,ROW($D$3:D64)))))</f>
        <v/>
      </c>
      <c r="H64" s="14" t="str">
        <f t="shared" si="0"/>
        <v/>
      </c>
      <c r="I64" s="14" t="str">
        <f t="shared" si="1"/>
        <v/>
      </c>
      <c r="J64" s="15" t="str">
        <f t="shared" si="2"/>
        <v/>
      </c>
    </row>
    <row r="65" spans="1:10">
      <c r="A65" s="7" t="str">
        <f>IF(子基金及业绩基准周净值!A83="","",子基金及业绩基准周净值!A83)</f>
        <v/>
      </c>
      <c r="B65" s="1" t="str">
        <f>IF(A65="","",VLOOKUP($A65,子基金及业绩基准周净值!$A:$AV,9))</f>
        <v/>
      </c>
      <c r="C65" s="8" t="str">
        <f t="shared" si="3"/>
        <v/>
      </c>
      <c r="D65" s="9" t="str">
        <f>IF(A65="","",C65-(子基金及业绩基准周净值!AG83/子基金及业绩基准周净值!AG82-1))</f>
        <v/>
      </c>
      <c r="E65" s="12" t="str">
        <f>IF(A65="","",(MAX(B$3:B65)-B65)/MAX(B$3:B65))</f>
        <v/>
      </c>
      <c r="F65" s="12" t="str">
        <f>IF(A65="","",MAX(E$4:E65))</f>
        <v/>
      </c>
      <c r="G65" s="17" t="str">
        <f>IF(A65="","",MAX(FREQUENCY(IF($D$3:D65&lt;0,ROW($D$3:D65)),IF($D$3:D65&gt;=0,ROW($D$3:D65)))))</f>
        <v/>
      </c>
      <c r="H65" s="14" t="str">
        <f t="shared" si="0"/>
        <v/>
      </c>
      <c r="I65" s="14" t="str">
        <f t="shared" si="1"/>
        <v/>
      </c>
      <c r="J65" s="15" t="str">
        <f t="shared" si="2"/>
        <v/>
      </c>
    </row>
    <row r="66" spans="1:10">
      <c r="A66" s="7" t="str">
        <f>IF(子基金及业绩基准周净值!A84="","",子基金及业绩基准周净值!A84)</f>
        <v/>
      </c>
      <c r="B66" s="1" t="str">
        <f>IF(A66="","",VLOOKUP($A66,子基金及业绩基准周净值!$A:$AV,9))</f>
        <v/>
      </c>
      <c r="C66" s="8" t="str">
        <f t="shared" si="3"/>
        <v/>
      </c>
      <c r="D66" s="9" t="str">
        <f>IF(A66="","",C66-(子基金及业绩基准周净值!AG84/子基金及业绩基准周净值!AG83-1))</f>
        <v/>
      </c>
      <c r="E66" s="12" t="str">
        <f>IF(A66="","",(MAX(B$3:B66)-B66)/MAX(B$3:B66))</f>
        <v/>
      </c>
      <c r="F66" s="12" t="str">
        <f>IF(A66="","",MAX(E$4:E66))</f>
        <v/>
      </c>
      <c r="G66" s="17" t="str">
        <f>IF(A66="","",MAX(FREQUENCY(IF($D$3:D66&lt;0,ROW($D$3:D66)),IF($D$3:D66&gt;=0,ROW($D$3:D66)))))</f>
        <v/>
      </c>
      <c r="H66" s="14" t="str">
        <f t="shared" si="0"/>
        <v/>
      </c>
      <c r="I66" s="14" t="str">
        <f t="shared" si="1"/>
        <v/>
      </c>
      <c r="J66" s="15" t="str">
        <f t="shared" si="2"/>
        <v/>
      </c>
    </row>
    <row r="67" spans="1:10">
      <c r="A67" s="7" t="str">
        <f>IF(子基金及业绩基准周净值!A85="","",子基金及业绩基准周净值!A85)</f>
        <v/>
      </c>
      <c r="B67" s="1" t="str">
        <f>IF(A67="","",VLOOKUP($A67,子基金及业绩基准周净值!$A:$AV,9))</f>
        <v/>
      </c>
      <c r="C67" s="8" t="str">
        <f t="shared" si="3"/>
        <v/>
      </c>
      <c r="D67" s="9" t="str">
        <f>IF(A67="","",C67-(子基金及业绩基准周净值!AG85/子基金及业绩基准周净值!AG84-1))</f>
        <v/>
      </c>
      <c r="E67" s="12" t="str">
        <f>IF(A67="","",(MAX(B$3:B67)-B67)/MAX(B$3:B67))</f>
        <v/>
      </c>
      <c r="F67" s="12" t="str">
        <f>IF(A67="","",MAX(E$4:E67))</f>
        <v/>
      </c>
      <c r="G67" s="17" t="str">
        <f>IF(A67="","",MAX(FREQUENCY(IF($D$3:D67&lt;0,ROW($D$3:D67)),IF($D$3:D67&gt;=0,ROW($D$3:D67)))))</f>
        <v/>
      </c>
      <c r="H67" s="14" t="str">
        <f t="shared" si="0"/>
        <v/>
      </c>
      <c r="I67" s="14" t="str">
        <f t="shared" si="1"/>
        <v/>
      </c>
      <c r="J67" s="15" t="str">
        <f t="shared" si="2"/>
        <v/>
      </c>
    </row>
    <row r="68" spans="1:10">
      <c r="A68" s="7" t="str">
        <f>IF(子基金及业绩基准周净值!A86="","",子基金及业绩基准周净值!A86)</f>
        <v/>
      </c>
      <c r="B68" s="1" t="str">
        <f>IF(A68="","",VLOOKUP($A68,子基金及业绩基准周净值!$A:$AV,9))</f>
        <v/>
      </c>
      <c r="C68" s="8" t="str">
        <f t="shared" si="3"/>
        <v/>
      </c>
      <c r="D68" s="9" t="str">
        <f>IF(A68="","",C68-(子基金及业绩基准周净值!AG86/子基金及业绩基准周净值!AG85-1))</f>
        <v/>
      </c>
      <c r="E68" s="12" t="str">
        <f>IF(A68="","",(MAX(B$3:B68)-B68)/MAX(B$3:B68))</f>
        <v/>
      </c>
      <c r="F68" s="12" t="str">
        <f>IF(A68="","",MAX(E$4:E68))</f>
        <v/>
      </c>
      <c r="G68" s="17" t="str">
        <f>IF(A68="","",MAX(FREQUENCY(IF($D$3:D68&lt;0,ROW($D$3:D68)),IF($D$3:D68&gt;=0,ROW($D$3:D68)))))</f>
        <v/>
      </c>
      <c r="H68" s="14" t="str">
        <f t="shared" si="0"/>
        <v/>
      </c>
      <c r="I68" s="14" t="str">
        <f t="shared" si="1"/>
        <v/>
      </c>
      <c r="J68" s="15" t="str">
        <f t="shared" si="2"/>
        <v/>
      </c>
    </row>
    <row r="69" spans="1:10">
      <c r="A69" s="7" t="str">
        <f>IF(子基金及业绩基准周净值!A87="","",子基金及业绩基准周净值!A87)</f>
        <v/>
      </c>
      <c r="B69" s="1" t="str">
        <f>IF(A69="","",VLOOKUP($A69,子基金及业绩基准周净值!$A:$AV,9))</f>
        <v/>
      </c>
      <c r="C69" s="8" t="str">
        <f t="shared" si="3"/>
        <v/>
      </c>
      <c r="D69" s="9" t="str">
        <f>IF(A69="","",C69-(子基金及业绩基准周净值!AG87/子基金及业绩基准周净值!AG86-1))</f>
        <v/>
      </c>
      <c r="E69" s="12" t="str">
        <f>IF(A69="","",(MAX(B$3:B69)-B69)/MAX(B$3:B69))</f>
        <v/>
      </c>
      <c r="F69" s="12" t="str">
        <f>IF(A69="","",MAX(E$4:E69))</f>
        <v/>
      </c>
      <c r="G69" s="17" t="str">
        <f>IF(A69="","",MAX(FREQUENCY(IF($D$3:D69&lt;0,ROW($D$3:D69)),IF($D$3:D69&gt;=0,ROW($D$3:D69)))))</f>
        <v/>
      </c>
      <c r="H69" s="14" t="str">
        <f t="shared" ref="H69:H127" si="4">IF(A69="","",IF(E69&lt;3%,"否","是"))</f>
        <v/>
      </c>
      <c r="I69" s="14" t="str">
        <f t="shared" ref="I69:I127" si="5">IF(A69="","",IF(F69&gt;5%,"是","否"))</f>
        <v/>
      </c>
      <c r="J69" s="15" t="str">
        <f t="shared" ref="J69:J127" si="6">IF(A69="","",IF(G69&gt;=4,"是","否"))</f>
        <v/>
      </c>
    </row>
    <row r="70" spans="1:10">
      <c r="A70" s="7" t="str">
        <f>IF(子基金及业绩基准周净值!A88="","",子基金及业绩基准周净值!A88)</f>
        <v/>
      </c>
      <c r="B70" s="1" t="str">
        <f>IF(A70="","",VLOOKUP($A70,子基金及业绩基准周净值!$A:$AV,9))</f>
        <v/>
      </c>
      <c r="C70" s="8" t="str">
        <f t="shared" ref="C70:C127" si="7">IF(A70="","",(B70-B69)/B69)</f>
        <v/>
      </c>
      <c r="D70" s="9" t="str">
        <f>IF(A70="","",C70-(子基金及业绩基准周净值!AG88/子基金及业绩基准周净值!AG87-1))</f>
        <v/>
      </c>
      <c r="E70" s="12" t="str">
        <f>IF(A70="","",(MAX(B$3:B70)-B70)/MAX(B$3:B70))</f>
        <v/>
      </c>
      <c r="F70" s="12" t="str">
        <f>IF(A70="","",MAX(E$4:E70))</f>
        <v/>
      </c>
      <c r="G70" s="17" t="str">
        <f>IF(A70="","",MAX(FREQUENCY(IF($D$3:D70&lt;0,ROW($D$3:D70)),IF($D$3:D70&gt;=0,ROW($D$3:D70)))))</f>
        <v/>
      </c>
      <c r="H70" s="14" t="str">
        <f t="shared" si="4"/>
        <v/>
      </c>
      <c r="I70" s="14" t="str">
        <f t="shared" si="5"/>
        <v/>
      </c>
      <c r="J70" s="15" t="str">
        <f t="shared" si="6"/>
        <v/>
      </c>
    </row>
    <row r="71" spans="1:10">
      <c r="A71" s="7" t="str">
        <f>IF(子基金及业绩基准周净值!A89="","",子基金及业绩基准周净值!A89)</f>
        <v/>
      </c>
      <c r="B71" s="1" t="str">
        <f>IF(A71="","",VLOOKUP($A71,子基金及业绩基准周净值!$A:$AV,9))</f>
        <v/>
      </c>
      <c r="C71" s="8" t="str">
        <f t="shared" si="7"/>
        <v/>
      </c>
      <c r="D71" s="9" t="str">
        <f>IF(A71="","",C71-(子基金及业绩基准周净值!AG89/子基金及业绩基准周净值!AG88-1))</f>
        <v/>
      </c>
      <c r="E71" s="12" t="str">
        <f>IF(A71="","",(MAX(B$3:B71)-B71)/MAX(B$3:B71))</f>
        <v/>
      </c>
      <c r="F71" s="12" t="str">
        <f>IF(A71="","",MAX(E$4:E71))</f>
        <v/>
      </c>
      <c r="G71" s="17" t="str">
        <f>IF(A71="","",MAX(FREQUENCY(IF($D$3:D71&lt;0,ROW($D$3:D71)),IF($D$3:D71&gt;=0,ROW($D$3:D71)))))</f>
        <v/>
      </c>
      <c r="H71" s="14" t="str">
        <f t="shared" si="4"/>
        <v/>
      </c>
      <c r="I71" s="14" t="str">
        <f t="shared" si="5"/>
        <v/>
      </c>
      <c r="J71" s="15" t="str">
        <f t="shared" si="6"/>
        <v/>
      </c>
    </row>
    <row r="72" spans="1:10">
      <c r="A72" s="7" t="str">
        <f>IF(子基金及业绩基准周净值!A90="","",子基金及业绩基准周净值!A90)</f>
        <v/>
      </c>
      <c r="B72" s="1" t="str">
        <f>IF(A72="","",VLOOKUP($A72,子基金及业绩基准周净值!$A:$AV,9))</f>
        <v/>
      </c>
      <c r="C72" s="8" t="str">
        <f t="shared" si="7"/>
        <v/>
      </c>
      <c r="D72" s="9" t="str">
        <f>IF(A72="","",C72-(子基金及业绩基准周净值!AG90/子基金及业绩基准周净值!AG89-1))</f>
        <v/>
      </c>
      <c r="E72" s="12" t="str">
        <f>IF(A72="","",(MAX(B$3:B72)-B72)/MAX(B$3:B72))</f>
        <v/>
      </c>
      <c r="F72" s="12" t="str">
        <f>IF(A72="","",MAX(E$4:E72))</f>
        <v/>
      </c>
      <c r="G72" s="17" t="str">
        <f>IF(A72="","",MAX(FREQUENCY(IF($D$3:D72&lt;0,ROW($D$3:D72)),IF($D$3:D72&gt;=0,ROW($D$3:D72)))))</f>
        <v/>
      </c>
      <c r="H72" s="14" t="str">
        <f t="shared" si="4"/>
        <v/>
      </c>
      <c r="I72" s="14" t="str">
        <f t="shared" si="5"/>
        <v/>
      </c>
      <c r="J72" s="15" t="str">
        <f t="shared" si="6"/>
        <v/>
      </c>
    </row>
    <row r="73" spans="1:10">
      <c r="A73" s="7" t="str">
        <f>IF(子基金及业绩基准周净值!A91="","",子基金及业绩基准周净值!A91)</f>
        <v/>
      </c>
      <c r="B73" s="1" t="str">
        <f>IF(A73="","",VLOOKUP($A73,子基金及业绩基准周净值!$A:$AV,9))</f>
        <v/>
      </c>
      <c r="C73" s="8" t="str">
        <f t="shared" si="7"/>
        <v/>
      </c>
      <c r="D73" s="9" t="str">
        <f>IF(A73="","",C73-(子基金及业绩基准周净值!AG91/子基金及业绩基准周净值!AG90-1))</f>
        <v/>
      </c>
      <c r="E73" s="12" t="str">
        <f>IF(A73="","",(MAX(B$3:B73)-B73)/MAX(B$3:B73))</f>
        <v/>
      </c>
      <c r="F73" s="12" t="str">
        <f>IF(A73="","",MAX(E$4:E73))</f>
        <v/>
      </c>
      <c r="G73" s="17" t="str">
        <f>IF(A73="","",MAX(FREQUENCY(IF($D$3:D73&lt;0,ROW($D$3:D73)),IF($D$3:D73&gt;=0,ROW($D$3:D73)))))</f>
        <v/>
      </c>
      <c r="H73" s="14" t="str">
        <f t="shared" si="4"/>
        <v/>
      </c>
      <c r="I73" s="14" t="str">
        <f t="shared" si="5"/>
        <v/>
      </c>
      <c r="J73" s="15" t="str">
        <f t="shared" si="6"/>
        <v/>
      </c>
    </row>
    <row r="74" spans="1:10">
      <c r="A74" s="7" t="str">
        <f>IF(子基金及业绩基准周净值!A92="","",子基金及业绩基准周净值!A92)</f>
        <v/>
      </c>
      <c r="B74" s="1" t="str">
        <f>IF(A74="","",VLOOKUP($A74,子基金及业绩基准周净值!$A:$AV,9))</f>
        <v/>
      </c>
      <c r="C74" s="8" t="str">
        <f t="shared" si="7"/>
        <v/>
      </c>
      <c r="D74" s="9" t="str">
        <f>IF(A74="","",C74-(子基金及业绩基准周净值!AG92/子基金及业绩基准周净值!AG91-1))</f>
        <v/>
      </c>
      <c r="E74" s="12" t="str">
        <f>IF(A74="","",(MAX(B$3:B74)-B74)/MAX(B$3:B74))</f>
        <v/>
      </c>
      <c r="F74" s="12" t="str">
        <f>IF(A74="","",MAX(E$4:E74))</f>
        <v/>
      </c>
      <c r="G74" s="17" t="str">
        <f>IF(A74="","",MAX(FREQUENCY(IF($D$3:D74&lt;0,ROW($D$3:D74)),IF($D$3:D74&gt;=0,ROW($D$3:D74)))))</f>
        <v/>
      </c>
      <c r="H74" s="14" t="str">
        <f t="shared" si="4"/>
        <v/>
      </c>
      <c r="I74" s="14" t="str">
        <f t="shared" si="5"/>
        <v/>
      </c>
      <c r="J74" s="15" t="str">
        <f t="shared" si="6"/>
        <v/>
      </c>
    </row>
    <row r="75" spans="1:10">
      <c r="A75" s="7" t="str">
        <f>IF(子基金及业绩基准周净值!A93="","",子基金及业绩基准周净值!A93)</f>
        <v/>
      </c>
      <c r="B75" s="1" t="str">
        <f>IF(A75="","",VLOOKUP($A75,子基金及业绩基准周净值!$A:$AV,9))</f>
        <v/>
      </c>
      <c r="C75" s="8" t="str">
        <f t="shared" si="7"/>
        <v/>
      </c>
      <c r="D75" s="9" t="str">
        <f>IF(A75="","",C75-(子基金及业绩基准周净值!AG93/子基金及业绩基准周净值!AG92-1))</f>
        <v/>
      </c>
      <c r="E75" s="12" t="str">
        <f>IF(A75="","",(MAX(B$3:B75)-B75)/MAX(B$3:B75))</f>
        <v/>
      </c>
      <c r="F75" s="12" t="str">
        <f>IF(A75="","",MAX(E$4:E75))</f>
        <v/>
      </c>
      <c r="G75" s="17" t="str">
        <f>IF(A75="","",MAX(FREQUENCY(IF($D$3:D75&lt;0,ROW($D$3:D75)),IF($D$3:D75&gt;=0,ROW($D$3:D75)))))</f>
        <v/>
      </c>
      <c r="H75" s="14" t="str">
        <f t="shared" si="4"/>
        <v/>
      </c>
      <c r="I75" s="14" t="str">
        <f t="shared" si="5"/>
        <v/>
      </c>
      <c r="J75" s="15" t="str">
        <f t="shared" si="6"/>
        <v/>
      </c>
    </row>
    <row r="76" spans="1:10">
      <c r="A76" s="7" t="str">
        <f>IF(子基金及业绩基准周净值!A94="","",子基金及业绩基准周净值!A94)</f>
        <v/>
      </c>
      <c r="B76" s="1" t="str">
        <f>IF(A76="","",VLOOKUP($A76,子基金及业绩基准周净值!$A:$AV,9))</f>
        <v/>
      </c>
      <c r="C76" s="8" t="str">
        <f t="shared" si="7"/>
        <v/>
      </c>
      <c r="D76" s="9" t="str">
        <f>IF(A76="","",C76-(子基金及业绩基准周净值!AG94/子基金及业绩基准周净值!AG93-1))</f>
        <v/>
      </c>
      <c r="E76" s="12" t="str">
        <f>IF(A76="","",(MAX(B$3:B76)-B76)/MAX(B$3:B76))</f>
        <v/>
      </c>
      <c r="F76" s="12" t="str">
        <f>IF(A76="","",MAX(E$4:E76))</f>
        <v/>
      </c>
      <c r="G76" s="17" t="str">
        <f>IF(A76="","",MAX(FREQUENCY(IF($D$3:D76&lt;0,ROW($D$3:D76)),IF($D$3:D76&gt;=0,ROW($D$3:D76)))))</f>
        <v/>
      </c>
      <c r="H76" s="14" t="str">
        <f t="shared" si="4"/>
        <v/>
      </c>
      <c r="I76" s="14" t="str">
        <f t="shared" si="5"/>
        <v/>
      </c>
      <c r="J76" s="15" t="str">
        <f t="shared" si="6"/>
        <v/>
      </c>
    </row>
    <row r="77" spans="1:10">
      <c r="A77" s="7" t="str">
        <f>IF(子基金及业绩基准周净值!A95="","",子基金及业绩基准周净值!A95)</f>
        <v/>
      </c>
      <c r="B77" s="1" t="str">
        <f>IF(A77="","",VLOOKUP($A77,子基金及业绩基准周净值!$A:$AV,9))</f>
        <v/>
      </c>
      <c r="C77" s="8" t="str">
        <f t="shared" si="7"/>
        <v/>
      </c>
      <c r="D77" s="9" t="str">
        <f>IF(A77="","",C77-(子基金及业绩基准周净值!AG95/子基金及业绩基准周净值!AG94-1))</f>
        <v/>
      </c>
      <c r="E77" s="12" t="str">
        <f>IF(A77="","",(MAX(B$3:B77)-B77)/MAX(B$3:B77))</f>
        <v/>
      </c>
      <c r="F77" s="12" t="str">
        <f>IF(A77="","",MAX(E$4:E77))</f>
        <v/>
      </c>
      <c r="G77" s="17" t="str">
        <f>IF(A77="","",MAX(FREQUENCY(IF($D$3:D77&lt;0,ROW($D$3:D77)),IF($D$3:D77&gt;=0,ROW($D$3:D77)))))</f>
        <v/>
      </c>
      <c r="H77" s="14" t="str">
        <f t="shared" si="4"/>
        <v/>
      </c>
      <c r="I77" s="14" t="str">
        <f t="shared" si="5"/>
        <v/>
      </c>
      <c r="J77" s="15" t="str">
        <f t="shared" si="6"/>
        <v/>
      </c>
    </row>
    <row r="78" spans="1:10">
      <c r="A78" s="7" t="str">
        <f>IF(子基金及业绩基准周净值!A96="","",子基金及业绩基准周净值!A96)</f>
        <v/>
      </c>
      <c r="B78" s="1" t="str">
        <f>IF(A78="","",VLOOKUP($A78,子基金及业绩基准周净值!$A:$AV,9))</f>
        <v/>
      </c>
      <c r="C78" s="8" t="str">
        <f t="shared" si="7"/>
        <v/>
      </c>
      <c r="D78" s="9" t="str">
        <f>IF(A78="","",C78-(子基金及业绩基准周净值!AG96/子基金及业绩基准周净值!AG95-1))</f>
        <v/>
      </c>
      <c r="E78" s="12" t="str">
        <f>IF(A78="","",(MAX(B$3:B78)-B78)/MAX(B$3:B78))</f>
        <v/>
      </c>
      <c r="F78" s="12" t="str">
        <f>IF(A78="","",MAX(E$4:E78))</f>
        <v/>
      </c>
      <c r="G78" s="17" t="str">
        <f>IF(A78="","",MAX(FREQUENCY(IF($D$3:D78&lt;0,ROW($D$3:D78)),IF($D$3:D78&gt;=0,ROW($D$3:D78)))))</f>
        <v/>
      </c>
      <c r="H78" s="14" t="str">
        <f t="shared" si="4"/>
        <v/>
      </c>
      <c r="I78" s="14" t="str">
        <f t="shared" si="5"/>
        <v/>
      </c>
      <c r="J78" s="15" t="str">
        <f t="shared" si="6"/>
        <v/>
      </c>
    </row>
    <row r="79" spans="1:10">
      <c r="A79" s="7" t="str">
        <f>IF(子基金及业绩基准周净值!A97="","",子基金及业绩基准周净值!A97)</f>
        <v/>
      </c>
      <c r="B79" s="1" t="str">
        <f>IF(A79="","",VLOOKUP($A79,子基金及业绩基准周净值!$A:$AV,9))</f>
        <v/>
      </c>
      <c r="C79" s="8" t="str">
        <f t="shared" si="7"/>
        <v/>
      </c>
      <c r="D79" s="9" t="str">
        <f>IF(A79="","",C79-(子基金及业绩基准周净值!AG97/子基金及业绩基准周净值!AG96-1))</f>
        <v/>
      </c>
      <c r="E79" s="12" t="str">
        <f>IF(A79="","",(MAX(B$3:B79)-B79)/MAX(B$3:B79))</f>
        <v/>
      </c>
      <c r="F79" s="12" t="str">
        <f>IF(A79="","",MAX(E$4:E79))</f>
        <v/>
      </c>
      <c r="G79" s="17" t="str">
        <f>IF(A79="","",MAX(FREQUENCY(IF($D$3:D79&lt;0,ROW($D$3:D79)),IF($D$3:D79&gt;=0,ROW($D$3:D79)))))</f>
        <v/>
      </c>
      <c r="H79" s="14" t="str">
        <f t="shared" si="4"/>
        <v/>
      </c>
      <c r="I79" s="14" t="str">
        <f t="shared" si="5"/>
        <v/>
      </c>
      <c r="J79" s="15" t="str">
        <f t="shared" si="6"/>
        <v/>
      </c>
    </row>
    <row r="80" spans="1:10">
      <c r="A80" s="7" t="str">
        <f>IF(子基金及业绩基准周净值!A98="","",子基金及业绩基准周净值!A98)</f>
        <v/>
      </c>
      <c r="B80" s="1" t="str">
        <f>IF(A80="","",VLOOKUP($A80,子基金及业绩基准周净值!$A:$AV,9))</f>
        <v/>
      </c>
      <c r="C80" s="8" t="str">
        <f t="shared" si="7"/>
        <v/>
      </c>
      <c r="D80" s="9" t="str">
        <f>IF(A80="","",C80-(子基金及业绩基准周净值!AG98/子基金及业绩基准周净值!AG97-1))</f>
        <v/>
      </c>
      <c r="E80" s="12" t="str">
        <f>IF(A80="","",(MAX(B$3:B80)-B80)/MAX(B$3:B80))</f>
        <v/>
      </c>
      <c r="F80" s="12" t="str">
        <f>IF(A80="","",MAX(E$4:E80))</f>
        <v/>
      </c>
      <c r="G80" s="17" t="str">
        <f>IF(A80="","",MAX(FREQUENCY(IF($D$3:D80&lt;0,ROW($D$3:D80)),IF($D$3:D80&gt;=0,ROW($D$3:D80)))))</f>
        <v/>
      </c>
      <c r="H80" s="14" t="str">
        <f t="shared" si="4"/>
        <v/>
      </c>
      <c r="I80" s="14" t="str">
        <f t="shared" si="5"/>
        <v/>
      </c>
      <c r="J80" s="15" t="str">
        <f t="shared" si="6"/>
        <v/>
      </c>
    </row>
    <row r="81" spans="1:10">
      <c r="A81" s="7" t="str">
        <f>IF(子基金及业绩基准周净值!A99="","",子基金及业绩基准周净值!A99)</f>
        <v/>
      </c>
      <c r="B81" s="1" t="str">
        <f>IF(A81="","",VLOOKUP($A81,子基金及业绩基准周净值!$A:$AV,9))</f>
        <v/>
      </c>
      <c r="C81" s="8" t="str">
        <f t="shared" si="7"/>
        <v/>
      </c>
      <c r="D81" s="9" t="str">
        <f>IF(A81="","",C81-(子基金及业绩基准周净值!AG99/子基金及业绩基准周净值!AG98-1))</f>
        <v/>
      </c>
      <c r="E81" s="12" t="str">
        <f>IF(A81="","",(MAX(B$3:B81)-B81)/MAX(B$3:B81))</f>
        <v/>
      </c>
      <c r="F81" s="12" t="str">
        <f>IF(A81="","",MAX(E$4:E81))</f>
        <v/>
      </c>
      <c r="G81" s="17" t="str">
        <f>IF(A81="","",MAX(FREQUENCY(IF($D$3:D81&lt;0,ROW($D$3:D81)),IF($D$3:D81&gt;=0,ROW($D$3:D81)))))</f>
        <v/>
      </c>
      <c r="H81" s="14" t="str">
        <f t="shared" si="4"/>
        <v/>
      </c>
      <c r="I81" s="14" t="str">
        <f t="shared" si="5"/>
        <v/>
      </c>
      <c r="J81" s="15" t="str">
        <f t="shared" si="6"/>
        <v/>
      </c>
    </row>
    <row r="82" spans="1:10">
      <c r="A82" s="7" t="str">
        <f>IF(子基金及业绩基准周净值!A100="","",子基金及业绩基准周净值!A100)</f>
        <v/>
      </c>
      <c r="B82" s="1" t="str">
        <f>IF(A82="","",VLOOKUP($A82,子基金及业绩基准周净值!$A:$AV,9))</f>
        <v/>
      </c>
      <c r="C82" s="8" t="str">
        <f t="shared" si="7"/>
        <v/>
      </c>
      <c r="D82" s="9" t="str">
        <f>IF(A82="","",C82-(子基金及业绩基准周净值!AG100/子基金及业绩基准周净值!AG99-1))</f>
        <v/>
      </c>
      <c r="E82" s="12" t="str">
        <f>IF(A82="","",(MAX(B$3:B82)-B82)/MAX(B$3:B82))</f>
        <v/>
      </c>
      <c r="F82" s="12" t="str">
        <f>IF(A82="","",MAX(E$4:E82))</f>
        <v/>
      </c>
      <c r="G82" s="17" t="str">
        <f>IF(A82="","",MAX(FREQUENCY(IF($D$3:D82&lt;0,ROW($D$3:D82)),IF($D$3:D82&gt;=0,ROW($D$3:D82)))))</f>
        <v/>
      </c>
      <c r="H82" s="14" t="str">
        <f t="shared" si="4"/>
        <v/>
      </c>
      <c r="I82" s="14" t="str">
        <f t="shared" si="5"/>
        <v/>
      </c>
      <c r="J82" s="15" t="str">
        <f t="shared" si="6"/>
        <v/>
      </c>
    </row>
    <row r="83" spans="1:10">
      <c r="A83" s="7" t="str">
        <f>IF(子基金及业绩基准周净值!A101="","",子基金及业绩基准周净值!A101)</f>
        <v/>
      </c>
      <c r="B83" s="1" t="str">
        <f>IF(A83="","",VLOOKUP($A83,子基金及业绩基准周净值!$A:$AV,9))</f>
        <v/>
      </c>
      <c r="C83" s="8" t="str">
        <f t="shared" si="7"/>
        <v/>
      </c>
      <c r="D83" s="9" t="str">
        <f>IF(A83="","",C83-(子基金及业绩基准周净值!AG101/子基金及业绩基准周净值!AG100-1))</f>
        <v/>
      </c>
      <c r="E83" s="12" t="str">
        <f>IF(A83="","",(MAX(B$3:B83)-B83)/MAX(B$3:B83))</f>
        <v/>
      </c>
      <c r="F83" s="12" t="str">
        <f>IF(A83="","",MAX(E$4:E83))</f>
        <v/>
      </c>
      <c r="G83" s="17" t="str">
        <f>IF(A83="","",MAX(FREQUENCY(IF($D$3:D83&lt;0,ROW($D$3:D83)),IF($D$3:D83&gt;=0,ROW($D$3:D83)))))</f>
        <v/>
      </c>
      <c r="H83" s="14" t="str">
        <f t="shared" si="4"/>
        <v/>
      </c>
      <c r="I83" s="14" t="str">
        <f t="shared" si="5"/>
        <v/>
      </c>
      <c r="J83" s="15" t="str">
        <f t="shared" si="6"/>
        <v/>
      </c>
    </row>
    <row r="84" spans="1:10">
      <c r="A84" s="7" t="str">
        <f>IF(子基金及业绩基准周净值!A102="","",子基金及业绩基准周净值!A102)</f>
        <v/>
      </c>
      <c r="B84" s="1" t="str">
        <f>IF(A84="","",VLOOKUP($A84,子基金及业绩基准周净值!$A:$AV,9))</f>
        <v/>
      </c>
      <c r="C84" s="8" t="str">
        <f t="shared" si="7"/>
        <v/>
      </c>
      <c r="D84" s="9" t="str">
        <f>IF(A84="","",C84-(子基金及业绩基准周净值!AG102/子基金及业绩基准周净值!AG101-1))</f>
        <v/>
      </c>
      <c r="E84" s="12" t="str">
        <f>IF(A84="","",(MAX(B$3:B84)-B84)/MAX(B$3:B84))</f>
        <v/>
      </c>
      <c r="F84" s="12" t="str">
        <f>IF(A84="","",MAX(E$4:E84))</f>
        <v/>
      </c>
      <c r="G84" s="17" t="str">
        <f>IF(A84="","",MAX(FREQUENCY(IF($D$3:D84&lt;0,ROW($D$3:D84)),IF($D$3:D84&gt;=0,ROW($D$3:D84)))))</f>
        <v/>
      </c>
      <c r="H84" s="14" t="str">
        <f t="shared" si="4"/>
        <v/>
      </c>
      <c r="I84" s="14" t="str">
        <f t="shared" si="5"/>
        <v/>
      </c>
      <c r="J84" s="15" t="str">
        <f t="shared" si="6"/>
        <v/>
      </c>
    </row>
    <row r="85" spans="1:10">
      <c r="A85" s="7" t="str">
        <f>IF(子基金及业绩基准周净值!A103="","",子基金及业绩基准周净值!A103)</f>
        <v/>
      </c>
      <c r="B85" s="1" t="str">
        <f>IF(A85="","",VLOOKUP($A85,子基金及业绩基准周净值!$A:$AV,9))</f>
        <v/>
      </c>
      <c r="C85" s="8" t="str">
        <f t="shared" si="7"/>
        <v/>
      </c>
      <c r="D85" s="9" t="str">
        <f>IF(A85="","",C85-(子基金及业绩基准周净值!AG103/子基金及业绩基准周净值!AG102-1))</f>
        <v/>
      </c>
      <c r="E85" s="12" t="str">
        <f>IF(A85="","",(MAX(B$3:B85)-B85)/MAX(B$3:B85))</f>
        <v/>
      </c>
      <c r="F85" s="12" t="str">
        <f>IF(A85="","",MAX(E$4:E85))</f>
        <v/>
      </c>
      <c r="G85" s="17" t="str">
        <f>IF(A85="","",MAX(FREQUENCY(IF($D$3:D85&lt;0,ROW($D$3:D85)),IF($D$3:D85&gt;=0,ROW($D$3:D85)))))</f>
        <v/>
      </c>
      <c r="H85" s="14" t="str">
        <f t="shared" si="4"/>
        <v/>
      </c>
      <c r="I85" s="14" t="str">
        <f t="shared" si="5"/>
        <v/>
      </c>
      <c r="J85" s="15" t="str">
        <f t="shared" si="6"/>
        <v/>
      </c>
    </row>
    <row r="86" spans="1:10">
      <c r="A86" s="7" t="str">
        <f>IF(子基金及业绩基准周净值!A104="","",子基金及业绩基准周净值!A104)</f>
        <v/>
      </c>
      <c r="B86" s="1" t="str">
        <f>IF(A86="","",VLOOKUP($A86,子基金及业绩基准周净值!$A:$AV,9))</f>
        <v/>
      </c>
      <c r="C86" s="8" t="str">
        <f t="shared" si="7"/>
        <v/>
      </c>
      <c r="D86" s="9" t="str">
        <f>IF(A86="","",C86-(子基金及业绩基准周净值!AG104/子基金及业绩基准周净值!AG103-1))</f>
        <v/>
      </c>
      <c r="E86" s="12" t="str">
        <f>IF(A86="","",(MAX(B$3:B86)-B86)/MAX(B$3:B86))</f>
        <v/>
      </c>
      <c r="F86" s="12" t="str">
        <f>IF(A86="","",MAX(E$4:E86))</f>
        <v/>
      </c>
      <c r="G86" s="17" t="str">
        <f>IF(A86="","",MAX(FREQUENCY(IF($D$3:D86&lt;0,ROW($D$3:D86)),IF($D$3:D86&gt;=0,ROW($D$3:D86)))))</f>
        <v/>
      </c>
      <c r="H86" s="14" t="str">
        <f t="shared" si="4"/>
        <v/>
      </c>
      <c r="I86" s="14" t="str">
        <f t="shared" si="5"/>
        <v/>
      </c>
      <c r="J86" s="15" t="str">
        <f t="shared" si="6"/>
        <v/>
      </c>
    </row>
    <row r="87" spans="1:10">
      <c r="A87" s="7" t="str">
        <f>IF(子基金及业绩基准周净值!A105="","",子基金及业绩基准周净值!A105)</f>
        <v/>
      </c>
      <c r="B87" s="1" t="str">
        <f>IF(A87="","",VLOOKUP($A87,子基金及业绩基准周净值!$A:$AV,9))</f>
        <v/>
      </c>
      <c r="C87" s="8" t="str">
        <f t="shared" si="7"/>
        <v/>
      </c>
      <c r="D87" s="9" t="str">
        <f>IF(A87="","",C87-(子基金及业绩基准周净值!AG105/子基金及业绩基准周净值!AG104-1))</f>
        <v/>
      </c>
      <c r="E87" s="12" t="str">
        <f>IF(A87="","",(MAX(B$3:B87)-B87)/MAX(B$3:B87))</f>
        <v/>
      </c>
      <c r="F87" s="12" t="str">
        <f>IF(A87="","",MAX(E$4:E87))</f>
        <v/>
      </c>
      <c r="G87" s="17" t="str">
        <f>IF(A87="","",MAX(FREQUENCY(IF($D$3:D87&lt;0,ROW($D$3:D87)),IF($D$3:D87&gt;=0,ROW($D$3:D87)))))</f>
        <v/>
      </c>
      <c r="H87" s="14" t="str">
        <f t="shared" si="4"/>
        <v/>
      </c>
      <c r="I87" s="14" t="str">
        <f t="shared" si="5"/>
        <v/>
      </c>
      <c r="J87" s="15" t="str">
        <f t="shared" si="6"/>
        <v/>
      </c>
    </row>
    <row r="88" spans="1:10">
      <c r="A88" s="7" t="str">
        <f>IF(子基金及业绩基准周净值!A106="","",子基金及业绩基准周净值!A106)</f>
        <v/>
      </c>
      <c r="B88" s="1" t="str">
        <f>IF(A88="","",VLOOKUP($A88,子基金及业绩基准周净值!$A:$AV,9))</f>
        <v/>
      </c>
      <c r="C88" s="8" t="str">
        <f t="shared" si="7"/>
        <v/>
      </c>
      <c r="D88" s="9" t="str">
        <f>IF(A88="","",C88-(子基金及业绩基准周净值!AG106/子基金及业绩基准周净值!AG105-1))</f>
        <v/>
      </c>
      <c r="E88" s="12" t="str">
        <f>IF(A88="","",(MAX(B$3:B88)-B88)/MAX(B$3:B88))</f>
        <v/>
      </c>
      <c r="F88" s="12" t="str">
        <f>IF(A88="","",MAX(E$4:E88))</f>
        <v/>
      </c>
      <c r="G88" s="17" t="str">
        <f>IF(A88="","",MAX(FREQUENCY(IF($D$3:D88&lt;0,ROW($D$3:D88)),IF($D$3:D88&gt;=0,ROW($D$3:D88)))))</f>
        <v/>
      </c>
      <c r="H88" s="14" t="str">
        <f t="shared" si="4"/>
        <v/>
      </c>
      <c r="I88" s="14" t="str">
        <f t="shared" si="5"/>
        <v/>
      </c>
      <c r="J88" s="15" t="str">
        <f t="shared" si="6"/>
        <v/>
      </c>
    </row>
    <row r="89" spans="1:10">
      <c r="A89" s="7" t="str">
        <f>IF(子基金及业绩基准周净值!A107="","",子基金及业绩基准周净值!A107)</f>
        <v/>
      </c>
      <c r="B89" s="1" t="str">
        <f>IF(A89="","",VLOOKUP($A89,子基金及业绩基准周净值!$A:$AV,9))</f>
        <v/>
      </c>
      <c r="C89" s="8" t="str">
        <f t="shared" si="7"/>
        <v/>
      </c>
      <c r="D89" s="9" t="str">
        <f>IF(A89="","",C89-(子基金及业绩基准周净值!AG107/子基金及业绩基准周净值!AG106-1))</f>
        <v/>
      </c>
      <c r="E89" s="12" t="str">
        <f>IF(A89="","",(MAX(B$3:B89)-B89)/MAX(B$3:B89))</f>
        <v/>
      </c>
      <c r="F89" s="12" t="str">
        <f>IF(A89="","",MAX(E$4:E89))</f>
        <v/>
      </c>
      <c r="G89" s="17" t="str">
        <f>IF(A89="","",MAX(FREQUENCY(IF($D$3:D89&lt;0,ROW($D$3:D89)),IF($D$3:D89&gt;=0,ROW($D$3:D89)))))</f>
        <v/>
      </c>
      <c r="H89" s="14" t="str">
        <f t="shared" si="4"/>
        <v/>
      </c>
      <c r="I89" s="14" t="str">
        <f t="shared" si="5"/>
        <v/>
      </c>
      <c r="J89" s="15" t="str">
        <f t="shared" si="6"/>
        <v/>
      </c>
    </row>
    <row r="90" spans="1:10">
      <c r="A90" s="7" t="str">
        <f>IF(子基金及业绩基准周净值!A108="","",子基金及业绩基准周净值!A108)</f>
        <v/>
      </c>
      <c r="B90" s="1" t="str">
        <f>IF(A90="","",VLOOKUP($A90,子基金及业绩基准周净值!$A:$AV,9))</f>
        <v/>
      </c>
      <c r="C90" s="8" t="str">
        <f t="shared" si="7"/>
        <v/>
      </c>
      <c r="D90" s="9" t="str">
        <f>IF(A90="","",C90-(子基金及业绩基准周净值!AG108/子基金及业绩基准周净值!AG107-1))</f>
        <v/>
      </c>
      <c r="E90" s="12" t="str">
        <f>IF(A90="","",(MAX(B$3:B90)-B90)/MAX(B$3:B90))</f>
        <v/>
      </c>
      <c r="F90" s="12" t="str">
        <f>IF(A90="","",MAX(E$4:E90))</f>
        <v/>
      </c>
      <c r="G90" s="17" t="str">
        <f>IF(A90="","",MAX(FREQUENCY(IF($D$3:D90&lt;0,ROW($D$3:D90)),IF($D$3:D90&gt;=0,ROW($D$3:D90)))))</f>
        <v/>
      </c>
      <c r="H90" s="14" t="str">
        <f t="shared" si="4"/>
        <v/>
      </c>
      <c r="I90" s="14" t="str">
        <f t="shared" si="5"/>
        <v/>
      </c>
      <c r="J90" s="15" t="str">
        <f t="shared" si="6"/>
        <v/>
      </c>
    </row>
    <row r="91" spans="1:10">
      <c r="A91" s="7" t="str">
        <f>IF(子基金及业绩基准周净值!A109="","",子基金及业绩基准周净值!A109)</f>
        <v/>
      </c>
      <c r="B91" s="1" t="str">
        <f>IF(A91="","",VLOOKUP($A91,子基金及业绩基准周净值!$A:$AV,9))</f>
        <v/>
      </c>
      <c r="C91" s="8" t="str">
        <f t="shared" si="7"/>
        <v/>
      </c>
      <c r="D91" s="9" t="str">
        <f>IF(A91="","",C91-(子基金及业绩基准周净值!AG109/子基金及业绩基准周净值!AG108-1))</f>
        <v/>
      </c>
      <c r="E91" s="12" t="str">
        <f>IF(A91="","",(MAX(B$3:B91)-B91)/MAX(B$3:B91))</f>
        <v/>
      </c>
      <c r="F91" s="12" t="str">
        <f>IF(A91="","",MAX(E$4:E91))</f>
        <v/>
      </c>
      <c r="G91" s="17" t="str">
        <f>IF(A91="","",MAX(FREQUENCY(IF($D$3:D91&lt;0,ROW($D$3:D91)),IF($D$3:D91&gt;=0,ROW($D$3:D91)))))</f>
        <v/>
      </c>
      <c r="H91" s="14" t="str">
        <f t="shared" si="4"/>
        <v/>
      </c>
      <c r="I91" s="14" t="str">
        <f t="shared" si="5"/>
        <v/>
      </c>
      <c r="J91" s="15" t="str">
        <f t="shared" si="6"/>
        <v/>
      </c>
    </row>
    <row r="92" spans="1:10">
      <c r="A92" s="7" t="str">
        <f>IF(子基金及业绩基准周净值!A110="","",子基金及业绩基准周净值!A110)</f>
        <v/>
      </c>
      <c r="B92" s="1" t="str">
        <f>IF(A92="","",VLOOKUP($A92,子基金及业绩基准周净值!$A:$AV,9))</f>
        <v/>
      </c>
      <c r="C92" s="8" t="str">
        <f t="shared" si="7"/>
        <v/>
      </c>
      <c r="D92" s="9" t="str">
        <f>IF(A92="","",C92-(子基金及业绩基准周净值!AG110/子基金及业绩基准周净值!AG109-1))</f>
        <v/>
      </c>
      <c r="E92" s="12" t="str">
        <f>IF(A92="","",(MAX(B$3:B92)-B92)/MAX(B$3:B92))</f>
        <v/>
      </c>
      <c r="F92" s="12" t="str">
        <f>IF(A92="","",MAX(E$4:E92))</f>
        <v/>
      </c>
      <c r="G92" s="17" t="str">
        <f>IF(A92="","",MAX(FREQUENCY(IF($D$3:D92&lt;0,ROW($D$3:D92)),IF($D$3:D92&gt;=0,ROW($D$3:D92)))))</f>
        <v/>
      </c>
      <c r="H92" s="14" t="str">
        <f t="shared" si="4"/>
        <v/>
      </c>
      <c r="I92" s="14" t="str">
        <f t="shared" si="5"/>
        <v/>
      </c>
      <c r="J92" s="15" t="str">
        <f t="shared" si="6"/>
        <v/>
      </c>
    </row>
    <row r="93" spans="1:10">
      <c r="A93" s="7" t="str">
        <f>IF(子基金及业绩基准周净值!A111="","",子基金及业绩基准周净值!A111)</f>
        <v/>
      </c>
      <c r="B93" s="1" t="str">
        <f>IF(A93="","",VLOOKUP($A93,子基金及业绩基准周净值!$A:$AV,9))</f>
        <v/>
      </c>
      <c r="C93" s="8" t="str">
        <f t="shared" si="7"/>
        <v/>
      </c>
      <c r="D93" s="9" t="str">
        <f>IF(A93="","",C93-(子基金及业绩基准周净值!AG111/子基金及业绩基准周净值!AG110-1))</f>
        <v/>
      </c>
      <c r="E93" s="12" t="str">
        <f>IF(A93="","",(MAX(B$3:B93)-B93)/MAX(B$3:B93))</f>
        <v/>
      </c>
      <c r="F93" s="12" t="str">
        <f>IF(A93="","",MAX(E$4:E93))</f>
        <v/>
      </c>
      <c r="G93" s="17" t="str">
        <f>IF(A93="","",MAX(FREQUENCY(IF($D$3:D93&lt;0,ROW($D$3:D93)),IF($D$3:D93&gt;=0,ROW($D$3:D93)))))</f>
        <v/>
      </c>
      <c r="H93" s="14" t="str">
        <f t="shared" si="4"/>
        <v/>
      </c>
      <c r="I93" s="14" t="str">
        <f t="shared" si="5"/>
        <v/>
      </c>
      <c r="J93" s="15" t="str">
        <f t="shared" si="6"/>
        <v/>
      </c>
    </row>
    <row r="94" spans="1:10">
      <c r="A94" s="7" t="str">
        <f>IF(子基金及业绩基准周净值!A112="","",子基金及业绩基准周净值!A112)</f>
        <v/>
      </c>
      <c r="B94" s="1" t="str">
        <f>IF(A94="","",VLOOKUP($A94,子基金及业绩基准周净值!$A:$AV,9))</f>
        <v/>
      </c>
      <c r="C94" s="8" t="str">
        <f t="shared" si="7"/>
        <v/>
      </c>
      <c r="D94" s="9" t="str">
        <f>IF(A94="","",C94-(子基金及业绩基准周净值!AG112/子基金及业绩基准周净值!AG111-1))</f>
        <v/>
      </c>
      <c r="E94" s="12" t="str">
        <f>IF(A94="","",(MAX(B$3:B94)-B94)/MAX(B$3:B94))</f>
        <v/>
      </c>
      <c r="F94" s="12" t="str">
        <f>IF(A94="","",MAX(E$4:E94))</f>
        <v/>
      </c>
      <c r="G94" s="17" t="str">
        <f>IF(A94="","",MAX(FREQUENCY(IF($D$3:D94&lt;0,ROW($D$3:D94)),IF($D$3:D94&gt;=0,ROW($D$3:D94)))))</f>
        <v/>
      </c>
      <c r="H94" s="14" t="str">
        <f t="shared" si="4"/>
        <v/>
      </c>
      <c r="I94" s="14" t="str">
        <f t="shared" si="5"/>
        <v/>
      </c>
      <c r="J94" s="15" t="str">
        <f t="shared" si="6"/>
        <v/>
      </c>
    </row>
    <row r="95" spans="1:10">
      <c r="A95" s="7" t="str">
        <f>IF(子基金及业绩基准周净值!A113="","",子基金及业绩基准周净值!A113)</f>
        <v/>
      </c>
      <c r="B95" s="1" t="str">
        <f>IF(A95="","",VLOOKUP($A95,子基金及业绩基准周净值!$A:$AV,9))</f>
        <v/>
      </c>
      <c r="C95" s="8" t="str">
        <f t="shared" si="7"/>
        <v/>
      </c>
      <c r="D95" s="9" t="str">
        <f>IF(A95="","",C95-(子基金及业绩基准周净值!AG113/子基金及业绩基准周净值!AG112-1))</f>
        <v/>
      </c>
      <c r="E95" s="12" t="str">
        <f>IF(A95="","",(MAX(B$3:B95)-B95)/MAX(B$3:B95))</f>
        <v/>
      </c>
      <c r="F95" s="12" t="str">
        <f>IF(A95="","",MAX(E$4:E95))</f>
        <v/>
      </c>
      <c r="G95" s="17" t="str">
        <f>IF(A95="","",MAX(FREQUENCY(IF($D$3:D95&lt;0,ROW($D$3:D95)),IF($D$3:D95&gt;=0,ROW($D$3:D95)))))</f>
        <v/>
      </c>
      <c r="H95" s="14" t="str">
        <f t="shared" si="4"/>
        <v/>
      </c>
      <c r="I95" s="14" t="str">
        <f t="shared" si="5"/>
        <v/>
      </c>
      <c r="J95" s="15" t="str">
        <f t="shared" si="6"/>
        <v/>
      </c>
    </row>
    <row r="96" spans="1:10">
      <c r="A96" s="7" t="str">
        <f>IF(子基金及业绩基准周净值!A114="","",子基金及业绩基准周净值!A114)</f>
        <v/>
      </c>
      <c r="B96" s="1" t="str">
        <f>IF(A96="","",VLOOKUP($A96,子基金及业绩基准周净值!$A:$AV,9))</f>
        <v/>
      </c>
      <c r="C96" s="8" t="str">
        <f t="shared" si="7"/>
        <v/>
      </c>
      <c r="D96" s="9" t="str">
        <f>IF(A96="","",C96-(子基金及业绩基准周净值!AG114/子基金及业绩基准周净值!AG113-1))</f>
        <v/>
      </c>
      <c r="E96" s="12" t="str">
        <f>IF(A96="","",(MAX(B$3:B96)-B96)/MAX(B$3:B96))</f>
        <v/>
      </c>
      <c r="F96" s="12" t="str">
        <f>IF(A96="","",MAX(E$4:E96))</f>
        <v/>
      </c>
      <c r="G96" s="17" t="str">
        <f>IF(A96="","",MAX(FREQUENCY(IF($D$3:D96&lt;0,ROW($D$3:D96)),IF($D$3:D96&gt;=0,ROW($D$3:D96)))))</f>
        <v/>
      </c>
      <c r="H96" s="14" t="str">
        <f t="shared" si="4"/>
        <v/>
      </c>
      <c r="I96" s="14" t="str">
        <f t="shared" si="5"/>
        <v/>
      </c>
      <c r="J96" s="15" t="str">
        <f t="shared" si="6"/>
        <v/>
      </c>
    </row>
    <row r="97" spans="1:10">
      <c r="A97" s="7" t="str">
        <f>IF(子基金及业绩基准周净值!A115="","",子基金及业绩基准周净值!A115)</f>
        <v/>
      </c>
      <c r="B97" s="1" t="str">
        <f>IF(A97="","",VLOOKUP($A97,子基金及业绩基准周净值!$A:$AV,9))</f>
        <v/>
      </c>
      <c r="C97" s="8" t="str">
        <f t="shared" si="7"/>
        <v/>
      </c>
      <c r="D97" s="9" t="str">
        <f>IF(A97="","",C97-(子基金及业绩基准周净值!AG115/子基金及业绩基准周净值!AG114-1))</f>
        <v/>
      </c>
      <c r="E97" s="12" t="str">
        <f>IF(A97="","",(MAX(B$3:B97)-B97)/MAX(B$3:B97))</f>
        <v/>
      </c>
      <c r="F97" s="12" t="str">
        <f>IF(A97="","",MAX(E$4:E97))</f>
        <v/>
      </c>
      <c r="G97" s="17" t="str">
        <f>IF(A97="","",MAX(FREQUENCY(IF($D$3:D97&lt;0,ROW($D$3:D97)),IF($D$3:D97&gt;=0,ROW($D$3:D97)))))</f>
        <v/>
      </c>
      <c r="H97" s="14" t="str">
        <f t="shared" si="4"/>
        <v/>
      </c>
      <c r="I97" s="14" t="str">
        <f t="shared" si="5"/>
        <v/>
      </c>
      <c r="J97" s="15" t="str">
        <f t="shared" si="6"/>
        <v/>
      </c>
    </row>
    <row r="98" spans="1:10">
      <c r="A98" s="7" t="str">
        <f>IF(子基金及业绩基准周净值!A116="","",子基金及业绩基准周净值!A116)</f>
        <v/>
      </c>
      <c r="B98" s="1" t="str">
        <f>IF(A98="","",VLOOKUP($A98,子基金及业绩基准周净值!$A:$AV,9))</f>
        <v/>
      </c>
      <c r="C98" s="8" t="str">
        <f t="shared" si="7"/>
        <v/>
      </c>
      <c r="D98" s="9" t="str">
        <f>IF(A98="","",C98-(子基金及业绩基准周净值!AG116/子基金及业绩基准周净值!AG115-1))</f>
        <v/>
      </c>
      <c r="E98" s="12" t="str">
        <f>IF(A98="","",(MAX(B$3:B98)-B98)/MAX(B$3:B98))</f>
        <v/>
      </c>
      <c r="F98" s="12" t="str">
        <f>IF(A98="","",MAX(E$4:E98))</f>
        <v/>
      </c>
      <c r="G98" s="17" t="str">
        <f>IF(A98="","",MAX(FREQUENCY(IF($D$3:D98&lt;0,ROW($D$3:D98)),IF($D$3:D98&gt;=0,ROW($D$3:D98)))))</f>
        <v/>
      </c>
      <c r="H98" s="14" t="str">
        <f t="shared" si="4"/>
        <v/>
      </c>
      <c r="I98" s="14" t="str">
        <f t="shared" si="5"/>
        <v/>
      </c>
      <c r="J98" s="15" t="str">
        <f t="shared" si="6"/>
        <v/>
      </c>
    </row>
    <row r="99" spans="1:10">
      <c r="A99" s="7" t="str">
        <f>IF(子基金及业绩基准周净值!A117="","",子基金及业绩基准周净值!A117)</f>
        <v/>
      </c>
      <c r="B99" s="1" t="str">
        <f>IF(A99="","",VLOOKUP($A99,子基金及业绩基准周净值!$A:$AV,9))</f>
        <v/>
      </c>
      <c r="C99" s="8" t="str">
        <f t="shared" si="7"/>
        <v/>
      </c>
      <c r="D99" s="9" t="str">
        <f>IF(A99="","",C99-(子基金及业绩基准周净值!AG117/子基金及业绩基准周净值!AG116-1))</f>
        <v/>
      </c>
      <c r="E99" s="12" t="str">
        <f>IF(A99="","",(MAX(B$3:B99)-B99)/MAX(B$3:B99))</f>
        <v/>
      </c>
      <c r="F99" s="12" t="str">
        <f>IF(A99="","",MAX(E$4:E99))</f>
        <v/>
      </c>
      <c r="G99" s="17" t="str">
        <f>IF(A99="","",MAX(FREQUENCY(IF($D$3:D99&lt;0,ROW($D$3:D99)),IF($D$3:D99&gt;=0,ROW($D$3:D99)))))</f>
        <v/>
      </c>
      <c r="H99" s="14" t="str">
        <f t="shared" si="4"/>
        <v/>
      </c>
      <c r="I99" s="14" t="str">
        <f t="shared" si="5"/>
        <v/>
      </c>
      <c r="J99" s="15" t="str">
        <f t="shared" si="6"/>
        <v/>
      </c>
    </row>
    <row r="100" spans="1:10">
      <c r="A100" s="7" t="str">
        <f>IF(子基金及业绩基准周净值!A118="","",子基金及业绩基准周净值!A118)</f>
        <v/>
      </c>
      <c r="B100" s="1" t="str">
        <f>IF(A100="","",VLOOKUP($A100,子基金及业绩基准周净值!$A:$AV,9))</f>
        <v/>
      </c>
      <c r="C100" s="8" t="str">
        <f t="shared" si="7"/>
        <v/>
      </c>
      <c r="D100" s="9" t="str">
        <f>IF(A100="","",C100-(子基金及业绩基准周净值!AG118/子基金及业绩基准周净值!AG117-1))</f>
        <v/>
      </c>
      <c r="E100" s="12" t="str">
        <f>IF(A100="","",(MAX(B$3:B100)-B100)/MAX(B$3:B100))</f>
        <v/>
      </c>
      <c r="F100" s="12" t="str">
        <f>IF(A100="","",MAX(E$4:E100))</f>
        <v/>
      </c>
      <c r="G100" s="17" t="str">
        <f>IF(A100="","",MAX(FREQUENCY(IF($D$3:D100&lt;0,ROW($D$3:D100)),IF($D$3:D100&gt;=0,ROW($D$3:D100)))))</f>
        <v/>
      </c>
      <c r="H100" s="14" t="str">
        <f t="shared" si="4"/>
        <v/>
      </c>
      <c r="I100" s="14" t="str">
        <f t="shared" si="5"/>
        <v/>
      </c>
      <c r="J100" s="15" t="str">
        <f t="shared" si="6"/>
        <v/>
      </c>
    </row>
    <row r="101" spans="1:10">
      <c r="A101" s="7" t="str">
        <f>IF(子基金及业绩基准周净值!A119="","",子基金及业绩基准周净值!A119)</f>
        <v/>
      </c>
      <c r="B101" s="1" t="str">
        <f>IF(A101="","",VLOOKUP($A101,子基金及业绩基准周净值!$A:$AV,9))</f>
        <v/>
      </c>
      <c r="C101" s="8" t="str">
        <f t="shared" si="7"/>
        <v/>
      </c>
      <c r="D101" s="9" t="str">
        <f>IF(A101="","",C101-(子基金及业绩基准周净值!AG119/子基金及业绩基准周净值!AG118-1))</f>
        <v/>
      </c>
      <c r="E101" s="12" t="str">
        <f>IF(A101="","",(MAX(B$3:B101)-B101)/MAX(B$3:B101))</f>
        <v/>
      </c>
      <c r="F101" s="12" t="str">
        <f>IF(A101="","",MAX(E$4:E101))</f>
        <v/>
      </c>
      <c r="G101" s="17" t="str">
        <f>IF(A101="","",MAX(FREQUENCY(IF($D$3:D101&lt;0,ROW($D$3:D101)),IF($D$3:D101&gt;=0,ROW($D$3:D101)))))</f>
        <v/>
      </c>
      <c r="H101" s="14" t="str">
        <f t="shared" si="4"/>
        <v/>
      </c>
      <c r="I101" s="14" t="str">
        <f t="shared" si="5"/>
        <v/>
      </c>
      <c r="J101" s="15" t="str">
        <f t="shared" si="6"/>
        <v/>
      </c>
    </row>
    <row r="102" spans="1:10">
      <c r="A102" s="7" t="str">
        <f>IF(子基金及业绩基准周净值!A120="","",子基金及业绩基准周净值!A120)</f>
        <v/>
      </c>
      <c r="B102" s="1" t="str">
        <f>IF(A102="","",VLOOKUP($A102,子基金及业绩基准周净值!$A:$AV,9))</f>
        <v/>
      </c>
      <c r="C102" s="8" t="str">
        <f t="shared" si="7"/>
        <v/>
      </c>
      <c r="D102" s="9" t="str">
        <f>IF(A102="","",C102-(子基金及业绩基准周净值!AG120/子基金及业绩基准周净值!AG119-1))</f>
        <v/>
      </c>
      <c r="E102" s="12" t="str">
        <f>IF(A102="","",(MAX(B$3:B102)-B102)/MAX(B$3:B102))</f>
        <v/>
      </c>
      <c r="F102" s="12" t="str">
        <f>IF(A102="","",MAX(E$4:E102))</f>
        <v/>
      </c>
      <c r="G102" s="17" t="str">
        <f>IF(A102="","",MAX(FREQUENCY(IF($D$3:D102&lt;0,ROW($D$3:D102)),IF($D$3:D102&gt;=0,ROW($D$3:D102)))))</f>
        <v/>
      </c>
      <c r="H102" s="14" t="str">
        <f t="shared" si="4"/>
        <v/>
      </c>
      <c r="I102" s="14" t="str">
        <f t="shared" si="5"/>
        <v/>
      </c>
      <c r="J102" s="15" t="str">
        <f t="shared" si="6"/>
        <v/>
      </c>
    </row>
    <row r="103" spans="1:10">
      <c r="A103" s="7" t="str">
        <f>IF(子基金及业绩基准周净值!A121="","",子基金及业绩基准周净值!A121)</f>
        <v/>
      </c>
      <c r="B103" s="1" t="str">
        <f>IF(A103="","",VLOOKUP($A103,子基金及业绩基准周净值!$A:$AV,9))</f>
        <v/>
      </c>
      <c r="C103" s="8" t="str">
        <f t="shared" si="7"/>
        <v/>
      </c>
      <c r="D103" s="9" t="str">
        <f>IF(A103="","",C103-(子基金及业绩基准周净值!AG121/子基金及业绩基准周净值!AG120-1))</f>
        <v/>
      </c>
      <c r="E103" s="12" t="str">
        <f>IF(A103="","",(MAX(B$3:B103)-B103)/MAX(B$3:B103))</f>
        <v/>
      </c>
      <c r="F103" s="12" t="str">
        <f>IF(A103="","",MAX(E$4:E103))</f>
        <v/>
      </c>
      <c r="G103" s="17" t="str">
        <f>IF(A103="","",MAX(FREQUENCY(IF($D$3:D103&lt;0,ROW($D$3:D103)),IF($D$3:D103&gt;=0,ROW($D$3:D103)))))</f>
        <v/>
      </c>
      <c r="H103" s="14" t="str">
        <f t="shared" si="4"/>
        <v/>
      </c>
      <c r="I103" s="14" t="str">
        <f t="shared" si="5"/>
        <v/>
      </c>
      <c r="J103" s="15" t="str">
        <f t="shared" si="6"/>
        <v/>
      </c>
    </row>
    <row r="104" spans="1:10">
      <c r="A104" s="7" t="str">
        <f>IF(子基金及业绩基准周净值!A122="","",子基金及业绩基准周净值!A122)</f>
        <v/>
      </c>
      <c r="B104" s="1" t="str">
        <f>IF(A104="","",VLOOKUP($A104,子基金及业绩基准周净值!$A:$AV,9))</f>
        <v/>
      </c>
      <c r="C104" s="8" t="str">
        <f t="shared" si="7"/>
        <v/>
      </c>
      <c r="D104" s="9" t="str">
        <f>IF(A104="","",C104-(子基金及业绩基准周净值!AG122/子基金及业绩基准周净值!AG121-1))</f>
        <v/>
      </c>
      <c r="E104" s="12" t="str">
        <f>IF(A104="","",(MAX(B$3:B104)-B104)/MAX(B$3:B104))</f>
        <v/>
      </c>
      <c r="F104" s="12" t="str">
        <f>IF(A104="","",MAX(E$4:E104))</f>
        <v/>
      </c>
      <c r="G104" s="17" t="str">
        <f>IF(A104="","",MAX(FREQUENCY(IF($D$3:D104&lt;0,ROW($D$3:D104)),IF($D$3:D104&gt;=0,ROW($D$3:D104)))))</f>
        <v/>
      </c>
      <c r="H104" s="14" t="str">
        <f t="shared" si="4"/>
        <v/>
      </c>
      <c r="I104" s="14" t="str">
        <f t="shared" si="5"/>
        <v/>
      </c>
      <c r="J104" s="15" t="str">
        <f t="shared" si="6"/>
        <v/>
      </c>
    </row>
    <row r="105" spans="1:10">
      <c r="A105" s="7" t="str">
        <f>IF(子基金及业绩基准周净值!A123="","",子基金及业绩基准周净值!A123)</f>
        <v/>
      </c>
      <c r="B105" s="1" t="str">
        <f>IF(A105="","",VLOOKUP($A105,子基金及业绩基准周净值!$A:$AV,9))</f>
        <v/>
      </c>
      <c r="C105" s="8" t="str">
        <f t="shared" si="7"/>
        <v/>
      </c>
      <c r="D105" s="9" t="str">
        <f>IF(A105="","",C105-(子基金及业绩基准周净值!AG123/子基金及业绩基准周净值!AG122-1))</f>
        <v/>
      </c>
      <c r="E105" s="12" t="str">
        <f>IF(A105="","",(MAX(B$3:B105)-B105)/MAX(B$3:B105))</f>
        <v/>
      </c>
      <c r="F105" s="12" t="str">
        <f>IF(A105="","",MAX(E$4:E105))</f>
        <v/>
      </c>
      <c r="G105" s="17" t="str">
        <f>IF(A105="","",MAX(FREQUENCY(IF($D$3:D105&lt;0,ROW($D$3:D105)),IF($D$3:D105&gt;=0,ROW($D$3:D105)))))</f>
        <v/>
      </c>
      <c r="H105" s="14" t="str">
        <f t="shared" si="4"/>
        <v/>
      </c>
      <c r="I105" s="14" t="str">
        <f t="shared" si="5"/>
        <v/>
      </c>
      <c r="J105" s="15" t="str">
        <f t="shared" si="6"/>
        <v/>
      </c>
    </row>
    <row r="106" spans="1:10">
      <c r="A106" s="7" t="str">
        <f>IF(子基金及业绩基准周净值!A124="","",子基金及业绩基准周净值!A124)</f>
        <v/>
      </c>
      <c r="B106" s="1" t="str">
        <f>IF(A106="","",VLOOKUP($A106,子基金及业绩基准周净值!$A:$AV,9))</f>
        <v/>
      </c>
      <c r="C106" s="8" t="str">
        <f t="shared" si="7"/>
        <v/>
      </c>
      <c r="D106" s="9" t="str">
        <f>IF(A106="","",C106-(子基金及业绩基准周净值!AG124/子基金及业绩基准周净值!AG123-1))</f>
        <v/>
      </c>
      <c r="E106" s="12" t="str">
        <f>IF(A106="","",(MAX(B$3:B106)-B106)/MAX(B$3:B106))</f>
        <v/>
      </c>
      <c r="F106" s="12" t="str">
        <f>IF(A106="","",MAX(E$4:E106))</f>
        <v/>
      </c>
      <c r="G106" s="17" t="str">
        <f>IF(A106="","",MAX(FREQUENCY(IF($D$3:D106&lt;0,ROW($D$3:D106)),IF($D$3:D106&gt;=0,ROW($D$3:D106)))))</f>
        <v/>
      </c>
      <c r="H106" s="14" t="str">
        <f t="shared" si="4"/>
        <v/>
      </c>
      <c r="I106" s="14" t="str">
        <f t="shared" si="5"/>
        <v/>
      </c>
      <c r="J106" s="15" t="str">
        <f t="shared" si="6"/>
        <v/>
      </c>
    </row>
    <row r="107" spans="1:10">
      <c r="A107" s="7" t="str">
        <f>IF(子基金及业绩基准周净值!A125="","",子基金及业绩基准周净值!A125)</f>
        <v/>
      </c>
      <c r="B107" s="1" t="str">
        <f>IF(A107="","",VLOOKUP($A107,子基金及业绩基准周净值!$A:$AV,9))</f>
        <v/>
      </c>
      <c r="C107" s="8" t="str">
        <f t="shared" si="7"/>
        <v/>
      </c>
      <c r="D107" s="9" t="str">
        <f>IF(A107="","",C107-(子基金及业绩基准周净值!AG125/子基金及业绩基准周净值!AG124-1))</f>
        <v/>
      </c>
      <c r="E107" s="12" t="str">
        <f>IF(A107="","",(MAX(B$3:B107)-B107)/MAX(B$3:B107))</f>
        <v/>
      </c>
      <c r="F107" s="12" t="str">
        <f>IF(A107="","",MAX(E$4:E107))</f>
        <v/>
      </c>
      <c r="G107" s="17" t="str">
        <f>IF(A107="","",MAX(FREQUENCY(IF($D$3:D107&lt;0,ROW($D$3:D107)),IF($D$3:D107&gt;=0,ROW($D$3:D107)))))</f>
        <v/>
      </c>
      <c r="H107" s="14" t="str">
        <f t="shared" si="4"/>
        <v/>
      </c>
      <c r="I107" s="14" t="str">
        <f t="shared" si="5"/>
        <v/>
      </c>
      <c r="J107" s="15" t="str">
        <f t="shared" si="6"/>
        <v/>
      </c>
    </row>
    <row r="108" spans="1:10">
      <c r="A108" s="7" t="str">
        <f>IF(子基金及业绩基准周净值!A126="","",子基金及业绩基准周净值!A126)</f>
        <v/>
      </c>
      <c r="B108" s="1" t="str">
        <f>IF(A108="","",VLOOKUP($A108,子基金及业绩基准周净值!$A:$AV,9))</f>
        <v/>
      </c>
      <c r="C108" s="8" t="str">
        <f t="shared" si="7"/>
        <v/>
      </c>
      <c r="D108" s="9" t="str">
        <f>IF(A108="","",C108-(子基金及业绩基准周净值!AG126/子基金及业绩基准周净值!AG125-1))</f>
        <v/>
      </c>
      <c r="E108" s="12" t="str">
        <f>IF(A108="","",(MAX(B$3:B108)-B108)/MAX(B$3:B108))</f>
        <v/>
      </c>
      <c r="F108" s="12" t="str">
        <f>IF(A108="","",MAX(E$4:E108))</f>
        <v/>
      </c>
      <c r="G108" s="17" t="str">
        <f>IF(A108="","",MAX(FREQUENCY(IF($D$3:D108&lt;0,ROW($D$3:D108)),IF($D$3:D108&gt;=0,ROW($D$3:D108)))))</f>
        <v/>
      </c>
      <c r="H108" s="14" t="str">
        <f t="shared" si="4"/>
        <v/>
      </c>
      <c r="I108" s="14" t="str">
        <f t="shared" si="5"/>
        <v/>
      </c>
      <c r="J108" s="15" t="str">
        <f t="shared" si="6"/>
        <v/>
      </c>
    </row>
    <row r="109" spans="1:10">
      <c r="A109" s="7" t="str">
        <f>IF(子基金及业绩基准周净值!A127="","",子基金及业绩基准周净值!A127)</f>
        <v/>
      </c>
      <c r="B109" s="1" t="str">
        <f>IF(A109="","",VLOOKUP($A109,子基金及业绩基准周净值!$A:$AV,9))</f>
        <v/>
      </c>
      <c r="C109" s="8" t="str">
        <f t="shared" si="7"/>
        <v/>
      </c>
      <c r="D109" s="9" t="str">
        <f>IF(A109="","",C109-(子基金及业绩基准周净值!AG127/子基金及业绩基准周净值!AG126-1))</f>
        <v/>
      </c>
      <c r="E109" s="12" t="str">
        <f>IF(A109="","",(MAX(B$3:B109)-B109)/MAX(B$3:B109))</f>
        <v/>
      </c>
      <c r="F109" s="12" t="str">
        <f>IF(A109="","",MAX(E$4:E109))</f>
        <v/>
      </c>
      <c r="G109" s="17" t="str">
        <f>IF(A109="","",MAX(FREQUENCY(IF($D$3:D109&lt;0,ROW($D$3:D109)),IF($D$3:D109&gt;=0,ROW($D$3:D109)))))</f>
        <v/>
      </c>
      <c r="H109" s="14" t="str">
        <f t="shared" si="4"/>
        <v/>
      </c>
      <c r="I109" s="14" t="str">
        <f t="shared" si="5"/>
        <v/>
      </c>
      <c r="J109" s="15" t="str">
        <f t="shared" si="6"/>
        <v/>
      </c>
    </row>
    <row r="110" spans="1:10">
      <c r="A110" s="7" t="str">
        <f>IF(子基金及业绩基准周净值!A128="","",子基金及业绩基准周净值!A128)</f>
        <v/>
      </c>
      <c r="B110" s="1" t="str">
        <f>IF(A110="","",VLOOKUP($A110,子基金及业绩基准周净值!$A:$AV,9))</f>
        <v/>
      </c>
      <c r="C110" s="8" t="str">
        <f t="shared" si="7"/>
        <v/>
      </c>
      <c r="D110" s="9" t="str">
        <f>IF(A110="","",C110-(子基金及业绩基准周净值!AG128/子基金及业绩基准周净值!AG127-1))</f>
        <v/>
      </c>
      <c r="E110" s="12" t="str">
        <f>IF(A110="","",(MAX(B$3:B110)-B110)/MAX(B$3:B110))</f>
        <v/>
      </c>
      <c r="F110" s="12" t="str">
        <f>IF(A110="","",MAX(E$4:E110))</f>
        <v/>
      </c>
      <c r="G110" s="17" t="str">
        <f>IF(A110="","",MAX(FREQUENCY(IF($D$3:D110&lt;0,ROW($D$3:D110)),IF($D$3:D110&gt;=0,ROW($D$3:D110)))))</f>
        <v/>
      </c>
      <c r="H110" s="14" t="str">
        <f t="shared" si="4"/>
        <v/>
      </c>
      <c r="I110" s="14" t="str">
        <f t="shared" si="5"/>
        <v/>
      </c>
      <c r="J110" s="15" t="str">
        <f t="shared" si="6"/>
        <v/>
      </c>
    </row>
    <row r="111" spans="1:10">
      <c r="A111" s="7" t="str">
        <f>IF(子基金及业绩基准周净值!A129="","",子基金及业绩基准周净值!A129)</f>
        <v/>
      </c>
      <c r="B111" s="1" t="str">
        <f>IF(A111="","",VLOOKUP($A111,子基金及业绩基准周净值!$A:$AV,9))</f>
        <v/>
      </c>
      <c r="C111" s="8" t="str">
        <f t="shared" si="7"/>
        <v/>
      </c>
      <c r="D111" s="9" t="str">
        <f>IF(A111="","",C111-(子基金及业绩基准周净值!AG129/子基金及业绩基准周净值!AG128-1))</f>
        <v/>
      </c>
      <c r="E111" s="12" t="str">
        <f>IF(A111="","",(MAX(B$3:B111)-B111)/MAX(B$3:B111))</f>
        <v/>
      </c>
      <c r="F111" s="12" t="str">
        <f>IF(A111="","",MAX(E$4:E111))</f>
        <v/>
      </c>
      <c r="G111" s="17" t="str">
        <f>IF(A111="","",MAX(FREQUENCY(IF($D$3:D111&lt;0,ROW($D$3:D111)),IF($D$3:D111&gt;=0,ROW($D$3:D111)))))</f>
        <v/>
      </c>
      <c r="H111" s="14" t="str">
        <f t="shared" si="4"/>
        <v/>
      </c>
      <c r="I111" s="14" t="str">
        <f t="shared" si="5"/>
        <v/>
      </c>
      <c r="J111" s="15" t="str">
        <f t="shared" si="6"/>
        <v/>
      </c>
    </row>
    <row r="112" spans="1:10">
      <c r="A112" s="7" t="str">
        <f>IF(子基金及业绩基准周净值!A130="","",子基金及业绩基准周净值!A130)</f>
        <v/>
      </c>
      <c r="B112" s="1" t="str">
        <f>IF(A112="","",VLOOKUP($A112,子基金及业绩基准周净值!$A:$AV,9))</f>
        <v/>
      </c>
      <c r="C112" s="8" t="str">
        <f t="shared" si="7"/>
        <v/>
      </c>
      <c r="D112" s="9" t="str">
        <f>IF(A112="","",C112-(子基金及业绩基准周净值!AG130/子基金及业绩基准周净值!AG129-1))</f>
        <v/>
      </c>
      <c r="E112" s="12" t="str">
        <f>IF(A112="","",(MAX(B$3:B112)-B112)/MAX(B$3:B112))</f>
        <v/>
      </c>
      <c r="F112" s="12" t="str">
        <f>IF(A112="","",MAX(E$4:E112))</f>
        <v/>
      </c>
      <c r="G112" s="17" t="str">
        <f>IF(A112="","",MAX(FREQUENCY(IF($D$3:D112&lt;0,ROW($D$3:D112)),IF($D$3:D112&gt;=0,ROW($D$3:D112)))))</f>
        <v/>
      </c>
      <c r="H112" s="14" t="str">
        <f t="shared" si="4"/>
        <v/>
      </c>
      <c r="I112" s="14" t="str">
        <f t="shared" si="5"/>
        <v/>
      </c>
      <c r="J112" s="15" t="str">
        <f t="shared" si="6"/>
        <v/>
      </c>
    </row>
    <row r="113" spans="1:10">
      <c r="A113" s="7" t="str">
        <f>IF(子基金及业绩基准周净值!A131="","",子基金及业绩基准周净值!A131)</f>
        <v/>
      </c>
      <c r="B113" s="1" t="str">
        <f>IF(A113="","",VLOOKUP($A113,子基金及业绩基准周净值!$A:$AV,9))</f>
        <v/>
      </c>
      <c r="C113" s="8" t="str">
        <f t="shared" si="7"/>
        <v/>
      </c>
      <c r="D113" s="9" t="str">
        <f>IF(A113="","",C113-(子基金及业绩基准周净值!AG131/子基金及业绩基准周净值!AG130-1))</f>
        <v/>
      </c>
      <c r="E113" s="12" t="str">
        <f>IF(A113="","",(MAX(B$3:B113)-B113)/MAX(B$3:B113))</f>
        <v/>
      </c>
      <c r="F113" s="12" t="str">
        <f>IF(A113="","",MAX(E$4:E113))</f>
        <v/>
      </c>
      <c r="G113" s="17" t="str">
        <f>IF(A113="","",MAX(FREQUENCY(IF($D$3:D113&lt;0,ROW($D$3:D113)),IF($D$3:D113&gt;=0,ROW($D$3:D113)))))</f>
        <v/>
      </c>
      <c r="H113" s="14" t="str">
        <f t="shared" si="4"/>
        <v/>
      </c>
      <c r="I113" s="14" t="str">
        <f t="shared" si="5"/>
        <v/>
      </c>
      <c r="J113" s="15" t="str">
        <f t="shared" si="6"/>
        <v/>
      </c>
    </row>
    <row r="114" spans="1:10">
      <c r="A114" s="7" t="str">
        <f>IF(子基金及业绩基准周净值!A132="","",子基金及业绩基准周净值!A132)</f>
        <v/>
      </c>
      <c r="B114" s="1" t="str">
        <f>IF(A114="","",VLOOKUP($A114,子基金及业绩基准周净值!$A:$AV,9))</f>
        <v/>
      </c>
      <c r="C114" s="8" t="str">
        <f t="shared" si="7"/>
        <v/>
      </c>
      <c r="D114" s="9" t="str">
        <f>IF(A114="","",C114-(子基金及业绩基准周净值!AG132/子基金及业绩基准周净值!AG131-1))</f>
        <v/>
      </c>
      <c r="E114" s="12" t="str">
        <f>IF(A114="","",(MAX(B$3:B114)-B114)/MAX(B$3:B114))</f>
        <v/>
      </c>
      <c r="F114" s="12" t="str">
        <f>IF(A114="","",MAX(E$4:E114))</f>
        <v/>
      </c>
      <c r="G114" s="17" t="str">
        <f>IF(A114="","",MAX(FREQUENCY(IF($D$3:D114&lt;0,ROW($D$3:D114)),IF($D$3:D114&gt;=0,ROW($D$3:D114)))))</f>
        <v/>
      </c>
      <c r="H114" s="14" t="str">
        <f t="shared" si="4"/>
        <v/>
      </c>
      <c r="I114" s="14" t="str">
        <f t="shared" si="5"/>
        <v/>
      </c>
      <c r="J114" s="15" t="str">
        <f t="shared" si="6"/>
        <v/>
      </c>
    </row>
    <row r="115" spans="1:10">
      <c r="A115" s="7" t="str">
        <f>IF(子基金及业绩基准周净值!A133="","",子基金及业绩基准周净值!A133)</f>
        <v/>
      </c>
      <c r="B115" s="1" t="str">
        <f>IF(A115="","",VLOOKUP($A115,子基金及业绩基准周净值!$A:$AV,9))</f>
        <v/>
      </c>
      <c r="C115" s="8" t="str">
        <f t="shared" si="7"/>
        <v/>
      </c>
      <c r="D115" s="9" t="str">
        <f>IF(A115="","",C115-(子基金及业绩基准周净值!AG133/子基金及业绩基准周净值!AG132-1))</f>
        <v/>
      </c>
      <c r="E115" s="12" t="str">
        <f>IF(A115="","",(MAX(B$3:B115)-B115)/MAX(B$3:B115))</f>
        <v/>
      </c>
      <c r="F115" s="12" t="str">
        <f>IF(A115="","",MAX(E$4:E115))</f>
        <v/>
      </c>
      <c r="G115" s="17" t="str">
        <f>IF(A115="","",MAX(FREQUENCY(IF($D$3:D115&lt;0,ROW($D$3:D115)),IF($D$3:D115&gt;=0,ROW($D$3:D115)))))</f>
        <v/>
      </c>
      <c r="H115" s="14" t="str">
        <f t="shared" si="4"/>
        <v/>
      </c>
      <c r="I115" s="14" t="str">
        <f t="shared" si="5"/>
        <v/>
      </c>
      <c r="J115" s="15" t="str">
        <f t="shared" si="6"/>
        <v/>
      </c>
    </row>
    <row r="116" spans="1:10">
      <c r="A116" s="7" t="str">
        <f>IF(子基金及业绩基准周净值!A134="","",子基金及业绩基准周净值!A134)</f>
        <v/>
      </c>
      <c r="B116" s="1" t="str">
        <f>IF(A116="","",VLOOKUP($A116,子基金及业绩基准周净值!$A:$AV,9))</f>
        <v/>
      </c>
      <c r="C116" s="8" t="str">
        <f t="shared" si="7"/>
        <v/>
      </c>
      <c r="D116" s="9" t="str">
        <f>IF(A116="","",C116-(子基金及业绩基准周净值!AG134/子基金及业绩基准周净值!AG133-1))</f>
        <v/>
      </c>
      <c r="E116" s="12" t="str">
        <f>IF(A116="","",(MAX(B$3:B116)-B116)/MAX(B$3:B116))</f>
        <v/>
      </c>
      <c r="F116" s="12" t="str">
        <f>IF(A116="","",MAX(E$4:E116))</f>
        <v/>
      </c>
      <c r="G116" s="17" t="str">
        <f>IF(A116="","",MAX(FREQUENCY(IF($D$3:D116&lt;0,ROW($D$3:D116)),IF($D$3:D116&gt;=0,ROW($D$3:D116)))))</f>
        <v/>
      </c>
      <c r="H116" s="14" t="str">
        <f t="shared" si="4"/>
        <v/>
      </c>
      <c r="I116" s="14" t="str">
        <f t="shared" si="5"/>
        <v/>
      </c>
      <c r="J116" s="15" t="str">
        <f t="shared" si="6"/>
        <v/>
      </c>
    </row>
    <row r="117" spans="1:10">
      <c r="A117" s="7" t="str">
        <f>IF(子基金及业绩基准周净值!A135="","",子基金及业绩基准周净值!A135)</f>
        <v/>
      </c>
      <c r="B117" s="1" t="str">
        <f>IF(A117="","",VLOOKUP($A117,子基金及业绩基准周净值!$A:$AV,9))</f>
        <v/>
      </c>
      <c r="C117" s="8" t="str">
        <f t="shared" si="7"/>
        <v/>
      </c>
      <c r="D117" s="9" t="str">
        <f>IF(A117="","",C117-(子基金及业绩基准周净值!AG135/子基金及业绩基准周净值!AG134-1))</f>
        <v/>
      </c>
      <c r="E117" s="12" t="str">
        <f>IF(A117="","",(MAX(B$3:B117)-B117)/MAX(B$3:B117))</f>
        <v/>
      </c>
      <c r="F117" s="12" t="str">
        <f>IF(A117="","",MAX(E$4:E117))</f>
        <v/>
      </c>
      <c r="G117" s="17" t="str">
        <f>IF(A117="","",MAX(FREQUENCY(IF($D$3:D117&lt;0,ROW($D$3:D117)),IF($D$3:D117&gt;=0,ROW($D$3:D117)))))</f>
        <v/>
      </c>
      <c r="H117" s="14" t="str">
        <f t="shared" si="4"/>
        <v/>
      </c>
      <c r="I117" s="14" t="str">
        <f t="shared" si="5"/>
        <v/>
      </c>
      <c r="J117" s="15" t="str">
        <f t="shared" si="6"/>
        <v/>
      </c>
    </row>
    <row r="118" spans="1:10">
      <c r="A118" s="7" t="str">
        <f>IF(子基金及业绩基准周净值!A136="","",子基金及业绩基准周净值!A136)</f>
        <v/>
      </c>
      <c r="B118" s="1" t="str">
        <f>IF(A118="","",VLOOKUP($A118,子基金及业绩基准周净值!$A:$AV,9))</f>
        <v/>
      </c>
      <c r="C118" s="8" t="str">
        <f t="shared" si="7"/>
        <v/>
      </c>
      <c r="D118" s="9" t="str">
        <f>IF(A118="","",C118-(子基金及业绩基准周净值!AG136/子基金及业绩基准周净值!AG135-1))</f>
        <v/>
      </c>
      <c r="E118" s="12" t="str">
        <f>IF(A118="","",(MAX(B$3:B118)-B118)/MAX(B$3:B118))</f>
        <v/>
      </c>
      <c r="F118" s="12" t="str">
        <f>IF(A118="","",MAX(E$4:E118))</f>
        <v/>
      </c>
      <c r="G118" s="17" t="str">
        <f>IF(A118="","",MAX(FREQUENCY(IF($D$3:D118&lt;0,ROW($D$3:D118)),IF($D$3:D118&gt;=0,ROW($D$3:D118)))))</f>
        <v/>
      </c>
      <c r="H118" s="14" t="str">
        <f t="shared" si="4"/>
        <v/>
      </c>
      <c r="I118" s="14" t="str">
        <f t="shared" si="5"/>
        <v/>
      </c>
      <c r="J118" s="15" t="str">
        <f t="shared" si="6"/>
        <v/>
      </c>
    </row>
    <row r="119" spans="1:10">
      <c r="A119" s="7" t="str">
        <f>IF(子基金及业绩基准周净值!A137="","",子基金及业绩基准周净值!A137)</f>
        <v/>
      </c>
      <c r="B119" s="1" t="str">
        <f>IF(A119="","",VLOOKUP($A119,子基金及业绩基准周净值!$A:$AV,9))</f>
        <v/>
      </c>
      <c r="C119" s="8" t="str">
        <f t="shared" si="7"/>
        <v/>
      </c>
      <c r="D119" s="9" t="str">
        <f>IF(A119="","",C119-(子基金及业绩基准周净值!AG137/子基金及业绩基准周净值!AG136-1))</f>
        <v/>
      </c>
      <c r="E119" s="12" t="str">
        <f>IF(A119="","",(MAX(B$3:B119)-B119)/MAX(B$3:B119))</f>
        <v/>
      </c>
      <c r="F119" s="12" t="str">
        <f>IF(A119="","",MAX(E$4:E119))</f>
        <v/>
      </c>
      <c r="G119" s="17" t="str">
        <f>IF(A119="","",MAX(FREQUENCY(IF($D$3:D119&lt;0,ROW($D$3:D119)),IF($D$3:D119&gt;=0,ROW($D$3:D119)))))</f>
        <v/>
      </c>
      <c r="H119" s="14" t="str">
        <f t="shared" si="4"/>
        <v/>
      </c>
      <c r="I119" s="14" t="str">
        <f t="shared" si="5"/>
        <v/>
      </c>
      <c r="J119" s="15" t="str">
        <f t="shared" si="6"/>
        <v/>
      </c>
    </row>
    <row r="120" spans="1:10">
      <c r="A120" s="7" t="str">
        <f>IF(子基金及业绩基准周净值!A138="","",子基金及业绩基准周净值!A138)</f>
        <v/>
      </c>
      <c r="B120" s="1" t="str">
        <f>IF(A120="","",VLOOKUP($A120,子基金及业绩基准周净值!$A:$AV,9))</f>
        <v/>
      </c>
      <c r="C120" s="8" t="str">
        <f t="shared" si="7"/>
        <v/>
      </c>
      <c r="D120" s="9" t="str">
        <f>IF(A120="","",C120-(子基金及业绩基准周净值!AG138/子基金及业绩基准周净值!AG137-1))</f>
        <v/>
      </c>
      <c r="E120" s="12" t="str">
        <f>IF(A120="","",(MAX(B$3:B120)-B120)/MAX(B$3:B120))</f>
        <v/>
      </c>
      <c r="F120" s="12" t="str">
        <f>IF(A120="","",MAX(E$4:E120))</f>
        <v/>
      </c>
      <c r="G120" s="17" t="str">
        <f>IF(A120="","",MAX(FREQUENCY(IF($D$3:D120&lt;0,ROW($D$3:D120)),IF($D$3:D120&gt;=0,ROW($D$3:D120)))))</f>
        <v/>
      </c>
      <c r="H120" s="14" t="str">
        <f t="shared" si="4"/>
        <v/>
      </c>
      <c r="I120" s="14" t="str">
        <f t="shared" si="5"/>
        <v/>
      </c>
      <c r="J120" s="15" t="str">
        <f t="shared" si="6"/>
        <v/>
      </c>
    </row>
    <row r="121" spans="1:10">
      <c r="A121" s="7" t="str">
        <f>IF(子基金及业绩基准周净值!A139="","",子基金及业绩基准周净值!A139)</f>
        <v/>
      </c>
      <c r="B121" s="1" t="str">
        <f>IF(A121="","",VLOOKUP($A121,子基金及业绩基准周净值!$A:$AV,9))</f>
        <v/>
      </c>
      <c r="C121" s="8" t="str">
        <f t="shared" si="7"/>
        <v/>
      </c>
      <c r="D121" s="9" t="str">
        <f>IF(A121="","",C121-(子基金及业绩基准周净值!AG139/子基金及业绩基准周净值!AG138-1))</f>
        <v/>
      </c>
      <c r="E121" s="12" t="str">
        <f>IF(A121="","",(MAX(B$3:B121)-B121)/MAX(B$3:B121))</f>
        <v/>
      </c>
      <c r="F121" s="12" t="str">
        <f>IF(A121="","",MAX(E$4:E121))</f>
        <v/>
      </c>
      <c r="G121" s="17" t="str">
        <f>IF(A121="","",MAX(FREQUENCY(IF($D$3:D121&lt;0,ROW($D$3:D121)),IF($D$3:D121&gt;=0,ROW($D$3:D121)))))</f>
        <v/>
      </c>
      <c r="H121" s="14" t="str">
        <f t="shared" si="4"/>
        <v/>
      </c>
      <c r="I121" s="14" t="str">
        <f t="shared" si="5"/>
        <v/>
      </c>
      <c r="J121" s="15" t="str">
        <f t="shared" si="6"/>
        <v/>
      </c>
    </row>
    <row r="122" spans="1:10">
      <c r="A122" s="7" t="str">
        <f>IF(子基金及业绩基准周净值!A140="","",子基金及业绩基准周净值!A140)</f>
        <v/>
      </c>
      <c r="B122" s="1" t="str">
        <f>IF(A122="","",VLOOKUP($A122,子基金及业绩基准周净值!$A:$AV,9))</f>
        <v/>
      </c>
      <c r="C122" s="8" t="str">
        <f t="shared" si="7"/>
        <v/>
      </c>
      <c r="D122" s="9" t="str">
        <f>IF(A122="","",C122-(子基金及业绩基准周净值!AG140/子基金及业绩基准周净值!AG139-1))</f>
        <v/>
      </c>
      <c r="E122" s="12" t="str">
        <f>IF(A122="","",(MAX(B$3:B122)-B122)/MAX(B$3:B122))</f>
        <v/>
      </c>
      <c r="F122" s="12" t="str">
        <f>IF(A122="","",MAX(E$4:E122))</f>
        <v/>
      </c>
      <c r="G122" s="17" t="str">
        <f>IF(A122="","",MAX(FREQUENCY(IF($D$3:D122&lt;0,ROW($D$3:D122)),IF($D$3:D122&gt;=0,ROW($D$3:D122)))))</f>
        <v/>
      </c>
      <c r="H122" s="14" t="str">
        <f t="shared" si="4"/>
        <v/>
      </c>
      <c r="I122" s="14" t="str">
        <f t="shared" si="5"/>
        <v/>
      </c>
      <c r="J122" s="15" t="str">
        <f t="shared" si="6"/>
        <v/>
      </c>
    </row>
    <row r="123" spans="1:10">
      <c r="A123" s="7" t="str">
        <f>IF(子基金及业绩基准周净值!A141="","",子基金及业绩基准周净值!A141)</f>
        <v/>
      </c>
      <c r="B123" s="1" t="str">
        <f>IF(A123="","",VLOOKUP($A123,子基金及业绩基准周净值!$A:$AV,9))</f>
        <v/>
      </c>
      <c r="C123" s="8" t="str">
        <f t="shared" si="7"/>
        <v/>
      </c>
      <c r="D123" s="9" t="str">
        <f>IF(A123="","",C123-(子基金及业绩基准周净值!AG141/子基金及业绩基准周净值!AG140-1))</f>
        <v/>
      </c>
      <c r="E123" s="12" t="str">
        <f>IF(A123="","",(MAX(B$3:B123)-B123)/MAX(B$3:B123))</f>
        <v/>
      </c>
      <c r="F123" s="12" t="str">
        <f>IF(A123="","",MAX(E$4:E123))</f>
        <v/>
      </c>
      <c r="G123" s="17" t="str">
        <f>IF(A123="","",MAX(FREQUENCY(IF($D$3:D123&lt;0,ROW($D$3:D123)),IF($D$3:D123&gt;=0,ROW($D$3:D123)))))</f>
        <v/>
      </c>
      <c r="H123" s="14" t="str">
        <f t="shared" si="4"/>
        <v/>
      </c>
      <c r="I123" s="14" t="str">
        <f t="shared" si="5"/>
        <v/>
      </c>
      <c r="J123" s="15" t="str">
        <f t="shared" si="6"/>
        <v/>
      </c>
    </row>
    <row r="124" spans="1:10">
      <c r="A124" s="7" t="str">
        <f>IF(子基金及业绩基准周净值!A142="","",子基金及业绩基准周净值!A142)</f>
        <v/>
      </c>
      <c r="B124" s="1" t="str">
        <f>IF(A124="","",VLOOKUP($A124,子基金及业绩基准周净值!$A:$AV,9))</f>
        <v/>
      </c>
      <c r="C124" s="8" t="str">
        <f t="shared" si="7"/>
        <v/>
      </c>
      <c r="D124" s="9" t="str">
        <f>IF(A124="","",C124-(子基金及业绩基准周净值!AG142/子基金及业绩基准周净值!AG141-1))</f>
        <v/>
      </c>
      <c r="E124" s="12" t="str">
        <f>IF(A124="","",(MAX(B$3:B124)-B124)/MAX(B$3:B124))</f>
        <v/>
      </c>
      <c r="F124" s="12" t="str">
        <f>IF(A124="","",MAX(E$4:E124))</f>
        <v/>
      </c>
      <c r="G124" s="17" t="str">
        <f>IF(A124="","",MAX(FREQUENCY(IF($D$3:D124&lt;0,ROW($D$3:D124)),IF($D$3:D124&gt;=0,ROW($D$3:D124)))))</f>
        <v/>
      </c>
      <c r="H124" s="14" t="str">
        <f t="shared" si="4"/>
        <v/>
      </c>
      <c r="I124" s="14" t="str">
        <f t="shared" si="5"/>
        <v/>
      </c>
      <c r="J124" s="15" t="str">
        <f t="shared" si="6"/>
        <v/>
      </c>
    </row>
    <row r="125" spans="1:10">
      <c r="A125" s="7" t="str">
        <f>IF(子基金及业绩基准周净值!A143="","",子基金及业绩基准周净值!A143)</f>
        <v/>
      </c>
      <c r="B125" s="1" t="str">
        <f>IF(A125="","",VLOOKUP($A125,子基金及业绩基准周净值!$A:$AV,9))</f>
        <v/>
      </c>
      <c r="C125" s="8" t="str">
        <f t="shared" si="7"/>
        <v/>
      </c>
      <c r="D125" s="9" t="str">
        <f>IF(A125="","",C125-(子基金及业绩基准周净值!AG143/子基金及业绩基准周净值!AG142-1))</f>
        <v/>
      </c>
      <c r="E125" s="12" t="str">
        <f>IF(A125="","",(MAX(B$3:B125)-B125)/MAX(B$3:B125))</f>
        <v/>
      </c>
      <c r="F125" s="12" t="str">
        <f>IF(A125="","",MAX(E$4:E125))</f>
        <v/>
      </c>
      <c r="G125" s="17" t="str">
        <f>IF(A125="","",MAX(FREQUENCY(IF($D$3:D125&lt;0,ROW($D$3:D125)),IF($D$3:D125&gt;=0,ROW($D$3:D125)))))</f>
        <v/>
      </c>
      <c r="H125" s="14" t="str">
        <f t="shared" si="4"/>
        <v/>
      </c>
      <c r="I125" s="14" t="str">
        <f t="shared" si="5"/>
        <v/>
      </c>
      <c r="J125" s="15" t="str">
        <f t="shared" si="6"/>
        <v/>
      </c>
    </row>
    <row r="126" spans="1:10">
      <c r="A126" s="7" t="str">
        <f>IF(子基金及业绩基准周净值!A144="","",子基金及业绩基准周净值!A144)</f>
        <v/>
      </c>
      <c r="B126" s="1" t="str">
        <f>IF(A126="","",VLOOKUP($A126,子基金及业绩基准周净值!$A:$AV,9))</f>
        <v/>
      </c>
      <c r="C126" s="8" t="str">
        <f t="shared" si="7"/>
        <v/>
      </c>
      <c r="D126" s="9" t="str">
        <f>IF(A126="","",C126-(子基金及业绩基准周净值!AG144/子基金及业绩基准周净值!AG143-1))</f>
        <v/>
      </c>
      <c r="E126" s="12" t="str">
        <f>IF(A126="","",(MAX(B$3:B126)-B126)/MAX(B$3:B126))</f>
        <v/>
      </c>
      <c r="F126" s="12" t="str">
        <f>IF(A126="","",MAX(E$4:E126))</f>
        <v/>
      </c>
      <c r="G126" s="17" t="str">
        <f>IF(A126="","",MAX(FREQUENCY(IF($D$3:D126&lt;0,ROW($D$3:D126)),IF($D$3:D126&gt;=0,ROW($D$3:D126)))))</f>
        <v/>
      </c>
      <c r="H126" s="14" t="str">
        <f t="shared" si="4"/>
        <v/>
      </c>
      <c r="I126" s="14" t="str">
        <f t="shared" si="5"/>
        <v/>
      </c>
      <c r="J126" s="15" t="str">
        <f t="shared" si="6"/>
        <v/>
      </c>
    </row>
    <row r="127" spans="1:10">
      <c r="A127" s="7" t="str">
        <f>IF(子基金及业绩基准周净值!A145="","",子基金及业绩基准周净值!A145)</f>
        <v/>
      </c>
      <c r="B127" s="1" t="str">
        <f>IF(A127="","",VLOOKUP($A127,子基金及业绩基准周净值!$A:$AV,9))</f>
        <v/>
      </c>
      <c r="C127" s="8" t="str">
        <f t="shared" si="7"/>
        <v/>
      </c>
      <c r="D127" s="9" t="str">
        <f>IF(A127="","",C127-(子基金及业绩基准周净值!AG145/子基金及业绩基准周净值!AG144-1))</f>
        <v/>
      </c>
      <c r="E127" s="12" t="str">
        <f>IF(A127="","",(MAX(B$3:B127)-B127)/MAX(B$3:B127))</f>
        <v/>
      </c>
      <c r="F127" s="12" t="str">
        <f>IF(A127="","",MAX(E$4:E127))</f>
        <v/>
      </c>
      <c r="G127" s="17" t="str">
        <f>IF(A127="","",MAX(FREQUENCY(IF($D$3:D127&lt;0,ROW($D$3:D127)),IF($D$3:D127&gt;=0,ROW($D$3:D127)))))</f>
        <v/>
      </c>
      <c r="H127" s="14" t="str">
        <f t="shared" si="4"/>
        <v/>
      </c>
      <c r="I127" s="14" t="str">
        <f t="shared" si="5"/>
        <v/>
      </c>
      <c r="J127" s="15" t="str">
        <f t="shared" si="6"/>
        <v/>
      </c>
    </row>
  </sheetData>
  <conditionalFormatting sqref="J3:J127">
    <cfRule type="containsText" dxfId="0" priority="1" operator="between" text="是">
      <formula>NOT(ISERROR(SEARCH("是",J3)))</formula>
    </cfRule>
  </conditionalFormatting>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K308"/>
  <sheetViews>
    <sheetView topLeftCell="A3" workbookViewId="0">
      <selection activeCell="I33" sqref="I33"/>
    </sheetView>
  </sheetViews>
  <sheetFormatPr defaultColWidth="9" defaultRowHeight="16.8"/>
  <cols>
    <col min="1" max="1" width="11.125" customWidth="1"/>
    <col min="2" max="2" width="21.375" customWidth="1"/>
    <col min="3" max="3" width="9.375" customWidth="1"/>
    <col min="4" max="4" width="9.375" style="2" customWidth="1"/>
    <col min="5" max="5" width="7.25" customWidth="1"/>
    <col min="6" max="6" width="9.375" customWidth="1"/>
    <col min="7" max="7" width="15.875" customWidth="1"/>
    <col min="8" max="9" width="20.375" customWidth="1"/>
    <col min="10" max="10" width="14.75" customWidth="1"/>
    <col min="11" max="11" width="5.25" customWidth="1"/>
  </cols>
  <sheetData>
    <row r="1" s="1" customFormat="1" spans="1:11">
      <c r="A1" s="1">
        <v>1</v>
      </c>
      <c r="B1" s="1">
        <v>2</v>
      </c>
      <c r="C1" s="1">
        <v>3</v>
      </c>
      <c r="D1" s="3">
        <v>4</v>
      </c>
      <c r="F1" s="1">
        <v>5</v>
      </c>
      <c r="G1" s="1">
        <v>6</v>
      </c>
      <c r="H1" s="1">
        <v>7</v>
      </c>
      <c r="I1" s="1">
        <v>8</v>
      </c>
      <c r="J1" s="1">
        <v>9</v>
      </c>
      <c r="K1" s="1">
        <v>10</v>
      </c>
    </row>
    <row r="2" s="1" customFormat="1" ht="16.5" customHeight="1" spans="1:11">
      <c r="A2" s="4" t="s">
        <v>2</v>
      </c>
      <c r="B2" s="4" t="s">
        <v>56</v>
      </c>
      <c r="C2" s="5" t="s">
        <v>310</v>
      </c>
      <c r="D2" s="6" t="s">
        <v>311</v>
      </c>
      <c r="F2" s="5" t="s">
        <v>22</v>
      </c>
      <c r="G2" s="10" t="s">
        <v>312</v>
      </c>
      <c r="H2" s="11" t="s">
        <v>313</v>
      </c>
      <c r="I2" s="11" t="s">
        <v>314</v>
      </c>
      <c r="J2" s="11" t="s">
        <v>315</v>
      </c>
      <c r="K2" s="5" t="s">
        <v>316</v>
      </c>
    </row>
    <row r="3" spans="1:2">
      <c r="A3" s="7">
        <f>IF(子基金及业绩基准周净值!A43="","",子基金及业绩基准周净值!A43)</f>
        <v>45744</v>
      </c>
      <c r="B3" s="1">
        <f>IF(A3="","",VLOOKUP($A3,子基金及业绩基准周净值!$A:$AV,19))</f>
        <v>0.9999</v>
      </c>
    </row>
    <row r="4" spans="1:10">
      <c r="A4" s="7">
        <f>IF(子基金及业绩基准周净值!A44="","",子基金及业绩基准周净值!A44)</f>
        <v>45750</v>
      </c>
      <c r="B4" s="1">
        <f>IF(A4="","",VLOOKUP($A4,子基金及业绩基准周净值!$A:$AV,19))</f>
        <v>1</v>
      </c>
      <c r="C4" s="8">
        <f>IF(A4="","",(B4-B3)/B3)</f>
        <v>0.000100010001000089</v>
      </c>
      <c r="D4" s="9">
        <f>IF(A4="","",C4-(子基金及业绩基准周净值!AH44/子基金及业绩基准周净值!AH43-1))</f>
        <v>-0.0013585032924716</v>
      </c>
      <c r="E4" s="12">
        <f>IF(A4="","",(MAX(B$3:B4)-B4)/MAX(B$3:B4))</f>
        <v>0</v>
      </c>
      <c r="F4" s="12">
        <f>IF(A4="","",MAX(E$4:E4))</f>
        <v>0</v>
      </c>
      <c r="G4" s="13">
        <v>1</v>
      </c>
      <c r="H4" s="14" t="str">
        <f>IF(B4="","",IF(C4&lt;-3%,"是","否"))</f>
        <v>否</v>
      </c>
      <c r="I4" s="14" t="str">
        <f>IF(A4="","",IF(F4&gt;5%,"是","否"))</f>
        <v>否</v>
      </c>
      <c r="J4" s="15" t="str">
        <f>IF(A4="","",IF(G4&gt;=4,"是","否"))</f>
        <v>否</v>
      </c>
    </row>
    <row r="5" spans="1:10">
      <c r="A5" s="7">
        <f>IF(子基金及业绩基准周净值!A45="","",子基金及业绩基准周净值!A45)</f>
        <v>45758</v>
      </c>
      <c r="B5" s="1">
        <f>IF(A5="","",VLOOKUP($A5,子基金及业绩基准周净值!$A:$AV,19))</f>
        <v>0.9955</v>
      </c>
      <c r="C5" s="8">
        <f t="shared" ref="C5:C68" si="0">IF(A5="","",(B5-B4)/B4)</f>
        <v>-0.00449999999999995</v>
      </c>
      <c r="D5" s="9">
        <f>IF(A5="","",C5-(子基金及业绩基准周净值!AH45/子基金及业绩基准周净值!AH44-1))</f>
        <v>0.00166896602555167</v>
      </c>
      <c r="E5" s="12">
        <f>IF(A5="","",(MAX(B$3:B5)-B5)/MAX(B$3:B5))</f>
        <v>0.00449999999999995</v>
      </c>
      <c r="F5" s="12">
        <f>IF(A5="","",MAX(E$4:E5))</f>
        <v>0.00449999999999995</v>
      </c>
      <c r="G5" s="13">
        <v>0</v>
      </c>
      <c r="H5" s="14" t="str">
        <f t="shared" ref="H5:H68" si="1">IF(B5="","",IF(C5&lt;-3%,"是","否"))</f>
        <v>否</v>
      </c>
      <c r="I5" s="14" t="str">
        <f t="shared" ref="I5:I68" si="2">IF(A5="","",IF(F5&gt;5%,"是","否"))</f>
        <v>否</v>
      </c>
      <c r="J5" s="15" t="str">
        <f t="shared" ref="J5:J68" si="3">IF(A5="","",IF(G5&gt;=4,"是","否"))</f>
        <v>否</v>
      </c>
    </row>
    <row r="6" spans="1:10">
      <c r="A6" s="7">
        <f>IF(子基金及业绩基准周净值!A46="","",子基金及业绩基准周净值!A46)</f>
        <v>45765</v>
      </c>
      <c r="B6" s="1">
        <f>IF(A6="","",VLOOKUP($A6,子基金及业绩基准周净值!$A:$AV,19))</f>
        <v>0.9927</v>
      </c>
      <c r="C6" s="8">
        <f t="shared" si="0"/>
        <v>-0.00281265695630339</v>
      </c>
      <c r="D6" s="9">
        <f>IF(A6="","",C6-(子基金及业绩基准周净值!AH46/子基金及业绩基准周净值!AH45-1))</f>
        <v>-0.0070819353921363</v>
      </c>
      <c r="E6" s="12">
        <f>IF(A6="","",(MAX(B$3:B6)-B6)/MAX(B$3:B6))</f>
        <v>0.00729999999999997</v>
      </c>
      <c r="F6" s="12">
        <f>IF(A6="","",MAX(E$4:E6))</f>
        <v>0.00729999999999997</v>
      </c>
      <c r="G6" s="13">
        <v>1</v>
      </c>
      <c r="H6" s="14" t="str">
        <f t="shared" si="1"/>
        <v>否</v>
      </c>
      <c r="I6" s="14" t="str">
        <f t="shared" si="2"/>
        <v>否</v>
      </c>
      <c r="J6" s="15" t="str">
        <f t="shared" si="3"/>
        <v>否</v>
      </c>
    </row>
    <row r="7" spans="1:10">
      <c r="A7" s="7">
        <f>IF(子基金及业绩基准周净值!A47="","",子基金及业绩基准周净值!A47)</f>
        <v>45772</v>
      </c>
      <c r="B7" s="1">
        <f>IF(A7="","",VLOOKUP($A7,子基金及业绩基准周净值!$A:$AV,19))</f>
        <v>0.9901</v>
      </c>
      <c r="C7" s="8">
        <f t="shared" si="0"/>
        <v>-0.00261911957288209</v>
      </c>
      <c r="D7" s="9">
        <f>IF(A7="","",C7-(子基金及业绩基准周净值!AH47/子基金及业绩基准周净值!AH46-1))</f>
        <v>-0.00500123727241942</v>
      </c>
      <c r="E7" s="12">
        <f>IF(A7="","",(MAX(B$3:B7)-B7)/MAX(B$3:B7))</f>
        <v>0.00990000000000002</v>
      </c>
      <c r="F7" s="12">
        <f>IF(A7="","",MAX(E$4:E7))</f>
        <v>0.00990000000000002</v>
      </c>
      <c r="G7" s="13">
        <v>2</v>
      </c>
      <c r="H7" s="14" t="str">
        <f t="shared" si="1"/>
        <v>否</v>
      </c>
      <c r="I7" s="14" t="str">
        <f t="shared" si="2"/>
        <v>否</v>
      </c>
      <c r="J7" s="15" t="str">
        <f t="shared" si="3"/>
        <v>否</v>
      </c>
    </row>
    <row r="8" spans="1:10">
      <c r="A8" s="7">
        <f>IF(子基金及业绩基准周净值!A48="","",子基金及业绩基准周净值!A48)</f>
        <v>45786</v>
      </c>
      <c r="B8" s="1">
        <f>IF(A8="","",VLOOKUP($A8,子基金及业绩基准周净值!$A:$AV,19))</f>
        <v>0.99</v>
      </c>
      <c r="C8" s="8">
        <f t="shared" si="0"/>
        <v>-0.00010099989900009</v>
      </c>
      <c r="D8" s="9">
        <f>IF(A8="","",C8-(子基金及业绩基准周净值!AH48/子基金及业绩基准周净值!AH47-1))</f>
        <v>-0.00677086600150384</v>
      </c>
      <c r="E8" s="12">
        <f>IF(A8="","",(MAX(B$3:B8)-B8)/MAX(B$3:B8))</f>
        <v>0.01</v>
      </c>
      <c r="F8" s="12">
        <f>IF(A8="","",MAX(E$4:E8))</f>
        <v>0.01</v>
      </c>
      <c r="G8" s="13">
        <v>3</v>
      </c>
      <c r="H8" s="14" t="str">
        <f t="shared" si="1"/>
        <v>否</v>
      </c>
      <c r="I8" s="14" t="str">
        <f t="shared" si="2"/>
        <v>否</v>
      </c>
      <c r="J8" s="15" t="str">
        <f t="shared" si="3"/>
        <v>否</v>
      </c>
    </row>
    <row r="9" spans="1:10">
      <c r="A9" s="7">
        <f>IF(子基金及业绩基准周净值!A49="","",子基金及业绩基准周净值!A49)</f>
        <v>45793</v>
      </c>
      <c r="B9" s="1">
        <f>IF(A9="","",VLOOKUP($A9,子基金及业绩基准周净值!$A:$AV,19))</f>
        <v>0.9865</v>
      </c>
      <c r="C9" s="8">
        <f t="shared" si="0"/>
        <v>-0.00353535353535348</v>
      </c>
      <c r="D9" s="9">
        <f>IF(A9="","",C9-(子基金及业绩基准周净值!AH49/子基金及业绩基准周净值!AH48-1))</f>
        <v>-0.0134617553195932</v>
      </c>
      <c r="E9" s="12">
        <f>IF(A9="","",(MAX(B$3:B9)-B9)/MAX(B$3:B9))</f>
        <v>0.0135</v>
      </c>
      <c r="F9" s="12">
        <f>IF(A9="","",MAX(E$4:E9))</f>
        <v>0.0135</v>
      </c>
      <c r="G9" s="13">
        <v>4</v>
      </c>
      <c r="H9" s="14" t="str">
        <f t="shared" si="1"/>
        <v>否</v>
      </c>
      <c r="I9" s="14" t="str">
        <f t="shared" si="2"/>
        <v>否</v>
      </c>
      <c r="J9" s="15" t="str">
        <f t="shared" si="3"/>
        <v>是</v>
      </c>
    </row>
    <row r="10" spans="1:10">
      <c r="A10" s="7">
        <f>IF(子基金及业绩基准周净值!A50="","",子基金及业绩基准周净值!A50)</f>
        <v>45800</v>
      </c>
      <c r="B10" s="1">
        <f>IF(A10="","",VLOOKUP($A10,子基金及业绩基准周净值!$A:$AV,19))</f>
        <v>0.9833</v>
      </c>
      <c r="C10" s="8">
        <f t="shared" si="0"/>
        <v>-0.00324379118094282</v>
      </c>
      <c r="D10" s="9">
        <f>IF(A10="","",C10-(子基金及业绩基准周净值!AH50/子基金及业绩基准周净值!AH49-1))</f>
        <v>0.00386453887598653</v>
      </c>
      <c r="E10" s="12">
        <f>IF(A10="","",(MAX(B$3:B10)-B10)/MAX(B$3:B10))</f>
        <v>0.0167</v>
      </c>
      <c r="F10" s="12">
        <f>IF(A10="","",MAX(E$4:E10))</f>
        <v>0.0167</v>
      </c>
      <c r="G10" s="13">
        <v>0</v>
      </c>
      <c r="H10" s="14" t="str">
        <f t="shared" si="1"/>
        <v>否</v>
      </c>
      <c r="I10" s="14" t="str">
        <f t="shared" si="2"/>
        <v>否</v>
      </c>
      <c r="J10" s="15" t="str">
        <f t="shared" si="3"/>
        <v>否</v>
      </c>
    </row>
    <row r="11" spans="1:10">
      <c r="A11" s="7">
        <f>IF(子基金及业绩基准周净值!A51="","",子基金及业绩基准周净值!A51)</f>
        <v>45807</v>
      </c>
      <c r="B11" s="1">
        <f>IF(A11="","",VLOOKUP($A11,子基金及业绩基准周净值!$A:$AV,19))</f>
        <v>0.9827</v>
      </c>
      <c r="C11" s="8">
        <f t="shared" si="0"/>
        <v>-0.0006101901759381</v>
      </c>
      <c r="D11" s="9">
        <f>IF(A11="","",C11-(子基金及业绩基准周净值!AH51/子基金及业绩基准周净值!AH50-1))</f>
        <v>-0.00207317768426662</v>
      </c>
      <c r="E11" s="12">
        <f>IF(A11="","",(MAX(B$3:B11)-B11)/MAX(B$3:B11))</f>
        <v>0.0173</v>
      </c>
      <c r="F11" s="12">
        <f>IF(A11="","",MAX(E$4:E11))</f>
        <v>0.0173</v>
      </c>
      <c r="G11" s="13">
        <v>1</v>
      </c>
      <c r="H11" s="14" t="str">
        <f t="shared" si="1"/>
        <v>否</v>
      </c>
      <c r="I11" s="14" t="str">
        <f t="shared" si="2"/>
        <v>否</v>
      </c>
      <c r="J11" s="15" t="str">
        <f t="shared" si="3"/>
        <v>否</v>
      </c>
    </row>
    <row r="12" spans="1:10">
      <c r="A12" s="7">
        <f>IF(子基金及业绩基准周净值!A52="","",子基金及业绩基准周净值!A52)</f>
        <v>45814</v>
      </c>
      <c r="B12" s="1">
        <f>IF(A12="","",VLOOKUP($A12,子基金及业绩基准周净值!$A:$AV,19))</f>
        <v>0.982</v>
      </c>
      <c r="C12" s="8">
        <f t="shared" si="0"/>
        <v>-0.000712323191207931</v>
      </c>
      <c r="D12" s="9">
        <f>IF(A12="","",C12-(子基金及业绩基准周净值!AH52/子基金及业绩基准周净值!AH51-1))</f>
        <v>-0.00417461539848039</v>
      </c>
      <c r="E12" s="12">
        <f>IF(A12="","",(MAX(B$3:B12)-B12)/MAX(B$3:B12))</f>
        <v>0.018</v>
      </c>
      <c r="F12" s="12">
        <f>IF(A12="","",MAX(E$4:E12))</f>
        <v>0.018</v>
      </c>
      <c r="G12" s="13">
        <v>2</v>
      </c>
      <c r="H12" s="14" t="str">
        <f t="shared" si="1"/>
        <v>否</v>
      </c>
      <c r="I12" s="14" t="str">
        <f t="shared" si="2"/>
        <v>否</v>
      </c>
      <c r="J12" s="15" t="str">
        <f t="shared" si="3"/>
        <v>否</v>
      </c>
    </row>
    <row r="13" spans="1:10">
      <c r="A13" s="7">
        <f>IF(子基金及业绩基准周净值!A53="","",子基金及业绩基准周净值!A53)</f>
        <v>45821</v>
      </c>
      <c r="B13" s="1">
        <f>IF(A13="","",VLOOKUP($A13,子基金及业绩基准周净值!$A:$AV,19))</f>
        <v>0.9812</v>
      </c>
      <c r="C13" s="8">
        <f t="shared" si="0"/>
        <v>-0.000814663951120186</v>
      </c>
      <c r="D13" s="9">
        <f>IF(A13="","",C13-(子基金及业绩基准周净值!AH53/子基金及业绩基准周净值!AH52-1))</f>
        <v>-0.000984548552576136</v>
      </c>
      <c r="E13" s="12">
        <f>IF(A13="","",(MAX(B$3:B13)-B13)/MAX(B$3:B13))</f>
        <v>0.0188</v>
      </c>
      <c r="F13" s="12">
        <f>IF(A13="","",MAX(E$4:E13))</f>
        <v>0.0188</v>
      </c>
      <c r="G13" s="13">
        <v>3</v>
      </c>
      <c r="H13" s="14" t="str">
        <f t="shared" si="1"/>
        <v>否</v>
      </c>
      <c r="I13" s="14" t="str">
        <f t="shared" si="2"/>
        <v>否</v>
      </c>
      <c r="J13" s="15" t="str">
        <f t="shared" si="3"/>
        <v>否</v>
      </c>
    </row>
    <row r="14" spans="1:10">
      <c r="A14" s="7">
        <f>IF(子基金及业绩基准周净值!A54="","",子基金及业绩基准周净值!A54)</f>
        <v>45828</v>
      </c>
      <c r="B14" s="1">
        <f>IF(A14="","",VLOOKUP($A14,子基金及业绩基准周净值!$A:$AV,19))</f>
        <v>0.979</v>
      </c>
      <c r="C14" s="8">
        <f t="shared" si="0"/>
        <v>-0.00224215246636769</v>
      </c>
      <c r="D14" s="9">
        <f>IF(A14="","",C14-(子基金及业绩基准周净值!AH54/子基金及业绩基准周净值!AH53-1))</f>
        <v>-0.00116713894973106</v>
      </c>
      <c r="E14" s="12">
        <f>IF(A14="","",(MAX(B$3:B14)-B14)/MAX(B$3:B14))</f>
        <v>0.021</v>
      </c>
      <c r="F14" s="12">
        <f>IF(A14="","",MAX(E$4:E14))</f>
        <v>0.021</v>
      </c>
      <c r="G14" s="13">
        <v>4</v>
      </c>
      <c r="H14" s="14" t="str">
        <f t="shared" si="1"/>
        <v>否</v>
      </c>
      <c r="I14" s="14" t="str">
        <f t="shared" si="2"/>
        <v>否</v>
      </c>
      <c r="J14" s="15" t="str">
        <f t="shared" si="3"/>
        <v>是</v>
      </c>
    </row>
    <row r="15" spans="1:10">
      <c r="A15" s="7">
        <f>IF(子基金及业绩基准周净值!A55="","",子基金及业绩基准周净值!A55)</f>
        <v>45835</v>
      </c>
      <c r="B15" s="1">
        <f>IF(A15="","",VLOOKUP($A15,子基金及业绩基准周净值!$A:$AV,19))</f>
        <v>0.9823</v>
      </c>
      <c r="C15" s="8">
        <f t="shared" si="0"/>
        <v>0.0033707865168539</v>
      </c>
      <c r="D15" s="9">
        <f>IF(A15="","",C15-(子基金及业绩基准周净值!AH55/子基金及业绩基准周净值!AH54-1))</f>
        <v>-0.000765550587241765</v>
      </c>
      <c r="E15" s="12">
        <f>IF(A15="","",(MAX(B$3:B15)-B15)/MAX(B$3:B15))</f>
        <v>0.0177</v>
      </c>
      <c r="F15" s="12">
        <f>IF(A15="","",MAX(E$4:E15))</f>
        <v>0.021</v>
      </c>
      <c r="G15" s="13">
        <v>5</v>
      </c>
      <c r="H15" s="14" t="str">
        <f t="shared" si="1"/>
        <v>否</v>
      </c>
      <c r="I15" s="14" t="str">
        <f t="shared" si="2"/>
        <v>否</v>
      </c>
      <c r="J15" s="15" t="str">
        <f t="shared" si="3"/>
        <v>是</v>
      </c>
    </row>
    <row r="16" spans="1:10">
      <c r="A16" s="7">
        <f>IF(子基金及业绩基准周净值!A56="","",子基金及业绩基准周净值!A56)</f>
        <v>45842</v>
      </c>
      <c r="B16" s="1">
        <f>IF(A16="","",VLOOKUP($A16,子基金及业绩基准周净值!$A:$AV,19))</f>
        <v>0.9827</v>
      </c>
      <c r="C16" s="8">
        <f t="shared" si="0"/>
        <v>0.000407207574060946</v>
      </c>
      <c r="D16" s="9">
        <f>IF(A16="","",C16-(子基金及业绩基准周净值!AH56/子基金及业绩基准周净值!AH55-1))</f>
        <v>-0.00426179286178711</v>
      </c>
      <c r="E16" s="12">
        <f>IF(A16="","",(MAX(B$3:B16)-B16)/MAX(B$3:B16))</f>
        <v>0.0173</v>
      </c>
      <c r="F16" s="12">
        <f>IF(A16="","",MAX(E$4:E16))</f>
        <v>0.021</v>
      </c>
      <c r="G16" s="13">
        <v>6</v>
      </c>
      <c r="H16" s="14" t="str">
        <f t="shared" si="1"/>
        <v>否</v>
      </c>
      <c r="I16" s="14" t="str">
        <f t="shared" si="2"/>
        <v>否</v>
      </c>
      <c r="J16" s="15" t="str">
        <f t="shared" si="3"/>
        <v>是</v>
      </c>
    </row>
    <row r="17" spans="1:10">
      <c r="A17" s="7">
        <f>IF(子基金及业绩基准周净值!A57="","",子基金及业绩基准周净值!A57)</f>
        <v>45849</v>
      </c>
      <c r="B17" s="1">
        <f>IF(A17="","",VLOOKUP($A17,子基金及业绩基准周净值!$A:$AV,19))</f>
        <v>0.9841</v>
      </c>
      <c r="C17" s="8">
        <f t="shared" si="0"/>
        <v>0.00142464638241575</v>
      </c>
      <c r="D17" s="9">
        <f>IF(A17="","",C17-(子基金及业绩基准周净值!AH57/子基金及业绩基准周净值!AH56-1))</f>
        <v>-0.00113142019158812</v>
      </c>
      <c r="E17" s="12">
        <f>IF(A17="","",(MAX(B$3:B17)-B17)/MAX(B$3:B17))</f>
        <v>0.0159</v>
      </c>
      <c r="F17" s="12">
        <f>IF(A17="","",MAX(E$4:E17))</f>
        <v>0.021</v>
      </c>
      <c r="G17" s="13">
        <v>7</v>
      </c>
      <c r="H17" s="14" t="str">
        <f t="shared" si="1"/>
        <v>否</v>
      </c>
      <c r="I17" s="14" t="str">
        <f t="shared" si="2"/>
        <v>否</v>
      </c>
      <c r="J17" s="15" t="str">
        <f t="shared" si="3"/>
        <v>是</v>
      </c>
    </row>
    <row r="18" spans="1:10">
      <c r="A18" s="7">
        <f>IF(子基金及业绩基准周净值!A58="","",子基金及业绩基准周净值!A58)</f>
        <v>45856</v>
      </c>
      <c r="B18" s="1">
        <f>IF(A18="","",VLOOKUP($A18,子基金及业绩基准周净值!$A:$AV,19))</f>
        <v>0.9822</v>
      </c>
      <c r="C18" s="8">
        <f t="shared" si="0"/>
        <v>-0.00193069809978662</v>
      </c>
      <c r="D18" s="9">
        <f>IF(A18="","",C18-(子基金及业绩基准周净值!AH58/子基金及业绩基准周净值!AH57-1))</f>
        <v>-0.00619391748735197</v>
      </c>
      <c r="E18" s="12">
        <f>IF(A18="","",(MAX(B$3:B18)-B18)/MAX(B$3:B18))</f>
        <v>0.0178</v>
      </c>
      <c r="F18" s="12">
        <f>IF(A18="","",MAX(E$4:E18))</f>
        <v>0.021</v>
      </c>
      <c r="G18" s="13">
        <v>8</v>
      </c>
      <c r="H18" s="14" t="str">
        <f t="shared" si="1"/>
        <v>否</v>
      </c>
      <c r="I18" s="14" t="str">
        <f t="shared" si="2"/>
        <v>否</v>
      </c>
      <c r="J18" s="15" t="str">
        <f t="shared" si="3"/>
        <v>是</v>
      </c>
    </row>
    <row r="19" spans="1:10">
      <c r="A19" s="7">
        <f>IF(子基金及业绩基准周净值!A59="","",子基金及业绩基准周净值!A59)</f>
        <v>45863</v>
      </c>
      <c r="B19" s="1">
        <f>IF(A19="","",VLOOKUP($A19,子基金及业绩基准周净值!$A:$AV,19))</f>
        <v>0.9837</v>
      </c>
      <c r="C19" s="8">
        <f t="shared" si="0"/>
        <v>0.00152718387293836</v>
      </c>
      <c r="D19" s="9">
        <f>IF(A19="","",C19-(子基金及业绩基准周净值!AH59/子基金及业绩基准周净值!AH58-1))</f>
        <v>0.00156454206884292</v>
      </c>
      <c r="E19" s="12">
        <f>IF(A19="","",(MAX(B$3:B19)-B19)/MAX(B$3:B19))</f>
        <v>0.0163</v>
      </c>
      <c r="F19" s="12">
        <f>IF(A19="","",MAX(E$4:E19))</f>
        <v>0.021</v>
      </c>
      <c r="G19" s="13">
        <v>0</v>
      </c>
      <c r="H19" s="14" t="str">
        <f t="shared" si="1"/>
        <v>否</v>
      </c>
      <c r="I19" s="14" t="str">
        <f t="shared" si="2"/>
        <v>否</v>
      </c>
      <c r="J19" s="15" t="str">
        <f t="shared" si="3"/>
        <v>否</v>
      </c>
    </row>
    <row r="20" spans="1:10">
      <c r="A20" s="7">
        <f>IF(子基金及业绩基准周净值!A60="","",子基金及业绩基准周净值!A60)</f>
        <v>45870</v>
      </c>
      <c r="B20" s="1">
        <f>IF(A20="","",VLOOKUP($A20,子基金及业绩基准周净值!$A:$AV,19))</f>
        <v>0.9938</v>
      </c>
      <c r="C20" s="8">
        <f t="shared" si="0"/>
        <v>0.0102673579343296</v>
      </c>
      <c r="D20" s="9">
        <f>IF(A20="","",C20-(子基金及业绩基准周净值!AH60/子基金及业绩基准周净值!AH59-1))</f>
        <v>0.00651605465720765</v>
      </c>
      <c r="E20" s="12">
        <f>IF(A20="","",(MAX(B$3:B20)-B20)/MAX(B$3:B20))</f>
        <v>0.00619999999999998</v>
      </c>
      <c r="F20" s="12">
        <f>IF(A20="","",MAX(E$4:E20))</f>
        <v>0.021</v>
      </c>
      <c r="G20" s="13">
        <v>0</v>
      </c>
      <c r="H20" s="14" t="str">
        <f t="shared" si="1"/>
        <v>否</v>
      </c>
      <c r="I20" s="14" t="str">
        <f t="shared" si="2"/>
        <v>否</v>
      </c>
      <c r="J20" s="15" t="str">
        <f t="shared" si="3"/>
        <v>否</v>
      </c>
    </row>
    <row r="21" spans="1:10">
      <c r="A21" s="7">
        <f>IF(子基金及业绩基准周净值!A61="","",子基金及业绩基准周净值!A61)</f>
        <v>45877</v>
      </c>
      <c r="B21" s="1">
        <f>IF(A21="","",VLOOKUP($A21,子基金及业绩基准周净值!$A:$AV,19))</f>
        <v>0.9909</v>
      </c>
      <c r="C21" s="8">
        <f t="shared" si="0"/>
        <v>-0.00291809217146308</v>
      </c>
      <c r="D21" s="9">
        <f>IF(A21="","",C21-(子基金及业绩基准周净值!AH61/子基金及业绩基准周净值!AH60-1))</f>
        <v>-0.00898206687192824</v>
      </c>
      <c r="E21" s="12">
        <f>IF(A21="","",(MAX(B$3:B21)-B21)/MAX(B$3:B21))</f>
        <v>0.0091</v>
      </c>
      <c r="F21" s="12">
        <f>IF(A21="","",MAX(E$4:E21))</f>
        <v>0.021</v>
      </c>
      <c r="G21" s="13">
        <v>1</v>
      </c>
      <c r="H21" s="14" t="str">
        <f t="shared" si="1"/>
        <v>否</v>
      </c>
      <c r="I21" s="14" t="str">
        <f t="shared" si="2"/>
        <v>否</v>
      </c>
      <c r="J21" s="15" t="str">
        <f t="shared" si="3"/>
        <v>否</v>
      </c>
    </row>
    <row r="22" spans="1:10">
      <c r="A22" s="7">
        <f>IF(子基金及业绩基准周净值!A62="","",子基金及业绩基准周净值!A62)</f>
        <v>45884</v>
      </c>
      <c r="B22" s="1">
        <f>IF(A22="","",VLOOKUP($A22,子基金及业绩基准周净值!$A:$AV,19))</f>
        <v>0.9924</v>
      </c>
      <c r="C22" s="8">
        <f t="shared" si="0"/>
        <v>0.00151377535573715</v>
      </c>
      <c r="D22" s="9">
        <f>IF(A22="","",C22-(子基金及业绩基准周净值!AH62/子基金及业绩基准周净值!AH61-1))</f>
        <v>-0.000951315250702248</v>
      </c>
      <c r="E22" s="12">
        <f>IF(A22="","",(MAX(B$3:B22)-B22)/MAX(B$3:B22))</f>
        <v>0.00760000000000005</v>
      </c>
      <c r="F22" s="12">
        <f>IF(A22="","",MAX(E$4:E22))</f>
        <v>0.021</v>
      </c>
      <c r="G22" s="13">
        <v>2</v>
      </c>
      <c r="H22" s="14" t="str">
        <f t="shared" si="1"/>
        <v>否</v>
      </c>
      <c r="I22" s="14" t="str">
        <f t="shared" si="2"/>
        <v>否</v>
      </c>
      <c r="J22" s="15" t="str">
        <f t="shared" si="3"/>
        <v>否</v>
      </c>
    </row>
    <row r="23" spans="1:10">
      <c r="A23" s="7">
        <f>IF(子基金及业绩基准周净值!A63="","",子基金及业绩基准周净值!A63)</f>
        <v>45891</v>
      </c>
      <c r="B23" s="1">
        <f>IF(A23="","",VLOOKUP($A23,子基金及业绩基准周净值!$A:$AV,19))</f>
        <v>0.9967</v>
      </c>
      <c r="C23" s="8">
        <f t="shared" si="0"/>
        <v>0.00433293027005248</v>
      </c>
      <c r="D23" s="9">
        <f>IF(A23="","",C23-(子基金及业绩基准周净值!AH63/子基金及业绩基准周净值!AH62-1))</f>
        <v>-0.000620347998217042</v>
      </c>
      <c r="E23" s="12">
        <f>IF(A23="","",(MAX(B$3:B23)-B23)/MAX(B$3:B23))</f>
        <v>0.00329999999999997</v>
      </c>
      <c r="F23" s="12">
        <f>IF(A23="","",MAX(E$4:E23))</f>
        <v>0.021</v>
      </c>
      <c r="G23" s="13">
        <v>3</v>
      </c>
      <c r="H23" s="14" t="str">
        <f t="shared" si="1"/>
        <v>否</v>
      </c>
      <c r="I23" s="14" t="str">
        <f t="shared" si="2"/>
        <v>否</v>
      </c>
      <c r="J23" s="15" t="str">
        <f t="shared" si="3"/>
        <v>否</v>
      </c>
    </row>
    <row r="24" spans="1:10">
      <c r="A24" s="7">
        <f>IF(子基金及业绩基准周净值!A64="","",子基金及业绩基准周净值!A64)</f>
        <v>45898</v>
      </c>
      <c r="B24" s="1">
        <f>IF(A24="","",VLOOKUP($A24,子基金及业绩基准周净值!$A:$AV,19))</f>
        <v>0.993</v>
      </c>
      <c r="C24" s="8">
        <f t="shared" si="0"/>
        <v>-0.00371225042640718</v>
      </c>
      <c r="D24" s="9">
        <f>IF(A24="","",C24-(子基金及业绩基准周净值!AH64/子基金及业绩基准周净值!AH63-1))</f>
        <v>-0.00342007135342378</v>
      </c>
      <c r="E24" s="12">
        <f>IF(A24="","",(MAX(B$3:B24)-B24)/MAX(B$3:B24))</f>
        <v>0.00700000000000001</v>
      </c>
      <c r="F24" s="12">
        <f>IF(A24="","",MAX(E$4:E24))</f>
        <v>0.021</v>
      </c>
      <c r="G24" s="13">
        <v>4</v>
      </c>
      <c r="H24" s="14" t="str">
        <f t="shared" si="1"/>
        <v>否</v>
      </c>
      <c r="I24" s="14" t="str">
        <f t="shared" si="2"/>
        <v>否</v>
      </c>
      <c r="J24" s="15" t="str">
        <f t="shared" si="3"/>
        <v>是</v>
      </c>
    </row>
    <row r="25" spans="1:10">
      <c r="A25" s="7">
        <f>IF(子基金及业绩基准周净值!A65="","",子基金及业绩基准周净值!A65)</f>
        <v>45905</v>
      </c>
      <c r="B25" s="1">
        <f>IF(A25="","",VLOOKUP($A25,子基金及业绩基准周净值!$A:$AV,19))</f>
        <v>0.9969</v>
      </c>
      <c r="C25" s="8">
        <f t="shared" si="0"/>
        <v>0.00392749244712992</v>
      </c>
      <c r="D25" s="9">
        <f>IF(A25="","",C25-(子基金及业绩基准周净值!AH65/子基金及业绩基准周净值!AH64-1))</f>
        <v>0.00220378804967941</v>
      </c>
      <c r="E25" s="12">
        <f>IF(A25="","",(MAX(B$3:B25)-B25)/MAX(B$3:B25))</f>
        <v>0.00309999999999999</v>
      </c>
      <c r="F25" s="12">
        <f>IF(A25="","",MAX(E$4:E25))</f>
        <v>0.021</v>
      </c>
      <c r="G25" s="13">
        <v>0</v>
      </c>
      <c r="H25" s="14" t="str">
        <f t="shared" si="1"/>
        <v>否</v>
      </c>
      <c r="I25" s="14" t="str">
        <f t="shared" si="2"/>
        <v>否</v>
      </c>
      <c r="J25" s="15" t="str">
        <f t="shared" si="3"/>
        <v>否</v>
      </c>
    </row>
    <row r="26" spans="1:10">
      <c r="A26" s="7">
        <f>IF(子基金及业绩基准周净值!A66="","",子基金及业绩基准周净值!A66)</f>
        <v>45912</v>
      </c>
      <c r="B26" s="1">
        <f>IF(A26="","",VLOOKUP($A26,子基金及业绩基准周净值!$A:$AV,19))</f>
        <v>0.9978</v>
      </c>
      <c r="C26" s="8">
        <f t="shared" si="0"/>
        <v>0.000902798675895287</v>
      </c>
      <c r="D26" s="9">
        <f>IF(A26="","",C26-(子基金及业绩基准周净值!AH66/子基金及业绩基准周净值!AH65-1))</f>
        <v>-0.00392909282664031</v>
      </c>
      <c r="E26" s="12">
        <f>IF(A26="","",(MAX(B$3:B26)-B26)/MAX(B$3:B26))</f>
        <v>0.00219999999999998</v>
      </c>
      <c r="F26" s="12">
        <f>IF(A26="","",MAX(E$4:E26))</f>
        <v>0.021</v>
      </c>
      <c r="G26" s="13">
        <v>1</v>
      </c>
      <c r="H26" s="14" t="str">
        <f t="shared" si="1"/>
        <v>否</v>
      </c>
      <c r="I26" s="14" t="str">
        <f t="shared" si="2"/>
        <v>否</v>
      </c>
      <c r="J26" s="15" t="str">
        <f t="shared" si="3"/>
        <v>否</v>
      </c>
    </row>
    <row r="27" spans="1:10">
      <c r="A27" s="7">
        <f>IF(子基金及业绩基准周净值!A67="","",子基金及业绩基准周净值!A67)</f>
        <v>45919</v>
      </c>
      <c r="B27" s="1">
        <f>IF(A27="","",VLOOKUP($A27,子基金及业绩基准周净值!$A:$AV,19))</f>
        <v>0.9995</v>
      </c>
      <c r="C27" s="8">
        <f t="shared" si="0"/>
        <v>0.00170374824614155</v>
      </c>
      <c r="D27" s="9">
        <f>IF(A27="","",C27-(子基金及业绩基准周净值!AH67/子基金及业绩基准周净值!AH66-1))</f>
        <v>0.00067373559635513</v>
      </c>
      <c r="E27" s="12">
        <f>IF(A27="","",(MAX(B$3:B27)-B27)/MAX(B$3:B27))</f>
        <v>0.000499999999999945</v>
      </c>
      <c r="F27" s="12">
        <f>IF(A27="","",MAX(E$4:E27))</f>
        <v>0.021</v>
      </c>
      <c r="G27" s="13">
        <v>0</v>
      </c>
      <c r="H27" s="14" t="str">
        <f t="shared" si="1"/>
        <v>否</v>
      </c>
      <c r="I27" s="14" t="str">
        <f t="shared" si="2"/>
        <v>否</v>
      </c>
      <c r="J27" s="15" t="str">
        <f t="shared" si="3"/>
        <v>否</v>
      </c>
    </row>
    <row r="28" spans="1:10">
      <c r="A28" s="7">
        <f>IF(子基金及业绩基准周净值!A68="","",子基金及业绩基准周净值!A68)</f>
        <v>45926</v>
      </c>
      <c r="B28" s="1">
        <f>IF(A28="","",VLOOKUP($A28,子基金及业绩基准周净值!$A:$AV,19))</f>
        <v>0.9929</v>
      </c>
      <c r="C28" s="8">
        <f t="shared" si="0"/>
        <v>-0.00660330165082546</v>
      </c>
      <c r="D28" s="9">
        <f>IF(A28="","",C28-(子基金及业绩基准周净值!AH68/子基金及业绩基准周净值!AH67-1))</f>
        <v>-0.00651830906326401</v>
      </c>
      <c r="E28" s="12">
        <f>IF(A28="","",(MAX(B$3:B28)-B28)/MAX(B$3:B28))</f>
        <v>0.0071</v>
      </c>
      <c r="F28" s="12">
        <f>IF(A28="","",MAX(E$4:E28))</f>
        <v>0.021</v>
      </c>
      <c r="G28" s="13">
        <v>1</v>
      </c>
      <c r="H28" s="14" t="str">
        <f t="shared" si="1"/>
        <v>否</v>
      </c>
      <c r="I28" s="14" t="str">
        <f t="shared" si="2"/>
        <v>否</v>
      </c>
      <c r="J28" s="15" t="str">
        <f t="shared" si="3"/>
        <v>否</v>
      </c>
    </row>
    <row r="29" spans="1:10">
      <c r="A29" s="7">
        <f>IF(子基金及业绩基准周净值!A69="","",子基金及业绩基准周净值!A69)</f>
        <v>45940</v>
      </c>
      <c r="B29" s="1">
        <f>IF(A29="","",VLOOKUP($A29,子基金及业绩基准周净值!$A:$AV,19))</f>
        <v>0.9858</v>
      </c>
      <c r="C29" s="8">
        <f t="shared" si="0"/>
        <v>-0.00715077047033941</v>
      </c>
      <c r="D29" s="9">
        <f>IF(A29="","",C29-(子基金及业绩基准周净值!AH69/子基金及业绩基准周净值!AH68-1))</f>
        <v>-0.0133402035830831</v>
      </c>
      <c r="E29" s="12">
        <f>IF(A29="","",(MAX(B$3:B29)-B29)/MAX(B$3:B29))</f>
        <v>0.0142</v>
      </c>
      <c r="F29" s="12">
        <f>IF(A29="","",MAX(E$4:E29))</f>
        <v>0.021</v>
      </c>
      <c r="G29" s="13">
        <v>2</v>
      </c>
      <c r="H29" s="14" t="str">
        <f t="shared" si="1"/>
        <v>否</v>
      </c>
      <c r="I29" s="14" t="str">
        <f t="shared" si="2"/>
        <v>否</v>
      </c>
      <c r="J29" s="15" t="str">
        <f t="shared" si="3"/>
        <v>否</v>
      </c>
    </row>
    <row r="30" spans="1:10">
      <c r="A30" s="7">
        <f>IF(子基金及业绩基准周净值!A70="","",子基金及业绩基准周净值!A70)</f>
        <v>45947</v>
      </c>
      <c r="B30" s="1">
        <f>IF(A30="","",VLOOKUP($A30,子基金及业绩基准周净值!$A:$AV,19))</f>
        <v>0.9874</v>
      </c>
      <c r="C30" s="8">
        <f t="shared" si="0"/>
        <v>0.00162304727125182</v>
      </c>
      <c r="D30" s="9">
        <f>IF(A30="","",C30-(子基金及业绩基准周净值!AH70/子基金及业绩基准周净值!AH69-1))</f>
        <v>0.00697996417181777</v>
      </c>
      <c r="E30" s="12">
        <f>IF(A30="","",(MAX(B$3:B30)-B30)/MAX(B$3:B30))</f>
        <v>0.0125999999999999</v>
      </c>
      <c r="F30" s="12">
        <f>IF(A30="","",MAX(E$4:E30))</f>
        <v>0.021</v>
      </c>
      <c r="G30" s="13">
        <v>0</v>
      </c>
      <c r="H30" s="14" t="str">
        <f t="shared" si="1"/>
        <v>否</v>
      </c>
      <c r="I30" s="14" t="str">
        <f t="shared" si="2"/>
        <v>否</v>
      </c>
      <c r="J30" s="15" t="str">
        <f t="shared" si="3"/>
        <v>否</v>
      </c>
    </row>
    <row r="31" spans="1:10">
      <c r="A31" s="7">
        <f>IF(子基金及业绩基准周净值!A71="","",子基金及业绩基准周净值!A71)</f>
        <v>45954</v>
      </c>
      <c r="B31" s="1">
        <f>IF(A31="","",VLOOKUP($A31,子基金及业绩基准周净值!$A:$AV,19))</f>
        <v>0.9815</v>
      </c>
      <c r="C31" s="8">
        <f t="shared" si="0"/>
        <v>-0.005975288636824</v>
      </c>
      <c r="D31" s="9">
        <f>IF(A31="","",C31-(子基金及业绩基准周净值!AH71/子基金及业绩基准周净值!AH70-1))</f>
        <v>-0.015059028619375</v>
      </c>
      <c r="E31" s="12">
        <f>IF(A31="","",(MAX(B$3:B31)-B31)/MAX(B$3:B31))</f>
        <v>0.0185</v>
      </c>
      <c r="F31" s="12">
        <f>IF(A31="","",MAX(E$4:E31))</f>
        <v>0.021</v>
      </c>
      <c r="G31" s="13">
        <v>1</v>
      </c>
      <c r="H31" s="14" t="str">
        <f t="shared" si="1"/>
        <v>否</v>
      </c>
      <c r="I31" s="14" t="str">
        <f t="shared" si="2"/>
        <v>否</v>
      </c>
      <c r="J31" s="15" t="str">
        <f t="shared" si="3"/>
        <v>否</v>
      </c>
    </row>
    <row r="32" spans="1:10">
      <c r="A32" s="7"/>
      <c r="B32" s="1"/>
      <c r="C32" s="8"/>
      <c r="D32" s="9"/>
      <c r="E32" s="12"/>
      <c r="F32" s="12"/>
      <c r="G32" s="13"/>
      <c r="H32" s="14"/>
      <c r="I32" s="14"/>
      <c r="J32" s="15"/>
    </row>
    <row r="33" spans="1:10">
      <c r="A33" s="7" t="str">
        <f>IF(子基金及业绩基准周净值!A73="","",子基金及业绩基准周净值!A73)</f>
        <v/>
      </c>
      <c r="B33" s="1" t="str">
        <f>IF(A33="","",VLOOKUP($A33,子基金及业绩基准周净值!$A:$AV,19))</f>
        <v/>
      </c>
      <c r="C33" s="8" t="str">
        <f t="shared" si="0"/>
        <v/>
      </c>
      <c r="D33" s="9" t="str">
        <f>IF(A33="","",C33-(子基金及业绩基准周净值!AH73/子基金及业绩基准周净值!AH72-1))</f>
        <v/>
      </c>
      <c r="E33" s="12" t="str">
        <f>IF(A33="","",(MAX(B$3:B33)-B33)/MAX(B$3:B33))</f>
        <v/>
      </c>
      <c r="F33" s="12" t="str">
        <f>IF(A33="","",MAX(E$4:E33))</f>
        <v/>
      </c>
      <c r="G33" s="13"/>
      <c r="H33" s="14" t="str">
        <f t="shared" si="1"/>
        <v/>
      </c>
      <c r="I33" s="14" t="str">
        <f t="shared" si="2"/>
        <v/>
      </c>
      <c r="J33" s="15" t="str">
        <f t="shared" si="3"/>
        <v/>
      </c>
    </row>
    <row r="34" spans="1:10">
      <c r="A34" s="7" t="str">
        <f>IF(子基金及业绩基准周净值!A74="","",子基金及业绩基准周净值!A74)</f>
        <v/>
      </c>
      <c r="B34" s="1" t="str">
        <f>IF(A34="","",VLOOKUP($A34,子基金及业绩基准周净值!$A:$AV,19))</f>
        <v/>
      </c>
      <c r="C34" s="8" t="str">
        <f t="shared" si="0"/>
        <v/>
      </c>
      <c r="D34" s="9" t="str">
        <f>IF(A34="","",C34-(子基金及业绩基准周净值!AH74/子基金及业绩基准周净值!AH73-1))</f>
        <v/>
      </c>
      <c r="E34" s="12" t="str">
        <f>IF(A34="","",(MAX(B$3:B34)-B34)/MAX(B$3:B34))</f>
        <v/>
      </c>
      <c r="F34" s="12" t="str">
        <f>IF(A34="","",MAX(E$4:E34))</f>
        <v/>
      </c>
      <c r="G34" s="13"/>
      <c r="H34" s="14" t="str">
        <f t="shared" si="1"/>
        <v/>
      </c>
      <c r="I34" s="14" t="str">
        <f t="shared" si="2"/>
        <v/>
      </c>
      <c r="J34" s="15" t="str">
        <f t="shared" si="3"/>
        <v/>
      </c>
    </row>
    <row r="35" spans="1:10">
      <c r="A35" s="7" t="str">
        <f>IF(子基金及业绩基准周净值!A75="","",子基金及业绩基准周净值!A75)</f>
        <v/>
      </c>
      <c r="B35" s="1" t="str">
        <f>IF(A35="","",VLOOKUP($A35,子基金及业绩基准周净值!$A:$AV,19))</f>
        <v/>
      </c>
      <c r="C35" s="8" t="str">
        <f t="shared" si="0"/>
        <v/>
      </c>
      <c r="D35" s="9" t="str">
        <f>IF(A35="","",C35-(子基金及业绩基准周净值!AH75/子基金及业绩基准周净值!AH74-1))</f>
        <v/>
      </c>
      <c r="E35" s="12" t="str">
        <f>IF(A35="","",(MAX(B$3:B35)-B35)/MAX(B$3:B35))</f>
        <v/>
      </c>
      <c r="F35" s="12" t="str">
        <f>IF(A35="","",MAX(E$4:E35))</f>
        <v/>
      </c>
      <c r="G35" s="13"/>
      <c r="H35" s="14" t="str">
        <f t="shared" si="1"/>
        <v/>
      </c>
      <c r="I35" s="14" t="str">
        <f t="shared" si="2"/>
        <v/>
      </c>
      <c r="J35" s="15" t="str">
        <f t="shared" si="3"/>
        <v/>
      </c>
    </row>
    <row r="36" spans="1:10">
      <c r="A36" s="7" t="str">
        <f>IF(子基金及业绩基准周净值!A76="","",子基金及业绩基准周净值!A76)</f>
        <v/>
      </c>
      <c r="B36" s="1" t="str">
        <f>IF(A36="","",VLOOKUP($A36,子基金及业绩基准周净值!$A:$AV,19))</f>
        <v/>
      </c>
      <c r="C36" s="8" t="str">
        <f t="shared" si="0"/>
        <v/>
      </c>
      <c r="D36" s="9" t="str">
        <f>IF(A36="","",C36-(子基金及业绩基准周净值!AH76/子基金及业绩基准周净值!AH75-1))</f>
        <v/>
      </c>
      <c r="E36" s="12" t="str">
        <f>IF(A36="","",(MAX(B$3:B36)-B36)/MAX(B$3:B36))</f>
        <v/>
      </c>
      <c r="F36" s="12" t="str">
        <f>IF(A36="","",MAX(E$4:E36))</f>
        <v/>
      </c>
      <c r="G36" s="13"/>
      <c r="H36" s="14" t="str">
        <f t="shared" si="1"/>
        <v/>
      </c>
      <c r="I36" s="14" t="str">
        <f t="shared" si="2"/>
        <v/>
      </c>
      <c r="J36" s="15" t="str">
        <f t="shared" si="3"/>
        <v/>
      </c>
    </row>
    <row r="37" spans="1:10">
      <c r="A37" s="7" t="str">
        <f>IF(子基金及业绩基准周净值!A77="","",子基金及业绩基准周净值!A77)</f>
        <v/>
      </c>
      <c r="B37" s="1" t="str">
        <f>IF(A37="","",VLOOKUP($A37,子基金及业绩基准周净值!$A:$AV,19))</f>
        <v/>
      </c>
      <c r="C37" s="8" t="str">
        <f t="shared" si="0"/>
        <v/>
      </c>
      <c r="D37" s="9" t="str">
        <f>IF(A37="","",C37-(子基金及业绩基准周净值!AH77/子基金及业绩基准周净值!AH76-1))</f>
        <v/>
      </c>
      <c r="E37" s="12" t="str">
        <f>IF(A37="","",(MAX(B$3:B37)-B37)/MAX(B$3:B37))</f>
        <v/>
      </c>
      <c r="F37" s="12" t="str">
        <f>IF(A37="","",MAX(E$4:E37))</f>
        <v/>
      </c>
      <c r="G37" s="13"/>
      <c r="H37" s="14" t="str">
        <f t="shared" si="1"/>
        <v/>
      </c>
      <c r="I37" s="14" t="str">
        <f t="shared" si="2"/>
        <v/>
      </c>
      <c r="J37" s="15" t="str">
        <f t="shared" si="3"/>
        <v/>
      </c>
    </row>
    <row r="38" spans="1:10">
      <c r="A38" s="7" t="str">
        <f>IF(子基金及业绩基准周净值!A78="","",子基金及业绩基准周净值!A78)</f>
        <v/>
      </c>
      <c r="B38" s="1" t="str">
        <f>IF(A38="","",VLOOKUP($A38,子基金及业绩基准周净值!$A:$AV,19))</f>
        <v/>
      </c>
      <c r="C38" s="8" t="str">
        <f t="shared" si="0"/>
        <v/>
      </c>
      <c r="D38" s="9" t="str">
        <f>IF(A38="","",C38-(子基金及业绩基准周净值!AH78/子基金及业绩基准周净值!AH77-1))</f>
        <v/>
      </c>
      <c r="E38" s="12" t="str">
        <f>IF(A38="","",(MAX(B$3:B38)-B38)/MAX(B$3:B38))</f>
        <v/>
      </c>
      <c r="F38" s="12" t="str">
        <f>IF(A38="","",MAX(E$4:E38))</f>
        <v/>
      </c>
      <c r="G38" s="13"/>
      <c r="H38" s="14" t="str">
        <f t="shared" si="1"/>
        <v/>
      </c>
      <c r="I38" s="14" t="str">
        <f t="shared" si="2"/>
        <v/>
      </c>
      <c r="J38" s="15" t="str">
        <f t="shared" si="3"/>
        <v/>
      </c>
    </row>
    <row r="39" spans="1:10">
      <c r="A39" s="7" t="str">
        <f>IF(子基金及业绩基准周净值!A79="","",子基金及业绩基准周净值!A79)</f>
        <v/>
      </c>
      <c r="B39" s="1" t="str">
        <f>IF(A39="","",VLOOKUP($A39,子基金及业绩基准周净值!$A:$AV,19))</f>
        <v/>
      </c>
      <c r="C39" s="8" t="str">
        <f t="shared" si="0"/>
        <v/>
      </c>
      <c r="D39" s="9" t="str">
        <f>IF(A39="","",C39-(子基金及业绩基准周净值!AH79/子基金及业绩基准周净值!AH78-1))</f>
        <v/>
      </c>
      <c r="E39" s="12" t="str">
        <f>IF(A39="","",(MAX(B$3:B39)-B39)/MAX(B$3:B39))</f>
        <v/>
      </c>
      <c r="F39" s="12" t="str">
        <f>IF(A39="","",MAX(E$4:E39))</f>
        <v/>
      </c>
      <c r="G39" s="13"/>
      <c r="H39" s="14" t="str">
        <f t="shared" si="1"/>
        <v/>
      </c>
      <c r="I39" s="14" t="str">
        <f t="shared" si="2"/>
        <v/>
      </c>
      <c r="J39" s="15" t="str">
        <f t="shared" si="3"/>
        <v/>
      </c>
    </row>
    <row r="40" spans="1:10">
      <c r="A40" s="7" t="str">
        <f>IF(子基金及业绩基准周净值!A80="","",子基金及业绩基准周净值!A80)</f>
        <v/>
      </c>
      <c r="B40" s="1" t="str">
        <f>IF(A40="","",VLOOKUP($A40,子基金及业绩基准周净值!$A:$AV,19))</f>
        <v/>
      </c>
      <c r="C40" s="8" t="str">
        <f t="shared" si="0"/>
        <v/>
      </c>
      <c r="D40" s="9" t="str">
        <f>IF(A40="","",C40-(子基金及业绩基准周净值!AH80/子基金及业绩基准周净值!AH79-1))</f>
        <v/>
      </c>
      <c r="E40" s="12" t="str">
        <f>IF(A40="","",(MAX(B$3:B40)-B40)/MAX(B$3:B40))</f>
        <v/>
      </c>
      <c r="F40" s="12" t="str">
        <f>IF(A40="","",MAX(E$4:E40))</f>
        <v/>
      </c>
      <c r="G40" s="13"/>
      <c r="H40" s="14" t="str">
        <f t="shared" si="1"/>
        <v/>
      </c>
      <c r="I40" s="14" t="str">
        <f t="shared" si="2"/>
        <v/>
      </c>
      <c r="J40" s="15" t="str">
        <f t="shared" si="3"/>
        <v/>
      </c>
    </row>
    <row r="41" spans="1:10">
      <c r="A41" s="7" t="str">
        <f>IF(子基金及业绩基准周净值!A81="","",子基金及业绩基准周净值!A81)</f>
        <v/>
      </c>
      <c r="B41" s="1" t="str">
        <f>IF(A41="","",VLOOKUP($A41,子基金及业绩基准周净值!$A:$AV,19))</f>
        <v/>
      </c>
      <c r="C41" s="8" t="str">
        <f t="shared" si="0"/>
        <v/>
      </c>
      <c r="D41" s="9" t="str">
        <f>IF(A41="","",C41-(子基金及业绩基准周净值!AH81/子基金及业绩基准周净值!AH80-1))</f>
        <v/>
      </c>
      <c r="E41" s="12" t="str">
        <f>IF(A41="","",(MAX(B$3:B41)-B41)/MAX(B$3:B41))</f>
        <v/>
      </c>
      <c r="F41" s="12" t="str">
        <f>IF(A41="","",MAX(E$4:E41))</f>
        <v/>
      </c>
      <c r="G41" s="13"/>
      <c r="H41" s="14" t="str">
        <f t="shared" si="1"/>
        <v/>
      </c>
      <c r="I41" s="14" t="str">
        <f t="shared" si="2"/>
        <v/>
      </c>
      <c r="J41" s="15" t="str">
        <f t="shared" si="3"/>
        <v/>
      </c>
    </row>
    <row r="42" spans="1:10">
      <c r="A42" s="7" t="str">
        <f>IF(子基金及业绩基准周净值!A82="","",子基金及业绩基准周净值!A82)</f>
        <v/>
      </c>
      <c r="B42" s="1" t="str">
        <f>IF(A42="","",VLOOKUP($A42,子基金及业绩基准周净值!$A:$AV,19))</f>
        <v/>
      </c>
      <c r="C42" s="8" t="str">
        <f t="shared" si="0"/>
        <v/>
      </c>
      <c r="D42" s="9" t="str">
        <f>IF(A42="","",C42-(子基金及业绩基准周净值!AH82/子基金及业绩基准周净值!AH81-1))</f>
        <v/>
      </c>
      <c r="E42" s="12" t="str">
        <f>IF(A42="","",(MAX(B$3:B42)-B42)/MAX(B$3:B42))</f>
        <v/>
      </c>
      <c r="F42" s="12" t="str">
        <f>IF(A42="","",MAX(E$4:E42))</f>
        <v/>
      </c>
      <c r="G42" s="13"/>
      <c r="H42" s="14" t="str">
        <f t="shared" si="1"/>
        <v/>
      </c>
      <c r="I42" s="14" t="str">
        <f t="shared" si="2"/>
        <v/>
      </c>
      <c r="J42" s="15" t="str">
        <f t="shared" si="3"/>
        <v/>
      </c>
    </row>
    <row r="43" spans="1:10">
      <c r="A43" s="7" t="str">
        <f>IF(子基金及业绩基准周净值!A83="","",子基金及业绩基准周净值!A83)</f>
        <v/>
      </c>
      <c r="B43" s="1" t="str">
        <f>IF(A43="","",VLOOKUP($A43,子基金及业绩基准周净值!$A:$AV,19))</f>
        <v/>
      </c>
      <c r="C43" s="8" t="str">
        <f t="shared" si="0"/>
        <v/>
      </c>
      <c r="D43" s="9" t="str">
        <f>IF(A43="","",C43-(子基金及业绩基准周净值!AH83/子基金及业绩基准周净值!AH82-1))</f>
        <v/>
      </c>
      <c r="E43" s="12" t="str">
        <f>IF(A43="","",(MAX(B$3:B43)-B43)/MAX(B$3:B43))</f>
        <v/>
      </c>
      <c r="F43" s="12" t="str">
        <f>IF(A43="","",MAX(E$4:E43))</f>
        <v/>
      </c>
      <c r="G43" s="13"/>
      <c r="H43" s="14" t="str">
        <f t="shared" si="1"/>
        <v/>
      </c>
      <c r="I43" s="14" t="str">
        <f t="shared" si="2"/>
        <v/>
      </c>
      <c r="J43" s="15" t="str">
        <f t="shared" si="3"/>
        <v/>
      </c>
    </row>
    <row r="44" spans="1:10">
      <c r="A44" s="7" t="str">
        <f>IF(子基金及业绩基准周净值!A84="","",子基金及业绩基准周净值!A84)</f>
        <v/>
      </c>
      <c r="B44" s="1" t="str">
        <f>IF(A44="","",VLOOKUP($A44,子基金及业绩基准周净值!$A:$AV,19))</f>
        <v/>
      </c>
      <c r="C44" s="8" t="str">
        <f t="shared" si="0"/>
        <v/>
      </c>
      <c r="D44" s="9" t="str">
        <f>IF(A44="","",C44-(子基金及业绩基准周净值!AH84/子基金及业绩基准周净值!AH83-1))</f>
        <v/>
      </c>
      <c r="E44" s="12" t="str">
        <f>IF(A44="","",(MAX(B$3:B44)-B44)/MAX(B$3:B44))</f>
        <v/>
      </c>
      <c r="F44" s="12" t="str">
        <f>IF(A44="","",MAX(E$4:E44))</f>
        <v/>
      </c>
      <c r="G44" s="13"/>
      <c r="H44" s="14" t="str">
        <f t="shared" si="1"/>
        <v/>
      </c>
      <c r="I44" s="14" t="str">
        <f t="shared" si="2"/>
        <v/>
      </c>
      <c r="J44" s="15" t="str">
        <f t="shared" si="3"/>
        <v/>
      </c>
    </row>
    <row r="45" spans="1:10">
      <c r="A45" s="7" t="str">
        <f>IF(子基金及业绩基准周净值!A85="","",子基金及业绩基准周净值!A85)</f>
        <v/>
      </c>
      <c r="B45" s="1" t="str">
        <f>IF(A45="","",VLOOKUP($A45,子基金及业绩基准周净值!$A:$AV,19))</f>
        <v/>
      </c>
      <c r="C45" s="8" t="str">
        <f t="shared" si="0"/>
        <v/>
      </c>
      <c r="D45" s="9" t="str">
        <f>IF(A45="","",C45-(子基金及业绩基准周净值!AH85/子基金及业绩基准周净值!AH84-1))</f>
        <v/>
      </c>
      <c r="E45" s="12" t="str">
        <f>IF(A45="","",(MAX(B$3:B45)-B45)/MAX(B$3:B45))</f>
        <v/>
      </c>
      <c r="F45" s="12" t="str">
        <f>IF(A45="","",MAX(E$4:E45))</f>
        <v/>
      </c>
      <c r="G45" s="13"/>
      <c r="H45" s="14" t="str">
        <f t="shared" si="1"/>
        <v/>
      </c>
      <c r="I45" s="14" t="str">
        <f t="shared" si="2"/>
        <v/>
      </c>
      <c r="J45" s="15" t="str">
        <f t="shared" si="3"/>
        <v/>
      </c>
    </row>
    <row r="46" spans="1:10">
      <c r="A46" s="7" t="str">
        <f>IF(子基金及业绩基准周净值!A86="","",子基金及业绩基准周净值!A86)</f>
        <v/>
      </c>
      <c r="B46" s="1" t="str">
        <f>IF(A46="","",VLOOKUP($A46,子基金及业绩基准周净值!$A:$AV,19))</f>
        <v/>
      </c>
      <c r="C46" s="8" t="str">
        <f t="shared" si="0"/>
        <v/>
      </c>
      <c r="D46" s="9" t="str">
        <f>IF(A46="","",C46-(子基金及业绩基准周净值!AH86/子基金及业绩基准周净值!AH85-1))</f>
        <v/>
      </c>
      <c r="E46" s="12" t="str">
        <f>IF(A46="","",(MAX(B$3:B46)-B46)/MAX(B$3:B46))</f>
        <v/>
      </c>
      <c r="F46" s="12" t="str">
        <f>IF(A46="","",MAX(E$4:E46))</f>
        <v/>
      </c>
      <c r="G46" s="13"/>
      <c r="H46" s="14" t="str">
        <f t="shared" si="1"/>
        <v/>
      </c>
      <c r="I46" s="14" t="str">
        <f t="shared" si="2"/>
        <v/>
      </c>
      <c r="J46" s="15" t="str">
        <f t="shared" si="3"/>
        <v/>
      </c>
    </row>
    <row r="47" spans="1:10">
      <c r="A47" s="7" t="str">
        <f>IF(子基金及业绩基准周净值!A87="","",子基金及业绩基准周净值!A87)</f>
        <v/>
      </c>
      <c r="B47" s="1" t="str">
        <f>IF(A47="","",VLOOKUP($A47,子基金及业绩基准周净值!$A:$AV,19))</f>
        <v/>
      </c>
      <c r="C47" s="8" t="str">
        <f t="shared" si="0"/>
        <v/>
      </c>
      <c r="D47" s="9" t="str">
        <f>IF(A47="","",C47-(子基金及业绩基准周净值!AH87/子基金及业绩基准周净值!AH86-1))</f>
        <v/>
      </c>
      <c r="E47" s="12" t="str">
        <f>IF(A47="","",(MAX(B$3:B47)-B47)/MAX(B$3:B47))</f>
        <v/>
      </c>
      <c r="F47" s="12" t="str">
        <f>IF(A47="","",MAX(E$4:E47))</f>
        <v/>
      </c>
      <c r="G47" s="13"/>
      <c r="H47" s="14" t="str">
        <f t="shared" si="1"/>
        <v/>
      </c>
      <c r="I47" s="14" t="str">
        <f t="shared" si="2"/>
        <v/>
      </c>
      <c r="J47" s="15" t="str">
        <f t="shared" si="3"/>
        <v/>
      </c>
    </row>
    <row r="48" spans="1:10">
      <c r="A48" s="7" t="str">
        <f>IF(子基金及业绩基准周净值!A88="","",子基金及业绩基准周净值!A88)</f>
        <v/>
      </c>
      <c r="B48" s="1" t="str">
        <f>IF(A48="","",VLOOKUP($A48,子基金及业绩基准周净值!$A:$AV,19))</f>
        <v/>
      </c>
      <c r="C48" s="8" t="str">
        <f t="shared" si="0"/>
        <v/>
      </c>
      <c r="D48" s="9" t="str">
        <f>IF(A48="","",C48-(子基金及业绩基准周净值!AH88/子基金及业绩基准周净值!AH87-1))</f>
        <v/>
      </c>
      <c r="E48" s="12" t="str">
        <f>IF(A48="","",(MAX(B$3:B48)-B48)/MAX(B$3:B48))</f>
        <v/>
      </c>
      <c r="F48" s="12" t="str">
        <f>IF(A48="","",MAX(E$4:E48))</f>
        <v/>
      </c>
      <c r="G48" s="13"/>
      <c r="H48" s="14" t="str">
        <f t="shared" si="1"/>
        <v/>
      </c>
      <c r="I48" s="14" t="str">
        <f t="shared" si="2"/>
        <v/>
      </c>
      <c r="J48" s="15" t="str">
        <f t="shared" si="3"/>
        <v/>
      </c>
    </row>
    <row r="49" spans="1:10">
      <c r="A49" s="7" t="str">
        <f>IF(子基金及业绩基准周净值!A89="","",子基金及业绩基准周净值!A89)</f>
        <v/>
      </c>
      <c r="B49" s="1" t="str">
        <f>IF(A49="","",VLOOKUP($A49,子基金及业绩基准周净值!$A:$AV,19))</f>
        <v/>
      </c>
      <c r="C49" s="8" t="str">
        <f t="shared" si="0"/>
        <v/>
      </c>
      <c r="D49" s="9" t="str">
        <f>IF(A49="","",C49-(子基金及业绩基准周净值!AH89/子基金及业绩基准周净值!AH88-1))</f>
        <v/>
      </c>
      <c r="E49" s="12" t="str">
        <f>IF(A49="","",(MAX(B$3:B49)-B49)/MAX(B$3:B49))</f>
        <v/>
      </c>
      <c r="F49" s="12" t="str">
        <f>IF(A49="","",MAX(E$4:E49))</f>
        <v/>
      </c>
      <c r="G49" s="13"/>
      <c r="H49" s="14" t="str">
        <f t="shared" si="1"/>
        <v/>
      </c>
      <c r="I49" s="14" t="str">
        <f t="shared" si="2"/>
        <v/>
      </c>
      <c r="J49" s="15" t="str">
        <f t="shared" si="3"/>
        <v/>
      </c>
    </row>
    <row r="50" spans="1:10">
      <c r="A50" s="7" t="str">
        <f>IF(子基金及业绩基准周净值!A90="","",子基金及业绩基准周净值!A90)</f>
        <v/>
      </c>
      <c r="B50" s="1" t="str">
        <f>IF(A50="","",VLOOKUP($A50,子基金及业绩基准周净值!$A:$AV,19))</f>
        <v/>
      </c>
      <c r="C50" s="8" t="str">
        <f t="shared" si="0"/>
        <v/>
      </c>
      <c r="D50" s="9" t="str">
        <f>IF(A50="","",C50-(子基金及业绩基准周净值!AH90/子基金及业绩基准周净值!AH89-1))</f>
        <v/>
      </c>
      <c r="E50" s="12" t="str">
        <f>IF(A50="","",(MAX(B$3:B50)-B50)/MAX(B$3:B50))</f>
        <v/>
      </c>
      <c r="F50" s="12" t="str">
        <f>IF(A50="","",MAX(E$4:E50))</f>
        <v/>
      </c>
      <c r="G50" s="13"/>
      <c r="H50" s="14" t="str">
        <f t="shared" si="1"/>
        <v/>
      </c>
      <c r="I50" s="14" t="str">
        <f t="shared" si="2"/>
        <v/>
      </c>
      <c r="J50" s="15" t="str">
        <f t="shared" si="3"/>
        <v/>
      </c>
    </row>
    <row r="51" spans="1:10">
      <c r="A51" s="7" t="str">
        <f>IF(子基金及业绩基准周净值!A91="","",子基金及业绩基准周净值!A91)</f>
        <v/>
      </c>
      <c r="B51" s="1" t="str">
        <f>IF(A51="","",VLOOKUP($A51,子基金及业绩基准周净值!$A:$AV,19))</f>
        <v/>
      </c>
      <c r="C51" s="8" t="str">
        <f t="shared" si="0"/>
        <v/>
      </c>
      <c r="D51" s="9" t="str">
        <f>IF(A51="","",C51-(子基金及业绩基准周净值!AH91/子基金及业绩基准周净值!AH90-1))</f>
        <v/>
      </c>
      <c r="E51" s="12" t="str">
        <f>IF(A51="","",(MAX(B$3:B51)-B51)/MAX(B$3:B51))</f>
        <v/>
      </c>
      <c r="F51" s="12" t="str">
        <f>IF(A51="","",MAX(E$4:E51))</f>
        <v/>
      </c>
      <c r="G51" s="13"/>
      <c r="H51" s="14" t="str">
        <f t="shared" si="1"/>
        <v/>
      </c>
      <c r="I51" s="14" t="str">
        <f t="shared" si="2"/>
        <v/>
      </c>
      <c r="J51" s="15" t="str">
        <f t="shared" si="3"/>
        <v/>
      </c>
    </row>
    <row r="52" spans="1:10">
      <c r="A52" s="7" t="str">
        <f>IF(子基金及业绩基准周净值!A92="","",子基金及业绩基准周净值!A92)</f>
        <v/>
      </c>
      <c r="B52" s="1" t="str">
        <f>IF(A52="","",VLOOKUP($A52,子基金及业绩基准周净值!$A:$AV,19))</f>
        <v/>
      </c>
      <c r="C52" s="8" t="str">
        <f t="shared" si="0"/>
        <v/>
      </c>
      <c r="D52" s="9" t="str">
        <f>IF(A52="","",C52-(子基金及业绩基准周净值!AH92/子基金及业绩基准周净值!AH91-1))</f>
        <v/>
      </c>
      <c r="E52" s="12" t="str">
        <f>IF(A52="","",(MAX(B$3:B52)-B52)/MAX(B$3:B52))</f>
        <v/>
      </c>
      <c r="F52" s="12" t="str">
        <f>IF(A52="","",MAX(E$4:E52))</f>
        <v/>
      </c>
      <c r="G52" s="13"/>
      <c r="H52" s="14" t="str">
        <f t="shared" si="1"/>
        <v/>
      </c>
      <c r="I52" s="14" t="str">
        <f t="shared" si="2"/>
        <v/>
      </c>
      <c r="J52" s="15" t="str">
        <f t="shared" si="3"/>
        <v/>
      </c>
    </row>
    <row r="53" spans="1:10">
      <c r="A53" s="7" t="str">
        <f>IF(子基金及业绩基准周净值!A93="","",子基金及业绩基准周净值!A93)</f>
        <v/>
      </c>
      <c r="B53" s="1" t="str">
        <f>IF(A53="","",VLOOKUP($A53,子基金及业绩基准周净值!$A:$AV,19))</f>
        <v/>
      </c>
      <c r="C53" s="8" t="str">
        <f t="shared" si="0"/>
        <v/>
      </c>
      <c r="D53" s="9" t="str">
        <f>IF(A53="","",C53-(子基金及业绩基准周净值!AH93/子基金及业绩基准周净值!AH92-1))</f>
        <v/>
      </c>
      <c r="E53" s="12" t="str">
        <f>IF(A53="","",(MAX(B$3:B53)-B53)/MAX(B$3:B53))</f>
        <v/>
      </c>
      <c r="F53" s="12" t="str">
        <f>IF(A53="","",MAX(E$4:E53))</f>
        <v/>
      </c>
      <c r="G53" s="13"/>
      <c r="H53" s="14" t="str">
        <f t="shared" si="1"/>
        <v/>
      </c>
      <c r="I53" s="14" t="str">
        <f t="shared" si="2"/>
        <v/>
      </c>
      <c r="J53" s="15" t="str">
        <f t="shared" si="3"/>
        <v/>
      </c>
    </row>
    <row r="54" spans="1:10">
      <c r="A54" s="7" t="str">
        <f>IF(子基金及业绩基准周净值!A94="","",子基金及业绩基准周净值!A94)</f>
        <v/>
      </c>
      <c r="B54" s="1" t="str">
        <f>IF(A54="","",VLOOKUP($A54,子基金及业绩基准周净值!$A:$AV,19))</f>
        <v/>
      </c>
      <c r="C54" s="8" t="str">
        <f t="shared" si="0"/>
        <v/>
      </c>
      <c r="D54" s="9" t="str">
        <f>IF(A54="","",C54-(子基金及业绩基准周净值!AH94/子基金及业绩基准周净值!AH93-1))</f>
        <v/>
      </c>
      <c r="E54" s="12" t="str">
        <f>IF(A54="","",(MAX(B$3:B54)-B54)/MAX(B$3:B54))</f>
        <v/>
      </c>
      <c r="F54" s="12" t="str">
        <f>IF(A54="","",MAX(E$4:E54))</f>
        <v/>
      </c>
      <c r="G54" s="13"/>
      <c r="H54" s="14" t="str">
        <f t="shared" si="1"/>
        <v/>
      </c>
      <c r="I54" s="14" t="str">
        <f t="shared" si="2"/>
        <v/>
      </c>
      <c r="J54" s="15" t="str">
        <f t="shared" si="3"/>
        <v/>
      </c>
    </row>
    <row r="55" spans="1:10">
      <c r="A55" s="7" t="str">
        <f>IF(子基金及业绩基准周净值!A95="","",子基金及业绩基准周净值!A95)</f>
        <v/>
      </c>
      <c r="B55" s="1" t="str">
        <f>IF(A55="","",VLOOKUP($A55,子基金及业绩基准周净值!$A:$AV,19))</f>
        <v/>
      </c>
      <c r="C55" s="8" t="str">
        <f t="shared" si="0"/>
        <v/>
      </c>
      <c r="D55" s="9" t="str">
        <f>IF(A55="","",C55-(子基金及业绩基准周净值!AH95/子基金及业绩基准周净值!AH94-1))</f>
        <v/>
      </c>
      <c r="E55" s="12" t="str">
        <f>IF(A55="","",(MAX(B$3:B55)-B55)/MAX(B$3:B55))</f>
        <v/>
      </c>
      <c r="F55" s="12" t="str">
        <f>IF(A55="","",MAX(E$4:E55))</f>
        <v/>
      </c>
      <c r="G55" s="13"/>
      <c r="H55" s="14" t="str">
        <f t="shared" si="1"/>
        <v/>
      </c>
      <c r="I55" s="14" t="str">
        <f t="shared" si="2"/>
        <v/>
      </c>
      <c r="J55" s="15" t="str">
        <f t="shared" si="3"/>
        <v/>
      </c>
    </row>
    <row r="56" spans="1:10">
      <c r="A56" s="7" t="str">
        <f>IF(子基金及业绩基准周净值!A96="","",子基金及业绩基准周净值!A96)</f>
        <v/>
      </c>
      <c r="B56" s="1" t="str">
        <f>IF(A56="","",VLOOKUP($A56,子基金及业绩基准周净值!$A:$AV,19))</f>
        <v/>
      </c>
      <c r="C56" s="8" t="str">
        <f t="shared" si="0"/>
        <v/>
      </c>
      <c r="D56" s="9" t="str">
        <f>IF(A56="","",C56-(子基金及业绩基准周净值!AH96/子基金及业绩基准周净值!AH95-1))</f>
        <v/>
      </c>
      <c r="E56" s="12" t="str">
        <f>IF(A56="","",(MAX(B$3:B56)-B56)/MAX(B$3:B56))</f>
        <v/>
      </c>
      <c r="F56" s="12" t="str">
        <f>IF(A56="","",MAX(E$4:E56))</f>
        <v/>
      </c>
      <c r="G56" s="13"/>
      <c r="H56" s="14" t="str">
        <f t="shared" si="1"/>
        <v/>
      </c>
      <c r="I56" s="14" t="str">
        <f t="shared" si="2"/>
        <v/>
      </c>
      <c r="J56" s="15" t="str">
        <f t="shared" si="3"/>
        <v/>
      </c>
    </row>
    <row r="57" spans="1:10">
      <c r="A57" s="7" t="str">
        <f>IF(子基金及业绩基准周净值!A97="","",子基金及业绩基准周净值!A97)</f>
        <v/>
      </c>
      <c r="B57" s="1" t="str">
        <f>IF(A57="","",VLOOKUP($A57,子基金及业绩基准周净值!$A:$AV,19))</f>
        <v/>
      </c>
      <c r="C57" s="8" t="str">
        <f t="shared" si="0"/>
        <v/>
      </c>
      <c r="D57" s="9" t="str">
        <f>IF(A57="","",C57-(子基金及业绩基准周净值!AH97/子基金及业绩基准周净值!AH96-1))</f>
        <v/>
      </c>
      <c r="E57" s="12" t="str">
        <f>IF(A57="","",(MAX(B$3:B57)-B57)/MAX(B$3:B57))</f>
        <v/>
      </c>
      <c r="F57" s="12" t="str">
        <f>IF(A57="","",MAX(E$4:E57))</f>
        <v/>
      </c>
      <c r="G57" s="13"/>
      <c r="H57" s="14" t="str">
        <f t="shared" si="1"/>
        <v/>
      </c>
      <c r="I57" s="14" t="str">
        <f t="shared" si="2"/>
        <v/>
      </c>
      <c r="J57" s="15" t="str">
        <f t="shared" si="3"/>
        <v/>
      </c>
    </row>
    <row r="58" spans="1:10">
      <c r="A58" s="7" t="str">
        <f>IF(子基金及业绩基准周净值!A98="","",子基金及业绩基准周净值!A98)</f>
        <v/>
      </c>
      <c r="B58" s="1" t="str">
        <f>IF(A58="","",VLOOKUP($A58,子基金及业绩基准周净值!$A:$AV,19))</f>
        <v/>
      </c>
      <c r="C58" s="8" t="str">
        <f t="shared" si="0"/>
        <v/>
      </c>
      <c r="D58" s="9" t="str">
        <f>IF(A58="","",C58-(子基金及业绩基准周净值!AH98/子基金及业绩基准周净值!AH97-1))</f>
        <v/>
      </c>
      <c r="E58" s="12" t="str">
        <f>IF(A58="","",(MAX(B$3:B58)-B58)/MAX(B$3:B58))</f>
        <v/>
      </c>
      <c r="F58" s="12" t="str">
        <f>IF(A58="","",MAX(E$4:E58))</f>
        <v/>
      </c>
      <c r="G58" s="13"/>
      <c r="H58" s="14" t="str">
        <f t="shared" si="1"/>
        <v/>
      </c>
      <c r="I58" s="14" t="str">
        <f t="shared" si="2"/>
        <v/>
      </c>
      <c r="J58" s="15" t="str">
        <f t="shared" si="3"/>
        <v/>
      </c>
    </row>
    <row r="59" spans="1:10">
      <c r="A59" s="7" t="str">
        <f>IF(子基金及业绩基准周净值!A99="","",子基金及业绩基准周净值!A99)</f>
        <v/>
      </c>
      <c r="B59" s="1" t="str">
        <f>IF(A59="","",VLOOKUP($A59,子基金及业绩基准周净值!$A:$AV,19))</f>
        <v/>
      </c>
      <c r="C59" s="8" t="str">
        <f t="shared" si="0"/>
        <v/>
      </c>
      <c r="D59" s="9" t="str">
        <f>IF(A59="","",C59-(子基金及业绩基准周净值!AH99/子基金及业绩基准周净值!AH98-1))</f>
        <v/>
      </c>
      <c r="E59" s="12" t="str">
        <f>IF(A59="","",(MAX(B$3:B59)-B59)/MAX(B$3:B59))</f>
        <v/>
      </c>
      <c r="F59" s="12" t="str">
        <f>IF(A59="","",MAX(E$4:E59))</f>
        <v/>
      </c>
      <c r="G59" s="13"/>
      <c r="H59" s="14" t="str">
        <f t="shared" si="1"/>
        <v/>
      </c>
      <c r="I59" s="14" t="str">
        <f t="shared" si="2"/>
        <v/>
      </c>
      <c r="J59" s="15" t="str">
        <f t="shared" si="3"/>
        <v/>
      </c>
    </row>
    <row r="60" spans="1:10">
      <c r="A60" s="7" t="str">
        <f>IF(子基金及业绩基准周净值!A100="","",子基金及业绩基准周净值!A100)</f>
        <v/>
      </c>
      <c r="B60" s="1" t="str">
        <f>IF(A60="","",VLOOKUP($A60,子基金及业绩基准周净值!$A:$AV,19))</f>
        <v/>
      </c>
      <c r="C60" s="8" t="str">
        <f t="shared" si="0"/>
        <v/>
      </c>
      <c r="D60" s="9" t="str">
        <f>IF(A60="","",C60-(子基金及业绩基准周净值!AH100/子基金及业绩基准周净值!AH99-1))</f>
        <v/>
      </c>
      <c r="E60" s="12" t="str">
        <f>IF(A60="","",(MAX(B$3:B60)-B60)/MAX(B$3:B60))</f>
        <v/>
      </c>
      <c r="F60" s="12" t="str">
        <f>IF(A60="","",MAX(E$4:E60))</f>
        <v/>
      </c>
      <c r="G60" s="13"/>
      <c r="H60" s="14" t="str">
        <f t="shared" si="1"/>
        <v/>
      </c>
      <c r="I60" s="14" t="str">
        <f t="shared" si="2"/>
        <v/>
      </c>
      <c r="J60" s="15" t="str">
        <f t="shared" si="3"/>
        <v/>
      </c>
    </row>
    <row r="61" spans="1:10">
      <c r="A61" s="7" t="str">
        <f>IF(子基金及业绩基准周净值!A101="","",子基金及业绩基准周净值!A101)</f>
        <v/>
      </c>
      <c r="B61" s="1" t="str">
        <f>IF(A61="","",VLOOKUP($A61,子基金及业绩基准周净值!$A:$AV,19))</f>
        <v/>
      </c>
      <c r="C61" s="8" t="str">
        <f t="shared" si="0"/>
        <v/>
      </c>
      <c r="D61" s="9" t="str">
        <f>IF(A61="","",C61-(子基金及业绩基准周净值!AH101/子基金及业绩基准周净值!AH100-1))</f>
        <v/>
      </c>
      <c r="E61" s="12" t="str">
        <f>IF(A61="","",(MAX(B$3:B61)-B61)/MAX(B$3:B61))</f>
        <v/>
      </c>
      <c r="F61" s="12" t="str">
        <f>IF(A61="","",MAX(E$4:E61))</f>
        <v/>
      </c>
      <c r="G61" s="13"/>
      <c r="H61" s="14" t="str">
        <f t="shared" si="1"/>
        <v/>
      </c>
      <c r="I61" s="14" t="str">
        <f t="shared" si="2"/>
        <v/>
      </c>
      <c r="J61" s="15" t="str">
        <f t="shared" si="3"/>
        <v/>
      </c>
    </row>
    <row r="62" spans="1:10">
      <c r="A62" s="7" t="str">
        <f>IF(子基金及业绩基准周净值!A102="","",子基金及业绩基准周净值!A102)</f>
        <v/>
      </c>
      <c r="B62" s="1" t="str">
        <f>IF(A62="","",VLOOKUP($A62,子基金及业绩基准周净值!$A:$AV,19))</f>
        <v/>
      </c>
      <c r="C62" s="8" t="str">
        <f t="shared" si="0"/>
        <v/>
      </c>
      <c r="D62" s="9" t="str">
        <f>IF(A62="","",C62-(子基金及业绩基准周净值!AH102/子基金及业绩基准周净值!AH101-1))</f>
        <v/>
      </c>
      <c r="E62" s="12" t="str">
        <f>IF(A62="","",(MAX(B$3:B62)-B62)/MAX(B$3:B62))</f>
        <v/>
      </c>
      <c r="F62" s="12" t="str">
        <f>IF(A62="","",MAX(E$4:E62))</f>
        <v/>
      </c>
      <c r="G62" s="13"/>
      <c r="H62" s="14" t="str">
        <f t="shared" si="1"/>
        <v/>
      </c>
      <c r="I62" s="14" t="str">
        <f t="shared" si="2"/>
        <v/>
      </c>
      <c r="J62" s="15" t="str">
        <f t="shared" si="3"/>
        <v/>
      </c>
    </row>
    <row r="63" spans="1:10">
      <c r="A63" s="7" t="str">
        <f>IF(子基金及业绩基准周净值!A103="","",子基金及业绩基准周净值!A103)</f>
        <v/>
      </c>
      <c r="B63" s="1" t="str">
        <f>IF(A63="","",VLOOKUP($A63,子基金及业绩基准周净值!$A:$AV,19))</f>
        <v/>
      </c>
      <c r="C63" s="8" t="str">
        <f t="shared" si="0"/>
        <v/>
      </c>
      <c r="D63" s="9" t="str">
        <f>IF(A63="","",C63-(子基金及业绩基准周净值!AH103/子基金及业绩基准周净值!AH102-1))</f>
        <v/>
      </c>
      <c r="E63" s="12" t="str">
        <f>IF(A63="","",(MAX(B$3:B63)-B63)/MAX(B$3:B63))</f>
        <v/>
      </c>
      <c r="F63" s="12" t="str">
        <f>IF(A63="","",MAX(E$4:E63))</f>
        <v/>
      </c>
      <c r="G63" s="13"/>
      <c r="H63" s="14" t="str">
        <f t="shared" si="1"/>
        <v/>
      </c>
      <c r="I63" s="14" t="str">
        <f t="shared" si="2"/>
        <v/>
      </c>
      <c r="J63" s="15" t="str">
        <f t="shared" si="3"/>
        <v/>
      </c>
    </row>
    <row r="64" spans="1:10">
      <c r="A64" s="7" t="str">
        <f>IF(子基金及业绩基准周净值!A104="","",子基金及业绩基准周净值!A104)</f>
        <v/>
      </c>
      <c r="B64" s="1" t="str">
        <f>IF(A64="","",VLOOKUP($A64,子基金及业绩基准周净值!$A:$AV,19))</f>
        <v/>
      </c>
      <c r="C64" s="8" t="str">
        <f t="shared" si="0"/>
        <v/>
      </c>
      <c r="D64" s="9" t="str">
        <f>IF(A64="","",C64-(子基金及业绩基准周净值!AH104/子基金及业绩基准周净值!AH103-1))</f>
        <v/>
      </c>
      <c r="E64" s="12" t="str">
        <f>IF(A64="","",(MAX(B$3:B64)-B64)/MAX(B$3:B64))</f>
        <v/>
      </c>
      <c r="F64" s="12" t="str">
        <f>IF(A64="","",MAX(E$4:E64))</f>
        <v/>
      </c>
      <c r="G64" s="13"/>
      <c r="H64" s="14" t="str">
        <f t="shared" si="1"/>
        <v/>
      </c>
      <c r="I64" s="14" t="str">
        <f t="shared" si="2"/>
        <v/>
      </c>
      <c r="J64" s="15" t="str">
        <f t="shared" si="3"/>
        <v/>
      </c>
    </row>
    <row r="65" spans="1:10">
      <c r="A65" s="7" t="str">
        <f>IF(子基金及业绩基准周净值!A105="","",子基金及业绩基准周净值!A105)</f>
        <v/>
      </c>
      <c r="B65" s="1" t="str">
        <f>IF(A65="","",VLOOKUP($A65,子基金及业绩基准周净值!$A:$AV,19))</f>
        <v/>
      </c>
      <c r="C65" s="8" t="str">
        <f t="shared" si="0"/>
        <v/>
      </c>
      <c r="D65" s="9" t="str">
        <f>IF(A65="","",C65-(子基金及业绩基准周净值!AH105/子基金及业绩基准周净值!AH104-1))</f>
        <v/>
      </c>
      <c r="E65" s="12" t="str">
        <f>IF(A65="","",(MAX(B$3:B65)-B65)/MAX(B$3:B65))</f>
        <v/>
      </c>
      <c r="F65" s="12" t="str">
        <f>IF(A65="","",MAX(E$4:E65))</f>
        <v/>
      </c>
      <c r="G65" s="13"/>
      <c r="H65" s="14" t="str">
        <f t="shared" si="1"/>
        <v/>
      </c>
      <c r="I65" s="14" t="str">
        <f t="shared" si="2"/>
        <v/>
      </c>
      <c r="J65" s="15" t="str">
        <f t="shared" si="3"/>
        <v/>
      </c>
    </row>
    <row r="66" spans="1:10">
      <c r="A66" s="7" t="str">
        <f>IF(子基金及业绩基准周净值!A106="","",子基金及业绩基准周净值!A106)</f>
        <v/>
      </c>
      <c r="B66" s="1" t="str">
        <f>IF(A66="","",VLOOKUP($A66,子基金及业绩基准周净值!$A:$AV,19))</f>
        <v/>
      </c>
      <c r="C66" s="8" t="str">
        <f t="shared" si="0"/>
        <v/>
      </c>
      <c r="D66" s="9" t="str">
        <f>IF(A66="","",C66-(子基金及业绩基准周净值!AH106/子基金及业绩基准周净值!AH105-1))</f>
        <v/>
      </c>
      <c r="E66" s="12" t="str">
        <f>IF(A66="","",(MAX(B$3:B66)-B66)/MAX(B$3:B66))</f>
        <v/>
      </c>
      <c r="F66" s="12" t="str">
        <f>IF(A66="","",MAX(E$4:E66))</f>
        <v/>
      </c>
      <c r="G66" s="13"/>
      <c r="H66" s="14" t="str">
        <f t="shared" si="1"/>
        <v/>
      </c>
      <c r="I66" s="14" t="str">
        <f t="shared" si="2"/>
        <v/>
      </c>
      <c r="J66" s="15" t="str">
        <f t="shared" si="3"/>
        <v/>
      </c>
    </row>
    <row r="67" spans="1:10">
      <c r="A67" s="7" t="str">
        <f>IF(子基金及业绩基准周净值!A107="","",子基金及业绩基准周净值!A107)</f>
        <v/>
      </c>
      <c r="B67" s="1" t="str">
        <f>IF(A67="","",VLOOKUP($A67,子基金及业绩基准周净值!$A:$AV,19))</f>
        <v/>
      </c>
      <c r="C67" s="8" t="str">
        <f t="shared" si="0"/>
        <v/>
      </c>
      <c r="D67" s="9" t="str">
        <f>IF(A67="","",C67-(子基金及业绩基准周净值!AH107/子基金及业绩基准周净值!AH106-1))</f>
        <v/>
      </c>
      <c r="E67" s="12" t="str">
        <f>IF(A67="","",(MAX(B$3:B67)-B67)/MAX(B$3:B67))</f>
        <v/>
      </c>
      <c r="F67" s="12" t="str">
        <f>IF(A67="","",MAX(E$4:E67))</f>
        <v/>
      </c>
      <c r="G67" s="13"/>
      <c r="H67" s="14" t="str">
        <f t="shared" si="1"/>
        <v/>
      </c>
      <c r="I67" s="14" t="str">
        <f t="shared" si="2"/>
        <v/>
      </c>
      <c r="J67" s="15" t="str">
        <f t="shared" si="3"/>
        <v/>
      </c>
    </row>
    <row r="68" spans="1:10">
      <c r="A68" s="7" t="str">
        <f>IF(子基金及业绩基准周净值!A108="","",子基金及业绩基准周净值!A108)</f>
        <v/>
      </c>
      <c r="B68" s="1" t="str">
        <f>IF(A68="","",VLOOKUP($A68,子基金及业绩基准周净值!$A:$AV,19))</f>
        <v/>
      </c>
      <c r="C68" s="8" t="str">
        <f t="shared" si="0"/>
        <v/>
      </c>
      <c r="D68" s="9" t="str">
        <f>IF(A68="","",C68-(子基金及业绩基准周净值!AH108/子基金及业绩基准周净值!AH107-1))</f>
        <v/>
      </c>
      <c r="E68" s="12" t="str">
        <f>IF(A68="","",(MAX(B$3:B68)-B68)/MAX(B$3:B68))</f>
        <v/>
      </c>
      <c r="F68" s="12" t="str">
        <f>IF(A68="","",MAX(E$4:E68))</f>
        <v/>
      </c>
      <c r="G68" s="13"/>
      <c r="H68" s="14" t="str">
        <f t="shared" si="1"/>
        <v/>
      </c>
      <c r="I68" s="14" t="str">
        <f t="shared" si="2"/>
        <v/>
      </c>
      <c r="J68" s="15" t="str">
        <f t="shared" si="3"/>
        <v/>
      </c>
    </row>
    <row r="69" spans="1:10">
      <c r="A69" s="7" t="str">
        <f>IF(子基金及业绩基准周净值!A109="","",子基金及业绩基准周净值!A109)</f>
        <v/>
      </c>
      <c r="B69" s="1" t="str">
        <f>IF(A69="","",VLOOKUP($A69,子基金及业绩基准周净值!$A:$AV,19))</f>
        <v/>
      </c>
      <c r="C69" s="8" t="str">
        <f t="shared" ref="C69:C132" si="4">IF(A69="","",(B69-B68)/B68)</f>
        <v/>
      </c>
      <c r="D69" s="9" t="str">
        <f>IF(A69="","",C69-(子基金及业绩基准周净值!AH109/子基金及业绩基准周净值!AH108-1))</f>
        <v/>
      </c>
      <c r="E69" s="12" t="str">
        <f>IF(A69="","",(MAX(B$3:B69)-B69)/MAX(B$3:B69))</f>
        <v/>
      </c>
      <c r="F69" s="12" t="str">
        <f>IF(A69="","",MAX(E$4:E69))</f>
        <v/>
      </c>
      <c r="G69" s="13"/>
      <c r="H69" s="14" t="str">
        <f t="shared" ref="H69:H132" si="5">IF(B69="","",IF(C69&lt;-3%,"是","否"))</f>
        <v/>
      </c>
      <c r="I69" s="14" t="str">
        <f t="shared" ref="I69:I132" si="6">IF(A69="","",IF(F69&gt;5%,"是","否"))</f>
        <v/>
      </c>
      <c r="J69" s="15" t="str">
        <f t="shared" ref="J69:J132" si="7">IF(A69="","",IF(G69&gt;=4,"是","否"))</f>
        <v/>
      </c>
    </row>
    <row r="70" spans="1:10">
      <c r="A70" s="7" t="str">
        <f>IF(子基金及业绩基准周净值!A110="","",子基金及业绩基准周净值!A110)</f>
        <v/>
      </c>
      <c r="B70" s="1" t="str">
        <f>IF(A70="","",VLOOKUP($A70,子基金及业绩基准周净值!$A:$AV,19))</f>
        <v/>
      </c>
      <c r="C70" s="8" t="str">
        <f t="shared" si="4"/>
        <v/>
      </c>
      <c r="D70" s="9" t="str">
        <f>IF(A70="","",C70-(子基金及业绩基准周净值!AH110/子基金及业绩基准周净值!AH109-1))</f>
        <v/>
      </c>
      <c r="E70" s="12" t="str">
        <f>IF(A70="","",(MAX(B$3:B70)-B70)/MAX(B$3:B70))</f>
        <v/>
      </c>
      <c r="F70" s="12" t="str">
        <f>IF(A70="","",MAX(E$4:E70))</f>
        <v/>
      </c>
      <c r="G70" s="13"/>
      <c r="H70" s="14" t="str">
        <f t="shared" si="5"/>
        <v/>
      </c>
      <c r="I70" s="14" t="str">
        <f t="shared" si="6"/>
        <v/>
      </c>
      <c r="J70" s="15" t="str">
        <f t="shared" si="7"/>
        <v/>
      </c>
    </row>
    <row r="71" spans="1:10">
      <c r="A71" s="7" t="str">
        <f>IF(子基金及业绩基准周净值!A111="","",子基金及业绩基准周净值!A111)</f>
        <v/>
      </c>
      <c r="B71" s="1" t="str">
        <f>IF(A71="","",VLOOKUP($A71,子基金及业绩基准周净值!$A:$AV,19))</f>
        <v/>
      </c>
      <c r="C71" s="8" t="str">
        <f t="shared" si="4"/>
        <v/>
      </c>
      <c r="D71" s="9" t="str">
        <f>IF(A71="","",C71-(子基金及业绩基准周净值!AH111/子基金及业绩基准周净值!AH110-1))</f>
        <v/>
      </c>
      <c r="E71" s="12" t="str">
        <f>IF(A71="","",(MAX(B$3:B71)-B71)/MAX(B$3:B71))</f>
        <v/>
      </c>
      <c r="F71" s="12" t="str">
        <f>IF(A71="","",MAX(E$4:E71))</f>
        <v/>
      </c>
      <c r="G71" s="13"/>
      <c r="H71" s="14" t="str">
        <f t="shared" si="5"/>
        <v/>
      </c>
      <c r="I71" s="14" t="str">
        <f t="shared" si="6"/>
        <v/>
      </c>
      <c r="J71" s="15" t="str">
        <f t="shared" si="7"/>
        <v/>
      </c>
    </row>
    <row r="72" spans="1:10">
      <c r="A72" s="7" t="str">
        <f>IF(子基金及业绩基准周净值!A112="","",子基金及业绩基准周净值!A112)</f>
        <v/>
      </c>
      <c r="B72" s="1" t="str">
        <f>IF(A72="","",VLOOKUP($A72,子基金及业绩基准周净值!$A:$AV,19))</f>
        <v/>
      </c>
      <c r="C72" s="8" t="str">
        <f t="shared" si="4"/>
        <v/>
      </c>
      <c r="D72" s="9" t="str">
        <f>IF(A72="","",C72-(子基金及业绩基准周净值!AH112/子基金及业绩基准周净值!AH111-1))</f>
        <v/>
      </c>
      <c r="E72" s="12" t="str">
        <f>IF(A72="","",(MAX(B$3:B72)-B72)/MAX(B$3:B72))</f>
        <v/>
      </c>
      <c r="F72" s="12" t="str">
        <f>IF(A72="","",MAX(E$4:E72))</f>
        <v/>
      </c>
      <c r="G72" s="13"/>
      <c r="H72" s="14" t="str">
        <f t="shared" si="5"/>
        <v/>
      </c>
      <c r="I72" s="14" t="str">
        <f t="shared" si="6"/>
        <v/>
      </c>
      <c r="J72" s="15" t="str">
        <f t="shared" si="7"/>
        <v/>
      </c>
    </row>
    <row r="73" spans="1:10">
      <c r="A73" s="7" t="str">
        <f>IF(子基金及业绩基准周净值!A113="","",子基金及业绩基准周净值!A113)</f>
        <v/>
      </c>
      <c r="B73" s="1" t="str">
        <f>IF(A73="","",VLOOKUP($A73,子基金及业绩基准周净值!$A:$AV,19))</f>
        <v/>
      </c>
      <c r="C73" s="8" t="str">
        <f t="shared" si="4"/>
        <v/>
      </c>
      <c r="D73" s="9" t="str">
        <f>IF(A73="","",C73-(子基金及业绩基准周净值!AH113/子基金及业绩基准周净值!AH112-1))</f>
        <v/>
      </c>
      <c r="E73" s="12" t="str">
        <f>IF(A73="","",(MAX(B$3:B73)-B73)/MAX(B$3:B73))</f>
        <v/>
      </c>
      <c r="F73" s="12" t="str">
        <f>IF(A73="","",MAX(E$4:E73))</f>
        <v/>
      </c>
      <c r="G73" s="13"/>
      <c r="H73" s="14" t="str">
        <f t="shared" si="5"/>
        <v/>
      </c>
      <c r="I73" s="14" t="str">
        <f t="shared" si="6"/>
        <v/>
      </c>
      <c r="J73" s="15" t="str">
        <f t="shared" si="7"/>
        <v/>
      </c>
    </row>
    <row r="74" spans="1:10">
      <c r="A74" s="7" t="str">
        <f>IF(子基金及业绩基准周净值!A114="","",子基金及业绩基准周净值!A114)</f>
        <v/>
      </c>
      <c r="B74" s="1" t="str">
        <f>IF(A74="","",VLOOKUP($A74,子基金及业绩基准周净值!$A:$AV,19))</f>
        <v/>
      </c>
      <c r="C74" s="8" t="str">
        <f t="shared" si="4"/>
        <v/>
      </c>
      <c r="D74" s="9" t="str">
        <f>IF(A74="","",C74-(子基金及业绩基准周净值!AH114/子基金及业绩基准周净值!AH113-1))</f>
        <v/>
      </c>
      <c r="E74" s="12" t="str">
        <f>IF(A74="","",(MAX(B$3:B74)-B74)/MAX(B$3:B74))</f>
        <v/>
      </c>
      <c r="F74" s="12" t="str">
        <f>IF(A74="","",MAX(E$4:E74))</f>
        <v/>
      </c>
      <c r="G74" s="13"/>
      <c r="H74" s="14" t="str">
        <f t="shared" si="5"/>
        <v/>
      </c>
      <c r="I74" s="14" t="str">
        <f t="shared" si="6"/>
        <v/>
      </c>
      <c r="J74" s="15" t="str">
        <f t="shared" si="7"/>
        <v/>
      </c>
    </row>
    <row r="75" spans="1:10">
      <c r="A75" s="7" t="str">
        <f>IF(子基金及业绩基准周净值!A115="","",子基金及业绩基准周净值!A115)</f>
        <v/>
      </c>
      <c r="B75" s="1" t="str">
        <f>IF(A75="","",VLOOKUP($A75,子基金及业绩基准周净值!$A:$AV,19))</f>
        <v/>
      </c>
      <c r="C75" s="8" t="str">
        <f t="shared" si="4"/>
        <v/>
      </c>
      <c r="D75" s="9" t="str">
        <f>IF(A75="","",C75-(子基金及业绩基准周净值!AH115/子基金及业绩基准周净值!AH114-1))</f>
        <v/>
      </c>
      <c r="E75" s="12" t="str">
        <f>IF(A75="","",(MAX(B$3:B75)-B75)/MAX(B$3:B75))</f>
        <v/>
      </c>
      <c r="F75" s="12" t="str">
        <f>IF(A75="","",MAX(E$4:E75))</f>
        <v/>
      </c>
      <c r="G75" s="13"/>
      <c r="H75" s="14" t="str">
        <f t="shared" si="5"/>
        <v/>
      </c>
      <c r="I75" s="14" t="str">
        <f t="shared" si="6"/>
        <v/>
      </c>
      <c r="J75" s="15" t="str">
        <f t="shared" si="7"/>
        <v/>
      </c>
    </row>
    <row r="76" spans="1:10">
      <c r="A76" s="7" t="str">
        <f>IF(子基金及业绩基准周净值!A116="","",子基金及业绩基准周净值!A116)</f>
        <v/>
      </c>
      <c r="B76" s="1" t="str">
        <f>IF(A76="","",VLOOKUP($A76,子基金及业绩基准周净值!$A:$AV,19))</f>
        <v/>
      </c>
      <c r="C76" s="8" t="str">
        <f t="shared" si="4"/>
        <v/>
      </c>
      <c r="D76" s="9" t="str">
        <f>IF(A76="","",C76-(子基金及业绩基准周净值!AH116/子基金及业绩基准周净值!AH115-1))</f>
        <v/>
      </c>
      <c r="E76" s="12" t="str">
        <f>IF(A76="","",(MAX(B$3:B76)-B76)/MAX(B$3:B76))</f>
        <v/>
      </c>
      <c r="F76" s="12" t="str">
        <f>IF(A76="","",MAX(E$4:E76))</f>
        <v/>
      </c>
      <c r="G76" s="13"/>
      <c r="H76" s="14" t="str">
        <f t="shared" si="5"/>
        <v/>
      </c>
      <c r="I76" s="14" t="str">
        <f t="shared" si="6"/>
        <v/>
      </c>
      <c r="J76" s="15" t="str">
        <f t="shared" si="7"/>
        <v/>
      </c>
    </row>
    <row r="77" spans="1:10">
      <c r="A77" s="7" t="str">
        <f>IF(子基金及业绩基准周净值!A117="","",子基金及业绩基准周净值!A117)</f>
        <v/>
      </c>
      <c r="B77" s="1" t="str">
        <f>IF(A77="","",VLOOKUP($A77,子基金及业绩基准周净值!$A:$AV,19))</f>
        <v/>
      </c>
      <c r="C77" s="8" t="str">
        <f t="shared" si="4"/>
        <v/>
      </c>
      <c r="D77" s="9" t="str">
        <f>IF(A77="","",C77-(子基金及业绩基准周净值!AH117/子基金及业绩基准周净值!AH116-1))</f>
        <v/>
      </c>
      <c r="E77" s="12" t="str">
        <f>IF(A77="","",(MAX(B$3:B77)-B77)/MAX(B$3:B77))</f>
        <v/>
      </c>
      <c r="F77" s="12" t="str">
        <f>IF(A77="","",MAX(E$4:E77))</f>
        <v/>
      </c>
      <c r="G77" s="13"/>
      <c r="H77" s="14" t="str">
        <f t="shared" si="5"/>
        <v/>
      </c>
      <c r="I77" s="14" t="str">
        <f t="shared" si="6"/>
        <v/>
      </c>
      <c r="J77" s="15" t="str">
        <f t="shared" si="7"/>
        <v/>
      </c>
    </row>
    <row r="78" spans="1:10">
      <c r="A78" s="7" t="str">
        <f>IF(子基金及业绩基准周净值!A118="","",子基金及业绩基准周净值!A118)</f>
        <v/>
      </c>
      <c r="B78" s="1" t="str">
        <f>IF(A78="","",VLOOKUP($A78,子基金及业绩基准周净值!$A:$AV,19))</f>
        <v/>
      </c>
      <c r="C78" s="8" t="str">
        <f t="shared" si="4"/>
        <v/>
      </c>
      <c r="D78" s="9" t="str">
        <f>IF(A78="","",C78-(子基金及业绩基准周净值!AH118/子基金及业绩基准周净值!AH117-1))</f>
        <v/>
      </c>
      <c r="E78" s="12" t="str">
        <f>IF(A78="","",(MAX(B$3:B78)-B78)/MAX(B$3:B78))</f>
        <v/>
      </c>
      <c r="F78" s="12" t="str">
        <f>IF(A78="","",MAX(E$4:E78))</f>
        <v/>
      </c>
      <c r="G78" s="13"/>
      <c r="H78" s="14" t="str">
        <f t="shared" si="5"/>
        <v/>
      </c>
      <c r="I78" s="14" t="str">
        <f t="shared" si="6"/>
        <v/>
      </c>
      <c r="J78" s="15" t="str">
        <f t="shared" si="7"/>
        <v/>
      </c>
    </row>
    <row r="79" spans="1:10">
      <c r="A79" s="7" t="str">
        <f>IF(子基金及业绩基准周净值!A119="","",子基金及业绩基准周净值!A119)</f>
        <v/>
      </c>
      <c r="B79" s="1" t="str">
        <f>IF(A79="","",VLOOKUP($A79,子基金及业绩基准周净值!$A:$AV,19))</f>
        <v/>
      </c>
      <c r="C79" s="8" t="str">
        <f t="shared" si="4"/>
        <v/>
      </c>
      <c r="D79" s="9" t="str">
        <f>IF(A79="","",C79-(子基金及业绩基准周净值!AH119/子基金及业绩基准周净值!AH118-1))</f>
        <v/>
      </c>
      <c r="E79" s="12" t="str">
        <f>IF(A79="","",(MAX(B$3:B79)-B79)/MAX(B$3:B79))</f>
        <v/>
      </c>
      <c r="F79" s="12" t="str">
        <f>IF(A79="","",MAX(E$4:E79))</f>
        <v/>
      </c>
      <c r="G79" s="13"/>
      <c r="H79" s="14" t="str">
        <f t="shared" si="5"/>
        <v/>
      </c>
      <c r="I79" s="14" t="str">
        <f t="shared" si="6"/>
        <v/>
      </c>
      <c r="J79" s="15" t="str">
        <f t="shared" si="7"/>
        <v/>
      </c>
    </row>
    <row r="80" spans="1:10">
      <c r="A80" s="7" t="str">
        <f>IF(子基金及业绩基准周净值!A120="","",子基金及业绩基准周净值!A120)</f>
        <v/>
      </c>
      <c r="B80" s="1" t="str">
        <f>IF(A80="","",VLOOKUP($A80,子基金及业绩基准周净值!$A:$AV,19))</f>
        <v/>
      </c>
      <c r="C80" s="8" t="str">
        <f t="shared" si="4"/>
        <v/>
      </c>
      <c r="D80" s="9" t="str">
        <f>IF(A80="","",C80-(子基金及业绩基准周净值!AH120/子基金及业绩基准周净值!AH119-1))</f>
        <v/>
      </c>
      <c r="E80" s="12" t="str">
        <f>IF(A80="","",(MAX(B$3:B80)-B80)/MAX(B$3:B80))</f>
        <v/>
      </c>
      <c r="F80" s="12" t="str">
        <f>IF(A80="","",MAX(E$4:E80))</f>
        <v/>
      </c>
      <c r="G80" s="13"/>
      <c r="H80" s="14" t="str">
        <f t="shared" si="5"/>
        <v/>
      </c>
      <c r="I80" s="14" t="str">
        <f t="shared" si="6"/>
        <v/>
      </c>
      <c r="J80" s="15" t="str">
        <f t="shared" si="7"/>
        <v/>
      </c>
    </row>
    <row r="81" spans="1:10">
      <c r="A81" s="7" t="str">
        <f>IF(子基金及业绩基准周净值!A121="","",子基金及业绩基准周净值!A121)</f>
        <v/>
      </c>
      <c r="B81" s="1" t="str">
        <f>IF(A81="","",VLOOKUP($A81,子基金及业绩基准周净值!$A:$AV,19))</f>
        <v/>
      </c>
      <c r="C81" s="8" t="str">
        <f t="shared" si="4"/>
        <v/>
      </c>
      <c r="D81" s="9" t="str">
        <f>IF(A81="","",C81-(子基金及业绩基准周净值!AH121/子基金及业绩基准周净值!AH120-1))</f>
        <v/>
      </c>
      <c r="E81" s="12" t="str">
        <f>IF(A81="","",(MAX(B$3:B81)-B81)/MAX(B$3:B81))</f>
        <v/>
      </c>
      <c r="F81" s="12" t="str">
        <f>IF(A81="","",MAX(E$4:E81))</f>
        <v/>
      </c>
      <c r="G81" s="13"/>
      <c r="H81" s="14" t="str">
        <f t="shared" si="5"/>
        <v/>
      </c>
      <c r="I81" s="14" t="str">
        <f t="shared" si="6"/>
        <v/>
      </c>
      <c r="J81" s="15" t="str">
        <f t="shared" si="7"/>
        <v/>
      </c>
    </row>
    <row r="82" spans="1:10">
      <c r="A82" s="7" t="str">
        <f>IF(子基金及业绩基准周净值!A122="","",子基金及业绩基准周净值!A122)</f>
        <v/>
      </c>
      <c r="B82" s="1" t="str">
        <f>IF(A82="","",VLOOKUP($A82,子基金及业绩基准周净值!$A:$AV,19))</f>
        <v/>
      </c>
      <c r="C82" s="8" t="str">
        <f t="shared" si="4"/>
        <v/>
      </c>
      <c r="D82" s="9" t="str">
        <f>IF(A82="","",C82-(子基金及业绩基准周净值!AH122/子基金及业绩基准周净值!AH121-1))</f>
        <v/>
      </c>
      <c r="E82" s="12" t="str">
        <f>IF(A82="","",(MAX(B$3:B82)-B82)/MAX(B$3:B82))</f>
        <v/>
      </c>
      <c r="F82" s="12" t="str">
        <f>IF(A82="","",MAX(E$4:E82))</f>
        <v/>
      </c>
      <c r="G82" s="13"/>
      <c r="H82" s="14" t="str">
        <f t="shared" si="5"/>
        <v/>
      </c>
      <c r="I82" s="14" t="str">
        <f t="shared" si="6"/>
        <v/>
      </c>
      <c r="J82" s="15" t="str">
        <f t="shared" si="7"/>
        <v/>
      </c>
    </row>
    <row r="83" spans="1:10">
      <c r="A83" s="7" t="str">
        <f>IF(子基金及业绩基准周净值!A123="","",子基金及业绩基准周净值!A123)</f>
        <v/>
      </c>
      <c r="B83" s="1" t="str">
        <f>IF(A83="","",VLOOKUP($A83,子基金及业绩基准周净值!$A:$AV,19))</f>
        <v/>
      </c>
      <c r="C83" s="8" t="str">
        <f t="shared" si="4"/>
        <v/>
      </c>
      <c r="D83" s="9" t="str">
        <f>IF(A83="","",C83-(子基金及业绩基准周净值!AH123/子基金及业绩基准周净值!AH122-1))</f>
        <v/>
      </c>
      <c r="E83" s="12" t="str">
        <f>IF(A83="","",(MAX(B$3:B83)-B83)/MAX(B$3:B83))</f>
        <v/>
      </c>
      <c r="F83" s="12" t="str">
        <f>IF(A83="","",MAX(E$4:E83))</f>
        <v/>
      </c>
      <c r="G83" s="13"/>
      <c r="H83" s="14" t="str">
        <f t="shared" si="5"/>
        <v/>
      </c>
      <c r="I83" s="14" t="str">
        <f t="shared" si="6"/>
        <v/>
      </c>
      <c r="J83" s="15" t="str">
        <f t="shared" si="7"/>
        <v/>
      </c>
    </row>
    <row r="84" spans="1:10">
      <c r="A84" s="7" t="str">
        <f>IF(子基金及业绩基准周净值!A124="","",子基金及业绩基准周净值!A124)</f>
        <v/>
      </c>
      <c r="B84" s="1" t="str">
        <f>IF(A84="","",VLOOKUP($A84,子基金及业绩基准周净值!$A:$AV,19))</f>
        <v/>
      </c>
      <c r="C84" s="8" t="str">
        <f t="shared" si="4"/>
        <v/>
      </c>
      <c r="D84" s="9" t="str">
        <f>IF(A84="","",C84-(子基金及业绩基准周净值!AH124/子基金及业绩基准周净值!AH123-1))</f>
        <v/>
      </c>
      <c r="E84" s="12" t="str">
        <f>IF(A84="","",(MAX(B$3:B84)-B84)/MAX(B$3:B84))</f>
        <v/>
      </c>
      <c r="F84" s="12" t="str">
        <f>IF(A84="","",MAX(E$4:E84))</f>
        <v/>
      </c>
      <c r="G84" s="13"/>
      <c r="H84" s="14" t="str">
        <f t="shared" si="5"/>
        <v/>
      </c>
      <c r="I84" s="14" t="str">
        <f t="shared" si="6"/>
        <v/>
      </c>
      <c r="J84" s="15" t="str">
        <f t="shared" si="7"/>
        <v/>
      </c>
    </row>
    <row r="85" spans="1:10">
      <c r="A85" s="7" t="str">
        <f>IF(子基金及业绩基准周净值!A125="","",子基金及业绩基准周净值!A125)</f>
        <v/>
      </c>
      <c r="B85" s="1" t="str">
        <f>IF(A85="","",VLOOKUP($A85,子基金及业绩基准周净值!$A:$AV,19))</f>
        <v/>
      </c>
      <c r="C85" s="8" t="str">
        <f t="shared" si="4"/>
        <v/>
      </c>
      <c r="D85" s="9" t="str">
        <f>IF(A85="","",C85-(子基金及业绩基准周净值!AH125/子基金及业绩基准周净值!AH124-1))</f>
        <v/>
      </c>
      <c r="E85" s="12" t="str">
        <f>IF(A85="","",(MAX(B$3:B85)-B85)/MAX(B$3:B85))</f>
        <v/>
      </c>
      <c r="F85" s="12" t="str">
        <f>IF(A85="","",MAX(E$4:E85))</f>
        <v/>
      </c>
      <c r="G85" s="13"/>
      <c r="H85" s="14" t="str">
        <f t="shared" si="5"/>
        <v/>
      </c>
      <c r="I85" s="14" t="str">
        <f t="shared" si="6"/>
        <v/>
      </c>
      <c r="J85" s="15" t="str">
        <f t="shared" si="7"/>
        <v/>
      </c>
    </row>
    <row r="86" spans="1:10">
      <c r="A86" s="7" t="str">
        <f>IF(子基金及业绩基准周净值!A126="","",子基金及业绩基准周净值!A126)</f>
        <v/>
      </c>
      <c r="B86" s="1" t="str">
        <f>IF(A86="","",VLOOKUP($A86,子基金及业绩基准周净值!$A:$AV,19))</f>
        <v/>
      </c>
      <c r="C86" s="8" t="str">
        <f t="shared" si="4"/>
        <v/>
      </c>
      <c r="D86" s="9" t="str">
        <f>IF(A86="","",C86-(子基金及业绩基准周净值!AH126/子基金及业绩基准周净值!AH125-1))</f>
        <v/>
      </c>
      <c r="E86" s="12" t="str">
        <f>IF(A86="","",(MAX(B$3:B86)-B86)/MAX(B$3:B86))</f>
        <v/>
      </c>
      <c r="F86" s="12" t="str">
        <f>IF(A86="","",MAX(E$4:E86))</f>
        <v/>
      </c>
      <c r="G86" s="13"/>
      <c r="H86" s="14" t="str">
        <f t="shared" si="5"/>
        <v/>
      </c>
      <c r="I86" s="14" t="str">
        <f t="shared" si="6"/>
        <v/>
      </c>
      <c r="J86" s="15" t="str">
        <f t="shared" si="7"/>
        <v/>
      </c>
    </row>
    <row r="87" spans="1:10">
      <c r="A87" s="7" t="str">
        <f>IF(子基金及业绩基准周净值!A127="","",子基金及业绩基准周净值!A127)</f>
        <v/>
      </c>
      <c r="B87" s="1" t="str">
        <f>IF(A87="","",VLOOKUP($A87,子基金及业绩基准周净值!$A:$AV,19))</f>
        <v/>
      </c>
      <c r="C87" s="8" t="str">
        <f t="shared" si="4"/>
        <v/>
      </c>
      <c r="D87" s="9" t="str">
        <f>IF(A87="","",C87-(子基金及业绩基准周净值!AH127/子基金及业绩基准周净值!AH126-1))</f>
        <v/>
      </c>
      <c r="E87" s="12" t="str">
        <f>IF(A87="","",(MAX(B$3:B87)-B87)/MAX(B$3:B87))</f>
        <v/>
      </c>
      <c r="F87" s="12" t="str">
        <f>IF(A87="","",MAX(E$4:E87))</f>
        <v/>
      </c>
      <c r="G87" s="13"/>
      <c r="H87" s="14" t="str">
        <f t="shared" si="5"/>
        <v/>
      </c>
      <c r="I87" s="14" t="str">
        <f t="shared" si="6"/>
        <v/>
      </c>
      <c r="J87" s="15" t="str">
        <f t="shared" si="7"/>
        <v/>
      </c>
    </row>
    <row r="88" spans="1:10">
      <c r="A88" s="7" t="str">
        <f>IF(子基金及业绩基准周净值!A128="","",子基金及业绩基准周净值!A128)</f>
        <v/>
      </c>
      <c r="B88" s="1" t="str">
        <f>IF(A88="","",VLOOKUP($A88,子基金及业绩基准周净值!$A:$AV,19))</f>
        <v/>
      </c>
      <c r="C88" s="8" t="str">
        <f t="shared" si="4"/>
        <v/>
      </c>
      <c r="D88" s="9" t="str">
        <f>IF(A88="","",C88-(子基金及业绩基准周净值!AH128/子基金及业绩基准周净值!AH127-1))</f>
        <v/>
      </c>
      <c r="E88" s="12" t="str">
        <f>IF(A88="","",(MAX(B$3:B88)-B88)/MAX(B$3:B88))</f>
        <v/>
      </c>
      <c r="F88" s="12" t="str">
        <f>IF(A88="","",MAX(E$4:E88))</f>
        <v/>
      </c>
      <c r="G88" s="13"/>
      <c r="H88" s="14" t="str">
        <f t="shared" si="5"/>
        <v/>
      </c>
      <c r="I88" s="14" t="str">
        <f t="shared" si="6"/>
        <v/>
      </c>
      <c r="J88" s="15" t="str">
        <f t="shared" si="7"/>
        <v/>
      </c>
    </row>
    <row r="89" spans="1:10">
      <c r="A89" s="7" t="str">
        <f>IF(子基金及业绩基准周净值!A129="","",子基金及业绩基准周净值!A129)</f>
        <v/>
      </c>
      <c r="B89" s="1" t="str">
        <f>IF(A89="","",VLOOKUP($A89,子基金及业绩基准周净值!$A:$AV,19))</f>
        <v/>
      </c>
      <c r="C89" s="8" t="str">
        <f t="shared" si="4"/>
        <v/>
      </c>
      <c r="D89" s="9" t="str">
        <f>IF(A89="","",C89-(子基金及业绩基准周净值!AH129/子基金及业绩基准周净值!AH128-1))</f>
        <v/>
      </c>
      <c r="E89" s="12" t="str">
        <f>IF(A89="","",(MAX(B$3:B89)-B89)/MAX(B$3:B89))</f>
        <v/>
      </c>
      <c r="F89" s="12" t="str">
        <f>IF(A89="","",MAX(E$4:E89))</f>
        <v/>
      </c>
      <c r="G89" s="13"/>
      <c r="H89" s="14" t="str">
        <f t="shared" si="5"/>
        <v/>
      </c>
      <c r="I89" s="14" t="str">
        <f t="shared" si="6"/>
        <v/>
      </c>
      <c r="J89" s="15" t="str">
        <f t="shared" si="7"/>
        <v/>
      </c>
    </row>
    <row r="90" spans="1:10">
      <c r="A90" s="7" t="str">
        <f>IF(子基金及业绩基准周净值!A130="","",子基金及业绩基准周净值!A130)</f>
        <v/>
      </c>
      <c r="B90" s="1" t="str">
        <f>IF(A90="","",VLOOKUP($A90,子基金及业绩基准周净值!$A:$AV,19))</f>
        <v/>
      </c>
      <c r="C90" s="8" t="str">
        <f t="shared" si="4"/>
        <v/>
      </c>
      <c r="D90" s="9" t="str">
        <f>IF(A90="","",C90-(子基金及业绩基准周净值!AH130/子基金及业绩基准周净值!AH129-1))</f>
        <v/>
      </c>
      <c r="E90" s="12" t="str">
        <f>IF(A90="","",(MAX(B$3:B90)-B90)/MAX(B$3:B90))</f>
        <v/>
      </c>
      <c r="F90" s="12" t="str">
        <f>IF(A90="","",MAX(E$4:E90))</f>
        <v/>
      </c>
      <c r="G90" s="13"/>
      <c r="H90" s="14" t="str">
        <f t="shared" si="5"/>
        <v/>
      </c>
      <c r="I90" s="14" t="str">
        <f t="shared" si="6"/>
        <v/>
      </c>
      <c r="J90" s="15" t="str">
        <f t="shared" si="7"/>
        <v/>
      </c>
    </row>
    <row r="91" spans="1:10">
      <c r="A91" s="7" t="str">
        <f>IF(子基金及业绩基准周净值!A131="","",子基金及业绩基准周净值!A131)</f>
        <v/>
      </c>
      <c r="B91" s="1" t="str">
        <f>IF(A91="","",VLOOKUP($A91,子基金及业绩基准周净值!$A:$AV,19))</f>
        <v/>
      </c>
      <c r="C91" s="8" t="str">
        <f t="shared" si="4"/>
        <v/>
      </c>
      <c r="D91" s="9" t="str">
        <f>IF(A91="","",C91-(子基金及业绩基准周净值!AH131/子基金及业绩基准周净值!AH130-1))</f>
        <v/>
      </c>
      <c r="E91" s="12" t="str">
        <f>IF(A91="","",(MAX(B$3:B91)-B91)/MAX(B$3:B91))</f>
        <v/>
      </c>
      <c r="F91" s="12" t="str">
        <f>IF(A91="","",MAX(E$4:E91))</f>
        <v/>
      </c>
      <c r="G91" s="13"/>
      <c r="H91" s="14" t="str">
        <f t="shared" si="5"/>
        <v/>
      </c>
      <c r="I91" s="14" t="str">
        <f t="shared" si="6"/>
        <v/>
      </c>
      <c r="J91" s="15" t="str">
        <f t="shared" si="7"/>
        <v/>
      </c>
    </row>
    <row r="92" spans="1:10">
      <c r="A92" s="7" t="str">
        <f>IF(子基金及业绩基准周净值!A132="","",子基金及业绩基准周净值!A132)</f>
        <v/>
      </c>
      <c r="B92" s="1" t="str">
        <f>IF(A92="","",VLOOKUP($A92,子基金及业绩基准周净值!$A:$AV,19))</f>
        <v/>
      </c>
      <c r="C92" s="8" t="str">
        <f t="shared" si="4"/>
        <v/>
      </c>
      <c r="D92" s="9" t="str">
        <f>IF(A92="","",C92-(子基金及业绩基准周净值!AH132/子基金及业绩基准周净值!AH131-1))</f>
        <v/>
      </c>
      <c r="E92" s="12" t="str">
        <f>IF(A92="","",(MAX(B$3:B92)-B92)/MAX(B$3:B92))</f>
        <v/>
      </c>
      <c r="F92" s="12" t="str">
        <f>IF(A92="","",MAX(E$4:E92))</f>
        <v/>
      </c>
      <c r="G92" s="13"/>
      <c r="H92" s="14" t="str">
        <f t="shared" si="5"/>
        <v/>
      </c>
      <c r="I92" s="14" t="str">
        <f t="shared" si="6"/>
        <v/>
      </c>
      <c r="J92" s="15" t="str">
        <f t="shared" si="7"/>
        <v/>
      </c>
    </row>
    <row r="93" spans="1:10">
      <c r="A93" s="7" t="str">
        <f>IF(子基金及业绩基准周净值!A133="","",子基金及业绩基准周净值!A133)</f>
        <v/>
      </c>
      <c r="B93" s="1" t="str">
        <f>IF(A93="","",VLOOKUP($A93,子基金及业绩基准周净值!$A:$AV,19))</f>
        <v/>
      </c>
      <c r="C93" s="8" t="str">
        <f t="shared" si="4"/>
        <v/>
      </c>
      <c r="D93" s="9" t="str">
        <f>IF(A93="","",C93-(子基金及业绩基准周净值!AH133/子基金及业绩基准周净值!AH132-1))</f>
        <v/>
      </c>
      <c r="E93" s="12" t="str">
        <f>IF(A93="","",(MAX(B$3:B93)-B93)/MAX(B$3:B93))</f>
        <v/>
      </c>
      <c r="F93" s="12" t="str">
        <f>IF(A93="","",MAX(E$4:E93))</f>
        <v/>
      </c>
      <c r="G93" s="13"/>
      <c r="H93" s="14" t="str">
        <f t="shared" si="5"/>
        <v/>
      </c>
      <c r="I93" s="14" t="str">
        <f t="shared" si="6"/>
        <v/>
      </c>
      <c r="J93" s="15" t="str">
        <f t="shared" si="7"/>
        <v/>
      </c>
    </row>
    <row r="94" spans="1:10">
      <c r="A94" s="7" t="str">
        <f>IF(子基金及业绩基准周净值!A134="","",子基金及业绩基准周净值!A134)</f>
        <v/>
      </c>
      <c r="B94" s="1" t="str">
        <f>IF(A94="","",VLOOKUP($A94,子基金及业绩基准周净值!$A:$AV,19))</f>
        <v/>
      </c>
      <c r="C94" s="8" t="str">
        <f t="shared" si="4"/>
        <v/>
      </c>
      <c r="D94" s="9" t="str">
        <f>IF(A94="","",C94-(子基金及业绩基准周净值!AH134/子基金及业绩基准周净值!AH133-1))</f>
        <v/>
      </c>
      <c r="E94" s="12" t="str">
        <f>IF(A94="","",(MAX(B$3:B94)-B94)/MAX(B$3:B94))</f>
        <v/>
      </c>
      <c r="F94" s="12" t="str">
        <f>IF(A94="","",MAX(E$4:E94))</f>
        <v/>
      </c>
      <c r="G94" s="13"/>
      <c r="H94" s="14" t="str">
        <f t="shared" si="5"/>
        <v/>
      </c>
      <c r="I94" s="14" t="str">
        <f t="shared" si="6"/>
        <v/>
      </c>
      <c r="J94" s="15" t="str">
        <f t="shared" si="7"/>
        <v/>
      </c>
    </row>
    <row r="95" spans="1:10">
      <c r="A95" s="7" t="str">
        <f>IF(子基金及业绩基准周净值!A135="","",子基金及业绩基准周净值!A135)</f>
        <v/>
      </c>
      <c r="B95" s="1" t="str">
        <f>IF(A95="","",VLOOKUP($A95,子基金及业绩基准周净值!$A:$AV,19))</f>
        <v/>
      </c>
      <c r="C95" s="8" t="str">
        <f t="shared" si="4"/>
        <v/>
      </c>
      <c r="D95" s="9" t="str">
        <f>IF(A95="","",C95-(子基金及业绩基准周净值!AH135/子基金及业绩基准周净值!AH134-1))</f>
        <v/>
      </c>
      <c r="E95" s="12" t="str">
        <f>IF(A95="","",(MAX(B$3:B95)-B95)/MAX(B$3:B95))</f>
        <v/>
      </c>
      <c r="F95" s="12" t="str">
        <f>IF(A95="","",MAX(E$4:E95))</f>
        <v/>
      </c>
      <c r="G95" s="13"/>
      <c r="H95" s="14" t="str">
        <f t="shared" si="5"/>
        <v/>
      </c>
      <c r="I95" s="14" t="str">
        <f t="shared" si="6"/>
        <v/>
      </c>
      <c r="J95" s="15" t="str">
        <f t="shared" si="7"/>
        <v/>
      </c>
    </row>
    <row r="96" spans="1:10">
      <c r="A96" s="7" t="str">
        <f>IF(子基金及业绩基准周净值!A136="","",子基金及业绩基准周净值!A136)</f>
        <v/>
      </c>
      <c r="B96" s="1" t="str">
        <f>IF(A96="","",VLOOKUP($A96,子基金及业绩基准周净值!$A:$AV,19))</f>
        <v/>
      </c>
      <c r="C96" s="8" t="str">
        <f t="shared" si="4"/>
        <v/>
      </c>
      <c r="D96" s="9" t="str">
        <f>IF(A96="","",C96-(子基金及业绩基准周净值!AH136/子基金及业绩基准周净值!AH135-1))</f>
        <v/>
      </c>
      <c r="E96" s="12" t="str">
        <f>IF(A96="","",(MAX(B$3:B96)-B96)/MAX(B$3:B96))</f>
        <v/>
      </c>
      <c r="F96" s="12" t="str">
        <f>IF(A96="","",MAX(E$4:E96))</f>
        <v/>
      </c>
      <c r="G96" s="13"/>
      <c r="H96" s="14" t="str">
        <f t="shared" si="5"/>
        <v/>
      </c>
      <c r="I96" s="14" t="str">
        <f t="shared" si="6"/>
        <v/>
      </c>
      <c r="J96" s="15" t="str">
        <f t="shared" si="7"/>
        <v/>
      </c>
    </row>
    <row r="97" spans="1:10">
      <c r="A97" s="7" t="str">
        <f>IF(子基金及业绩基准周净值!A137="","",子基金及业绩基准周净值!A137)</f>
        <v/>
      </c>
      <c r="B97" s="1" t="str">
        <f>IF(A97="","",VLOOKUP($A97,子基金及业绩基准周净值!$A:$AV,19))</f>
        <v/>
      </c>
      <c r="C97" s="8" t="str">
        <f t="shared" si="4"/>
        <v/>
      </c>
      <c r="D97" s="9" t="str">
        <f>IF(A97="","",C97-(子基金及业绩基准周净值!AH137/子基金及业绩基准周净值!AH136-1))</f>
        <v/>
      </c>
      <c r="E97" s="12" t="str">
        <f>IF(A97="","",(MAX(B$3:B97)-B97)/MAX(B$3:B97))</f>
        <v/>
      </c>
      <c r="F97" s="12" t="str">
        <f>IF(A97="","",MAX(E$4:E97))</f>
        <v/>
      </c>
      <c r="G97" s="13"/>
      <c r="H97" s="14" t="str">
        <f t="shared" si="5"/>
        <v/>
      </c>
      <c r="I97" s="14" t="str">
        <f t="shared" si="6"/>
        <v/>
      </c>
      <c r="J97" s="15" t="str">
        <f t="shared" si="7"/>
        <v/>
      </c>
    </row>
    <row r="98" spans="1:10">
      <c r="A98" s="7" t="str">
        <f>IF(子基金及业绩基准周净值!A138="","",子基金及业绩基准周净值!A138)</f>
        <v/>
      </c>
      <c r="B98" s="1" t="str">
        <f>IF(A98="","",VLOOKUP($A98,子基金及业绩基准周净值!$A:$AV,19))</f>
        <v/>
      </c>
      <c r="C98" s="8" t="str">
        <f t="shared" si="4"/>
        <v/>
      </c>
      <c r="D98" s="9" t="str">
        <f>IF(A98="","",C98-(子基金及业绩基准周净值!AH138/子基金及业绩基准周净值!AH137-1))</f>
        <v/>
      </c>
      <c r="E98" s="12" t="str">
        <f>IF(A98="","",(MAX(B$3:B98)-B98)/MAX(B$3:B98))</f>
        <v/>
      </c>
      <c r="F98" s="12" t="str">
        <f>IF(A98="","",MAX(E$4:E98))</f>
        <v/>
      </c>
      <c r="G98" s="13"/>
      <c r="H98" s="14" t="str">
        <f t="shared" si="5"/>
        <v/>
      </c>
      <c r="I98" s="14" t="str">
        <f t="shared" si="6"/>
        <v/>
      </c>
      <c r="J98" s="15" t="str">
        <f t="shared" si="7"/>
        <v/>
      </c>
    </row>
    <row r="99" spans="1:10">
      <c r="A99" s="7" t="str">
        <f>IF(子基金及业绩基准周净值!A139="","",子基金及业绩基准周净值!A139)</f>
        <v/>
      </c>
      <c r="B99" s="1" t="str">
        <f>IF(A99="","",VLOOKUP($A99,子基金及业绩基准周净值!$A:$AV,19))</f>
        <v/>
      </c>
      <c r="C99" s="8" t="str">
        <f t="shared" si="4"/>
        <v/>
      </c>
      <c r="D99" s="9" t="str">
        <f>IF(A99="","",C99-(子基金及业绩基准周净值!AH139/子基金及业绩基准周净值!AH138-1))</f>
        <v/>
      </c>
      <c r="E99" s="12" t="str">
        <f>IF(A99="","",(MAX(B$3:B99)-B99)/MAX(B$3:B99))</f>
        <v/>
      </c>
      <c r="F99" s="12" t="str">
        <f>IF(A99="","",MAX(E$4:E99))</f>
        <v/>
      </c>
      <c r="G99" s="13"/>
      <c r="H99" s="14" t="str">
        <f t="shared" si="5"/>
        <v/>
      </c>
      <c r="I99" s="14" t="str">
        <f t="shared" si="6"/>
        <v/>
      </c>
      <c r="J99" s="15" t="str">
        <f t="shared" si="7"/>
        <v/>
      </c>
    </row>
    <row r="100" spans="1:10">
      <c r="A100" s="7" t="str">
        <f>IF(子基金及业绩基准周净值!A140="","",子基金及业绩基准周净值!A140)</f>
        <v/>
      </c>
      <c r="B100" s="1" t="str">
        <f>IF(A100="","",VLOOKUP($A100,子基金及业绩基准周净值!$A:$AV,19))</f>
        <v/>
      </c>
      <c r="C100" s="8" t="str">
        <f t="shared" si="4"/>
        <v/>
      </c>
      <c r="D100" s="9" t="str">
        <f>IF(A100="","",C100-(子基金及业绩基准周净值!AH140/子基金及业绩基准周净值!AH139-1))</f>
        <v/>
      </c>
      <c r="E100" s="12" t="str">
        <f>IF(A100="","",(MAX(B$3:B100)-B100)/MAX(B$3:B100))</f>
        <v/>
      </c>
      <c r="F100" s="12" t="str">
        <f>IF(A100="","",MAX(E$4:E100))</f>
        <v/>
      </c>
      <c r="G100" s="13"/>
      <c r="H100" s="14" t="str">
        <f t="shared" si="5"/>
        <v/>
      </c>
      <c r="I100" s="14" t="str">
        <f t="shared" si="6"/>
        <v/>
      </c>
      <c r="J100" s="15" t="str">
        <f t="shared" si="7"/>
        <v/>
      </c>
    </row>
    <row r="101" spans="1:10">
      <c r="A101" s="7" t="str">
        <f>IF(子基金及业绩基准周净值!A141="","",子基金及业绩基准周净值!A141)</f>
        <v/>
      </c>
      <c r="B101" s="1" t="str">
        <f>IF(A101="","",VLOOKUP($A101,子基金及业绩基准周净值!$A:$AV,19))</f>
        <v/>
      </c>
      <c r="C101" s="8" t="str">
        <f t="shared" si="4"/>
        <v/>
      </c>
      <c r="D101" s="9" t="str">
        <f>IF(A101="","",C101-(子基金及业绩基准周净值!AH141/子基金及业绩基准周净值!AH140-1))</f>
        <v/>
      </c>
      <c r="E101" s="12" t="str">
        <f>IF(A101="","",(MAX(B$3:B101)-B101)/MAX(B$3:B101))</f>
        <v/>
      </c>
      <c r="F101" s="12" t="str">
        <f>IF(A101="","",MAX(E$4:E101))</f>
        <v/>
      </c>
      <c r="G101" s="13"/>
      <c r="H101" s="14" t="str">
        <f t="shared" si="5"/>
        <v/>
      </c>
      <c r="I101" s="14" t="str">
        <f t="shared" si="6"/>
        <v/>
      </c>
      <c r="J101" s="15" t="str">
        <f t="shared" si="7"/>
        <v/>
      </c>
    </row>
    <row r="102" spans="1:10">
      <c r="A102" s="7" t="str">
        <f>IF(子基金及业绩基准周净值!A142="","",子基金及业绩基准周净值!A142)</f>
        <v/>
      </c>
      <c r="B102" s="1" t="str">
        <f>IF(A102="","",VLOOKUP($A102,子基金及业绩基准周净值!$A:$AV,19))</f>
        <v/>
      </c>
      <c r="C102" s="8" t="str">
        <f t="shared" si="4"/>
        <v/>
      </c>
      <c r="D102" s="9" t="str">
        <f>IF(A102="","",C102-(子基金及业绩基准周净值!AH142/子基金及业绩基准周净值!AH141-1))</f>
        <v/>
      </c>
      <c r="E102" s="12" t="str">
        <f>IF(A102="","",(MAX(B$3:B102)-B102)/MAX(B$3:B102))</f>
        <v/>
      </c>
      <c r="F102" s="12" t="str">
        <f>IF(A102="","",MAX(E$4:E102))</f>
        <v/>
      </c>
      <c r="G102" s="13"/>
      <c r="H102" s="14" t="str">
        <f t="shared" si="5"/>
        <v/>
      </c>
      <c r="I102" s="14" t="str">
        <f t="shared" si="6"/>
        <v/>
      </c>
      <c r="J102" s="15" t="str">
        <f t="shared" si="7"/>
        <v/>
      </c>
    </row>
    <row r="103" spans="1:10">
      <c r="A103" s="7" t="str">
        <f>IF(子基金及业绩基准周净值!A143="","",子基金及业绩基准周净值!A143)</f>
        <v/>
      </c>
      <c r="B103" s="1" t="str">
        <f>IF(A103="","",VLOOKUP($A103,子基金及业绩基准周净值!$A:$AV,19))</f>
        <v/>
      </c>
      <c r="C103" s="8" t="str">
        <f t="shared" si="4"/>
        <v/>
      </c>
      <c r="D103" s="9" t="str">
        <f>IF(A103="","",C103-(子基金及业绩基准周净值!AH143/子基金及业绩基准周净值!AH142-1))</f>
        <v/>
      </c>
      <c r="E103" s="12" t="str">
        <f>IF(A103="","",(MAX(B$3:B103)-B103)/MAX(B$3:B103))</f>
        <v/>
      </c>
      <c r="F103" s="12" t="str">
        <f>IF(A103="","",MAX(E$4:E103))</f>
        <v/>
      </c>
      <c r="G103" s="13"/>
      <c r="H103" s="14" t="str">
        <f t="shared" si="5"/>
        <v/>
      </c>
      <c r="I103" s="14" t="str">
        <f t="shared" si="6"/>
        <v/>
      </c>
      <c r="J103" s="15" t="str">
        <f t="shared" si="7"/>
        <v/>
      </c>
    </row>
    <row r="104" spans="1:10">
      <c r="A104" s="7" t="str">
        <f>IF(子基金及业绩基准周净值!A144="","",子基金及业绩基准周净值!A144)</f>
        <v/>
      </c>
      <c r="B104" s="1" t="str">
        <f>IF(A104="","",VLOOKUP($A104,子基金及业绩基准周净值!$A:$AV,19))</f>
        <v/>
      </c>
      <c r="C104" s="8" t="str">
        <f t="shared" si="4"/>
        <v/>
      </c>
      <c r="D104" s="9" t="str">
        <f>IF(A104="","",C104-(子基金及业绩基准周净值!AH144/子基金及业绩基准周净值!AH143-1))</f>
        <v/>
      </c>
      <c r="E104" s="12" t="str">
        <f>IF(A104="","",(MAX(B$3:B104)-B104)/MAX(B$3:B104))</f>
        <v/>
      </c>
      <c r="F104" s="12" t="str">
        <f>IF(A104="","",MAX(E$4:E104))</f>
        <v/>
      </c>
      <c r="G104" s="13"/>
      <c r="H104" s="14" t="str">
        <f t="shared" si="5"/>
        <v/>
      </c>
      <c r="I104" s="14" t="str">
        <f t="shared" si="6"/>
        <v/>
      </c>
      <c r="J104" s="15" t="str">
        <f t="shared" si="7"/>
        <v/>
      </c>
    </row>
    <row r="105" spans="1:10">
      <c r="A105" s="7" t="str">
        <f>IF(子基金及业绩基准周净值!A145="","",子基金及业绩基准周净值!A145)</f>
        <v/>
      </c>
      <c r="B105" s="1" t="str">
        <f>IF(A105="","",VLOOKUP($A105,子基金及业绩基准周净值!$A:$AV,19))</f>
        <v/>
      </c>
      <c r="C105" s="8" t="str">
        <f t="shared" si="4"/>
        <v/>
      </c>
      <c r="D105" s="9" t="str">
        <f>IF(A105="","",C105-(子基金及业绩基准周净值!AH145/子基金及业绩基准周净值!AH144-1))</f>
        <v/>
      </c>
      <c r="E105" s="12" t="str">
        <f>IF(A105="","",(MAX(B$3:B105)-B105)/MAX(B$3:B105))</f>
        <v/>
      </c>
      <c r="F105" s="12" t="str">
        <f>IF(A105="","",MAX(E$4:E105))</f>
        <v/>
      </c>
      <c r="G105" s="13"/>
      <c r="H105" s="14" t="str">
        <f t="shared" si="5"/>
        <v/>
      </c>
      <c r="I105" s="14" t="str">
        <f t="shared" si="6"/>
        <v/>
      </c>
      <c r="J105" s="15" t="str">
        <f t="shared" si="7"/>
        <v/>
      </c>
    </row>
    <row r="106" spans="1:10">
      <c r="A106" s="7" t="str">
        <f>IF(子基金及业绩基准周净值!A146="","",子基金及业绩基准周净值!A146)</f>
        <v/>
      </c>
      <c r="B106" s="1" t="str">
        <f>IF(A106="","",VLOOKUP($A106,子基金及业绩基准周净值!$A:$AV,19))</f>
        <v/>
      </c>
      <c r="C106" s="8" t="str">
        <f t="shared" si="4"/>
        <v/>
      </c>
      <c r="D106" s="9" t="str">
        <f>IF(A106="","",C106-(子基金及业绩基准周净值!AH146/子基金及业绩基准周净值!AH145-1))</f>
        <v/>
      </c>
      <c r="E106" s="12" t="str">
        <f>IF(A106="","",(MAX(B$3:B106)-B106)/MAX(B$3:B106))</f>
        <v/>
      </c>
      <c r="F106" s="12" t="str">
        <f>IF(A106="","",MAX(E$4:E106))</f>
        <v/>
      </c>
      <c r="G106" s="13"/>
      <c r="H106" s="14" t="str">
        <f t="shared" si="5"/>
        <v/>
      </c>
      <c r="I106" s="14" t="str">
        <f t="shared" si="6"/>
        <v/>
      </c>
      <c r="J106" s="15" t="str">
        <f t="shared" si="7"/>
        <v/>
      </c>
    </row>
    <row r="107" spans="1:10">
      <c r="A107" s="7" t="str">
        <f>IF(子基金及业绩基准周净值!A147="","",子基金及业绩基准周净值!A147)</f>
        <v/>
      </c>
      <c r="B107" s="1" t="str">
        <f>IF(A107="","",VLOOKUP($A107,子基金及业绩基准周净值!$A:$AV,19))</f>
        <v/>
      </c>
      <c r="C107" s="8" t="str">
        <f t="shared" si="4"/>
        <v/>
      </c>
      <c r="D107" s="9" t="str">
        <f>IF(A107="","",C107-(子基金及业绩基准周净值!AH147/子基金及业绩基准周净值!AH146-1))</f>
        <v/>
      </c>
      <c r="E107" s="12" t="str">
        <f>IF(A107="","",(MAX(B$3:B107)-B107)/MAX(B$3:B107))</f>
        <v/>
      </c>
      <c r="F107" s="12" t="str">
        <f>IF(A107="","",MAX(E$4:E107))</f>
        <v/>
      </c>
      <c r="G107" s="13"/>
      <c r="H107" s="14" t="str">
        <f t="shared" si="5"/>
        <v/>
      </c>
      <c r="I107" s="14" t="str">
        <f t="shared" si="6"/>
        <v/>
      </c>
      <c r="J107" s="15" t="str">
        <f t="shared" si="7"/>
        <v/>
      </c>
    </row>
    <row r="108" spans="1:10">
      <c r="A108" s="7" t="str">
        <f>IF(子基金及业绩基准周净值!A148="","",子基金及业绩基准周净值!A148)</f>
        <v/>
      </c>
      <c r="B108" s="1" t="str">
        <f>IF(A108="","",VLOOKUP($A108,子基金及业绩基准周净值!$A:$AV,19))</f>
        <v/>
      </c>
      <c r="C108" s="8" t="str">
        <f t="shared" si="4"/>
        <v/>
      </c>
      <c r="D108" s="9" t="str">
        <f>IF(A108="","",C108-(子基金及业绩基准周净值!AH148/子基金及业绩基准周净值!AH147-1))</f>
        <v/>
      </c>
      <c r="E108" s="12" t="str">
        <f>IF(A108="","",(MAX(B$3:B108)-B108)/MAX(B$3:B108))</f>
        <v/>
      </c>
      <c r="F108" s="12" t="str">
        <f>IF(A108="","",MAX(E$4:E108))</f>
        <v/>
      </c>
      <c r="G108" s="13"/>
      <c r="H108" s="14" t="str">
        <f t="shared" si="5"/>
        <v/>
      </c>
      <c r="I108" s="14" t="str">
        <f t="shared" si="6"/>
        <v/>
      </c>
      <c r="J108" s="15" t="str">
        <f t="shared" si="7"/>
        <v/>
      </c>
    </row>
    <row r="109" spans="1:10">
      <c r="A109" s="7" t="str">
        <f>IF(子基金及业绩基准周净值!A149="","",子基金及业绩基准周净值!A149)</f>
        <v/>
      </c>
      <c r="B109" s="1" t="str">
        <f>IF(A109="","",VLOOKUP($A109,子基金及业绩基准周净值!$A:$AV,19))</f>
        <v/>
      </c>
      <c r="C109" s="8" t="str">
        <f t="shared" si="4"/>
        <v/>
      </c>
      <c r="D109" s="9" t="str">
        <f>IF(A109="","",C109-(子基金及业绩基准周净值!AH149/子基金及业绩基准周净值!AH148-1))</f>
        <v/>
      </c>
      <c r="E109" s="12" t="str">
        <f>IF(A109="","",(MAX(B$3:B109)-B109)/MAX(B$3:B109))</f>
        <v/>
      </c>
      <c r="F109" s="12" t="str">
        <f>IF(A109="","",MAX(E$4:E109))</f>
        <v/>
      </c>
      <c r="G109" s="13"/>
      <c r="H109" s="14" t="str">
        <f t="shared" si="5"/>
        <v/>
      </c>
      <c r="I109" s="14" t="str">
        <f t="shared" si="6"/>
        <v/>
      </c>
      <c r="J109" s="15" t="str">
        <f t="shared" si="7"/>
        <v/>
      </c>
    </row>
    <row r="110" spans="1:10">
      <c r="A110" s="7" t="str">
        <f>IF(子基金及业绩基准周净值!A150="","",子基金及业绩基准周净值!A150)</f>
        <v/>
      </c>
      <c r="B110" s="1" t="str">
        <f>IF(A110="","",VLOOKUP($A110,子基金及业绩基准周净值!$A:$AV,19))</f>
        <v/>
      </c>
      <c r="C110" s="8" t="str">
        <f t="shared" si="4"/>
        <v/>
      </c>
      <c r="D110" s="9" t="str">
        <f>IF(A110="","",C110-(子基金及业绩基准周净值!AH150/子基金及业绩基准周净值!AH149-1))</f>
        <v/>
      </c>
      <c r="E110" s="12" t="str">
        <f>IF(A110="","",(MAX(B$3:B110)-B110)/MAX(B$3:B110))</f>
        <v/>
      </c>
      <c r="F110" s="12" t="str">
        <f>IF(A110="","",MAX(E$4:E110))</f>
        <v/>
      </c>
      <c r="G110" s="13"/>
      <c r="H110" s="14" t="str">
        <f t="shared" si="5"/>
        <v/>
      </c>
      <c r="I110" s="14" t="str">
        <f t="shared" si="6"/>
        <v/>
      </c>
      <c r="J110" s="15" t="str">
        <f t="shared" si="7"/>
        <v/>
      </c>
    </row>
    <row r="111" spans="1:10">
      <c r="A111" s="7" t="str">
        <f>IF(子基金及业绩基准周净值!A151="","",子基金及业绩基准周净值!A151)</f>
        <v/>
      </c>
      <c r="B111" s="1" t="str">
        <f>IF(A111="","",VLOOKUP($A111,子基金及业绩基准周净值!$A:$AV,19))</f>
        <v/>
      </c>
      <c r="C111" s="8" t="str">
        <f t="shared" si="4"/>
        <v/>
      </c>
      <c r="D111" s="9" t="str">
        <f>IF(A111="","",C111-(子基金及业绩基准周净值!AH151/子基金及业绩基准周净值!AH150-1))</f>
        <v/>
      </c>
      <c r="E111" s="12" t="str">
        <f>IF(A111="","",(MAX(B$3:B111)-B111)/MAX(B$3:B111))</f>
        <v/>
      </c>
      <c r="F111" s="12" t="str">
        <f>IF(A111="","",MAX(E$4:E111))</f>
        <v/>
      </c>
      <c r="G111" s="13"/>
      <c r="H111" s="14" t="str">
        <f t="shared" si="5"/>
        <v/>
      </c>
      <c r="I111" s="14" t="str">
        <f t="shared" si="6"/>
        <v/>
      </c>
      <c r="J111" s="15" t="str">
        <f t="shared" si="7"/>
        <v/>
      </c>
    </row>
    <row r="112" spans="1:10">
      <c r="A112" s="7" t="str">
        <f>IF(子基金及业绩基准周净值!A152="","",子基金及业绩基准周净值!A152)</f>
        <v/>
      </c>
      <c r="B112" s="1" t="str">
        <f>IF(A112="","",VLOOKUP($A112,子基金及业绩基准周净值!$A:$AV,19))</f>
        <v/>
      </c>
      <c r="C112" s="8" t="str">
        <f t="shared" si="4"/>
        <v/>
      </c>
      <c r="D112" s="9" t="str">
        <f>IF(A112="","",C112-(子基金及业绩基准周净值!AH152/子基金及业绩基准周净值!AH151-1))</f>
        <v/>
      </c>
      <c r="E112" s="12" t="str">
        <f>IF(A112="","",(MAX(B$3:B112)-B112)/MAX(B$3:B112))</f>
        <v/>
      </c>
      <c r="F112" s="12" t="str">
        <f>IF(A112="","",MAX(E$4:E112))</f>
        <v/>
      </c>
      <c r="G112" s="13"/>
      <c r="H112" s="14" t="str">
        <f t="shared" si="5"/>
        <v/>
      </c>
      <c r="I112" s="14" t="str">
        <f t="shared" si="6"/>
        <v/>
      </c>
      <c r="J112" s="15" t="str">
        <f t="shared" si="7"/>
        <v/>
      </c>
    </row>
    <row r="113" spans="1:10">
      <c r="A113" s="7" t="str">
        <f>IF(子基金及业绩基准周净值!A153="","",子基金及业绩基准周净值!A153)</f>
        <v/>
      </c>
      <c r="B113" s="1" t="str">
        <f>IF(A113="","",VLOOKUP($A113,子基金及业绩基准周净值!$A:$AV,19))</f>
        <v/>
      </c>
      <c r="C113" s="8" t="str">
        <f t="shared" si="4"/>
        <v/>
      </c>
      <c r="D113" s="9" t="str">
        <f>IF(A113="","",C113-(子基金及业绩基准周净值!AH153/子基金及业绩基准周净值!AH152-1))</f>
        <v/>
      </c>
      <c r="E113" s="12" t="str">
        <f>IF(A113="","",(MAX(B$3:B113)-B113)/MAX(B$3:B113))</f>
        <v/>
      </c>
      <c r="F113" s="12" t="str">
        <f>IF(A113="","",MAX(E$4:E113))</f>
        <v/>
      </c>
      <c r="G113" s="13"/>
      <c r="H113" s="14" t="str">
        <f t="shared" si="5"/>
        <v/>
      </c>
      <c r="I113" s="14" t="str">
        <f t="shared" si="6"/>
        <v/>
      </c>
      <c r="J113" s="15" t="str">
        <f t="shared" si="7"/>
        <v/>
      </c>
    </row>
    <row r="114" spans="1:10">
      <c r="A114" s="7" t="str">
        <f>IF(子基金及业绩基准周净值!A154="","",子基金及业绩基准周净值!A154)</f>
        <v/>
      </c>
      <c r="B114" s="1" t="str">
        <f>IF(A114="","",VLOOKUP($A114,子基金及业绩基准周净值!$A:$AV,19))</f>
        <v/>
      </c>
      <c r="C114" s="8" t="str">
        <f t="shared" si="4"/>
        <v/>
      </c>
      <c r="D114" s="9" t="str">
        <f>IF(A114="","",C114-(子基金及业绩基准周净值!AH154/子基金及业绩基准周净值!AH153-1))</f>
        <v/>
      </c>
      <c r="E114" s="12" t="str">
        <f>IF(A114="","",(MAX(B$3:B114)-B114)/MAX(B$3:B114))</f>
        <v/>
      </c>
      <c r="F114" s="12" t="str">
        <f>IF(A114="","",MAX(E$4:E114))</f>
        <v/>
      </c>
      <c r="G114" s="13"/>
      <c r="H114" s="14" t="str">
        <f t="shared" si="5"/>
        <v/>
      </c>
      <c r="I114" s="14" t="str">
        <f t="shared" si="6"/>
        <v/>
      </c>
      <c r="J114" s="15" t="str">
        <f t="shared" si="7"/>
        <v/>
      </c>
    </row>
    <row r="115" spans="1:10">
      <c r="A115" s="7" t="str">
        <f>IF(子基金及业绩基准周净值!A155="","",子基金及业绩基准周净值!A155)</f>
        <v/>
      </c>
      <c r="B115" s="1" t="str">
        <f>IF(A115="","",VLOOKUP($A115,子基金及业绩基准周净值!$A:$AV,19))</f>
        <v/>
      </c>
      <c r="C115" s="8" t="str">
        <f t="shared" si="4"/>
        <v/>
      </c>
      <c r="D115" s="9" t="str">
        <f>IF(A115="","",C115-(子基金及业绩基准周净值!AH155/子基金及业绩基准周净值!AH154-1))</f>
        <v/>
      </c>
      <c r="E115" s="12" t="str">
        <f>IF(A115="","",(MAX(B$3:B115)-B115)/MAX(B$3:B115))</f>
        <v/>
      </c>
      <c r="F115" s="12" t="str">
        <f>IF(A115="","",MAX(E$4:E115))</f>
        <v/>
      </c>
      <c r="G115" s="13"/>
      <c r="H115" s="14" t="str">
        <f t="shared" si="5"/>
        <v/>
      </c>
      <c r="I115" s="14" t="str">
        <f t="shared" si="6"/>
        <v/>
      </c>
      <c r="J115" s="15" t="str">
        <f t="shared" si="7"/>
        <v/>
      </c>
    </row>
    <row r="116" spans="1:10">
      <c r="A116" s="7" t="str">
        <f>IF(子基金及业绩基准周净值!A156="","",子基金及业绩基准周净值!A156)</f>
        <v/>
      </c>
      <c r="B116" s="1" t="str">
        <f>IF(A116="","",VLOOKUP($A116,子基金及业绩基准周净值!$A:$AV,19))</f>
        <v/>
      </c>
      <c r="C116" s="8" t="str">
        <f t="shared" si="4"/>
        <v/>
      </c>
      <c r="D116" s="9" t="str">
        <f>IF(A116="","",C116-(子基金及业绩基准周净值!AH156/子基金及业绩基准周净值!AH155-1))</f>
        <v/>
      </c>
      <c r="E116" s="12" t="str">
        <f>IF(A116="","",(MAX(B$3:B116)-B116)/MAX(B$3:B116))</f>
        <v/>
      </c>
      <c r="F116" s="12" t="str">
        <f>IF(A116="","",MAX(E$4:E116))</f>
        <v/>
      </c>
      <c r="G116" s="13"/>
      <c r="H116" s="14" t="str">
        <f t="shared" si="5"/>
        <v/>
      </c>
      <c r="I116" s="14" t="str">
        <f t="shared" si="6"/>
        <v/>
      </c>
      <c r="J116" s="15" t="str">
        <f t="shared" si="7"/>
        <v/>
      </c>
    </row>
    <row r="117" spans="1:10">
      <c r="A117" s="7" t="str">
        <f>IF(子基金及业绩基准周净值!A157="","",子基金及业绩基准周净值!A157)</f>
        <v/>
      </c>
      <c r="B117" s="1" t="str">
        <f>IF(A117="","",VLOOKUP($A117,子基金及业绩基准周净值!$A:$AV,19))</f>
        <v/>
      </c>
      <c r="C117" s="8" t="str">
        <f t="shared" si="4"/>
        <v/>
      </c>
      <c r="D117" s="9" t="str">
        <f>IF(A117="","",C117-(子基金及业绩基准周净值!AH157/子基金及业绩基准周净值!AH156-1))</f>
        <v/>
      </c>
      <c r="E117" s="12" t="str">
        <f>IF(A117="","",(MAX(B$3:B117)-B117)/MAX(B$3:B117))</f>
        <v/>
      </c>
      <c r="F117" s="12" t="str">
        <f>IF(A117="","",MAX(E$4:E117))</f>
        <v/>
      </c>
      <c r="G117" s="13"/>
      <c r="H117" s="14" t="str">
        <f t="shared" si="5"/>
        <v/>
      </c>
      <c r="I117" s="14" t="str">
        <f t="shared" si="6"/>
        <v/>
      </c>
      <c r="J117" s="15" t="str">
        <f t="shared" si="7"/>
        <v/>
      </c>
    </row>
    <row r="118" spans="1:10">
      <c r="A118" s="7" t="str">
        <f>IF(子基金及业绩基准周净值!A158="","",子基金及业绩基准周净值!A158)</f>
        <v/>
      </c>
      <c r="B118" s="1" t="str">
        <f>IF(A118="","",VLOOKUP($A118,子基金及业绩基准周净值!$A:$AV,19))</f>
        <v/>
      </c>
      <c r="C118" s="8" t="str">
        <f t="shared" si="4"/>
        <v/>
      </c>
      <c r="D118" s="9" t="str">
        <f>IF(A118="","",C118-(子基金及业绩基准周净值!AH158/子基金及业绩基准周净值!AH157-1))</f>
        <v/>
      </c>
      <c r="E118" s="12" t="str">
        <f>IF(A118="","",(MAX(B$3:B118)-B118)/MAX(B$3:B118))</f>
        <v/>
      </c>
      <c r="F118" s="12" t="str">
        <f>IF(A118="","",MAX(E$4:E118))</f>
        <v/>
      </c>
      <c r="G118" s="13"/>
      <c r="H118" s="14" t="str">
        <f t="shared" si="5"/>
        <v/>
      </c>
      <c r="I118" s="14" t="str">
        <f t="shared" si="6"/>
        <v/>
      </c>
      <c r="J118" s="15" t="str">
        <f t="shared" si="7"/>
        <v/>
      </c>
    </row>
    <row r="119" spans="1:10">
      <c r="A119" s="7" t="str">
        <f>IF(子基金及业绩基准周净值!A159="","",子基金及业绩基准周净值!A159)</f>
        <v/>
      </c>
      <c r="B119" s="1" t="str">
        <f>IF(A119="","",VLOOKUP($A119,子基金及业绩基准周净值!$A:$AV,19))</f>
        <v/>
      </c>
      <c r="C119" s="8" t="str">
        <f t="shared" si="4"/>
        <v/>
      </c>
      <c r="D119" s="9" t="str">
        <f>IF(A119="","",C119-(子基金及业绩基准周净值!AH159/子基金及业绩基准周净值!AH158-1))</f>
        <v/>
      </c>
      <c r="E119" s="12" t="str">
        <f>IF(A119="","",(MAX(B$3:B119)-B119)/MAX(B$3:B119))</f>
        <v/>
      </c>
      <c r="F119" s="12" t="str">
        <f>IF(A119="","",MAX(E$4:E119))</f>
        <v/>
      </c>
      <c r="G119" s="13"/>
      <c r="H119" s="14" t="str">
        <f t="shared" si="5"/>
        <v/>
      </c>
      <c r="I119" s="14" t="str">
        <f t="shared" si="6"/>
        <v/>
      </c>
      <c r="J119" s="15" t="str">
        <f t="shared" si="7"/>
        <v/>
      </c>
    </row>
    <row r="120" spans="1:10">
      <c r="A120" s="7" t="str">
        <f>IF(子基金及业绩基准周净值!A160="","",子基金及业绩基准周净值!A160)</f>
        <v/>
      </c>
      <c r="B120" s="1" t="str">
        <f>IF(A120="","",VLOOKUP($A120,子基金及业绩基准周净值!$A:$AV,19))</f>
        <v/>
      </c>
      <c r="C120" s="8" t="str">
        <f t="shared" si="4"/>
        <v/>
      </c>
      <c r="D120" s="9" t="str">
        <f>IF(A120="","",C120-(子基金及业绩基准周净值!AH160/子基金及业绩基准周净值!AH159-1))</f>
        <v/>
      </c>
      <c r="E120" s="12" t="str">
        <f>IF(A120="","",(MAX(B$3:B120)-B120)/MAX(B$3:B120))</f>
        <v/>
      </c>
      <c r="F120" s="12" t="str">
        <f>IF(A120="","",MAX(E$4:E120))</f>
        <v/>
      </c>
      <c r="G120" s="13"/>
      <c r="H120" s="14" t="str">
        <f t="shared" si="5"/>
        <v/>
      </c>
      <c r="I120" s="14" t="str">
        <f t="shared" si="6"/>
        <v/>
      </c>
      <c r="J120" s="15" t="str">
        <f t="shared" si="7"/>
        <v/>
      </c>
    </row>
    <row r="121" spans="1:10">
      <c r="A121" s="7" t="str">
        <f>IF(子基金及业绩基准周净值!A161="","",子基金及业绩基准周净值!A161)</f>
        <v/>
      </c>
      <c r="B121" s="1" t="str">
        <f>IF(A121="","",VLOOKUP($A121,子基金及业绩基准周净值!$A:$AV,19))</f>
        <v/>
      </c>
      <c r="C121" s="8" t="str">
        <f t="shared" si="4"/>
        <v/>
      </c>
      <c r="D121" s="9" t="str">
        <f>IF(A121="","",C121-(子基金及业绩基准周净值!AH161/子基金及业绩基准周净值!AH160-1))</f>
        <v/>
      </c>
      <c r="E121" s="12" t="str">
        <f>IF(A121="","",(MAX(B$3:B121)-B121)/MAX(B$3:B121))</f>
        <v/>
      </c>
      <c r="F121" s="12" t="str">
        <f>IF(A121="","",MAX(E$4:E121))</f>
        <v/>
      </c>
      <c r="G121" s="13"/>
      <c r="H121" s="14" t="str">
        <f t="shared" si="5"/>
        <v/>
      </c>
      <c r="I121" s="14" t="str">
        <f t="shared" si="6"/>
        <v/>
      </c>
      <c r="J121" s="15" t="str">
        <f t="shared" si="7"/>
        <v/>
      </c>
    </row>
    <row r="122" spans="1:10">
      <c r="A122" s="7" t="str">
        <f>IF(子基金及业绩基准周净值!A162="","",子基金及业绩基准周净值!A162)</f>
        <v/>
      </c>
      <c r="B122" s="1" t="str">
        <f>IF(A122="","",VLOOKUP($A122,子基金及业绩基准周净值!$A:$AV,19))</f>
        <v/>
      </c>
      <c r="C122" s="8" t="str">
        <f t="shared" si="4"/>
        <v/>
      </c>
      <c r="D122" s="9" t="str">
        <f>IF(A122="","",C122-(子基金及业绩基准周净值!AH162/子基金及业绩基准周净值!AH161-1))</f>
        <v/>
      </c>
      <c r="E122" s="12" t="str">
        <f>IF(A122="","",(MAX(B$3:B122)-B122)/MAX(B$3:B122))</f>
        <v/>
      </c>
      <c r="F122" s="12" t="str">
        <f>IF(A122="","",MAX(E$4:E122))</f>
        <v/>
      </c>
      <c r="G122" s="13"/>
      <c r="H122" s="14" t="str">
        <f t="shared" si="5"/>
        <v/>
      </c>
      <c r="I122" s="14" t="str">
        <f t="shared" si="6"/>
        <v/>
      </c>
      <c r="J122" s="15" t="str">
        <f t="shared" si="7"/>
        <v/>
      </c>
    </row>
    <row r="123" spans="1:10">
      <c r="A123" s="7" t="str">
        <f>IF(子基金及业绩基准周净值!A163="","",子基金及业绩基准周净值!A163)</f>
        <v/>
      </c>
      <c r="B123" s="1" t="str">
        <f>IF(A123="","",VLOOKUP($A123,子基金及业绩基准周净值!$A:$AV,19))</f>
        <v/>
      </c>
      <c r="C123" s="8" t="str">
        <f t="shared" si="4"/>
        <v/>
      </c>
      <c r="D123" s="9" t="str">
        <f>IF(A123="","",C123-(子基金及业绩基准周净值!AH163/子基金及业绩基准周净值!AH162-1))</f>
        <v/>
      </c>
      <c r="E123" s="12" t="str">
        <f>IF(A123="","",(MAX(B$3:B123)-B123)/MAX(B$3:B123))</f>
        <v/>
      </c>
      <c r="F123" s="12" t="str">
        <f>IF(A123="","",MAX(E$4:E123))</f>
        <v/>
      </c>
      <c r="G123" s="13"/>
      <c r="H123" s="14" t="str">
        <f t="shared" si="5"/>
        <v/>
      </c>
      <c r="I123" s="14" t="str">
        <f t="shared" si="6"/>
        <v/>
      </c>
      <c r="J123" s="15" t="str">
        <f t="shared" si="7"/>
        <v/>
      </c>
    </row>
    <row r="124" spans="1:10">
      <c r="A124" s="7" t="str">
        <f>IF(子基金及业绩基准周净值!A164="","",子基金及业绩基准周净值!A164)</f>
        <v/>
      </c>
      <c r="B124" s="1" t="str">
        <f>IF(A124="","",VLOOKUP($A124,子基金及业绩基准周净值!$A:$AV,19))</f>
        <v/>
      </c>
      <c r="C124" s="8" t="str">
        <f t="shared" si="4"/>
        <v/>
      </c>
      <c r="D124" s="9" t="str">
        <f>IF(A124="","",C124-(子基金及业绩基准周净值!AH164/子基金及业绩基准周净值!AH163-1))</f>
        <v/>
      </c>
      <c r="E124" s="12" t="str">
        <f>IF(A124="","",(MAX(B$3:B124)-B124)/MAX(B$3:B124))</f>
        <v/>
      </c>
      <c r="F124" s="12" t="str">
        <f>IF(A124="","",MAX(E$4:E124))</f>
        <v/>
      </c>
      <c r="G124" s="13"/>
      <c r="H124" s="14" t="str">
        <f t="shared" si="5"/>
        <v/>
      </c>
      <c r="I124" s="14" t="str">
        <f t="shared" si="6"/>
        <v/>
      </c>
      <c r="J124" s="15" t="str">
        <f t="shared" si="7"/>
        <v/>
      </c>
    </row>
    <row r="125" spans="1:10">
      <c r="A125" s="7" t="str">
        <f>IF(子基金及业绩基准周净值!A165="","",子基金及业绩基准周净值!A165)</f>
        <v/>
      </c>
      <c r="B125" s="1" t="str">
        <f>IF(A125="","",VLOOKUP($A125,子基金及业绩基准周净值!$A:$AV,19))</f>
        <v/>
      </c>
      <c r="C125" s="8" t="str">
        <f t="shared" si="4"/>
        <v/>
      </c>
      <c r="D125" s="9" t="str">
        <f>IF(A125="","",C125-(子基金及业绩基准周净值!AH165/子基金及业绩基准周净值!AH164-1))</f>
        <v/>
      </c>
      <c r="E125" s="12" t="str">
        <f>IF(A125="","",(MAX(B$3:B125)-B125)/MAX(B$3:B125))</f>
        <v/>
      </c>
      <c r="F125" s="12" t="str">
        <f>IF(A125="","",MAX(E$4:E125))</f>
        <v/>
      </c>
      <c r="G125" s="13"/>
      <c r="H125" s="14" t="str">
        <f t="shared" si="5"/>
        <v/>
      </c>
      <c r="I125" s="14" t="str">
        <f t="shared" si="6"/>
        <v/>
      </c>
      <c r="J125" s="15" t="str">
        <f t="shared" si="7"/>
        <v/>
      </c>
    </row>
    <row r="126" spans="1:10">
      <c r="A126" s="7" t="str">
        <f>IF(子基金及业绩基准周净值!A166="","",子基金及业绩基准周净值!A166)</f>
        <v/>
      </c>
      <c r="B126" s="1" t="str">
        <f>IF(A126="","",VLOOKUP($A126,子基金及业绩基准周净值!$A:$AV,19))</f>
        <v/>
      </c>
      <c r="C126" s="8" t="str">
        <f t="shared" si="4"/>
        <v/>
      </c>
      <c r="D126" s="9" t="str">
        <f>IF(A126="","",C126-(子基金及业绩基准周净值!AH166/子基金及业绩基准周净值!AH165-1))</f>
        <v/>
      </c>
      <c r="E126" s="12" t="str">
        <f>IF(A126="","",(MAX(B$3:B126)-B126)/MAX(B$3:B126))</f>
        <v/>
      </c>
      <c r="F126" s="12" t="str">
        <f>IF(A126="","",MAX(E$4:E126))</f>
        <v/>
      </c>
      <c r="G126" s="13"/>
      <c r="H126" s="14" t="str">
        <f t="shared" si="5"/>
        <v/>
      </c>
      <c r="I126" s="14" t="str">
        <f t="shared" si="6"/>
        <v/>
      </c>
      <c r="J126" s="15" t="str">
        <f t="shared" si="7"/>
        <v/>
      </c>
    </row>
    <row r="127" spans="1:10">
      <c r="A127" s="7" t="str">
        <f>IF(子基金及业绩基准周净值!A167="","",子基金及业绩基准周净值!A167)</f>
        <v/>
      </c>
      <c r="B127" s="1" t="str">
        <f>IF(A127="","",VLOOKUP($A127,子基金及业绩基准周净值!$A:$AV,19))</f>
        <v/>
      </c>
      <c r="C127" s="8" t="str">
        <f t="shared" si="4"/>
        <v/>
      </c>
      <c r="D127" s="9" t="str">
        <f>IF(A127="","",C127-(子基金及业绩基准周净值!AH167/子基金及业绩基准周净值!AH166-1))</f>
        <v/>
      </c>
      <c r="E127" s="12" t="str">
        <f>IF(A127="","",(MAX(B$3:B127)-B127)/MAX(B$3:B127))</f>
        <v/>
      </c>
      <c r="F127" s="12" t="str">
        <f>IF(A127="","",MAX(E$4:E127))</f>
        <v/>
      </c>
      <c r="G127" s="13"/>
      <c r="H127" s="14" t="str">
        <f t="shared" si="5"/>
        <v/>
      </c>
      <c r="I127" s="14" t="str">
        <f t="shared" si="6"/>
        <v/>
      </c>
      <c r="J127" s="15" t="str">
        <f t="shared" si="7"/>
        <v/>
      </c>
    </row>
    <row r="128" spans="1:10">
      <c r="A128" s="7" t="str">
        <f>IF(子基金及业绩基准周净值!A168="","",子基金及业绩基准周净值!A168)</f>
        <v/>
      </c>
      <c r="B128" s="1" t="str">
        <f>IF(A128="","",VLOOKUP($A128,子基金及业绩基准周净值!$A:$AV,19))</f>
        <v/>
      </c>
      <c r="C128" s="8" t="str">
        <f t="shared" si="4"/>
        <v/>
      </c>
      <c r="D128" s="9" t="str">
        <f>IF(A128="","",C128-(子基金及业绩基准周净值!AH168/子基金及业绩基准周净值!AH167-1))</f>
        <v/>
      </c>
      <c r="E128" s="12" t="str">
        <f>IF(A128="","",(MAX(B$3:B128)-B128)/MAX(B$3:B128))</f>
        <v/>
      </c>
      <c r="F128" s="12" t="str">
        <f>IF(A128="","",MAX(E$4:E128))</f>
        <v/>
      </c>
      <c r="G128" s="13"/>
      <c r="H128" s="14" t="str">
        <f t="shared" si="5"/>
        <v/>
      </c>
      <c r="I128" s="14" t="str">
        <f t="shared" si="6"/>
        <v/>
      </c>
      <c r="J128" s="15" t="str">
        <f t="shared" si="7"/>
        <v/>
      </c>
    </row>
    <row r="129" spans="1:10">
      <c r="A129" s="7" t="str">
        <f>IF(子基金及业绩基准周净值!A169="","",子基金及业绩基准周净值!A169)</f>
        <v/>
      </c>
      <c r="B129" s="1" t="str">
        <f>IF(A129="","",VLOOKUP($A129,子基金及业绩基准周净值!$A:$AV,19))</f>
        <v/>
      </c>
      <c r="C129" s="8" t="str">
        <f t="shared" si="4"/>
        <v/>
      </c>
      <c r="D129" s="9" t="str">
        <f>IF(A129="","",C129-(子基金及业绩基准周净值!AH169/子基金及业绩基准周净值!AH168-1))</f>
        <v/>
      </c>
      <c r="E129" s="12" t="str">
        <f>IF(A129="","",(MAX(B$3:B129)-B129)/MAX(B$3:B129))</f>
        <v/>
      </c>
      <c r="F129" s="12" t="str">
        <f>IF(A129="","",MAX(E$4:E129))</f>
        <v/>
      </c>
      <c r="G129" s="13"/>
      <c r="H129" s="14" t="str">
        <f t="shared" si="5"/>
        <v/>
      </c>
      <c r="I129" s="14" t="str">
        <f t="shared" si="6"/>
        <v/>
      </c>
      <c r="J129" s="15" t="str">
        <f t="shared" si="7"/>
        <v/>
      </c>
    </row>
    <row r="130" spans="1:10">
      <c r="A130" s="7" t="str">
        <f>IF(子基金及业绩基准周净值!A170="","",子基金及业绩基准周净值!A170)</f>
        <v/>
      </c>
      <c r="B130" s="1" t="str">
        <f>IF(A130="","",VLOOKUP($A130,子基金及业绩基准周净值!$A:$AV,19))</f>
        <v/>
      </c>
      <c r="C130" s="8" t="str">
        <f t="shared" si="4"/>
        <v/>
      </c>
      <c r="D130" s="9" t="str">
        <f>IF(A130="","",C130-(子基金及业绩基准周净值!AH170/子基金及业绩基准周净值!AH169-1))</f>
        <v/>
      </c>
      <c r="E130" s="12" t="str">
        <f>IF(A130="","",(MAX(B$3:B130)-B130)/MAX(B$3:B130))</f>
        <v/>
      </c>
      <c r="F130" s="12" t="str">
        <f>IF(A130="","",MAX(E$4:E130))</f>
        <v/>
      </c>
      <c r="G130" s="13"/>
      <c r="H130" s="14" t="str">
        <f t="shared" si="5"/>
        <v/>
      </c>
      <c r="I130" s="14" t="str">
        <f t="shared" si="6"/>
        <v/>
      </c>
      <c r="J130" s="15" t="str">
        <f t="shared" si="7"/>
        <v/>
      </c>
    </row>
    <row r="131" spans="1:10">
      <c r="A131" s="7" t="str">
        <f>IF(子基金及业绩基准周净值!A171="","",子基金及业绩基准周净值!A171)</f>
        <v/>
      </c>
      <c r="B131" s="1" t="str">
        <f>IF(A131="","",VLOOKUP($A131,子基金及业绩基准周净值!$A:$AV,19))</f>
        <v/>
      </c>
      <c r="C131" s="8" t="str">
        <f t="shared" si="4"/>
        <v/>
      </c>
      <c r="D131" s="9" t="str">
        <f>IF(A131="","",C131-(子基金及业绩基准周净值!AH171/子基金及业绩基准周净值!AH170-1))</f>
        <v/>
      </c>
      <c r="E131" s="12" t="str">
        <f>IF(A131="","",(MAX(B$3:B131)-B131)/MAX(B$3:B131))</f>
        <v/>
      </c>
      <c r="F131" s="12" t="str">
        <f>IF(A131="","",MAX(E$4:E131))</f>
        <v/>
      </c>
      <c r="G131" s="13"/>
      <c r="H131" s="14" t="str">
        <f t="shared" si="5"/>
        <v/>
      </c>
      <c r="I131" s="14" t="str">
        <f t="shared" si="6"/>
        <v/>
      </c>
      <c r="J131" s="15" t="str">
        <f t="shared" si="7"/>
        <v/>
      </c>
    </row>
    <row r="132" spans="1:10">
      <c r="A132" s="7" t="str">
        <f>IF(子基金及业绩基准周净值!A172="","",子基金及业绩基准周净值!A172)</f>
        <v/>
      </c>
      <c r="B132" s="1" t="str">
        <f>IF(A132="","",VLOOKUP($A132,子基金及业绩基准周净值!$A:$AV,19))</f>
        <v/>
      </c>
      <c r="C132" s="8" t="str">
        <f t="shared" si="4"/>
        <v/>
      </c>
      <c r="D132" s="9" t="str">
        <f>IF(A132="","",C132-(子基金及业绩基准周净值!AH172/子基金及业绩基准周净值!AH171-1))</f>
        <v/>
      </c>
      <c r="E132" s="12" t="str">
        <f>IF(A132="","",(MAX(B$3:B132)-B132)/MAX(B$3:B132))</f>
        <v/>
      </c>
      <c r="F132" s="12" t="str">
        <f>IF(A132="","",MAX(E$4:E132))</f>
        <v/>
      </c>
      <c r="G132" s="13"/>
      <c r="H132" s="14" t="str">
        <f t="shared" si="5"/>
        <v/>
      </c>
      <c r="I132" s="14" t="str">
        <f t="shared" si="6"/>
        <v/>
      </c>
      <c r="J132" s="15" t="str">
        <f t="shared" si="7"/>
        <v/>
      </c>
    </row>
    <row r="133" spans="1:10">
      <c r="A133" s="7" t="str">
        <f>IF(子基金及业绩基准周净值!A173="","",子基金及业绩基准周净值!A173)</f>
        <v/>
      </c>
      <c r="B133" s="1" t="str">
        <f>IF(A133="","",VLOOKUP($A133,子基金及业绩基准周净值!$A:$AV,19))</f>
        <v/>
      </c>
      <c r="C133" s="8" t="str">
        <f t="shared" ref="C133:C196" si="8">IF(A133="","",(B133-B132)/B132)</f>
        <v/>
      </c>
      <c r="D133" s="9" t="str">
        <f>IF(A133="","",C133-(子基金及业绩基准周净值!AH173/子基金及业绩基准周净值!AH172-1))</f>
        <v/>
      </c>
      <c r="E133" s="12" t="str">
        <f>IF(A133="","",(MAX(B$3:B133)-B133)/MAX(B$3:B133))</f>
        <v/>
      </c>
      <c r="F133" s="12" t="str">
        <f>IF(A133="","",MAX(E$4:E133))</f>
        <v/>
      </c>
      <c r="G133" s="13"/>
      <c r="H133" s="14" t="str">
        <f t="shared" ref="H133:H196" si="9">IF(B133="","",IF(C133&lt;-3%,"是","否"))</f>
        <v/>
      </c>
      <c r="I133" s="14" t="str">
        <f t="shared" ref="I133:I196" si="10">IF(A133="","",IF(F133&gt;5%,"是","否"))</f>
        <v/>
      </c>
      <c r="J133" s="15" t="str">
        <f t="shared" ref="J133:J196" si="11">IF(A133="","",IF(G133&gt;=4,"是","否"))</f>
        <v/>
      </c>
    </row>
    <row r="134" spans="1:10">
      <c r="A134" s="7" t="str">
        <f>IF(子基金及业绩基准周净值!A174="","",子基金及业绩基准周净值!A174)</f>
        <v/>
      </c>
      <c r="B134" s="1" t="str">
        <f>IF(A134="","",VLOOKUP($A134,子基金及业绩基准周净值!$A:$AV,19))</f>
        <v/>
      </c>
      <c r="C134" s="8" t="str">
        <f t="shared" si="8"/>
        <v/>
      </c>
      <c r="D134" s="9" t="str">
        <f>IF(A134="","",C134-(子基金及业绩基准周净值!AH174/子基金及业绩基准周净值!AH173-1))</f>
        <v/>
      </c>
      <c r="E134" s="12" t="str">
        <f>IF(A134="","",(MAX(B$3:B134)-B134)/MAX(B$3:B134))</f>
        <v/>
      </c>
      <c r="F134" s="12" t="str">
        <f>IF(A134="","",MAX(E$4:E134))</f>
        <v/>
      </c>
      <c r="G134" s="13"/>
      <c r="H134" s="14" t="str">
        <f t="shared" si="9"/>
        <v/>
      </c>
      <c r="I134" s="14" t="str">
        <f t="shared" si="10"/>
        <v/>
      </c>
      <c r="J134" s="15" t="str">
        <f t="shared" si="11"/>
        <v/>
      </c>
    </row>
    <row r="135" spans="1:10">
      <c r="A135" s="7" t="str">
        <f>IF(子基金及业绩基准周净值!A175="","",子基金及业绩基准周净值!A175)</f>
        <v/>
      </c>
      <c r="B135" s="1" t="str">
        <f>IF(A135="","",VLOOKUP($A135,子基金及业绩基准周净值!$A:$AV,19))</f>
        <v/>
      </c>
      <c r="C135" s="8" t="str">
        <f t="shared" si="8"/>
        <v/>
      </c>
      <c r="D135" s="9" t="str">
        <f>IF(A135="","",C135-(子基金及业绩基准周净值!AH175/子基金及业绩基准周净值!AH174-1))</f>
        <v/>
      </c>
      <c r="E135" s="12" t="str">
        <f>IF(A135="","",(MAX(B$3:B135)-B135)/MAX(B$3:B135))</f>
        <v/>
      </c>
      <c r="F135" s="12" t="str">
        <f>IF(A135="","",MAX(E$4:E135))</f>
        <v/>
      </c>
      <c r="G135" s="13"/>
      <c r="H135" s="14" t="str">
        <f t="shared" si="9"/>
        <v/>
      </c>
      <c r="I135" s="14" t="str">
        <f t="shared" si="10"/>
        <v/>
      </c>
      <c r="J135" s="15" t="str">
        <f t="shared" si="11"/>
        <v/>
      </c>
    </row>
    <row r="136" spans="1:10">
      <c r="A136" s="7" t="str">
        <f>IF(子基金及业绩基准周净值!A176="","",子基金及业绩基准周净值!A176)</f>
        <v/>
      </c>
      <c r="B136" s="1" t="str">
        <f>IF(A136="","",VLOOKUP($A136,子基金及业绩基准周净值!$A:$AV,19))</f>
        <v/>
      </c>
      <c r="C136" s="8" t="str">
        <f t="shared" si="8"/>
        <v/>
      </c>
      <c r="D136" s="9" t="str">
        <f>IF(A136="","",C136-(子基金及业绩基准周净值!AH176/子基金及业绩基准周净值!AH175-1))</f>
        <v/>
      </c>
      <c r="E136" s="12" t="str">
        <f>IF(A136="","",(MAX(B$3:B136)-B136)/MAX(B$3:B136))</f>
        <v/>
      </c>
      <c r="F136" s="12" t="str">
        <f>IF(A136="","",MAX(E$4:E136))</f>
        <v/>
      </c>
      <c r="G136" s="13"/>
      <c r="H136" s="14" t="str">
        <f t="shared" si="9"/>
        <v/>
      </c>
      <c r="I136" s="14" t="str">
        <f t="shared" si="10"/>
        <v/>
      </c>
      <c r="J136" s="15" t="str">
        <f t="shared" si="11"/>
        <v/>
      </c>
    </row>
    <row r="137" spans="1:10">
      <c r="A137" s="7" t="str">
        <f>IF(子基金及业绩基准周净值!A177="","",子基金及业绩基准周净值!A177)</f>
        <v/>
      </c>
      <c r="B137" s="1" t="str">
        <f>IF(A137="","",VLOOKUP($A137,子基金及业绩基准周净值!$A:$AV,19))</f>
        <v/>
      </c>
      <c r="C137" s="8" t="str">
        <f t="shared" si="8"/>
        <v/>
      </c>
      <c r="D137" s="9" t="str">
        <f>IF(A137="","",C137-(子基金及业绩基准周净值!AH177/子基金及业绩基准周净值!AH176-1))</f>
        <v/>
      </c>
      <c r="E137" s="12" t="str">
        <f>IF(A137="","",(MAX(B$3:B137)-B137)/MAX(B$3:B137))</f>
        <v/>
      </c>
      <c r="F137" s="12" t="str">
        <f>IF(A137="","",MAX(E$4:E137))</f>
        <v/>
      </c>
      <c r="G137" s="13"/>
      <c r="H137" s="14" t="str">
        <f t="shared" si="9"/>
        <v/>
      </c>
      <c r="I137" s="14" t="str">
        <f t="shared" si="10"/>
        <v/>
      </c>
      <c r="J137" s="15" t="str">
        <f t="shared" si="11"/>
        <v/>
      </c>
    </row>
    <row r="138" spans="1:10">
      <c r="A138" s="7" t="str">
        <f>IF(子基金及业绩基准周净值!A178="","",子基金及业绩基准周净值!A178)</f>
        <v/>
      </c>
      <c r="B138" s="1" t="str">
        <f>IF(A138="","",VLOOKUP($A138,子基金及业绩基准周净值!$A:$AV,19))</f>
        <v/>
      </c>
      <c r="C138" s="8" t="str">
        <f t="shared" si="8"/>
        <v/>
      </c>
      <c r="D138" s="9" t="str">
        <f>IF(A138="","",C138-(子基金及业绩基准周净值!AH178/子基金及业绩基准周净值!AH177-1))</f>
        <v/>
      </c>
      <c r="E138" s="12" t="str">
        <f>IF(A138="","",(MAX(B$3:B138)-B138)/MAX(B$3:B138))</f>
        <v/>
      </c>
      <c r="F138" s="12" t="str">
        <f>IF(A138="","",MAX(E$4:E138))</f>
        <v/>
      </c>
      <c r="G138" s="13"/>
      <c r="H138" s="14" t="str">
        <f t="shared" si="9"/>
        <v/>
      </c>
      <c r="I138" s="14" t="str">
        <f t="shared" si="10"/>
        <v/>
      </c>
      <c r="J138" s="15" t="str">
        <f t="shared" si="11"/>
        <v/>
      </c>
    </row>
    <row r="139" spans="1:10">
      <c r="A139" s="7" t="str">
        <f>IF(子基金及业绩基准周净值!A179="","",子基金及业绩基准周净值!A179)</f>
        <v/>
      </c>
      <c r="B139" s="1" t="str">
        <f>IF(A139="","",VLOOKUP($A139,子基金及业绩基准周净值!$A:$AV,19))</f>
        <v/>
      </c>
      <c r="C139" s="8" t="str">
        <f t="shared" si="8"/>
        <v/>
      </c>
      <c r="D139" s="9" t="str">
        <f>IF(A139="","",C139-(子基金及业绩基准周净值!AH179/子基金及业绩基准周净值!AH178-1))</f>
        <v/>
      </c>
      <c r="E139" s="12" t="str">
        <f>IF(A139="","",(MAX(B$3:B139)-B139)/MAX(B$3:B139))</f>
        <v/>
      </c>
      <c r="F139" s="12" t="str">
        <f>IF(A139="","",MAX(E$4:E139))</f>
        <v/>
      </c>
      <c r="G139" s="13"/>
      <c r="H139" s="14" t="str">
        <f t="shared" si="9"/>
        <v/>
      </c>
      <c r="I139" s="14" t="str">
        <f t="shared" si="10"/>
        <v/>
      </c>
      <c r="J139" s="15" t="str">
        <f t="shared" si="11"/>
        <v/>
      </c>
    </row>
    <row r="140" spans="1:10">
      <c r="A140" s="7" t="str">
        <f>IF(子基金及业绩基准周净值!A180="","",子基金及业绩基准周净值!A180)</f>
        <v/>
      </c>
      <c r="B140" s="1" t="str">
        <f>IF(A140="","",VLOOKUP($A140,子基金及业绩基准周净值!$A:$AV,19))</f>
        <v/>
      </c>
      <c r="C140" s="8" t="str">
        <f t="shared" si="8"/>
        <v/>
      </c>
      <c r="D140" s="9" t="str">
        <f>IF(A140="","",C140-(子基金及业绩基准周净值!AH180/子基金及业绩基准周净值!AH179-1))</f>
        <v/>
      </c>
      <c r="E140" s="12" t="str">
        <f>IF(A140="","",(MAX(B$3:B140)-B140)/MAX(B$3:B140))</f>
        <v/>
      </c>
      <c r="F140" s="12" t="str">
        <f>IF(A140="","",MAX(E$4:E140))</f>
        <v/>
      </c>
      <c r="G140" s="13"/>
      <c r="H140" s="14" t="str">
        <f t="shared" si="9"/>
        <v/>
      </c>
      <c r="I140" s="14" t="str">
        <f t="shared" si="10"/>
        <v/>
      </c>
      <c r="J140" s="15" t="str">
        <f t="shared" si="11"/>
        <v/>
      </c>
    </row>
    <row r="141" spans="1:10">
      <c r="A141" s="7" t="str">
        <f>IF(子基金及业绩基准周净值!A181="","",子基金及业绩基准周净值!A181)</f>
        <v/>
      </c>
      <c r="B141" s="1" t="str">
        <f>IF(A141="","",VLOOKUP($A141,子基金及业绩基准周净值!$A:$AV,19))</f>
        <v/>
      </c>
      <c r="C141" s="8" t="str">
        <f t="shared" si="8"/>
        <v/>
      </c>
      <c r="D141" s="9" t="str">
        <f>IF(A141="","",C141-(子基金及业绩基准周净值!AH181/子基金及业绩基准周净值!AH180-1))</f>
        <v/>
      </c>
      <c r="E141" s="12" t="str">
        <f>IF(A141="","",(MAX(B$3:B141)-B141)/MAX(B$3:B141))</f>
        <v/>
      </c>
      <c r="F141" s="12" t="str">
        <f>IF(A141="","",MAX(E$4:E141))</f>
        <v/>
      </c>
      <c r="G141" s="13"/>
      <c r="H141" s="14" t="str">
        <f t="shared" si="9"/>
        <v/>
      </c>
      <c r="I141" s="14" t="str">
        <f t="shared" si="10"/>
        <v/>
      </c>
      <c r="J141" s="15" t="str">
        <f t="shared" si="11"/>
        <v/>
      </c>
    </row>
    <row r="142" spans="1:10">
      <c r="A142" s="7" t="str">
        <f>IF(子基金及业绩基准周净值!A182="","",子基金及业绩基准周净值!A182)</f>
        <v/>
      </c>
      <c r="B142" s="1" t="str">
        <f>IF(A142="","",VLOOKUP($A142,子基金及业绩基准周净值!$A:$AV,19))</f>
        <v/>
      </c>
      <c r="C142" s="8" t="str">
        <f t="shared" si="8"/>
        <v/>
      </c>
      <c r="D142" s="9" t="str">
        <f>IF(A142="","",C142-(子基金及业绩基准周净值!AH182/子基金及业绩基准周净值!AH181-1))</f>
        <v/>
      </c>
      <c r="E142" s="12" t="str">
        <f>IF(A142="","",(MAX(B$3:B142)-B142)/MAX(B$3:B142))</f>
        <v/>
      </c>
      <c r="F142" s="12" t="str">
        <f>IF(A142="","",MAX(E$4:E142))</f>
        <v/>
      </c>
      <c r="G142" s="13"/>
      <c r="H142" s="14" t="str">
        <f t="shared" si="9"/>
        <v/>
      </c>
      <c r="I142" s="14" t="str">
        <f t="shared" si="10"/>
        <v/>
      </c>
      <c r="J142" s="15" t="str">
        <f t="shared" si="11"/>
        <v/>
      </c>
    </row>
    <row r="143" spans="1:10">
      <c r="A143" s="7" t="str">
        <f>IF(子基金及业绩基准周净值!A183="","",子基金及业绩基准周净值!A183)</f>
        <v/>
      </c>
      <c r="B143" s="1" t="str">
        <f>IF(A143="","",VLOOKUP($A143,子基金及业绩基准周净值!$A:$AV,19))</f>
        <v/>
      </c>
      <c r="C143" s="8" t="str">
        <f t="shared" si="8"/>
        <v/>
      </c>
      <c r="D143" s="9" t="str">
        <f>IF(A143="","",C143-(子基金及业绩基准周净值!AH183/子基金及业绩基准周净值!AH182-1))</f>
        <v/>
      </c>
      <c r="E143" s="12" t="str">
        <f>IF(A143="","",(MAX(B$3:B143)-B143)/MAX(B$3:B143))</f>
        <v/>
      </c>
      <c r="F143" s="12" t="str">
        <f>IF(A143="","",MAX(E$4:E143))</f>
        <v/>
      </c>
      <c r="G143" s="13"/>
      <c r="H143" s="14" t="str">
        <f t="shared" si="9"/>
        <v/>
      </c>
      <c r="I143" s="14" t="str">
        <f t="shared" si="10"/>
        <v/>
      </c>
      <c r="J143" s="15" t="str">
        <f t="shared" si="11"/>
        <v/>
      </c>
    </row>
    <row r="144" spans="1:10">
      <c r="A144" s="7" t="str">
        <f>IF(子基金及业绩基准周净值!A184="","",子基金及业绩基准周净值!A184)</f>
        <v/>
      </c>
      <c r="B144" s="1" t="str">
        <f>IF(A144="","",VLOOKUP($A144,子基金及业绩基准周净值!$A:$AV,19))</f>
        <v/>
      </c>
      <c r="C144" s="8" t="str">
        <f t="shared" si="8"/>
        <v/>
      </c>
      <c r="D144" s="9" t="str">
        <f>IF(A144="","",C144-(子基金及业绩基准周净值!AH184/子基金及业绩基准周净值!AH183-1))</f>
        <v/>
      </c>
      <c r="E144" s="12" t="str">
        <f>IF(A144="","",(MAX(B$3:B144)-B144)/MAX(B$3:B144))</f>
        <v/>
      </c>
      <c r="F144" s="12" t="str">
        <f>IF(A144="","",MAX(E$4:E144))</f>
        <v/>
      </c>
      <c r="G144" s="13"/>
      <c r="H144" s="14" t="str">
        <f t="shared" si="9"/>
        <v/>
      </c>
      <c r="I144" s="14" t="str">
        <f t="shared" si="10"/>
        <v/>
      </c>
      <c r="J144" s="15" t="str">
        <f t="shared" si="11"/>
        <v/>
      </c>
    </row>
    <row r="145" spans="1:10">
      <c r="A145" s="7" t="str">
        <f>IF(子基金及业绩基准周净值!A185="","",子基金及业绩基准周净值!A185)</f>
        <v/>
      </c>
      <c r="B145" s="1" t="str">
        <f>IF(A145="","",VLOOKUP($A145,子基金及业绩基准周净值!$A:$AV,19))</f>
        <v/>
      </c>
      <c r="C145" s="8" t="str">
        <f t="shared" si="8"/>
        <v/>
      </c>
      <c r="D145" s="9" t="str">
        <f>IF(A145="","",C145-(子基金及业绩基准周净值!AH185/子基金及业绩基准周净值!AH184-1))</f>
        <v/>
      </c>
      <c r="E145" s="12" t="str">
        <f>IF(A145="","",(MAX(B$3:B145)-B145)/MAX(B$3:B145))</f>
        <v/>
      </c>
      <c r="F145" s="12" t="str">
        <f>IF(A145="","",MAX(E$4:E145))</f>
        <v/>
      </c>
      <c r="G145" s="13"/>
      <c r="H145" s="14" t="str">
        <f t="shared" si="9"/>
        <v/>
      </c>
      <c r="I145" s="14" t="str">
        <f t="shared" si="10"/>
        <v/>
      </c>
      <c r="J145" s="15" t="str">
        <f t="shared" si="11"/>
        <v/>
      </c>
    </row>
    <row r="146" spans="1:10">
      <c r="A146" s="7" t="str">
        <f>IF(子基金及业绩基准周净值!A186="","",子基金及业绩基准周净值!A186)</f>
        <v/>
      </c>
      <c r="B146" s="1" t="str">
        <f>IF(A146="","",VLOOKUP($A146,子基金及业绩基准周净值!$A:$AV,19))</f>
        <v/>
      </c>
      <c r="C146" s="8" t="str">
        <f t="shared" si="8"/>
        <v/>
      </c>
      <c r="D146" s="9" t="str">
        <f>IF(A146="","",C146-(子基金及业绩基准周净值!AH186/子基金及业绩基准周净值!AH185-1))</f>
        <v/>
      </c>
      <c r="E146" s="12" t="str">
        <f>IF(A146="","",(MAX(B$3:B146)-B146)/MAX(B$3:B146))</f>
        <v/>
      </c>
      <c r="F146" s="12" t="str">
        <f>IF(A146="","",MAX(E$4:E146))</f>
        <v/>
      </c>
      <c r="G146" s="13"/>
      <c r="H146" s="14" t="str">
        <f t="shared" si="9"/>
        <v/>
      </c>
      <c r="I146" s="14" t="str">
        <f t="shared" si="10"/>
        <v/>
      </c>
      <c r="J146" s="15" t="str">
        <f t="shared" si="11"/>
        <v/>
      </c>
    </row>
    <row r="147" spans="1:10">
      <c r="A147" s="7" t="str">
        <f>IF(子基金及业绩基准周净值!A187="","",子基金及业绩基准周净值!A187)</f>
        <v/>
      </c>
      <c r="B147" s="1" t="str">
        <f>IF(A147="","",VLOOKUP($A147,子基金及业绩基准周净值!$A:$AV,19))</f>
        <v/>
      </c>
      <c r="C147" s="8" t="str">
        <f t="shared" si="8"/>
        <v/>
      </c>
      <c r="D147" s="9" t="str">
        <f>IF(A147="","",C147-(子基金及业绩基准周净值!AH187/子基金及业绩基准周净值!AH186-1))</f>
        <v/>
      </c>
      <c r="E147" s="12" t="str">
        <f>IF(A147="","",(MAX(B$3:B147)-B147)/MAX(B$3:B147))</f>
        <v/>
      </c>
      <c r="F147" s="12" t="str">
        <f>IF(A147="","",MAX(E$4:E147))</f>
        <v/>
      </c>
      <c r="G147" s="13"/>
      <c r="H147" s="14" t="str">
        <f t="shared" si="9"/>
        <v/>
      </c>
      <c r="I147" s="14" t="str">
        <f t="shared" si="10"/>
        <v/>
      </c>
      <c r="J147" s="15" t="str">
        <f t="shared" si="11"/>
        <v/>
      </c>
    </row>
    <row r="148" spans="1:10">
      <c r="A148" s="7" t="str">
        <f>IF(子基金及业绩基准周净值!A188="","",子基金及业绩基准周净值!A188)</f>
        <v/>
      </c>
      <c r="B148" s="1" t="str">
        <f>IF(A148="","",VLOOKUP($A148,子基金及业绩基准周净值!$A:$AV,19))</f>
        <v/>
      </c>
      <c r="C148" s="8" t="str">
        <f t="shared" si="8"/>
        <v/>
      </c>
      <c r="D148" s="9" t="str">
        <f>IF(A148="","",C148-(子基金及业绩基准周净值!AH188/子基金及业绩基准周净值!AH187-1))</f>
        <v/>
      </c>
      <c r="E148" s="12" t="str">
        <f>IF(A148="","",(MAX(B$3:B148)-B148)/MAX(B$3:B148))</f>
        <v/>
      </c>
      <c r="F148" s="12" t="str">
        <f>IF(A148="","",MAX(E$4:E148))</f>
        <v/>
      </c>
      <c r="H148" s="14" t="str">
        <f t="shared" si="9"/>
        <v/>
      </c>
      <c r="I148" s="14" t="str">
        <f t="shared" si="10"/>
        <v/>
      </c>
      <c r="J148" s="15" t="str">
        <f t="shared" si="11"/>
        <v/>
      </c>
    </row>
    <row r="149" spans="1:10">
      <c r="A149" s="7" t="str">
        <f>IF(子基金及业绩基准周净值!A189="","",子基金及业绩基准周净值!A189)</f>
        <v/>
      </c>
      <c r="B149" s="1" t="str">
        <f>IF(A149="","",VLOOKUP($A149,子基金及业绩基准周净值!$A:$AV,19))</f>
        <v/>
      </c>
      <c r="C149" s="8" t="str">
        <f t="shared" si="8"/>
        <v/>
      </c>
      <c r="D149" s="9" t="str">
        <f>IF(A149="","",C149-(子基金及业绩基准周净值!AH189/子基金及业绩基准周净值!AH188-1))</f>
        <v/>
      </c>
      <c r="E149" s="12" t="str">
        <f>IF(A149="","",(MAX(B$3:B149)-B149)/MAX(B$3:B149))</f>
        <v/>
      </c>
      <c r="F149" s="12" t="str">
        <f>IF(A149="","",MAX(E$4:E149))</f>
        <v/>
      </c>
      <c r="H149" s="14" t="str">
        <f t="shared" si="9"/>
        <v/>
      </c>
      <c r="I149" s="14" t="str">
        <f t="shared" si="10"/>
        <v/>
      </c>
      <c r="J149" s="15" t="str">
        <f t="shared" si="11"/>
        <v/>
      </c>
    </row>
    <row r="150" spans="1:10">
      <c r="A150" s="7" t="str">
        <f>IF(子基金及业绩基准周净值!A190="","",子基金及业绩基准周净值!A190)</f>
        <v/>
      </c>
      <c r="B150" s="1" t="str">
        <f>IF(A150="","",VLOOKUP($A150,子基金及业绩基准周净值!$A:$AV,19))</f>
        <v/>
      </c>
      <c r="C150" s="8" t="str">
        <f t="shared" si="8"/>
        <v/>
      </c>
      <c r="D150" s="9" t="str">
        <f>IF(A150="","",C150-(子基金及业绩基准周净值!AH190/子基金及业绩基准周净值!AH189-1))</f>
        <v/>
      </c>
      <c r="E150" s="12" t="str">
        <f>IF(A150="","",(MAX(B$3:B150)-B150)/MAX(B$3:B150))</f>
        <v/>
      </c>
      <c r="F150" s="12" t="str">
        <f>IF(A150="","",MAX(E$4:E150))</f>
        <v/>
      </c>
      <c r="H150" s="14" t="str">
        <f t="shared" si="9"/>
        <v/>
      </c>
      <c r="I150" s="14" t="str">
        <f t="shared" si="10"/>
        <v/>
      </c>
      <c r="J150" s="15" t="str">
        <f t="shared" si="11"/>
        <v/>
      </c>
    </row>
    <row r="151" spans="1:10">
      <c r="A151" s="7" t="str">
        <f>IF(子基金及业绩基准周净值!A191="","",子基金及业绩基准周净值!A191)</f>
        <v/>
      </c>
      <c r="B151" s="1" t="str">
        <f>IF(A151="","",VLOOKUP($A151,子基金及业绩基准周净值!$A:$AV,19))</f>
        <v/>
      </c>
      <c r="C151" s="8" t="str">
        <f t="shared" si="8"/>
        <v/>
      </c>
      <c r="D151" s="9" t="str">
        <f>IF(A151="","",C151-(子基金及业绩基准周净值!AH191/子基金及业绩基准周净值!AH190-1))</f>
        <v/>
      </c>
      <c r="E151" s="12" t="str">
        <f>IF(A151="","",(MAX(B$3:B151)-B151)/MAX(B$3:B151))</f>
        <v/>
      </c>
      <c r="F151" s="12" t="str">
        <f>IF(A151="","",MAX(E$4:E151))</f>
        <v/>
      </c>
      <c r="H151" s="14" t="str">
        <f t="shared" si="9"/>
        <v/>
      </c>
      <c r="I151" s="14" t="str">
        <f t="shared" si="10"/>
        <v/>
      </c>
      <c r="J151" s="15" t="str">
        <f t="shared" si="11"/>
        <v/>
      </c>
    </row>
    <row r="152" spans="1:10">
      <c r="A152" s="7" t="str">
        <f>IF(子基金及业绩基准周净值!A192="","",子基金及业绩基准周净值!A192)</f>
        <v/>
      </c>
      <c r="B152" s="1" t="str">
        <f>IF(A152="","",VLOOKUP($A152,子基金及业绩基准周净值!$A:$AV,19))</f>
        <v/>
      </c>
      <c r="C152" s="8" t="str">
        <f t="shared" si="8"/>
        <v/>
      </c>
      <c r="D152" s="9" t="str">
        <f>IF(A152="","",C152-(子基金及业绩基准周净值!AH192/子基金及业绩基准周净值!AH191-1))</f>
        <v/>
      </c>
      <c r="E152" s="12" t="str">
        <f>IF(A152="","",(MAX(B$3:B152)-B152)/MAX(B$3:B152))</f>
        <v/>
      </c>
      <c r="F152" s="12" t="str">
        <f>IF(A152="","",MAX(E$4:E152))</f>
        <v/>
      </c>
      <c r="H152" s="14" t="str">
        <f t="shared" si="9"/>
        <v/>
      </c>
      <c r="I152" s="14" t="str">
        <f t="shared" si="10"/>
        <v/>
      </c>
      <c r="J152" s="15" t="str">
        <f t="shared" si="11"/>
        <v/>
      </c>
    </row>
    <row r="153" spans="1:10">
      <c r="A153" s="7" t="str">
        <f>IF(子基金及业绩基准周净值!A193="","",子基金及业绩基准周净值!A193)</f>
        <v/>
      </c>
      <c r="B153" s="1" t="str">
        <f>IF(A153="","",VLOOKUP($A153,子基金及业绩基准周净值!$A:$AV,19))</f>
        <v/>
      </c>
      <c r="C153" s="8" t="str">
        <f t="shared" si="8"/>
        <v/>
      </c>
      <c r="D153" s="9" t="str">
        <f>IF(A153="","",C153-(子基金及业绩基准周净值!AH193/子基金及业绩基准周净值!AH192-1))</f>
        <v/>
      </c>
      <c r="E153" s="12" t="str">
        <f>IF(A153="","",(MAX(B$3:B153)-B153)/MAX(B$3:B153))</f>
        <v/>
      </c>
      <c r="F153" s="12" t="str">
        <f>IF(A153="","",MAX(E$4:E153))</f>
        <v/>
      </c>
      <c r="H153" s="14" t="str">
        <f t="shared" si="9"/>
        <v/>
      </c>
      <c r="I153" s="14" t="str">
        <f t="shared" si="10"/>
        <v/>
      </c>
      <c r="J153" s="15" t="str">
        <f t="shared" si="11"/>
        <v/>
      </c>
    </row>
    <row r="154" spans="1:10">
      <c r="A154" s="7" t="str">
        <f>IF(子基金及业绩基准周净值!A194="","",子基金及业绩基准周净值!A194)</f>
        <v/>
      </c>
      <c r="B154" s="1" t="str">
        <f>IF(A154="","",VLOOKUP($A154,子基金及业绩基准周净值!$A:$AV,19))</f>
        <v/>
      </c>
      <c r="C154" s="8" t="str">
        <f t="shared" si="8"/>
        <v/>
      </c>
      <c r="D154" s="9" t="str">
        <f>IF(A154="","",C154-(子基金及业绩基准周净值!AH194/子基金及业绩基准周净值!AH193-1))</f>
        <v/>
      </c>
      <c r="E154" s="12" t="str">
        <f>IF(A154="","",(MAX(B$3:B154)-B154)/MAX(B$3:B154))</f>
        <v/>
      </c>
      <c r="F154" s="12" t="str">
        <f>IF(A154="","",MAX(E$4:E154))</f>
        <v/>
      </c>
      <c r="H154" s="14" t="str">
        <f t="shared" si="9"/>
        <v/>
      </c>
      <c r="I154" s="14" t="str">
        <f t="shared" si="10"/>
        <v/>
      </c>
      <c r="J154" s="15" t="str">
        <f t="shared" si="11"/>
        <v/>
      </c>
    </row>
    <row r="155" spans="1:10">
      <c r="A155" s="7" t="str">
        <f>IF(子基金及业绩基准周净值!A195="","",子基金及业绩基准周净值!A195)</f>
        <v/>
      </c>
      <c r="B155" s="1" t="str">
        <f>IF(A155="","",VLOOKUP($A155,子基金及业绩基准周净值!$A:$AV,19))</f>
        <v/>
      </c>
      <c r="C155" s="8" t="str">
        <f t="shared" si="8"/>
        <v/>
      </c>
      <c r="D155" s="9" t="str">
        <f>IF(A155="","",C155-(子基金及业绩基准周净值!AH195/子基金及业绩基准周净值!AH194-1))</f>
        <v/>
      </c>
      <c r="E155" s="12" t="str">
        <f>IF(A155="","",(MAX(B$3:B155)-B155)/MAX(B$3:B155))</f>
        <v/>
      </c>
      <c r="F155" s="12" t="str">
        <f>IF(A155="","",MAX(E$4:E155))</f>
        <v/>
      </c>
      <c r="H155" s="14" t="str">
        <f t="shared" si="9"/>
        <v/>
      </c>
      <c r="I155" s="14" t="str">
        <f t="shared" si="10"/>
        <v/>
      </c>
      <c r="J155" s="15" t="str">
        <f t="shared" si="11"/>
        <v/>
      </c>
    </row>
    <row r="156" spans="1:10">
      <c r="A156" s="7" t="str">
        <f>IF(子基金及业绩基准周净值!A196="","",子基金及业绩基准周净值!A196)</f>
        <v/>
      </c>
      <c r="B156" s="1" t="str">
        <f>IF(A156="","",VLOOKUP($A156,子基金及业绩基准周净值!$A:$AV,19))</f>
        <v/>
      </c>
      <c r="C156" s="8" t="str">
        <f t="shared" si="8"/>
        <v/>
      </c>
      <c r="D156" s="9" t="str">
        <f>IF(A156="","",C156-(子基金及业绩基准周净值!AH196/子基金及业绩基准周净值!AH195-1))</f>
        <v/>
      </c>
      <c r="E156" s="12" t="str">
        <f>IF(A156="","",(MAX(B$3:B156)-B156)/MAX(B$3:B156))</f>
        <v/>
      </c>
      <c r="F156" s="12" t="str">
        <f>IF(A156="","",MAX(E$4:E156))</f>
        <v/>
      </c>
      <c r="H156" s="14" t="str">
        <f t="shared" si="9"/>
        <v/>
      </c>
      <c r="I156" s="14" t="str">
        <f t="shared" si="10"/>
        <v/>
      </c>
      <c r="J156" s="15" t="str">
        <f t="shared" si="11"/>
        <v/>
      </c>
    </row>
    <row r="157" spans="1:10">
      <c r="A157" s="7" t="str">
        <f>IF(子基金及业绩基准周净值!A197="","",子基金及业绩基准周净值!A197)</f>
        <v/>
      </c>
      <c r="B157" s="1" t="str">
        <f>IF(A157="","",VLOOKUP($A157,子基金及业绩基准周净值!$A:$AV,19))</f>
        <v/>
      </c>
      <c r="C157" s="8" t="str">
        <f t="shared" si="8"/>
        <v/>
      </c>
      <c r="D157" s="9" t="str">
        <f>IF(A157="","",C157-(子基金及业绩基准周净值!AH197/子基金及业绩基准周净值!AH196-1))</f>
        <v/>
      </c>
      <c r="E157" s="12" t="str">
        <f>IF(A157="","",(MAX(B$3:B157)-B157)/MAX(B$3:B157))</f>
        <v/>
      </c>
      <c r="F157" s="12" t="str">
        <f>IF(A157="","",MAX(E$4:E157))</f>
        <v/>
      </c>
      <c r="H157" s="14" t="str">
        <f t="shared" si="9"/>
        <v/>
      </c>
      <c r="I157" s="14" t="str">
        <f t="shared" si="10"/>
        <v/>
      </c>
      <c r="J157" s="15" t="str">
        <f t="shared" si="11"/>
        <v/>
      </c>
    </row>
    <row r="158" spans="1:10">
      <c r="A158" s="7" t="str">
        <f>IF(子基金及业绩基准周净值!A198="","",子基金及业绩基准周净值!A198)</f>
        <v/>
      </c>
      <c r="B158" s="1" t="str">
        <f>IF(A158="","",VLOOKUP($A158,子基金及业绩基准周净值!$A:$AV,19))</f>
        <v/>
      </c>
      <c r="C158" s="8" t="str">
        <f t="shared" si="8"/>
        <v/>
      </c>
      <c r="D158" s="9" t="str">
        <f>IF(A158="","",C158-(子基金及业绩基准周净值!AH198/子基金及业绩基准周净值!AH197-1))</f>
        <v/>
      </c>
      <c r="E158" s="12" t="str">
        <f>IF(A158="","",(MAX(B$3:B158)-B158)/MAX(B$3:B158))</f>
        <v/>
      </c>
      <c r="F158" s="12" t="str">
        <f>IF(A158="","",MAX(E$4:E158))</f>
        <v/>
      </c>
      <c r="H158" s="14" t="str">
        <f t="shared" si="9"/>
        <v/>
      </c>
      <c r="I158" s="14" t="str">
        <f t="shared" si="10"/>
        <v/>
      </c>
      <c r="J158" s="15" t="str">
        <f t="shared" si="11"/>
        <v/>
      </c>
    </row>
    <row r="159" spans="1:10">
      <c r="A159" s="7" t="str">
        <f>IF(子基金及业绩基准周净值!A199="","",子基金及业绩基准周净值!A199)</f>
        <v/>
      </c>
      <c r="B159" s="1" t="str">
        <f>IF(A159="","",VLOOKUP($A159,子基金及业绩基准周净值!$A:$AV,19))</f>
        <v/>
      </c>
      <c r="C159" s="8" t="str">
        <f t="shared" si="8"/>
        <v/>
      </c>
      <c r="D159" s="9" t="str">
        <f>IF(A159="","",C159-(子基金及业绩基准周净值!AH199/子基金及业绩基准周净值!AH198-1))</f>
        <v/>
      </c>
      <c r="E159" s="12" t="str">
        <f>IF(A159="","",(MAX(B$3:B159)-B159)/MAX(B$3:B159))</f>
        <v/>
      </c>
      <c r="F159" s="12" t="str">
        <f>IF(A159="","",MAX(E$4:E159))</f>
        <v/>
      </c>
      <c r="H159" s="14" t="str">
        <f t="shared" si="9"/>
        <v/>
      </c>
      <c r="I159" s="14" t="str">
        <f t="shared" si="10"/>
        <v/>
      </c>
      <c r="J159" s="15" t="str">
        <f t="shared" si="11"/>
        <v/>
      </c>
    </row>
    <row r="160" spans="1:10">
      <c r="A160" s="7" t="str">
        <f>IF(子基金及业绩基准周净值!A200="","",子基金及业绩基准周净值!A200)</f>
        <v/>
      </c>
      <c r="B160" s="1" t="str">
        <f>IF(A160="","",VLOOKUP($A160,子基金及业绩基准周净值!$A:$AV,19))</f>
        <v/>
      </c>
      <c r="C160" s="8" t="str">
        <f t="shared" si="8"/>
        <v/>
      </c>
      <c r="D160" s="9" t="str">
        <f>IF(A160="","",C160-(子基金及业绩基准周净值!AH200/子基金及业绩基准周净值!AH199-1))</f>
        <v/>
      </c>
      <c r="E160" s="12" t="str">
        <f>IF(A160="","",(MAX(B$3:B160)-B160)/MAX(B$3:B160))</f>
        <v/>
      </c>
      <c r="F160" s="12" t="str">
        <f>IF(A160="","",MAX(E$4:E160))</f>
        <v/>
      </c>
      <c r="H160" s="14" t="str">
        <f t="shared" si="9"/>
        <v/>
      </c>
      <c r="I160" s="14" t="str">
        <f t="shared" si="10"/>
        <v/>
      </c>
      <c r="J160" s="15" t="str">
        <f t="shared" si="11"/>
        <v/>
      </c>
    </row>
    <row r="161" spans="1:10">
      <c r="A161" s="7" t="str">
        <f>IF(子基金及业绩基准周净值!A201="","",子基金及业绩基准周净值!A201)</f>
        <v/>
      </c>
      <c r="B161" s="1" t="str">
        <f>IF(A161="","",VLOOKUP($A161,子基金及业绩基准周净值!$A:$AV,19))</f>
        <v/>
      </c>
      <c r="C161" s="8" t="str">
        <f t="shared" si="8"/>
        <v/>
      </c>
      <c r="D161" s="9" t="str">
        <f>IF(A161="","",C161-(子基金及业绩基准周净值!AH201/子基金及业绩基准周净值!AH200-1))</f>
        <v/>
      </c>
      <c r="E161" s="12" t="str">
        <f>IF(A161="","",(MAX(B$3:B161)-B161)/MAX(B$3:B161))</f>
        <v/>
      </c>
      <c r="F161" s="12" t="str">
        <f>IF(A161="","",MAX(E$4:E161))</f>
        <v/>
      </c>
      <c r="H161" s="14" t="str">
        <f t="shared" si="9"/>
        <v/>
      </c>
      <c r="I161" s="14" t="str">
        <f t="shared" si="10"/>
        <v/>
      </c>
      <c r="J161" s="15" t="str">
        <f t="shared" si="11"/>
        <v/>
      </c>
    </row>
    <row r="162" spans="1:10">
      <c r="A162" s="7" t="str">
        <f>IF(子基金及业绩基准周净值!A202="","",子基金及业绩基准周净值!A202)</f>
        <v/>
      </c>
      <c r="B162" s="1" t="str">
        <f>IF(A162="","",VLOOKUP($A162,子基金及业绩基准周净值!$A:$AV,19))</f>
        <v/>
      </c>
      <c r="C162" s="8" t="str">
        <f t="shared" si="8"/>
        <v/>
      </c>
      <c r="D162" s="9" t="str">
        <f>IF(A162="","",C162-(子基金及业绩基准周净值!AH202/子基金及业绩基准周净值!AH201-1))</f>
        <v/>
      </c>
      <c r="E162" s="12" t="str">
        <f>IF(A162="","",(MAX(B$3:B162)-B162)/MAX(B$3:B162))</f>
        <v/>
      </c>
      <c r="F162" s="12" t="str">
        <f>IF(A162="","",MAX(E$4:E162))</f>
        <v/>
      </c>
      <c r="H162" s="14" t="str">
        <f t="shared" si="9"/>
        <v/>
      </c>
      <c r="I162" s="14" t="str">
        <f t="shared" si="10"/>
        <v/>
      </c>
      <c r="J162" s="15" t="str">
        <f t="shared" si="11"/>
        <v/>
      </c>
    </row>
    <row r="163" spans="1:10">
      <c r="A163" s="7" t="str">
        <f>IF(子基金及业绩基准周净值!A203="","",子基金及业绩基准周净值!A203)</f>
        <v/>
      </c>
      <c r="B163" s="1" t="str">
        <f>IF(A163="","",VLOOKUP($A163,子基金及业绩基准周净值!$A:$AV,19))</f>
        <v/>
      </c>
      <c r="C163" s="8" t="str">
        <f t="shared" si="8"/>
        <v/>
      </c>
      <c r="D163" s="9" t="str">
        <f>IF(A163="","",C163-(子基金及业绩基准周净值!AH203/子基金及业绩基准周净值!AH202-1))</f>
        <v/>
      </c>
      <c r="E163" s="12" t="str">
        <f>IF(A163="","",(MAX(B$3:B163)-B163)/MAX(B$3:B163))</f>
        <v/>
      </c>
      <c r="F163" s="12" t="str">
        <f>IF(A163="","",MAX(E$4:E163))</f>
        <v/>
      </c>
      <c r="H163" s="14" t="str">
        <f t="shared" si="9"/>
        <v/>
      </c>
      <c r="I163" s="14" t="str">
        <f t="shared" si="10"/>
        <v/>
      </c>
      <c r="J163" s="15" t="str">
        <f t="shared" si="11"/>
        <v/>
      </c>
    </row>
    <row r="164" spans="1:10">
      <c r="A164" s="7" t="str">
        <f>IF(子基金及业绩基准周净值!A204="","",子基金及业绩基准周净值!A204)</f>
        <v/>
      </c>
      <c r="B164" s="1" t="str">
        <f>IF(A164="","",VLOOKUP($A164,子基金及业绩基准周净值!$A:$AV,19))</f>
        <v/>
      </c>
      <c r="C164" s="8" t="str">
        <f t="shared" si="8"/>
        <v/>
      </c>
      <c r="D164" s="9" t="str">
        <f>IF(A164="","",C164-(子基金及业绩基准周净值!AH204/子基金及业绩基准周净值!AH203-1))</f>
        <v/>
      </c>
      <c r="E164" s="12" t="str">
        <f>IF(A164="","",(MAX(B$3:B164)-B164)/MAX(B$3:B164))</f>
        <v/>
      </c>
      <c r="F164" s="12" t="str">
        <f>IF(A164="","",MAX(E$4:E164))</f>
        <v/>
      </c>
      <c r="H164" s="14" t="str">
        <f t="shared" si="9"/>
        <v/>
      </c>
      <c r="I164" s="14" t="str">
        <f t="shared" si="10"/>
        <v/>
      </c>
      <c r="J164" s="15" t="str">
        <f t="shared" si="11"/>
        <v/>
      </c>
    </row>
    <row r="165" spans="1:10">
      <c r="A165" s="7" t="str">
        <f>IF(子基金及业绩基准周净值!A205="","",子基金及业绩基准周净值!A205)</f>
        <v/>
      </c>
      <c r="B165" s="1" t="str">
        <f>IF(A165="","",VLOOKUP($A165,子基金及业绩基准周净值!$A:$AV,19))</f>
        <v/>
      </c>
      <c r="C165" s="8" t="str">
        <f t="shared" si="8"/>
        <v/>
      </c>
      <c r="D165" s="9" t="str">
        <f>IF(A165="","",C165-(子基金及业绩基准周净值!AH205/子基金及业绩基准周净值!AH204-1))</f>
        <v/>
      </c>
      <c r="E165" s="12" t="str">
        <f>IF(A165="","",(MAX(B$3:B165)-B165)/MAX(B$3:B165))</f>
        <v/>
      </c>
      <c r="F165" s="12" t="str">
        <f>IF(A165="","",MAX(E$4:E165))</f>
        <v/>
      </c>
      <c r="H165" s="14" t="str">
        <f t="shared" si="9"/>
        <v/>
      </c>
      <c r="I165" s="14" t="str">
        <f t="shared" si="10"/>
        <v/>
      </c>
      <c r="J165" s="15" t="str">
        <f t="shared" si="11"/>
        <v/>
      </c>
    </row>
    <row r="166" spans="1:10">
      <c r="A166" s="7" t="str">
        <f>IF(子基金及业绩基准周净值!A206="","",子基金及业绩基准周净值!A206)</f>
        <v/>
      </c>
      <c r="B166" s="1" t="str">
        <f>IF(A166="","",VLOOKUP($A166,子基金及业绩基准周净值!$A:$AV,19))</f>
        <v/>
      </c>
      <c r="C166" s="8" t="str">
        <f t="shared" si="8"/>
        <v/>
      </c>
      <c r="D166" s="9" t="str">
        <f>IF(A166="","",C166-(子基金及业绩基准周净值!AH206/子基金及业绩基准周净值!AH205-1))</f>
        <v/>
      </c>
      <c r="E166" s="12" t="str">
        <f>IF(A166="","",(MAX(B$3:B166)-B166)/MAX(B$3:B166))</f>
        <v/>
      </c>
      <c r="F166" s="12" t="str">
        <f>IF(A166="","",MAX(E$4:E166))</f>
        <v/>
      </c>
      <c r="H166" s="14" t="str">
        <f t="shared" si="9"/>
        <v/>
      </c>
      <c r="I166" s="14" t="str">
        <f t="shared" si="10"/>
        <v/>
      </c>
      <c r="J166" s="15" t="str">
        <f t="shared" si="11"/>
        <v/>
      </c>
    </row>
    <row r="167" spans="1:10">
      <c r="A167" s="7" t="str">
        <f>IF(子基金及业绩基准周净值!A207="","",子基金及业绩基准周净值!A207)</f>
        <v/>
      </c>
      <c r="B167" s="1" t="str">
        <f>IF(A167="","",VLOOKUP($A167,子基金及业绩基准周净值!$A:$AV,19))</f>
        <v/>
      </c>
      <c r="C167" s="8" t="str">
        <f t="shared" si="8"/>
        <v/>
      </c>
      <c r="D167" s="9" t="str">
        <f>IF(A167="","",C167-(子基金及业绩基准周净值!AH207/子基金及业绩基准周净值!AH206-1))</f>
        <v/>
      </c>
      <c r="E167" s="12" t="str">
        <f>IF(A167="","",(MAX(B$3:B167)-B167)/MAX(B$3:B167))</f>
        <v/>
      </c>
      <c r="F167" s="12" t="str">
        <f>IF(A167="","",MAX(E$4:E167))</f>
        <v/>
      </c>
      <c r="H167" s="14" t="str">
        <f t="shared" si="9"/>
        <v/>
      </c>
      <c r="I167" s="14" t="str">
        <f t="shared" si="10"/>
        <v/>
      </c>
      <c r="J167" s="15" t="str">
        <f t="shared" si="11"/>
        <v/>
      </c>
    </row>
    <row r="168" spans="1:10">
      <c r="A168" s="7" t="str">
        <f>IF(子基金及业绩基准周净值!A208="","",子基金及业绩基准周净值!A208)</f>
        <v/>
      </c>
      <c r="B168" s="1" t="str">
        <f>IF(A168="","",VLOOKUP($A168,子基金及业绩基准周净值!$A:$AV,19))</f>
        <v/>
      </c>
      <c r="C168" s="8" t="str">
        <f t="shared" si="8"/>
        <v/>
      </c>
      <c r="D168" s="9" t="str">
        <f>IF(A168="","",C168-(子基金及业绩基准周净值!AH208/子基金及业绩基准周净值!AH207-1))</f>
        <v/>
      </c>
      <c r="E168" s="12" t="str">
        <f>IF(A168="","",(MAX(B$3:B168)-B168)/MAX(B$3:B168))</f>
        <v/>
      </c>
      <c r="F168" s="12" t="str">
        <f>IF(A168="","",MAX(E$4:E168))</f>
        <v/>
      </c>
      <c r="H168" s="14" t="str">
        <f t="shared" si="9"/>
        <v/>
      </c>
      <c r="I168" s="14" t="str">
        <f t="shared" si="10"/>
        <v/>
      </c>
      <c r="J168" s="15" t="str">
        <f t="shared" si="11"/>
        <v/>
      </c>
    </row>
    <row r="169" spans="1:10">
      <c r="A169" s="7" t="str">
        <f>IF(子基金及业绩基准周净值!A209="","",子基金及业绩基准周净值!A209)</f>
        <v/>
      </c>
      <c r="B169" s="1" t="str">
        <f>IF(A169="","",VLOOKUP($A169,子基金及业绩基准周净值!$A:$AV,19))</f>
        <v/>
      </c>
      <c r="C169" s="8" t="str">
        <f t="shared" si="8"/>
        <v/>
      </c>
      <c r="D169" s="9" t="str">
        <f>IF(A169="","",C169-(子基金及业绩基准周净值!AH209/子基金及业绩基准周净值!AH208-1))</f>
        <v/>
      </c>
      <c r="E169" s="12" t="str">
        <f>IF(A169="","",(MAX(B$3:B169)-B169)/MAX(B$3:B169))</f>
        <v/>
      </c>
      <c r="F169" s="12" t="str">
        <f>IF(A169="","",MAX(E$4:E169))</f>
        <v/>
      </c>
      <c r="H169" s="14" t="str">
        <f t="shared" si="9"/>
        <v/>
      </c>
      <c r="I169" s="14" t="str">
        <f t="shared" si="10"/>
        <v/>
      </c>
      <c r="J169" s="15" t="str">
        <f t="shared" si="11"/>
        <v/>
      </c>
    </row>
    <row r="170" spans="1:10">
      <c r="A170" s="7" t="str">
        <f>IF(子基金及业绩基准周净值!A210="","",子基金及业绩基准周净值!A210)</f>
        <v/>
      </c>
      <c r="B170" s="1" t="str">
        <f>IF(A170="","",VLOOKUP($A170,子基金及业绩基准周净值!$A:$AV,19))</f>
        <v/>
      </c>
      <c r="C170" s="8" t="str">
        <f t="shared" si="8"/>
        <v/>
      </c>
      <c r="D170" s="9" t="str">
        <f>IF(A170="","",C170-(子基金及业绩基准周净值!AH210/子基金及业绩基准周净值!AH209-1))</f>
        <v/>
      </c>
      <c r="E170" s="12" t="str">
        <f>IF(A170="","",(MAX(B$3:B170)-B170)/MAX(B$3:B170))</f>
        <v/>
      </c>
      <c r="F170" s="12" t="str">
        <f>IF(A170="","",MAX(E$4:E170))</f>
        <v/>
      </c>
      <c r="H170" s="14" t="str">
        <f t="shared" si="9"/>
        <v/>
      </c>
      <c r="I170" s="14" t="str">
        <f t="shared" si="10"/>
        <v/>
      </c>
      <c r="J170" s="15" t="str">
        <f t="shared" si="11"/>
        <v/>
      </c>
    </row>
    <row r="171" spans="1:10">
      <c r="A171" s="7" t="str">
        <f>IF(子基金及业绩基准周净值!A211="","",子基金及业绩基准周净值!A211)</f>
        <v/>
      </c>
      <c r="B171" s="1" t="str">
        <f>IF(A171="","",VLOOKUP($A171,子基金及业绩基准周净值!$A:$AV,19))</f>
        <v/>
      </c>
      <c r="C171" s="8" t="str">
        <f t="shared" si="8"/>
        <v/>
      </c>
      <c r="D171" s="9" t="str">
        <f>IF(A171="","",C171-(子基金及业绩基准周净值!AH211/子基金及业绩基准周净值!AH210-1))</f>
        <v/>
      </c>
      <c r="E171" s="12" t="str">
        <f>IF(A171="","",(MAX(B$3:B171)-B171)/MAX(B$3:B171))</f>
        <v/>
      </c>
      <c r="F171" s="12" t="str">
        <f>IF(A171="","",MAX(E$4:E171))</f>
        <v/>
      </c>
      <c r="H171" s="14" t="str">
        <f t="shared" si="9"/>
        <v/>
      </c>
      <c r="I171" s="14" t="str">
        <f t="shared" si="10"/>
        <v/>
      </c>
      <c r="J171" s="15" t="str">
        <f t="shared" si="11"/>
        <v/>
      </c>
    </row>
    <row r="172" spans="1:10">
      <c r="A172" s="7" t="str">
        <f>IF(子基金及业绩基准周净值!A212="","",子基金及业绩基准周净值!A212)</f>
        <v/>
      </c>
      <c r="B172" s="1" t="str">
        <f>IF(A172="","",VLOOKUP($A172,子基金及业绩基准周净值!$A:$AV,19))</f>
        <v/>
      </c>
      <c r="C172" s="8" t="str">
        <f t="shared" si="8"/>
        <v/>
      </c>
      <c r="D172" s="9" t="str">
        <f>IF(A172="","",C172-(子基金及业绩基准周净值!AH212/子基金及业绩基准周净值!AH211-1))</f>
        <v/>
      </c>
      <c r="E172" s="12" t="str">
        <f>IF(A172="","",(MAX(B$3:B172)-B172)/MAX(B$3:B172))</f>
        <v/>
      </c>
      <c r="F172" s="12" t="str">
        <f>IF(A172="","",MAX(E$4:E172))</f>
        <v/>
      </c>
      <c r="H172" s="14" t="str">
        <f t="shared" si="9"/>
        <v/>
      </c>
      <c r="I172" s="14" t="str">
        <f t="shared" si="10"/>
        <v/>
      </c>
      <c r="J172" s="15" t="str">
        <f t="shared" si="11"/>
        <v/>
      </c>
    </row>
    <row r="173" spans="1:10">
      <c r="A173" s="7" t="str">
        <f>IF(子基金及业绩基准周净值!A213="","",子基金及业绩基准周净值!A213)</f>
        <v/>
      </c>
      <c r="B173" s="1" t="str">
        <f>IF(A173="","",VLOOKUP($A173,子基金及业绩基准周净值!$A:$AV,19))</f>
        <v/>
      </c>
      <c r="C173" s="8" t="str">
        <f t="shared" si="8"/>
        <v/>
      </c>
      <c r="D173" s="9" t="str">
        <f>IF(A173="","",C173-(子基金及业绩基准周净值!AH213/子基金及业绩基准周净值!AH212-1))</f>
        <v/>
      </c>
      <c r="E173" s="12" t="str">
        <f>IF(A173="","",(MAX(B$3:B173)-B173)/MAX(B$3:B173))</f>
        <v/>
      </c>
      <c r="F173" s="12" t="str">
        <f>IF(A173="","",MAX(E$4:E173))</f>
        <v/>
      </c>
      <c r="H173" s="14" t="str">
        <f t="shared" si="9"/>
        <v/>
      </c>
      <c r="I173" s="14" t="str">
        <f t="shared" si="10"/>
        <v/>
      </c>
      <c r="J173" s="15" t="str">
        <f t="shared" si="11"/>
        <v/>
      </c>
    </row>
    <row r="174" spans="1:10">
      <c r="A174" s="7" t="str">
        <f>IF(子基金及业绩基准周净值!A214="","",子基金及业绩基准周净值!A214)</f>
        <v/>
      </c>
      <c r="B174" s="1" t="str">
        <f>IF(A174="","",VLOOKUP($A174,子基金及业绩基准周净值!$A:$AV,19))</f>
        <v/>
      </c>
      <c r="C174" s="8" t="str">
        <f t="shared" si="8"/>
        <v/>
      </c>
      <c r="D174" s="9" t="str">
        <f>IF(A174="","",C174-(子基金及业绩基准周净值!AH214/子基金及业绩基准周净值!AH213-1))</f>
        <v/>
      </c>
      <c r="E174" s="12" t="str">
        <f>IF(A174="","",(MAX(B$3:B174)-B174)/MAX(B$3:B174))</f>
        <v/>
      </c>
      <c r="F174" s="12" t="str">
        <f>IF(A174="","",MAX(E$4:E174))</f>
        <v/>
      </c>
      <c r="H174" s="14" t="str">
        <f t="shared" si="9"/>
        <v/>
      </c>
      <c r="I174" s="14" t="str">
        <f t="shared" si="10"/>
        <v/>
      </c>
      <c r="J174" s="15" t="str">
        <f t="shared" si="11"/>
        <v/>
      </c>
    </row>
    <row r="175" spans="1:10">
      <c r="A175" s="7" t="str">
        <f>IF(子基金及业绩基准周净值!A215="","",子基金及业绩基准周净值!A215)</f>
        <v/>
      </c>
      <c r="B175" s="1" t="str">
        <f>IF(A175="","",VLOOKUP($A175,子基金及业绩基准周净值!$A:$AV,19))</f>
        <v/>
      </c>
      <c r="C175" s="8" t="str">
        <f t="shared" si="8"/>
        <v/>
      </c>
      <c r="D175" s="9" t="str">
        <f>IF(A175="","",C175-(子基金及业绩基准周净值!AH215/子基金及业绩基准周净值!AH214-1))</f>
        <v/>
      </c>
      <c r="E175" s="12" t="str">
        <f>IF(A175="","",(MAX(B$3:B175)-B175)/MAX(B$3:B175))</f>
        <v/>
      </c>
      <c r="F175" s="12" t="str">
        <f>IF(A175="","",MAX(E$4:E175))</f>
        <v/>
      </c>
      <c r="H175" s="14" t="str">
        <f t="shared" si="9"/>
        <v/>
      </c>
      <c r="I175" s="14" t="str">
        <f t="shared" si="10"/>
        <v/>
      </c>
      <c r="J175" s="15" t="str">
        <f t="shared" si="11"/>
        <v/>
      </c>
    </row>
    <row r="176" spans="1:10">
      <c r="A176" s="7" t="str">
        <f>IF(子基金及业绩基准周净值!A216="","",子基金及业绩基准周净值!A216)</f>
        <v/>
      </c>
      <c r="B176" s="1" t="str">
        <f>IF(A176="","",VLOOKUP($A176,子基金及业绩基准周净值!$A:$AV,19))</f>
        <v/>
      </c>
      <c r="C176" s="8" t="str">
        <f t="shared" si="8"/>
        <v/>
      </c>
      <c r="D176" s="9" t="str">
        <f>IF(A176="","",C176-(子基金及业绩基准周净值!AH216/子基金及业绩基准周净值!AH215-1))</f>
        <v/>
      </c>
      <c r="E176" s="12" t="str">
        <f>IF(A176="","",(MAX(B$3:B176)-B176)/MAX(B$3:B176))</f>
        <v/>
      </c>
      <c r="F176" s="12" t="str">
        <f>IF(A176="","",MAX(E$4:E176))</f>
        <v/>
      </c>
      <c r="H176" s="14" t="str">
        <f t="shared" si="9"/>
        <v/>
      </c>
      <c r="I176" s="14" t="str">
        <f t="shared" si="10"/>
        <v/>
      </c>
      <c r="J176" s="15" t="str">
        <f t="shared" si="11"/>
        <v/>
      </c>
    </row>
    <row r="177" spans="1:10">
      <c r="A177" s="7" t="str">
        <f>IF(子基金及业绩基准周净值!A217="","",子基金及业绩基准周净值!A217)</f>
        <v/>
      </c>
      <c r="B177" s="1" t="str">
        <f>IF(A177="","",VLOOKUP($A177,子基金及业绩基准周净值!$A:$AV,19))</f>
        <v/>
      </c>
      <c r="C177" s="8" t="str">
        <f t="shared" si="8"/>
        <v/>
      </c>
      <c r="D177" s="9" t="str">
        <f>IF(A177="","",C177-(子基金及业绩基准周净值!AH217/子基金及业绩基准周净值!AH216-1))</f>
        <v/>
      </c>
      <c r="E177" s="12" t="str">
        <f>IF(A177="","",(MAX(B$3:B177)-B177)/MAX(B$3:B177))</f>
        <v/>
      </c>
      <c r="F177" s="12" t="str">
        <f>IF(A177="","",MAX(E$4:E177))</f>
        <v/>
      </c>
      <c r="H177" s="14" t="str">
        <f t="shared" si="9"/>
        <v/>
      </c>
      <c r="I177" s="14" t="str">
        <f t="shared" si="10"/>
        <v/>
      </c>
      <c r="J177" s="15" t="str">
        <f t="shared" si="11"/>
        <v/>
      </c>
    </row>
    <row r="178" spans="1:10">
      <c r="A178" s="7" t="str">
        <f>IF(子基金及业绩基准周净值!A218="","",子基金及业绩基准周净值!A218)</f>
        <v/>
      </c>
      <c r="B178" s="1" t="str">
        <f>IF(A178="","",VLOOKUP($A178,子基金及业绩基准周净值!$A:$AV,19))</f>
        <v/>
      </c>
      <c r="C178" s="8" t="str">
        <f t="shared" si="8"/>
        <v/>
      </c>
      <c r="D178" s="9" t="str">
        <f>IF(A178="","",C178-(子基金及业绩基准周净值!AH218/子基金及业绩基准周净值!AH217-1))</f>
        <v/>
      </c>
      <c r="E178" s="12" t="str">
        <f>IF(A178="","",(MAX(B$3:B178)-B178)/MAX(B$3:B178))</f>
        <v/>
      </c>
      <c r="F178" s="12" t="str">
        <f>IF(A178="","",MAX(E$4:E178))</f>
        <v/>
      </c>
      <c r="H178" s="14" t="str">
        <f t="shared" si="9"/>
        <v/>
      </c>
      <c r="I178" s="14" t="str">
        <f t="shared" si="10"/>
        <v/>
      </c>
      <c r="J178" s="15" t="str">
        <f t="shared" si="11"/>
        <v/>
      </c>
    </row>
    <row r="179" spans="1:10">
      <c r="A179" s="7" t="str">
        <f>IF(子基金及业绩基准周净值!A219="","",子基金及业绩基准周净值!A219)</f>
        <v/>
      </c>
      <c r="B179" s="1" t="str">
        <f>IF(A179="","",VLOOKUP($A179,子基金及业绩基准周净值!$A:$AV,19))</f>
        <v/>
      </c>
      <c r="C179" s="8" t="str">
        <f t="shared" si="8"/>
        <v/>
      </c>
      <c r="D179" s="9" t="str">
        <f>IF(A179="","",C179-(子基金及业绩基准周净值!AH219/子基金及业绩基准周净值!AH218-1))</f>
        <v/>
      </c>
      <c r="E179" s="12" t="str">
        <f>IF(A179="","",(MAX(B$3:B179)-B179)/MAX(B$3:B179))</f>
        <v/>
      </c>
      <c r="F179" s="12" t="str">
        <f>IF(A179="","",MAX(E$4:E179))</f>
        <v/>
      </c>
      <c r="H179" s="14" t="str">
        <f t="shared" si="9"/>
        <v/>
      </c>
      <c r="I179" s="14" t="str">
        <f t="shared" si="10"/>
        <v/>
      </c>
      <c r="J179" s="15" t="str">
        <f t="shared" si="11"/>
        <v/>
      </c>
    </row>
    <row r="180" spans="1:10">
      <c r="A180" s="7" t="str">
        <f>IF(子基金及业绩基准周净值!A220="","",子基金及业绩基准周净值!A220)</f>
        <v/>
      </c>
      <c r="B180" s="1" t="str">
        <f>IF(A180="","",VLOOKUP($A180,子基金及业绩基准周净值!$A:$AV,19))</f>
        <v/>
      </c>
      <c r="C180" s="8" t="str">
        <f t="shared" si="8"/>
        <v/>
      </c>
      <c r="D180" s="9" t="str">
        <f>IF(A180="","",C180-(子基金及业绩基准周净值!AH220/子基金及业绩基准周净值!AH219-1))</f>
        <v/>
      </c>
      <c r="E180" s="12" t="str">
        <f>IF(A180="","",(MAX(B$3:B180)-B180)/MAX(B$3:B180))</f>
        <v/>
      </c>
      <c r="F180" s="12" t="str">
        <f>IF(A180="","",MAX(E$4:E180))</f>
        <v/>
      </c>
      <c r="H180" s="14" t="str">
        <f t="shared" si="9"/>
        <v/>
      </c>
      <c r="I180" s="14" t="str">
        <f t="shared" si="10"/>
        <v/>
      </c>
      <c r="J180" s="15" t="str">
        <f t="shared" si="11"/>
        <v/>
      </c>
    </row>
    <row r="181" spans="1:10">
      <c r="A181" s="7" t="str">
        <f>IF(子基金及业绩基准周净值!A221="","",子基金及业绩基准周净值!A221)</f>
        <v/>
      </c>
      <c r="B181" s="1" t="str">
        <f>IF(A181="","",VLOOKUP($A181,子基金及业绩基准周净值!$A:$AV,19))</f>
        <v/>
      </c>
      <c r="C181" s="8" t="str">
        <f t="shared" si="8"/>
        <v/>
      </c>
      <c r="D181" s="9" t="str">
        <f>IF(A181="","",C181-(子基金及业绩基准周净值!AH221/子基金及业绩基准周净值!AH220-1))</f>
        <v/>
      </c>
      <c r="E181" s="12" t="str">
        <f>IF(A181="","",(MAX(B$3:B181)-B181)/MAX(B$3:B181))</f>
        <v/>
      </c>
      <c r="F181" s="12" t="str">
        <f>IF(A181="","",MAX(E$4:E181))</f>
        <v/>
      </c>
      <c r="H181" s="14" t="str">
        <f t="shared" si="9"/>
        <v/>
      </c>
      <c r="I181" s="14" t="str">
        <f t="shared" si="10"/>
        <v/>
      </c>
      <c r="J181" s="15" t="str">
        <f t="shared" si="11"/>
        <v/>
      </c>
    </row>
    <row r="182" spans="1:10">
      <c r="A182" s="7" t="str">
        <f>IF(子基金及业绩基准周净值!A222="","",子基金及业绩基准周净值!A222)</f>
        <v/>
      </c>
      <c r="B182" s="1" t="str">
        <f>IF(A182="","",VLOOKUP($A182,子基金及业绩基准周净值!$A:$AV,19))</f>
        <v/>
      </c>
      <c r="C182" s="8" t="str">
        <f t="shared" si="8"/>
        <v/>
      </c>
      <c r="D182" s="9" t="str">
        <f>IF(A182="","",C182-(子基金及业绩基准周净值!AH222/子基金及业绩基准周净值!AH221-1))</f>
        <v/>
      </c>
      <c r="E182" s="12" t="str">
        <f>IF(A182="","",(MAX(B$3:B182)-B182)/MAX(B$3:B182))</f>
        <v/>
      </c>
      <c r="F182" s="12" t="str">
        <f>IF(A182="","",MAX(E$4:E182))</f>
        <v/>
      </c>
      <c r="H182" s="14" t="str">
        <f t="shared" si="9"/>
        <v/>
      </c>
      <c r="I182" s="14" t="str">
        <f t="shared" si="10"/>
        <v/>
      </c>
      <c r="J182" s="15" t="str">
        <f t="shared" si="11"/>
        <v/>
      </c>
    </row>
    <row r="183" spans="1:10">
      <c r="A183" s="7" t="str">
        <f>IF(子基金及业绩基准周净值!A223="","",子基金及业绩基准周净值!A223)</f>
        <v/>
      </c>
      <c r="B183" s="1" t="str">
        <f>IF(A183="","",VLOOKUP($A183,子基金及业绩基准周净值!$A:$AV,19))</f>
        <v/>
      </c>
      <c r="C183" s="8" t="str">
        <f t="shared" si="8"/>
        <v/>
      </c>
      <c r="D183" s="9" t="str">
        <f>IF(A183="","",C183-(子基金及业绩基准周净值!AH223/子基金及业绩基准周净值!AH222-1))</f>
        <v/>
      </c>
      <c r="E183" s="12" t="str">
        <f>IF(A183="","",(MAX(B$3:B183)-B183)/MAX(B$3:B183))</f>
        <v/>
      </c>
      <c r="F183" s="12" t="str">
        <f>IF(A183="","",MAX(E$4:E183))</f>
        <v/>
      </c>
      <c r="H183" s="14" t="str">
        <f t="shared" si="9"/>
        <v/>
      </c>
      <c r="I183" s="14" t="str">
        <f t="shared" si="10"/>
        <v/>
      </c>
      <c r="J183" s="15" t="str">
        <f t="shared" si="11"/>
        <v/>
      </c>
    </row>
    <row r="184" spans="1:10">
      <c r="A184" s="7" t="str">
        <f>IF(子基金及业绩基准周净值!A224="","",子基金及业绩基准周净值!A224)</f>
        <v/>
      </c>
      <c r="B184" s="1" t="str">
        <f>IF(A184="","",VLOOKUP($A184,子基金及业绩基准周净值!$A:$AV,19))</f>
        <v/>
      </c>
      <c r="C184" s="8" t="str">
        <f t="shared" si="8"/>
        <v/>
      </c>
      <c r="D184" s="9" t="str">
        <f>IF(A184="","",C184-(子基金及业绩基准周净值!AH224/子基金及业绩基准周净值!AH223-1))</f>
        <v/>
      </c>
      <c r="E184" s="12" t="str">
        <f>IF(A184="","",(MAX(B$3:B184)-B184)/MAX(B$3:B184))</f>
        <v/>
      </c>
      <c r="F184" s="12" t="str">
        <f>IF(A184="","",MAX(E$4:E184))</f>
        <v/>
      </c>
      <c r="H184" s="14" t="str">
        <f t="shared" si="9"/>
        <v/>
      </c>
      <c r="I184" s="14" t="str">
        <f t="shared" si="10"/>
        <v/>
      </c>
      <c r="J184" s="15" t="str">
        <f t="shared" si="11"/>
        <v/>
      </c>
    </row>
    <row r="185" spans="1:10">
      <c r="A185" s="7" t="str">
        <f>IF(子基金及业绩基准周净值!A225="","",子基金及业绩基准周净值!A225)</f>
        <v/>
      </c>
      <c r="B185" s="1" t="str">
        <f>IF(A185="","",VLOOKUP($A185,子基金及业绩基准周净值!$A:$AV,19))</f>
        <v/>
      </c>
      <c r="C185" s="8" t="str">
        <f t="shared" si="8"/>
        <v/>
      </c>
      <c r="D185" s="9" t="str">
        <f>IF(A185="","",C185-(子基金及业绩基准周净值!AH225/子基金及业绩基准周净值!AH224-1))</f>
        <v/>
      </c>
      <c r="E185" s="12" t="str">
        <f>IF(A185="","",(MAX(B$3:B185)-B185)/MAX(B$3:B185))</f>
        <v/>
      </c>
      <c r="F185" s="12" t="str">
        <f>IF(A185="","",MAX(E$4:E185))</f>
        <v/>
      </c>
      <c r="H185" s="14" t="str">
        <f t="shared" si="9"/>
        <v/>
      </c>
      <c r="I185" s="14" t="str">
        <f t="shared" si="10"/>
        <v/>
      </c>
      <c r="J185" s="15" t="str">
        <f t="shared" si="11"/>
        <v/>
      </c>
    </row>
    <row r="186" spans="1:10">
      <c r="A186" s="7" t="str">
        <f>IF(子基金及业绩基准周净值!A226="","",子基金及业绩基准周净值!A226)</f>
        <v/>
      </c>
      <c r="B186" s="1" t="str">
        <f>IF(A186="","",VLOOKUP($A186,子基金及业绩基准周净值!$A:$AV,19))</f>
        <v/>
      </c>
      <c r="C186" s="8" t="str">
        <f t="shared" si="8"/>
        <v/>
      </c>
      <c r="D186" s="9" t="str">
        <f>IF(A186="","",C186-(子基金及业绩基准周净值!AH226/子基金及业绩基准周净值!AH225-1))</f>
        <v/>
      </c>
      <c r="E186" s="12" t="str">
        <f>IF(A186="","",(MAX(B$3:B186)-B186)/MAX(B$3:B186))</f>
        <v/>
      </c>
      <c r="F186" s="12" t="str">
        <f>IF(A186="","",MAX(E$4:E186))</f>
        <v/>
      </c>
      <c r="H186" s="14" t="str">
        <f t="shared" si="9"/>
        <v/>
      </c>
      <c r="I186" s="14" t="str">
        <f t="shared" si="10"/>
        <v/>
      </c>
      <c r="J186" s="15" t="str">
        <f t="shared" si="11"/>
        <v/>
      </c>
    </row>
    <row r="187" spans="1:10">
      <c r="A187" s="7" t="str">
        <f>IF(子基金及业绩基准周净值!A227="","",子基金及业绩基准周净值!A227)</f>
        <v/>
      </c>
      <c r="B187" s="1" t="str">
        <f>IF(A187="","",VLOOKUP($A187,子基金及业绩基准周净值!$A:$AV,19))</f>
        <v/>
      </c>
      <c r="C187" s="8" t="str">
        <f t="shared" si="8"/>
        <v/>
      </c>
      <c r="D187" s="9" t="str">
        <f>IF(A187="","",C187-(子基金及业绩基准周净值!AH227/子基金及业绩基准周净值!AH226-1))</f>
        <v/>
      </c>
      <c r="E187" s="12" t="str">
        <f>IF(A187="","",(MAX(B$3:B187)-B187)/MAX(B$3:B187))</f>
        <v/>
      </c>
      <c r="F187" s="12" t="str">
        <f>IF(A187="","",MAX(E$4:E187))</f>
        <v/>
      </c>
      <c r="H187" s="14" t="str">
        <f t="shared" si="9"/>
        <v/>
      </c>
      <c r="I187" s="14" t="str">
        <f t="shared" si="10"/>
        <v/>
      </c>
      <c r="J187" s="15" t="str">
        <f t="shared" si="11"/>
        <v/>
      </c>
    </row>
    <row r="188" spans="1:10">
      <c r="A188" s="7" t="str">
        <f>IF(子基金及业绩基准周净值!A228="","",子基金及业绩基准周净值!A228)</f>
        <v/>
      </c>
      <c r="B188" s="1" t="str">
        <f>IF(A188="","",VLOOKUP($A188,子基金及业绩基准周净值!$A:$AV,19))</f>
        <v/>
      </c>
      <c r="C188" s="8" t="str">
        <f t="shared" si="8"/>
        <v/>
      </c>
      <c r="D188" s="9" t="str">
        <f>IF(A188="","",C188-(子基金及业绩基准周净值!AH228/子基金及业绩基准周净值!AH227-1))</f>
        <v/>
      </c>
      <c r="E188" s="12" t="str">
        <f>IF(A188="","",(MAX(B$3:B188)-B188)/MAX(B$3:B188))</f>
        <v/>
      </c>
      <c r="F188" s="12" t="str">
        <f>IF(A188="","",MAX(E$4:E188))</f>
        <v/>
      </c>
      <c r="H188" s="14" t="str">
        <f t="shared" si="9"/>
        <v/>
      </c>
      <c r="I188" s="14" t="str">
        <f t="shared" si="10"/>
        <v/>
      </c>
      <c r="J188" s="15" t="str">
        <f t="shared" si="11"/>
        <v/>
      </c>
    </row>
    <row r="189" spans="1:10">
      <c r="A189" s="7" t="str">
        <f>IF(子基金及业绩基准周净值!A229="","",子基金及业绩基准周净值!A229)</f>
        <v/>
      </c>
      <c r="B189" s="1" t="str">
        <f>IF(A189="","",VLOOKUP($A189,子基金及业绩基准周净值!$A:$AV,19))</f>
        <v/>
      </c>
      <c r="C189" s="8" t="str">
        <f t="shared" si="8"/>
        <v/>
      </c>
      <c r="D189" s="9" t="str">
        <f>IF(A189="","",C189-(子基金及业绩基准周净值!AH229/子基金及业绩基准周净值!AH228-1))</f>
        <v/>
      </c>
      <c r="E189" s="12" t="str">
        <f>IF(A189="","",(MAX(B$3:B189)-B189)/MAX(B$3:B189))</f>
        <v/>
      </c>
      <c r="F189" s="12" t="str">
        <f>IF(A189="","",MAX(E$4:E189))</f>
        <v/>
      </c>
      <c r="H189" s="14" t="str">
        <f t="shared" si="9"/>
        <v/>
      </c>
      <c r="I189" s="14" t="str">
        <f t="shared" si="10"/>
        <v/>
      </c>
      <c r="J189" s="15" t="str">
        <f t="shared" si="11"/>
        <v/>
      </c>
    </row>
    <row r="190" spans="1:10">
      <c r="A190" s="7" t="str">
        <f>IF(子基金及业绩基准周净值!A230="","",子基金及业绩基准周净值!A230)</f>
        <v/>
      </c>
      <c r="B190" s="1" t="str">
        <f>IF(A190="","",VLOOKUP($A190,子基金及业绩基准周净值!$A:$AV,19))</f>
        <v/>
      </c>
      <c r="C190" s="8" t="str">
        <f t="shared" si="8"/>
        <v/>
      </c>
      <c r="D190" s="9" t="str">
        <f>IF(A190="","",C190-(子基金及业绩基准周净值!AH230/子基金及业绩基准周净值!AH229-1))</f>
        <v/>
      </c>
      <c r="E190" s="12" t="str">
        <f>IF(A190="","",(MAX(B$3:B190)-B190)/MAX(B$3:B190))</f>
        <v/>
      </c>
      <c r="F190" s="12" t="str">
        <f>IF(A190="","",MAX(E$4:E190))</f>
        <v/>
      </c>
      <c r="H190" s="14" t="str">
        <f t="shared" si="9"/>
        <v/>
      </c>
      <c r="I190" s="14" t="str">
        <f t="shared" si="10"/>
        <v/>
      </c>
      <c r="J190" s="15" t="str">
        <f t="shared" si="11"/>
        <v/>
      </c>
    </row>
    <row r="191" spans="1:10">
      <c r="A191" s="7" t="str">
        <f>IF(子基金及业绩基准周净值!A231="","",子基金及业绩基准周净值!A231)</f>
        <v/>
      </c>
      <c r="B191" s="1" t="str">
        <f>IF(A191="","",VLOOKUP($A191,子基金及业绩基准周净值!$A:$AV,19))</f>
        <v/>
      </c>
      <c r="C191" s="8" t="str">
        <f t="shared" si="8"/>
        <v/>
      </c>
      <c r="D191" s="9" t="str">
        <f>IF(A191="","",C191-(子基金及业绩基准周净值!AH231/子基金及业绩基准周净值!AH230-1))</f>
        <v/>
      </c>
      <c r="E191" s="12" t="str">
        <f>IF(A191="","",(MAX(B$3:B191)-B191)/MAX(B$3:B191))</f>
        <v/>
      </c>
      <c r="F191" s="12" t="str">
        <f>IF(A191="","",MAX(E$4:E191))</f>
        <v/>
      </c>
      <c r="H191" s="14" t="str">
        <f t="shared" si="9"/>
        <v/>
      </c>
      <c r="I191" s="14" t="str">
        <f t="shared" si="10"/>
        <v/>
      </c>
      <c r="J191" s="15" t="str">
        <f t="shared" si="11"/>
        <v/>
      </c>
    </row>
    <row r="192" spans="1:10">
      <c r="A192" s="7" t="str">
        <f>IF(子基金及业绩基准周净值!A232="","",子基金及业绩基准周净值!A232)</f>
        <v/>
      </c>
      <c r="B192" s="1" t="str">
        <f>IF(A192="","",VLOOKUP($A192,子基金及业绩基准周净值!$A:$AV,19))</f>
        <v/>
      </c>
      <c r="C192" s="8" t="str">
        <f t="shared" si="8"/>
        <v/>
      </c>
      <c r="D192" s="9" t="str">
        <f>IF(A192="","",C192-(子基金及业绩基准周净值!AH232/子基金及业绩基准周净值!AH231-1))</f>
        <v/>
      </c>
      <c r="E192" s="12" t="str">
        <f>IF(A192="","",(MAX(B$3:B192)-B192)/MAX(B$3:B192))</f>
        <v/>
      </c>
      <c r="F192" s="12" t="str">
        <f>IF(A192="","",MAX(E$4:E192))</f>
        <v/>
      </c>
      <c r="H192" s="14" t="str">
        <f t="shared" si="9"/>
        <v/>
      </c>
      <c r="I192" s="14" t="str">
        <f t="shared" si="10"/>
        <v/>
      </c>
      <c r="J192" s="15" t="str">
        <f t="shared" si="11"/>
        <v/>
      </c>
    </row>
    <row r="193" spans="1:10">
      <c r="A193" s="7" t="str">
        <f>IF(子基金及业绩基准周净值!A233="","",子基金及业绩基准周净值!A233)</f>
        <v/>
      </c>
      <c r="B193" s="1" t="str">
        <f>IF(A193="","",VLOOKUP($A193,子基金及业绩基准周净值!$A:$AV,19))</f>
        <v/>
      </c>
      <c r="C193" s="8" t="str">
        <f t="shared" si="8"/>
        <v/>
      </c>
      <c r="D193" s="9" t="str">
        <f>IF(A193="","",C193-(子基金及业绩基准周净值!AH233/子基金及业绩基准周净值!AH232-1))</f>
        <v/>
      </c>
      <c r="E193" s="12" t="str">
        <f>IF(A193="","",(MAX(B$3:B193)-B193)/MAX(B$3:B193))</f>
        <v/>
      </c>
      <c r="F193" s="12" t="str">
        <f>IF(A193="","",MAX(E$4:E193))</f>
        <v/>
      </c>
      <c r="H193" s="14" t="str">
        <f t="shared" si="9"/>
        <v/>
      </c>
      <c r="I193" s="14" t="str">
        <f t="shared" si="10"/>
        <v/>
      </c>
      <c r="J193" s="15" t="str">
        <f t="shared" si="11"/>
        <v/>
      </c>
    </row>
    <row r="194" spans="1:10">
      <c r="A194" s="7" t="str">
        <f>IF(子基金及业绩基准周净值!A234="","",子基金及业绩基准周净值!A234)</f>
        <v/>
      </c>
      <c r="B194" s="1" t="str">
        <f>IF(A194="","",VLOOKUP($A194,子基金及业绩基准周净值!$A:$AV,19))</f>
        <v/>
      </c>
      <c r="C194" s="8" t="str">
        <f t="shared" si="8"/>
        <v/>
      </c>
      <c r="D194" s="9" t="str">
        <f>IF(A194="","",C194-(子基金及业绩基准周净值!AH234/子基金及业绩基准周净值!AH233-1))</f>
        <v/>
      </c>
      <c r="E194" s="12" t="str">
        <f>IF(A194="","",(MAX(B$3:B194)-B194)/MAX(B$3:B194))</f>
        <v/>
      </c>
      <c r="F194" s="12" t="str">
        <f>IF(A194="","",MAX(E$4:E194))</f>
        <v/>
      </c>
      <c r="H194" s="14" t="str">
        <f t="shared" si="9"/>
        <v/>
      </c>
      <c r="I194" s="14" t="str">
        <f t="shared" si="10"/>
        <v/>
      </c>
      <c r="J194" s="15" t="str">
        <f t="shared" si="11"/>
        <v/>
      </c>
    </row>
    <row r="195" spans="1:10">
      <c r="A195" s="7" t="str">
        <f>IF(子基金及业绩基准周净值!A235="","",子基金及业绩基准周净值!A235)</f>
        <v/>
      </c>
      <c r="B195" s="1" t="str">
        <f>IF(A195="","",VLOOKUP($A195,子基金及业绩基准周净值!$A:$AV,19))</f>
        <v/>
      </c>
      <c r="C195" s="8" t="str">
        <f t="shared" si="8"/>
        <v/>
      </c>
      <c r="D195" s="9" t="str">
        <f>IF(A195="","",C195-(子基金及业绩基准周净值!AH235/子基金及业绩基准周净值!AH234-1))</f>
        <v/>
      </c>
      <c r="E195" s="12" t="str">
        <f>IF(A195="","",(MAX(B$3:B195)-B195)/MAX(B$3:B195))</f>
        <v/>
      </c>
      <c r="F195" s="12" t="str">
        <f>IF(A195="","",MAX(E$4:E195))</f>
        <v/>
      </c>
      <c r="H195" s="14" t="str">
        <f t="shared" si="9"/>
        <v/>
      </c>
      <c r="I195" s="14" t="str">
        <f t="shared" si="10"/>
        <v/>
      </c>
      <c r="J195" s="15" t="str">
        <f t="shared" si="11"/>
        <v/>
      </c>
    </row>
    <row r="196" spans="1:10">
      <c r="A196" s="7" t="str">
        <f>IF(子基金及业绩基准周净值!A236="","",子基金及业绩基准周净值!A236)</f>
        <v/>
      </c>
      <c r="B196" s="1" t="str">
        <f>IF(A196="","",VLOOKUP($A196,子基金及业绩基准周净值!$A:$AV,19))</f>
        <v/>
      </c>
      <c r="C196" s="8" t="str">
        <f t="shared" si="8"/>
        <v/>
      </c>
      <c r="D196" s="9" t="str">
        <f>IF(A196="","",C196-(子基金及业绩基准周净值!AH236/子基金及业绩基准周净值!AH235-1))</f>
        <v/>
      </c>
      <c r="E196" s="12" t="str">
        <f>IF(A196="","",(MAX(B$3:B196)-B196)/MAX(B$3:B196))</f>
        <v/>
      </c>
      <c r="F196" s="12" t="str">
        <f>IF(A196="","",MAX(E$4:E196))</f>
        <v/>
      </c>
      <c r="H196" s="14" t="str">
        <f t="shared" si="9"/>
        <v/>
      </c>
      <c r="I196" s="14" t="str">
        <f t="shared" si="10"/>
        <v/>
      </c>
      <c r="J196" s="15" t="str">
        <f t="shared" si="11"/>
        <v/>
      </c>
    </row>
    <row r="197" spans="1:10">
      <c r="A197" s="7" t="str">
        <f>IF(子基金及业绩基准周净值!A237="","",子基金及业绩基准周净值!A237)</f>
        <v/>
      </c>
      <c r="B197" s="1" t="str">
        <f>IF(A197="","",VLOOKUP($A197,子基金及业绩基准周净值!$A:$AV,19))</f>
        <v/>
      </c>
      <c r="C197" s="8" t="str">
        <f t="shared" ref="C197:C260" si="12">IF(A197="","",(B197-B196)/B196)</f>
        <v/>
      </c>
      <c r="D197" s="9" t="str">
        <f>IF(A197="","",C197-(子基金及业绩基准周净值!AH237/子基金及业绩基准周净值!AH236-1))</f>
        <v/>
      </c>
      <c r="E197" s="12" t="str">
        <f>IF(A197="","",(MAX(B$3:B197)-B197)/MAX(B$3:B197))</f>
        <v/>
      </c>
      <c r="F197" s="12" t="str">
        <f>IF(A197="","",MAX(E$4:E197))</f>
        <v/>
      </c>
      <c r="H197" s="14" t="str">
        <f t="shared" ref="H197:H260" si="13">IF(B197="","",IF(C197&lt;-3%,"是","否"))</f>
        <v/>
      </c>
      <c r="I197" s="14" t="str">
        <f t="shared" ref="I197:I260" si="14">IF(A197="","",IF(F197&gt;5%,"是","否"))</f>
        <v/>
      </c>
      <c r="J197" s="15" t="str">
        <f t="shared" ref="J197:J260" si="15">IF(A197="","",IF(G197&gt;=4,"是","否"))</f>
        <v/>
      </c>
    </row>
    <row r="198" spans="1:10">
      <c r="A198" s="7" t="str">
        <f>IF(子基金及业绩基准周净值!A238="","",子基金及业绩基准周净值!A238)</f>
        <v/>
      </c>
      <c r="B198" s="1" t="str">
        <f>IF(A198="","",VLOOKUP($A198,子基金及业绩基准周净值!$A:$AV,19))</f>
        <v/>
      </c>
      <c r="C198" s="8" t="str">
        <f t="shared" si="12"/>
        <v/>
      </c>
      <c r="D198" s="9" t="str">
        <f>IF(A198="","",C198-(子基金及业绩基准周净值!AH238/子基金及业绩基准周净值!AH237-1))</f>
        <v/>
      </c>
      <c r="E198" s="12" t="str">
        <f>IF(A198="","",(MAX(B$3:B198)-B198)/MAX(B$3:B198))</f>
        <v/>
      </c>
      <c r="F198" s="12" t="str">
        <f>IF(A198="","",MAX(E$4:E198))</f>
        <v/>
      </c>
      <c r="H198" s="14" t="str">
        <f t="shared" si="13"/>
        <v/>
      </c>
      <c r="I198" s="14" t="str">
        <f t="shared" si="14"/>
        <v/>
      </c>
      <c r="J198" s="15" t="str">
        <f t="shared" si="15"/>
        <v/>
      </c>
    </row>
    <row r="199" spans="1:10">
      <c r="A199" s="7" t="str">
        <f>IF(子基金及业绩基准周净值!A239="","",子基金及业绩基准周净值!A239)</f>
        <v/>
      </c>
      <c r="B199" s="1" t="str">
        <f>IF(A199="","",VLOOKUP($A199,子基金及业绩基准周净值!$A:$AV,19))</f>
        <v/>
      </c>
      <c r="C199" s="8" t="str">
        <f t="shared" si="12"/>
        <v/>
      </c>
      <c r="D199" s="9" t="str">
        <f>IF(A199="","",C199-(子基金及业绩基准周净值!AH239/子基金及业绩基准周净值!AH238-1))</f>
        <v/>
      </c>
      <c r="E199" s="12" t="str">
        <f>IF(A199="","",(MAX(B$3:B199)-B199)/MAX(B$3:B199))</f>
        <v/>
      </c>
      <c r="F199" s="12" t="str">
        <f>IF(A199="","",MAX(E$4:E199))</f>
        <v/>
      </c>
      <c r="H199" s="14" t="str">
        <f t="shared" si="13"/>
        <v/>
      </c>
      <c r="I199" s="14" t="str">
        <f t="shared" si="14"/>
        <v/>
      </c>
      <c r="J199" s="15" t="str">
        <f t="shared" si="15"/>
        <v/>
      </c>
    </row>
    <row r="200" spans="1:10">
      <c r="A200" s="7" t="str">
        <f>IF(子基金及业绩基准周净值!A240="","",子基金及业绩基准周净值!A240)</f>
        <v/>
      </c>
      <c r="B200" s="1" t="str">
        <f>IF(A200="","",VLOOKUP($A200,子基金及业绩基准周净值!$A:$AV,19))</f>
        <v/>
      </c>
      <c r="C200" s="8" t="str">
        <f t="shared" si="12"/>
        <v/>
      </c>
      <c r="D200" s="9" t="str">
        <f>IF(A200="","",C200-(子基金及业绩基准周净值!AH240/子基金及业绩基准周净值!AH239-1))</f>
        <v/>
      </c>
      <c r="E200" s="12" t="str">
        <f>IF(A200="","",(MAX(B$3:B200)-B200)/MAX(B$3:B200))</f>
        <v/>
      </c>
      <c r="F200" s="12" t="str">
        <f>IF(A200="","",MAX(E$4:E200))</f>
        <v/>
      </c>
      <c r="H200" s="14" t="str">
        <f t="shared" si="13"/>
        <v/>
      </c>
      <c r="I200" s="14" t="str">
        <f t="shared" si="14"/>
        <v/>
      </c>
      <c r="J200" s="15" t="str">
        <f t="shared" si="15"/>
        <v/>
      </c>
    </row>
    <row r="201" spans="1:10">
      <c r="A201" s="7" t="str">
        <f>IF(子基金及业绩基准周净值!A241="","",子基金及业绩基准周净值!A241)</f>
        <v/>
      </c>
      <c r="B201" s="1" t="str">
        <f>IF(A201="","",VLOOKUP($A201,子基金及业绩基准周净值!$A:$AV,19))</f>
        <v/>
      </c>
      <c r="C201" s="8" t="str">
        <f t="shared" si="12"/>
        <v/>
      </c>
      <c r="D201" s="9" t="str">
        <f>IF(A201="","",C201-(子基金及业绩基准周净值!AH241/子基金及业绩基准周净值!AH240-1))</f>
        <v/>
      </c>
      <c r="E201" s="12" t="str">
        <f>IF(A201="","",(MAX(B$3:B201)-B201)/MAX(B$3:B201))</f>
        <v/>
      </c>
      <c r="F201" s="12" t="str">
        <f>IF(A201="","",MAX(E$4:E201))</f>
        <v/>
      </c>
      <c r="H201" s="14" t="str">
        <f t="shared" si="13"/>
        <v/>
      </c>
      <c r="I201" s="14" t="str">
        <f t="shared" si="14"/>
        <v/>
      </c>
      <c r="J201" s="15" t="str">
        <f t="shared" si="15"/>
        <v/>
      </c>
    </row>
    <row r="202" spans="1:10">
      <c r="A202" s="7" t="str">
        <f>IF(子基金及业绩基准周净值!A242="","",子基金及业绩基准周净值!A242)</f>
        <v/>
      </c>
      <c r="B202" s="1" t="str">
        <f>IF(A202="","",VLOOKUP($A202,子基金及业绩基准周净值!$A:$AV,19))</f>
        <v/>
      </c>
      <c r="C202" s="8" t="str">
        <f t="shared" si="12"/>
        <v/>
      </c>
      <c r="D202" s="9" t="str">
        <f>IF(A202="","",C202-(子基金及业绩基准周净值!AH242/子基金及业绩基准周净值!AH241-1))</f>
        <v/>
      </c>
      <c r="E202" s="12" t="str">
        <f>IF(A202="","",(MAX(B$3:B202)-B202)/MAX(B$3:B202))</f>
        <v/>
      </c>
      <c r="F202" s="12" t="str">
        <f>IF(A202="","",MAX(E$4:E202))</f>
        <v/>
      </c>
      <c r="H202" s="14" t="str">
        <f t="shared" si="13"/>
        <v/>
      </c>
      <c r="I202" s="14" t="str">
        <f t="shared" si="14"/>
        <v/>
      </c>
      <c r="J202" s="15" t="str">
        <f t="shared" si="15"/>
        <v/>
      </c>
    </row>
    <row r="203" spans="1:10">
      <c r="A203" s="7" t="str">
        <f>IF(子基金及业绩基准周净值!A243="","",子基金及业绩基准周净值!A243)</f>
        <v/>
      </c>
      <c r="B203" s="1" t="str">
        <f>IF(A203="","",VLOOKUP($A203,子基金及业绩基准周净值!$A:$AV,19))</f>
        <v/>
      </c>
      <c r="C203" s="8" t="str">
        <f t="shared" si="12"/>
        <v/>
      </c>
      <c r="D203" s="9" t="str">
        <f>IF(A203="","",C203-(子基金及业绩基准周净值!AH243/子基金及业绩基准周净值!AH242-1))</f>
        <v/>
      </c>
      <c r="E203" s="12" t="str">
        <f>IF(A203="","",(MAX(B$3:B203)-B203)/MAX(B$3:B203))</f>
        <v/>
      </c>
      <c r="F203" s="12" t="str">
        <f>IF(A203="","",MAX(E$4:E203))</f>
        <v/>
      </c>
      <c r="H203" s="14" t="str">
        <f t="shared" si="13"/>
        <v/>
      </c>
      <c r="I203" s="14" t="str">
        <f t="shared" si="14"/>
        <v/>
      </c>
      <c r="J203" s="15" t="str">
        <f t="shared" si="15"/>
        <v/>
      </c>
    </row>
    <row r="204" spans="1:10">
      <c r="A204" s="7" t="str">
        <f>IF(子基金及业绩基准周净值!A244="","",子基金及业绩基准周净值!A244)</f>
        <v/>
      </c>
      <c r="B204" s="1" t="str">
        <f>IF(A204="","",VLOOKUP($A204,子基金及业绩基准周净值!$A:$AV,19))</f>
        <v/>
      </c>
      <c r="C204" s="8" t="str">
        <f t="shared" si="12"/>
        <v/>
      </c>
      <c r="D204" s="9" t="str">
        <f>IF(A204="","",C204-(子基金及业绩基准周净值!AH244/子基金及业绩基准周净值!AH243-1))</f>
        <v/>
      </c>
      <c r="E204" s="12" t="str">
        <f>IF(A204="","",(MAX(B$3:B204)-B204)/MAX(B$3:B204))</f>
        <v/>
      </c>
      <c r="F204" s="12" t="str">
        <f>IF(A204="","",MAX(E$4:E204))</f>
        <v/>
      </c>
      <c r="H204" s="14" t="str">
        <f t="shared" si="13"/>
        <v/>
      </c>
      <c r="I204" s="14" t="str">
        <f t="shared" si="14"/>
        <v/>
      </c>
      <c r="J204" s="15" t="str">
        <f t="shared" si="15"/>
        <v/>
      </c>
    </row>
    <row r="205" spans="1:10">
      <c r="A205" s="7" t="str">
        <f>IF(子基金及业绩基准周净值!A245="","",子基金及业绩基准周净值!A245)</f>
        <v/>
      </c>
      <c r="B205" s="1" t="str">
        <f>IF(A205="","",VLOOKUP($A205,子基金及业绩基准周净值!$A:$AV,19))</f>
        <v/>
      </c>
      <c r="C205" s="8" t="str">
        <f t="shared" si="12"/>
        <v/>
      </c>
      <c r="D205" s="9" t="str">
        <f>IF(A205="","",C205-(子基金及业绩基准周净值!AH245/子基金及业绩基准周净值!AH244-1))</f>
        <v/>
      </c>
      <c r="E205" s="12" t="str">
        <f>IF(A205="","",(MAX(B$3:B205)-B205)/MAX(B$3:B205))</f>
        <v/>
      </c>
      <c r="F205" s="12" t="str">
        <f>IF(A205="","",MAX(E$4:E205))</f>
        <v/>
      </c>
      <c r="H205" s="14" t="str">
        <f t="shared" si="13"/>
        <v/>
      </c>
      <c r="I205" s="14" t="str">
        <f t="shared" si="14"/>
        <v/>
      </c>
      <c r="J205" s="15" t="str">
        <f t="shared" si="15"/>
        <v/>
      </c>
    </row>
    <row r="206" spans="1:10">
      <c r="A206" s="7" t="str">
        <f>IF(子基金及业绩基准周净值!A246="","",子基金及业绩基准周净值!A246)</f>
        <v/>
      </c>
      <c r="B206" s="1" t="str">
        <f>IF(A206="","",VLOOKUP($A206,子基金及业绩基准周净值!$A:$AV,19))</f>
        <v/>
      </c>
      <c r="C206" s="8" t="str">
        <f t="shared" si="12"/>
        <v/>
      </c>
      <c r="D206" s="9" t="str">
        <f>IF(A206="","",C206-(子基金及业绩基准周净值!AH246/子基金及业绩基准周净值!AH245-1))</f>
        <v/>
      </c>
      <c r="E206" s="12" t="str">
        <f>IF(A206="","",(MAX(B$3:B206)-B206)/MAX(B$3:B206))</f>
        <v/>
      </c>
      <c r="F206" s="12" t="str">
        <f>IF(A206="","",MAX(E$4:E206))</f>
        <v/>
      </c>
      <c r="H206" s="14" t="str">
        <f t="shared" si="13"/>
        <v/>
      </c>
      <c r="I206" s="14" t="str">
        <f t="shared" si="14"/>
        <v/>
      </c>
      <c r="J206" s="15" t="str">
        <f t="shared" si="15"/>
        <v/>
      </c>
    </row>
    <row r="207" spans="1:10">
      <c r="A207" s="7" t="str">
        <f>IF(子基金及业绩基准周净值!A247="","",子基金及业绩基准周净值!A247)</f>
        <v/>
      </c>
      <c r="B207" s="1" t="str">
        <f>IF(A207="","",VLOOKUP($A207,子基金及业绩基准周净值!$A:$AV,19))</f>
        <v/>
      </c>
      <c r="C207" s="8" t="str">
        <f t="shared" si="12"/>
        <v/>
      </c>
      <c r="D207" s="9" t="str">
        <f>IF(A207="","",C207-(子基金及业绩基准周净值!AH247/子基金及业绩基准周净值!AH246-1))</f>
        <v/>
      </c>
      <c r="E207" s="12" t="str">
        <f>IF(A207="","",(MAX(B$3:B207)-B207)/MAX(B$3:B207))</f>
        <v/>
      </c>
      <c r="F207" s="12" t="str">
        <f>IF(A207="","",MAX(E$4:E207))</f>
        <v/>
      </c>
      <c r="H207" s="14" t="str">
        <f t="shared" si="13"/>
        <v/>
      </c>
      <c r="I207" s="14" t="str">
        <f t="shared" si="14"/>
        <v/>
      </c>
      <c r="J207" s="15" t="str">
        <f t="shared" si="15"/>
        <v/>
      </c>
    </row>
    <row r="208" spans="1:10">
      <c r="A208" s="7" t="str">
        <f>IF(子基金及业绩基准周净值!A248="","",子基金及业绩基准周净值!A248)</f>
        <v/>
      </c>
      <c r="B208" s="1" t="str">
        <f>IF(A208="","",VLOOKUP($A208,子基金及业绩基准周净值!$A:$AV,19))</f>
        <v/>
      </c>
      <c r="C208" s="8" t="str">
        <f t="shared" si="12"/>
        <v/>
      </c>
      <c r="D208" s="9" t="str">
        <f>IF(A208="","",C208-(子基金及业绩基准周净值!AH248/子基金及业绩基准周净值!AH247-1))</f>
        <v/>
      </c>
      <c r="E208" s="12" t="str">
        <f>IF(A208="","",(MAX(B$3:B208)-B208)/MAX(B$3:B208))</f>
        <v/>
      </c>
      <c r="F208" s="12" t="str">
        <f>IF(A208="","",MAX(E$4:E208))</f>
        <v/>
      </c>
      <c r="H208" s="14" t="str">
        <f t="shared" si="13"/>
        <v/>
      </c>
      <c r="I208" s="14" t="str">
        <f t="shared" si="14"/>
        <v/>
      </c>
      <c r="J208" s="15" t="str">
        <f t="shared" si="15"/>
        <v/>
      </c>
    </row>
    <row r="209" spans="1:10">
      <c r="A209" s="7" t="str">
        <f>IF(子基金及业绩基准周净值!A249="","",子基金及业绩基准周净值!A249)</f>
        <v/>
      </c>
      <c r="B209" s="1" t="str">
        <f>IF(A209="","",VLOOKUP($A209,子基金及业绩基准周净值!$A:$AV,19))</f>
        <v/>
      </c>
      <c r="C209" s="8" t="str">
        <f t="shared" si="12"/>
        <v/>
      </c>
      <c r="D209" s="9" t="str">
        <f>IF(A209="","",C209-(子基金及业绩基准周净值!AH249/子基金及业绩基准周净值!AH248-1))</f>
        <v/>
      </c>
      <c r="E209" s="12" t="str">
        <f>IF(A209="","",(MAX(B$3:B209)-B209)/MAX(B$3:B209))</f>
        <v/>
      </c>
      <c r="F209" s="12" t="str">
        <f>IF(A209="","",MAX(E$4:E209))</f>
        <v/>
      </c>
      <c r="H209" s="14" t="str">
        <f t="shared" si="13"/>
        <v/>
      </c>
      <c r="I209" s="14" t="str">
        <f t="shared" si="14"/>
        <v/>
      </c>
      <c r="J209" s="15" t="str">
        <f t="shared" si="15"/>
        <v/>
      </c>
    </row>
    <row r="210" spans="1:10">
      <c r="A210" s="7" t="str">
        <f>IF(子基金及业绩基准周净值!A250="","",子基金及业绩基准周净值!A250)</f>
        <v/>
      </c>
      <c r="B210" s="1" t="str">
        <f>IF(A210="","",VLOOKUP($A210,子基金及业绩基准周净值!$A:$AV,19))</f>
        <v/>
      </c>
      <c r="C210" s="8" t="str">
        <f t="shared" si="12"/>
        <v/>
      </c>
      <c r="D210" s="9" t="str">
        <f>IF(A210="","",C210-(子基金及业绩基准周净值!AH250/子基金及业绩基准周净值!AH249-1))</f>
        <v/>
      </c>
      <c r="E210" s="12" t="str">
        <f>IF(A210="","",(MAX(B$3:B210)-B210)/MAX(B$3:B210))</f>
        <v/>
      </c>
      <c r="F210" s="12" t="str">
        <f>IF(A210="","",MAX(E$4:E210))</f>
        <v/>
      </c>
      <c r="H210" s="14" t="str">
        <f t="shared" si="13"/>
        <v/>
      </c>
      <c r="I210" s="14" t="str">
        <f t="shared" si="14"/>
        <v/>
      </c>
      <c r="J210" s="15" t="str">
        <f t="shared" si="15"/>
        <v/>
      </c>
    </row>
    <row r="211" spans="1:10">
      <c r="A211" s="7" t="str">
        <f>IF(子基金及业绩基准周净值!A251="","",子基金及业绩基准周净值!A251)</f>
        <v/>
      </c>
      <c r="B211" s="1" t="str">
        <f>IF(A211="","",VLOOKUP($A211,子基金及业绩基准周净值!$A:$AV,19))</f>
        <v/>
      </c>
      <c r="C211" s="8" t="str">
        <f t="shared" si="12"/>
        <v/>
      </c>
      <c r="D211" s="9" t="str">
        <f>IF(A211="","",C211-(子基金及业绩基准周净值!AH251/子基金及业绩基准周净值!AH250-1))</f>
        <v/>
      </c>
      <c r="E211" s="12" t="str">
        <f>IF(A211="","",(MAX(B$3:B211)-B211)/MAX(B$3:B211))</f>
        <v/>
      </c>
      <c r="F211" s="12" t="str">
        <f>IF(A211="","",MAX(E$4:E211))</f>
        <v/>
      </c>
      <c r="H211" s="14" t="str">
        <f t="shared" si="13"/>
        <v/>
      </c>
      <c r="I211" s="14" t="str">
        <f t="shared" si="14"/>
        <v/>
      </c>
      <c r="J211" s="15" t="str">
        <f t="shared" si="15"/>
        <v/>
      </c>
    </row>
    <row r="212" spans="1:10">
      <c r="A212" s="7" t="str">
        <f>IF(子基金及业绩基准周净值!A252="","",子基金及业绩基准周净值!A252)</f>
        <v/>
      </c>
      <c r="B212" s="1" t="str">
        <f>IF(A212="","",VLOOKUP($A212,子基金及业绩基准周净值!$A:$AV,19))</f>
        <v/>
      </c>
      <c r="C212" s="8" t="str">
        <f t="shared" si="12"/>
        <v/>
      </c>
      <c r="D212" s="9" t="str">
        <f>IF(A212="","",C212-(子基金及业绩基准周净值!AH252/子基金及业绩基准周净值!AH251-1))</f>
        <v/>
      </c>
      <c r="E212" s="12" t="str">
        <f>IF(A212="","",(MAX(B$3:B212)-B212)/MAX(B$3:B212))</f>
        <v/>
      </c>
      <c r="F212" s="12" t="str">
        <f>IF(A212="","",MAX(E$4:E212))</f>
        <v/>
      </c>
      <c r="H212" s="14" t="str">
        <f t="shared" si="13"/>
        <v/>
      </c>
      <c r="I212" s="14" t="str">
        <f t="shared" si="14"/>
        <v/>
      </c>
      <c r="J212" s="15" t="str">
        <f t="shared" si="15"/>
        <v/>
      </c>
    </row>
    <row r="213" spans="1:10">
      <c r="A213" s="7" t="str">
        <f>IF(子基金及业绩基准周净值!A253="","",子基金及业绩基准周净值!A253)</f>
        <v/>
      </c>
      <c r="B213" s="1" t="str">
        <f>IF(A213="","",VLOOKUP($A213,子基金及业绩基准周净值!$A:$AV,19))</f>
        <v/>
      </c>
      <c r="C213" s="8" t="str">
        <f t="shared" si="12"/>
        <v/>
      </c>
      <c r="D213" s="9" t="str">
        <f>IF(A213="","",C213-(子基金及业绩基准周净值!AH253/子基金及业绩基准周净值!AH252-1))</f>
        <v/>
      </c>
      <c r="E213" s="12" t="str">
        <f>IF(A213="","",(MAX(B$3:B213)-B213)/MAX(B$3:B213))</f>
        <v/>
      </c>
      <c r="F213" s="12" t="str">
        <f>IF(A213="","",MAX(E$4:E213))</f>
        <v/>
      </c>
      <c r="H213" s="14" t="str">
        <f t="shared" si="13"/>
        <v/>
      </c>
      <c r="I213" s="14" t="str">
        <f t="shared" si="14"/>
        <v/>
      </c>
      <c r="J213" s="15" t="str">
        <f t="shared" si="15"/>
        <v/>
      </c>
    </row>
    <row r="214" spans="1:10">
      <c r="A214" s="7" t="str">
        <f>IF(子基金及业绩基准周净值!A254="","",子基金及业绩基准周净值!A254)</f>
        <v/>
      </c>
      <c r="B214" s="1" t="str">
        <f>IF(A214="","",VLOOKUP($A214,子基金及业绩基准周净值!$A:$AV,19))</f>
        <v/>
      </c>
      <c r="C214" s="8" t="str">
        <f t="shared" si="12"/>
        <v/>
      </c>
      <c r="D214" s="9" t="str">
        <f>IF(A214="","",C214-(子基金及业绩基准周净值!AH254/子基金及业绩基准周净值!AH253-1))</f>
        <v/>
      </c>
      <c r="E214" s="12" t="str">
        <f>IF(A214="","",(MAX(B$3:B214)-B214)/MAX(B$3:B214))</f>
        <v/>
      </c>
      <c r="F214" s="12" t="str">
        <f>IF(A214="","",MAX(E$4:E214))</f>
        <v/>
      </c>
      <c r="H214" s="14" t="str">
        <f t="shared" si="13"/>
        <v/>
      </c>
      <c r="I214" s="14" t="str">
        <f t="shared" si="14"/>
        <v/>
      </c>
      <c r="J214" s="15" t="str">
        <f t="shared" si="15"/>
        <v/>
      </c>
    </row>
    <row r="215" spans="1:10">
      <c r="A215" s="7" t="str">
        <f>IF(子基金及业绩基准周净值!A255="","",子基金及业绩基准周净值!A255)</f>
        <v/>
      </c>
      <c r="B215" s="1" t="str">
        <f>IF(A215="","",VLOOKUP($A215,子基金及业绩基准周净值!$A:$AV,19))</f>
        <v/>
      </c>
      <c r="C215" s="8" t="str">
        <f t="shared" si="12"/>
        <v/>
      </c>
      <c r="D215" s="9" t="str">
        <f>IF(A215="","",C215-(子基金及业绩基准周净值!AH255/子基金及业绩基准周净值!AH254-1))</f>
        <v/>
      </c>
      <c r="E215" s="12" t="str">
        <f>IF(A215="","",(MAX(B$3:B215)-B215)/MAX(B$3:B215))</f>
        <v/>
      </c>
      <c r="F215" s="12" t="str">
        <f>IF(A215="","",MAX(E$4:E215))</f>
        <v/>
      </c>
      <c r="H215" s="14" t="str">
        <f t="shared" si="13"/>
        <v/>
      </c>
      <c r="I215" s="14" t="str">
        <f t="shared" si="14"/>
        <v/>
      </c>
      <c r="J215" s="15" t="str">
        <f t="shared" si="15"/>
        <v/>
      </c>
    </row>
    <row r="216" spans="1:10">
      <c r="A216" s="7" t="str">
        <f>IF(子基金及业绩基准周净值!A256="","",子基金及业绩基准周净值!A256)</f>
        <v/>
      </c>
      <c r="B216" s="1" t="str">
        <f>IF(A216="","",VLOOKUP($A216,子基金及业绩基准周净值!$A:$AV,19))</f>
        <v/>
      </c>
      <c r="C216" s="8" t="str">
        <f t="shared" si="12"/>
        <v/>
      </c>
      <c r="D216" s="9" t="str">
        <f>IF(A216="","",C216-(子基金及业绩基准周净值!AH256/子基金及业绩基准周净值!AH255-1))</f>
        <v/>
      </c>
      <c r="E216" s="12" t="str">
        <f>IF(A216="","",(MAX(B$3:B216)-B216)/MAX(B$3:B216))</f>
        <v/>
      </c>
      <c r="F216" s="12" t="str">
        <f>IF(A216="","",MAX(E$4:E216))</f>
        <v/>
      </c>
      <c r="H216" s="14" t="str">
        <f t="shared" si="13"/>
        <v/>
      </c>
      <c r="I216" s="14" t="str">
        <f t="shared" si="14"/>
        <v/>
      </c>
      <c r="J216" s="15" t="str">
        <f t="shared" si="15"/>
        <v/>
      </c>
    </row>
    <row r="217" spans="1:10">
      <c r="A217" s="7" t="str">
        <f>IF(子基金及业绩基准周净值!A257="","",子基金及业绩基准周净值!A257)</f>
        <v/>
      </c>
      <c r="B217" s="1" t="str">
        <f>IF(A217="","",VLOOKUP($A217,子基金及业绩基准周净值!$A:$AV,19))</f>
        <v/>
      </c>
      <c r="C217" s="8" t="str">
        <f t="shared" si="12"/>
        <v/>
      </c>
      <c r="D217" s="9" t="str">
        <f>IF(A217="","",C217-(子基金及业绩基准周净值!AH257/子基金及业绩基准周净值!AH256-1))</f>
        <v/>
      </c>
      <c r="E217" s="12" t="str">
        <f>IF(A217="","",(MAX(B$3:B217)-B217)/MAX(B$3:B217))</f>
        <v/>
      </c>
      <c r="F217" s="12" t="str">
        <f>IF(A217="","",MAX(E$4:E217))</f>
        <v/>
      </c>
      <c r="H217" s="14" t="str">
        <f t="shared" si="13"/>
        <v/>
      </c>
      <c r="I217" s="14" t="str">
        <f t="shared" si="14"/>
        <v/>
      </c>
      <c r="J217" s="15" t="str">
        <f t="shared" si="15"/>
        <v/>
      </c>
    </row>
    <row r="218" spans="1:10">
      <c r="A218" s="7" t="str">
        <f>IF(子基金及业绩基准周净值!A258="","",子基金及业绩基准周净值!A258)</f>
        <v/>
      </c>
      <c r="B218" s="1" t="str">
        <f>IF(A218="","",VLOOKUP($A218,子基金及业绩基准周净值!$A:$AV,19))</f>
        <v/>
      </c>
      <c r="C218" s="8" t="str">
        <f t="shared" si="12"/>
        <v/>
      </c>
      <c r="D218" s="9" t="str">
        <f>IF(A218="","",C218-(子基金及业绩基准周净值!AH258/子基金及业绩基准周净值!AH257-1))</f>
        <v/>
      </c>
      <c r="E218" s="12" t="str">
        <f>IF(A218="","",(MAX(B$3:B218)-B218)/MAX(B$3:B218))</f>
        <v/>
      </c>
      <c r="F218" s="12" t="str">
        <f>IF(A218="","",MAX(E$4:E218))</f>
        <v/>
      </c>
      <c r="H218" s="14" t="str">
        <f t="shared" si="13"/>
        <v/>
      </c>
      <c r="I218" s="14" t="str">
        <f t="shared" si="14"/>
        <v/>
      </c>
      <c r="J218" s="15" t="str">
        <f t="shared" si="15"/>
        <v/>
      </c>
    </row>
    <row r="219" spans="1:10">
      <c r="A219" s="7" t="str">
        <f>IF(子基金及业绩基准周净值!A259="","",子基金及业绩基准周净值!A259)</f>
        <v/>
      </c>
      <c r="B219" s="1" t="str">
        <f>IF(A219="","",VLOOKUP($A219,子基金及业绩基准周净值!$A:$AV,19))</f>
        <v/>
      </c>
      <c r="C219" s="8" t="str">
        <f t="shared" si="12"/>
        <v/>
      </c>
      <c r="D219" s="9" t="str">
        <f>IF(A219="","",C219-(子基金及业绩基准周净值!AH259/子基金及业绩基准周净值!AH258-1))</f>
        <v/>
      </c>
      <c r="E219" s="12" t="str">
        <f>IF(A219="","",(MAX(B$3:B219)-B219)/MAX(B$3:B219))</f>
        <v/>
      </c>
      <c r="F219" s="12" t="str">
        <f>IF(A219="","",MAX(E$4:E219))</f>
        <v/>
      </c>
      <c r="H219" s="14" t="str">
        <f t="shared" si="13"/>
        <v/>
      </c>
      <c r="I219" s="14" t="str">
        <f t="shared" si="14"/>
        <v/>
      </c>
      <c r="J219" s="15" t="str">
        <f t="shared" si="15"/>
        <v/>
      </c>
    </row>
    <row r="220" spans="1:10">
      <c r="A220" s="7" t="str">
        <f>IF(子基金及业绩基准周净值!A260="","",子基金及业绩基准周净值!A260)</f>
        <v/>
      </c>
      <c r="B220" s="1" t="str">
        <f>IF(A220="","",VLOOKUP($A220,子基金及业绩基准周净值!$A:$AV,19))</f>
        <v/>
      </c>
      <c r="C220" s="8" t="str">
        <f t="shared" si="12"/>
        <v/>
      </c>
      <c r="D220" s="9" t="str">
        <f>IF(A220="","",C220-(子基金及业绩基准周净值!AH260/子基金及业绩基准周净值!AH259-1))</f>
        <v/>
      </c>
      <c r="E220" s="12" t="str">
        <f>IF(A220="","",(MAX(B$3:B220)-B220)/MAX(B$3:B220))</f>
        <v/>
      </c>
      <c r="F220" s="12" t="str">
        <f>IF(A220="","",MAX(E$4:E220))</f>
        <v/>
      </c>
      <c r="H220" s="14" t="str">
        <f t="shared" si="13"/>
        <v/>
      </c>
      <c r="I220" s="14" t="str">
        <f t="shared" si="14"/>
        <v/>
      </c>
      <c r="J220" s="15" t="str">
        <f t="shared" si="15"/>
        <v/>
      </c>
    </row>
    <row r="221" spans="1:10">
      <c r="A221" s="7" t="str">
        <f>IF(子基金及业绩基准周净值!A261="","",子基金及业绩基准周净值!A261)</f>
        <v/>
      </c>
      <c r="B221" s="1" t="str">
        <f>IF(A221="","",VLOOKUP($A221,子基金及业绩基准周净值!$A:$AV,19))</f>
        <v/>
      </c>
      <c r="C221" s="8" t="str">
        <f t="shared" si="12"/>
        <v/>
      </c>
      <c r="D221" s="9" t="str">
        <f>IF(A221="","",C221-(子基金及业绩基准周净值!AH261/子基金及业绩基准周净值!AH260-1))</f>
        <v/>
      </c>
      <c r="E221" s="12" t="str">
        <f>IF(A221="","",(MAX(B$3:B221)-B221)/MAX(B$3:B221))</f>
        <v/>
      </c>
      <c r="F221" s="12" t="str">
        <f>IF(A221="","",MAX(E$4:E221))</f>
        <v/>
      </c>
      <c r="H221" s="14" t="str">
        <f t="shared" si="13"/>
        <v/>
      </c>
      <c r="I221" s="14" t="str">
        <f t="shared" si="14"/>
        <v/>
      </c>
      <c r="J221" s="15" t="str">
        <f t="shared" si="15"/>
        <v/>
      </c>
    </row>
    <row r="222" spans="1:10">
      <c r="A222" s="7" t="str">
        <f>IF(子基金及业绩基准周净值!A262="","",子基金及业绩基准周净值!A262)</f>
        <v/>
      </c>
      <c r="B222" s="1" t="str">
        <f>IF(A222="","",VLOOKUP($A222,子基金及业绩基准周净值!$A:$AV,19))</f>
        <v/>
      </c>
      <c r="C222" s="8" t="str">
        <f t="shared" si="12"/>
        <v/>
      </c>
      <c r="D222" s="9" t="str">
        <f>IF(A222="","",C222-(子基金及业绩基准周净值!AH262/子基金及业绩基准周净值!AH261-1))</f>
        <v/>
      </c>
      <c r="E222" s="12" t="str">
        <f>IF(A222="","",(MAX(B$3:B222)-B222)/MAX(B$3:B222))</f>
        <v/>
      </c>
      <c r="F222" s="12" t="str">
        <f>IF(A222="","",MAX(E$4:E222))</f>
        <v/>
      </c>
      <c r="H222" s="14" t="str">
        <f t="shared" si="13"/>
        <v/>
      </c>
      <c r="I222" s="14" t="str">
        <f t="shared" si="14"/>
        <v/>
      </c>
      <c r="J222" s="15" t="str">
        <f t="shared" si="15"/>
        <v/>
      </c>
    </row>
    <row r="223" spans="1:10">
      <c r="A223" s="7" t="str">
        <f>IF(子基金及业绩基准周净值!A263="","",子基金及业绩基准周净值!A263)</f>
        <v/>
      </c>
      <c r="B223" s="1" t="str">
        <f>IF(A223="","",VLOOKUP($A223,子基金及业绩基准周净值!$A:$AV,19))</f>
        <v/>
      </c>
      <c r="C223" s="8" t="str">
        <f t="shared" si="12"/>
        <v/>
      </c>
      <c r="D223" s="9" t="str">
        <f>IF(A223="","",C223-(子基金及业绩基准周净值!AH263/子基金及业绩基准周净值!AH262-1))</f>
        <v/>
      </c>
      <c r="E223" s="12" t="str">
        <f>IF(A223="","",(MAX(B$3:B223)-B223)/MAX(B$3:B223))</f>
        <v/>
      </c>
      <c r="F223" s="12" t="str">
        <f>IF(A223="","",MAX(E$4:E223))</f>
        <v/>
      </c>
      <c r="H223" s="14" t="str">
        <f t="shared" si="13"/>
        <v/>
      </c>
      <c r="I223" s="14" t="str">
        <f t="shared" si="14"/>
        <v/>
      </c>
      <c r="J223" s="15" t="str">
        <f t="shared" si="15"/>
        <v/>
      </c>
    </row>
    <row r="224" spans="1:10">
      <c r="A224" s="7" t="str">
        <f>IF(子基金及业绩基准周净值!A264="","",子基金及业绩基准周净值!A264)</f>
        <v/>
      </c>
      <c r="B224" s="1" t="str">
        <f>IF(A224="","",VLOOKUP($A224,子基金及业绩基准周净值!$A:$AV,19))</f>
        <v/>
      </c>
      <c r="C224" s="8" t="str">
        <f t="shared" si="12"/>
        <v/>
      </c>
      <c r="D224" s="9" t="str">
        <f>IF(A224="","",C224-(子基金及业绩基准周净值!AH264/子基金及业绩基准周净值!AH263-1))</f>
        <v/>
      </c>
      <c r="E224" s="12" t="str">
        <f>IF(A224="","",(MAX(B$3:B224)-B224)/MAX(B$3:B224))</f>
        <v/>
      </c>
      <c r="F224" s="12" t="str">
        <f>IF(A224="","",MAX(E$4:E224))</f>
        <v/>
      </c>
      <c r="H224" s="14" t="str">
        <f t="shared" si="13"/>
        <v/>
      </c>
      <c r="I224" s="14" t="str">
        <f t="shared" si="14"/>
        <v/>
      </c>
      <c r="J224" s="15" t="str">
        <f t="shared" si="15"/>
        <v/>
      </c>
    </row>
    <row r="225" spans="1:10">
      <c r="A225" s="7" t="str">
        <f>IF(子基金及业绩基准周净值!A265="","",子基金及业绩基准周净值!A265)</f>
        <v/>
      </c>
      <c r="B225" s="1" t="str">
        <f>IF(A225="","",VLOOKUP($A225,子基金及业绩基准周净值!$A:$AV,19))</f>
        <v/>
      </c>
      <c r="C225" s="8" t="str">
        <f t="shared" si="12"/>
        <v/>
      </c>
      <c r="D225" s="9" t="str">
        <f>IF(A225="","",C225-(子基金及业绩基准周净值!AH265/子基金及业绩基准周净值!AH264-1))</f>
        <v/>
      </c>
      <c r="E225" s="12" t="str">
        <f>IF(A225="","",(MAX(B$3:B225)-B225)/MAX(B$3:B225))</f>
        <v/>
      </c>
      <c r="F225" s="12" t="str">
        <f>IF(A225="","",MAX(E$4:E225))</f>
        <v/>
      </c>
      <c r="H225" s="14" t="str">
        <f t="shared" si="13"/>
        <v/>
      </c>
      <c r="I225" s="14" t="str">
        <f t="shared" si="14"/>
        <v/>
      </c>
      <c r="J225" s="15" t="str">
        <f t="shared" si="15"/>
        <v/>
      </c>
    </row>
    <row r="226" spans="1:10">
      <c r="A226" s="7" t="str">
        <f>IF(子基金及业绩基准周净值!A266="","",子基金及业绩基准周净值!A266)</f>
        <v/>
      </c>
      <c r="B226" s="1" t="str">
        <f>IF(A226="","",VLOOKUP($A226,子基金及业绩基准周净值!$A:$AV,19))</f>
        <v/>
      </c>
      <c r="C226" s="8" t="str">
        <f t="shared" si="12"/>
        <v/>
      </c>
      <c r="D226" s="9" t="str">
        <f>IF(A226="","",C226-(子基金及业绩基准周净值!AH266/子基金及业绩基准周净值!AH265-1))</f>
        <v/>
      </c>
      <c r="E226" s="12" t="str">
        <f>IF(A226="","",(MAX(B$3:B226)-B226)/MAX(B$3:B226))</f>
        <v/>
      </c>
      <c r="F226" s="12" t="str">
        <f>IF(A226="","",MAX(E$4:E226))</f>
        <v/>
      </c>
      <c r="H226" s="14" t="str">
        <f t="shared" si="13"/>
        <v/>
      </c>
      <c r="I226" s="14" t="str">
        <f t="shared" si="14"/>
        <v/>
      </c>
      <c r="J226" s="15" t="str">
        <f t="shared" si="15"/>
        <v/>
      </c>
    </row>
    <row r="227" spans="1:10">
      <c r="A227" s="7" t="str">
        <f>IF(子基金及业绩基准周净值!A267="","",子基金及业绩基准周净值!A267)</f>
        <v/>
      </c>
      <c r="B227" s="1" t="str">
        <f>IF(A227="","",VLOOKUP($A227,子基金及业绩基准周净值!$A:$AV,19))</f>
        <v/>
      </c>
      <c r="C227" s="8" t="str">
        <f t="shared" si="12"/>
        <v/>
      </c>
      <c r="D227" s="9" t="str">
        <f>IF(A227="","",C227-(子基金及业绩基准周净值!AH267/子基金及业绩基准周净值!AH266-1))</f>
        <v/>
      </c>
      <c r="E227" s="12" t="str">
        <f>IF(A227="","",(MAX(B$3:B227)-B227)/MAX(B$3:B227))</f>
        <v/>
      </c>
      <c r="F227" s="12" t="str">
        <f>IF(A227="","",MAX(E$4:E227))</f>
        <v/>
      </c>
      <c r="H227" s="14" t="str">
        <f t="shared" si="13"/>
        <v/>
      </c>
      <c r="I227" s="14" t="str">
        <f t="shared" si="14"/>
        <v/>
      </c>
      <c r="J227" s="15" t="str">
        <f t="shared" si="15"/>
        <v/>
      </c>
    </row>
    <row r="228" spans="1:10">
      <c r="A228" s="7" t="str">
        <f>IF(子基金及业绩基准周净值!A268="","",子基金及业绩基准周净值!A268)</f>
        <v/>
      </c>
      <c r="B228" s="1" t="str">
        <f>IF(A228="","",VLOOKUP($A228,子基金及业绩基准周净值!$A:$AV,19))</f>
        <v/>
      </c>
      <c r="C228" s="8" t="str">
        <f t="shared" si="12"/>
        <v/>
      </c>
      <c r="D228" s="9" t="str">
        <f>IF(A228="","",C228-(子基金及业绩基准周净值!AH268/子基金及业绩基准周净值!AH267-1))</f>
        <v/>
      </c>
      <c r="E228" s="12" t="str">
        <f>IF(A228="","",(MAX(B$3:B228)-B228)/MAX(B$3:B228))</f>
        <v/>
      </c>
      <c r="F228" s="12" t="str">
        <f>IF(A228="","",MAX(E$4:E228))</f>
        <v/>
      </c>
      <c r="H228" s="14" t="str">
        <f t="shared" si="13"/>
        <v/>
      </c>
      <c r="I228" s="14" t="str">
        <f t="shared" si="14"/>
        <v/>
      </c>
      <c r="J228" s="15" t="str">
        <f t="shared" si="15"/>
        <v/>
      </c>
    </row>
    <row r="229" spans="1:10">
      <c r="A229" s="7" t="str">
        <f>IF(子基金及业绩基准周净值!A269="","",子基金及业绩基准周净值!A269)</f>
        <v/>
      </c>
      <c r="B229" s="1" t="str">
        <f>IF(A229="","",VLOOKUP($A229,子基金及业绩基准周净值!$A:$AV,19))</f>
        <v/>
      </c>
      <c r="C229" s="8" t="str">
        <f t="shared" si="12"/>
        <v/>
      </c>
      <c r="D229" s="9" t="str">
        <f>IF(A229="","",C229-(子基金及业绩基准周净值!AH269/子基金及业绩基准周净值!AH268-1))</f>
        <v/>
      </c>
      <c r="E229" s="12" t="str">
        <f>IF(A229="","",(MAX(B$3:B229)-B229)/MAX(B$3:B229))</f>
        <v/>
      </c>
      <c r="F229" s="12" t="str">
        <f>IF(A229="","",MAX(E$4:E229))</f>
        <v/>
      </c>
      <c r="H229" s="14" t="str">
        <f t="shared" si="13"/>
        <v/>
      </c>
      <c r="I229" s="14" t="str">
        <f t="shared" si="14"/>
        <v/>
      </c>
      <c r="J229" s="15" t="str">
        <f t="shared" si="15"/>
        <v/>
      </c>
    </row>
    <row r="230" spans="1:10">
      <c r="A230" s="7" t="str">
        <f>IF(子基金及业绩基准周净值!A270="","",子基金及业绩基准周净值!A270)</f>
        <v/>
      </c>
      <c r="B230" s="1" t="str">
        <f>IF(A230="","",VLOOKUP($A230,子基金及业绩基准周净值!$A:$AV,19))</f>
        <v/>
      </c>
      <c r="C230" s="8" t="str">
        <f t="shared" si="12"/>
        <v/>
      </c>
      <c r="D230" s="9" t="str">
        <f>IF(A230="","",C230-(子基金及业绩基准周净值!AH270/子基金及业绩基准周净值!AH269-1))</f>
        <v/>
      </c>
      <c r="E230" s="12" t="str">
        <f>IF(A230="","",(MAX(B$3:B230)-B230)/MAX(B$3:B230))</f>
        <v/>
      </c>
      <c r="F230" s="12" t="str">
        <f>IF(A230="","",MAX(E$4:E230))</f>
        <v/>
      </c>
      <c r="H230" s="14" t="str">
        <f t="shared" si="13"/>
        <v/>
      </c>
      <c r="I230" s="14" t="str">
        <f t="shared" si="14"/>
        <v/>
      </c>
      <c r="J230" s="15" t="str">
        <f t="shared" si="15"/>
        <v/>
      </c>
    </row>
    <row r="231" spans="1:10">
      <c r="A231" s="7" t="str">
        <f>IF(子基金及业绩基准周净值!A271="","",子基金及业绩基准周净值!A271)</f>
        <v/>
      </c>
      <c r="B231" s="1" t="str">
        <f>IF(A231="","",VLOOKUP($A231,子基金及业绩基准周净值!$A:$AV,19))</f>
        <v/>
      </c>
      <c r="C231" s="8" t="str">
        <f t="shared" si="12"/>
        <v/>
      </c>
      <c r="D231" s="9" t="str">
        <f>IF(A231="","",C231-(子基金及业绩基准周净值!AH271/子基金及业绩基准周净值!AH270-1))</f>
        <v/>
      </c>
      <c r="E231" s="12" t="str">
        <f>IF(A231="","",(MAX(B$3:B231)-B231)/MAX(B$3:B231))</f>
        <v/>
      </c>
      <c r="F231" s="12" t="str">
        <f>IF(A231="","",MAX(E$4:E231))</f>
        <v/>
      </c>
      <c r="H231" s="14" t="str">
        <f t="shared" si="13"/>
        <v/>
      </c>
      <c r="I231" s="14" t="str">
        <f t="shared" si="14"/>
        <v/>
      </c>
      <c r="J231" s="15" t="str">
        <f t="shared" si="15"/>
        <v/>
      </c>
    </row>
    <row r="232" spans="1:10">
      <c r="A232" s="7" t="str">
        <f>IF(子基金及业绩基准周净值!A272="","",子基金及业绩基准周净值!A272)</f>
        <v/>
      </c>
      <c r="B232" s="1" t="str">
        <f>IF(A232="","",VLOOKUP($A232,子基金及业绩基准周净值!$A:$AV,19))</f>
        <v/>
      </c>
      <c r="C232" s="8" t="str">
        <f t="shared" si="12"/>
        <v/>
      </c>
      <c r="D232" s="9" t="str">
        <f>IF(A232="","",C232-(子基金及业绩基准周净值!AH272/子基金及业绩基准周净值!AH271-1))</f>
        <v/>
      </c>
      <c r="E232" s="12" t="str">
        <f>IF(A232="","",(MAX(B$3:B232)-B232)/MAX(B$3:B232))</f>
        <v/>
      </c>
      <c r="F232" s="12" t="str">
        <f>IF(A232="","",MAX(E$4:E232))</f>
        <v/>
      </c>
      <c r="H232" s="14" t="str">
        <f t="shared" si="13"/>
        <v/>
      </c>
      <c r="I232" s="14" t="str">
        <f t="shared" si="14"/>
        <v/>
      </c>
      <c r="J232" s="15" t="str">
        <f t="shared" si="15"/>
        <v/>
      </c>
    </row>
    <row r="233" spans="1:10">
      <c r="A233" s="7" t="str">
        <f>IF(子基金及业绩基准周净值!A273="","",子基金及业绩基准周净值!A273)</f>
        <v/>
      </c>
      <c r="B233" s="1" t="str">
        <f>IF(A233="","",VLOOKUP($A233,子基金及业绩基准周净值!$A:$AV,19))</f>
        <v/>
      </c>
      <c r="C233" s="8" t="str">
        <f t="shared" si="12"/>
        <v/>
      </c>
      <c r="D233" s="9" t="str">
        <f>IF(A233="","",C233-(子基金及业绩基准周净值!AH273/子基金及业绩基准周净值!AH272-1))</f>
        <v/>
      </c>
      <c r="E233" s="12" t="str">
        <f>IF(A233="","",(MAX(B$3:B233)-B233)/MAX(B$3:B233))</f>
        <v/>
      </c>
      <c r="F233" s="12" t="str">
        <f>IF(A233="","",MAX(E$4:E233))</f>
        <v/>
      </c>
      <c r="H233" s="14" t="str">
        <f t="shared" si="13"/>
        <v/>
      </c>
      <c r="I233" s="14" t="str">
        <f t="shared" si="14"/>
        <v/>
      </c>
      <c r="J233" s="15" t="str">
        <f t="shared" si="15"/>
        <v/>
      </c>
    </row>
    <row r="234" spans="1:10">
      <c r="A234" s="7" t="str">
        <f>IF(子基金及业绩基准周净值!A274="","",子基金及业绩基准周净值!A274)</f>
        <v/>
      </c>
      <c r="B234" s="1" t="str">
        <f>IF(A234="","",VLOOKUP($A234,子基金及业绩基准周净值!$A:$AV,19))</f>
        <v/>
      </c>
      <c r="C234" s="8" t="str">
        <f t="shared" si="12"/>
        <v/>
      </c>
      <c r="D234" s="9" t="str">
        <f>IF(A234="","",C234-(子基金及业绩基准周净值!AH274/子基金及业绩基准周净值!AH273-1))</f>
        <v/>
      </c>
      <c r="E234" s="12" t="str">
        <f>IF(A234="","",(MAX(B$3:B234)-B234)/MAX(B$3:B234))</f>
        <v/>
      </c>
      <c r="F234" s="12" t="str">
        <f>IF(A234="","",MAX(E$4:E234))</f>
        <v/>
      </c>
      <c r="H234" s="14" t="str">
        <f t="shared" si="13"/>
        <v/>
      </c>
      <c r="I234" s="14" t="str">
        <f t="shared" si="14"/>
        <v/>
      </c>
      <c r="J234" s="15" t="str">
        <f t="shared" si="15"/>
        <v/>
      </c>
    </row>
    <row r="235" spans="1:10">
      <c r="A235" s="7" t="str">
        <f>IF(子基金及业绩基准周净值!A275="","",子基金及业绩基准周净值!A275)</f>
        <v/>
      </c>
      <c r="B235" s="1" t="str">
        <f>IF(A235="","",VLOOKUP($A235,子基金及业绩基准周净值!$A:$AV,19))</f>
        <v/>
      </c>
      <c r="C235" s="8" t="str">
        <f t="shared" si="12"/>
        <v/>
      </c>
      <c r="D235" s="9" t="str">
        <f>IF(A235="","",C235-(子基金及业绩基准周净值!AH275/子基金及业绩基准周净值!AH274-1))</f>
        <v/>
      </c>
      <c r="E235" s="12" t="str">
        <f>IF(A235="","",(MAX(B$3:B235)-B235)/MAX(B$3:B235))</f>
        <v/>
      </c>
      <c r="F235" s="12" t="str">
        <f>IF(A235="","",MAX(E$4:E235))</f>
        <v/>
      </c>
      <c r="H235" s="14" t="str">
        <f t="shared" si="13"/>
        <v/>
      </c>
      <c r="I235" s="14" t="str">
        <f t="shared" si="14"/>
        <v/>
      </c>
      <c r="J235" s="15" t="str">
        <f t="shared" si="15"/>
        <v/>
      </c>
    </row>
    <row r="236" spans="1:10">
      <c r="A236" s="7" t="str">
        <f>IF(子基金及业绩基准周净值!A276="","",子基金及业绩基准周净值!A276)</f>
        <v/>
      </c>
      <c r="B236" s="1" t="str">
        <f>IF(A236="","",VLOOKUP($A236,子基金及业绩基准周净值!$A:$AV,19))</f>
        <v/>
      </c>
      <c r="C236" s="8" t="str">
        <f t="shared" si="12"/>
        <v/>
      </c>
      <c r="D236" s="9" t="str">
        <f>IF(A236="","",C236-(子基金及业绩基准周净值!AH276/子基金及业绩基准周净值!AH275-1))</f>
        <v/>
      </c>
      <c r="E236" s="12" t="str">
        <f>IF(A236="","",(MAX(B$3:B236)-B236)/MAX(B$3:B236))</f>
        <v/>
      </c>
      <c r="F236" s="12" t="str">
        <f>IF(A236="","",MAX(E$4:E236))</f>
        <v/>
      </c>
      <c r="H236" s="14" t="str">
        <f t="shared" si="13"/>
        <v/>
      </c>
      <c r="I236" s="14" t="str">
        <f t="shared" si="14"/>
        <v/>
      </c>
      <c r="J236" s="15" t="str">
        <f t="shared" si="15"/>
        <v/>
      </c>
    </row>
    <row r="237" spans="1:10">
      <c r="A237" s="7" t="str">
        <f>IF(子基金及业绩基准周净值!A277="","",子基金及业绩基准周净值!A277)</f>
        <v/>
      </c>
      <c r="B237" s="1" t="str">
        <f>IF(A237="","",VLOOKUP($A237,子基金及业绩基准周净值!$A:$AV,19))</f>
        <v/>
      </c>
      <c r="C237" s="8" t="str">
        <f t="shared" si="12"/>
        <v/>
      </c>
      <c r="D237" s="9" t="str">
        <f>IF(A237="","",C237-(子基金及业绩基准周净值!AH277/子基金及业绩基准周净值!AH276-1))</f>
        <v/>
      </c>
      <c r="E237" s="12" t="str">
        <f>IF(A237="","",(MAX(B$3:B237)-B237)/MAX(B$3:B237))</f>
        <v/>
      </c>
      <c r="F237" s="12" t="str">
        <f>IF(A237="","",MAX(E$4:E237))</f>
        <v/>
      </c>
      <c r="H237" s="14" t="str">
        <f t="shared" si="13"/>
        <v/>
      </c>
      <c r="I237" s="14" t="str">
        <f t="shared" si="14"/>
        <v/>
      </c>
      <c r="J237" s="15" t="str">
        <f t="shared" si="15"/>
        <v/>
      </c>
    </row>
    <row r="238" spans="1:10">
      <c r="A238" s="7" t="str">
        <f>IF(子基金及业绩基准周净值!A278="","",子基金及业绩基准周净值!A278)</f>
        <v/>
      </c>
      <c r="B238" s="1" t="str">
        <f>IF(A238="","",VLOOKUP($A238,子基金及业绩基准周净值!$A:$AV,19))</f>
        <v/>
      </c>
      <c r="C238" s="8" t="str">
        <f t="shared" si="12"/>
        <v/>
      </c>
      <c r="D238" s="9" t="str">
        <f>IF(A238="","",C238-(子基金及业绩基准周净值!AH278/子基金及业绩基准周净值!AH277-1))</f>
        <v/>
      </c>
      <c r="E238" s="12" t="str">
        <f>IF(A238="","",(MAX(B$3:B238)-B238)/MAX(B$3:B238))</f>
        <v/>
      </c>
      <c r="F238" s="12" t="str">
        <f>IF(A238="","",MAX(E$4:E238))</f>
        <v/>
      </c>
      <c r="H238" s="14" t="str">
        <f t="shared" si="13"/>
        <v/>
      </c>
      <c r="I238" s="14" t="str">
        <f t="shared" si="14"/>
        <v/>
      </c>
      <c r="J238" s="15" t="str">
        <f t="shared" si="15"/>
        <v/>
      </c>
    </row>
    <row r="239" spans="1:10">
      <c r="A239" s="7" t="str">
        <f>IF(子基金及业绩基准周净值!A279="","",子基金及业绩基准周净值!A279)</f>
        <v/>
      </c>
      <c r="B239" s="1" t="str">
        <f>IF(A239="","",VLOOKUP($A239,子基金及业绩基准周净值!$A:$AV,19))</f>
        <v/>
      </c>
      <c r="C239" s="8" t="str">
        <f t="shared" si="12"/>
        <v/>
      </c>
      <c r="D239" s="9" t="str">
        <f>IF(A239="","",C239-(子基金及业绩基准周净值!AH279/子基金及业绩基准周净值!AH278-1))</f>
        <v/>
      </c>
      <c r="E239" s="12" t="str">
        <f>IF(A239="","",(MAX(B$3:B239)-B239)/MAX(B$3:B239))</f>
        <v/>
      </c>
      <c r="F239" s="12" t="str">
        <f>IF(A239="","",MAX(E$4:E239))</f>
        <v/>
      </c>
      <c r="H239" s="14" t="str">
        <f t="shared" si="13"/>
        <v/>
      </c>
      <c r="I239" s="14" t="str">
        <f t="shared" si="14"/>
        <v/>
      </c>
      <c r="J239" s="15" t="str">
        <f t="shared" si="15"/>
        <v/>
      </c>
    </row>
    <row r="240" spans="1:10">
      <c r="A240" s="7" t="str">
        <f>IF(子基金及业绩基准周净值!A280="","",子基金及业绩基准周净值!A280)</f>
        <v/>
      </c>
      <c r="B240" s="1" t="str">
        <f>IF(A240="","",VLOOKUP($A240,子基金及业绩基准周净值!$A:$AV,19))</f>
        <v/>
      </c>
      <c r="C240" s="8" t="str">
        <f t="shared" si="12"/>
        <v/>
      </c>
      <c r="D240" s="9" t="str">
        <f>IF(A240="","",C240-(子基金及业绩基准周净值!AH280/子基金及业绩基准周净值!AH279-1))</f>
        <v/>
      </c>
      <c r="E240" s="12" t="str">
        <f>IF(A240="","",(MAX(B$3:B240)-B240)/MAX(B$3:B240))</f>
        <v/>
      </c>
      <c r="F240" s="12" t="str">
        <f>IF(A240="","",MAX(E$4:E240))</f>
        <v/>
      </c>
      <c r="H240" s="14" t="str">
        <f t="shared" si="13"/>
        <v/>
      </c>
      <c r="I240" s="14" t="str">
        <f t="shared" si="14"/>
        <v/>
      </c>
      <c r="J240" s="15" t="str">
        <f t="shared" si="15"/>
        <v/>
      </c>
    </row>
    <row r="241" spans="1:10">
      <c r="A241" s="7" t="str">
        <f>IF(子基金及业绩基准周净值!A281="","",子基金及业绩基准周净值!A281)</f>
        <v/>
      </c>
      <c r="B241" s="1" t="str">
        <f>IF(A241="","",VLOOKUP($A241,子基金及业绩基准周净值!$A:$AV,19))</f>
        <v/>
      </c>
      <c r="C241" s="8" t="str">
        <f t="shared" si="12"/>
        <v/>
      </c>
      <c r="D241" s="9" t="str">
        <f>IF(A241="","",C241-(子基金及业绩基准周净值!AH281/子基金及业绩基准周净值!AH280-1))</f>
        <v/>
      </c>
      <c r="E241" s="12" t="str">
        <f>IF(A241="","",(MAX(B$3:B241)-B241)/MAX(B$3:B241))</f>
        <v/>
      </c>
      <c r="F241" s="12" t="str">
        <f>IF(A241="","",MAX(E$4:E241))</f>
        <v/>
      </c>
      <c r="H241" s="14" t="str">
        <f t="shared" si="13"/>
        <v/>
      </c>
      <c r="I241" s="14" t="str">
        <f t="shared" si="14"/>
        <v/>
      </c>
      <c r="J241" s="15" t="str">
        <f t="shared" si="15"/>
        <v/>
      </c>
    </row>
    <row r="242" spans="1:10">
      <c r="A242" s="7" t="str">
        <f>IF(子基金及业绩基准周净值!A282="","",子基金及业绩基准周净值!A282)</f>
        <v/>
      </c>
      <c r="B242" s="1" t="str">
        <f>IF(A242="","",VLOOKUP($A242,子基金及业绩基准周净值!$A:$AV,19))</f>
        <v/>
      </c>
      <c r="C242" s="8" t="str">
        <f t="shared" si="12"/>
        <v/>
      </c>
      <c r="D242" s="9" t="str">
        <f>IF(A242="","",C242-(子基金及业绩基准周净值!AH282/子基金及业绩基准周净值!AH281-1))</f>
        <v/>
      </c>
      <c r="E242" s="12" t="str">
        <f>IF(A242="","",(MAX(B$3:B242)-B242)/MAX(B$3:B242))</f>
        <v/>
      </c>
      <c r="F242" s="12" t="str">
        <f>IF(A242="","",MAX(E$4:E242))</f>
        <v/>
      </c>
      <c r="H242" s="14" t="str">
        <f t="shared" si="13"/>
        <v/>
      </c>
      <c r="I242" s="14" t="str">
        <f t="shared" si="14"/>
        <v/>
      </c>
      <c r="J242" s="15" t="str">
        <f t="shared" si="15"/>
        <v/>
      </c>
    </row>
    <row r="243" spans="1:10">
      <c r="A243" s="7" t="str">
        <f>IF(子基金及业绩基准周净值!A283="","",子基金及业绩基准周净值!A283)</f>
        <v/>
      </c>
      <c r="B243" s="1" t="str">
        <f>IF(A243="","",VLOOKUP($A243,子基金及业绩基准周净值!$A:$AV,19))</f>
        <v/>
      </c>
      <c r="C243" s="8" t="str">
        <f t="shared" si="12"/>
        <v/>
      </c>
      <c r="D243" s="9" t="str">
        <f>IF(A243="","",C243-(子基金及业绩基准周净值!AH283/子基金及业绩基准周净值!AH282-1))</f>
        <v/>
      </c>
      <c r="E243" s="12" t="str">
        <f>IF(A243="","",(MAX(B$3:B243)-B243)/MAX(B$3:B243))</f>
        <v/>
      </c>
      <c r="F243" s="12" t="str">
        <f>IF(A243="","",MAX(E$4:E243))</f>
        <v/>
      </c>
      <c r="H243" s="14" t="str">
        <f t="shared" si="13"/>
        <v/>
      </c>
      <c r="I243" s="14" t="str">
        <f t="shared" si="14"/>
        <v/>
      </c>
      <c r="J243" s="15" t="str">
        <f t="shared" si="15"/>
        <v/>
      </c>
    </row>
    <row r="244" spans="1:10">
      <c r="A244" s="7" t="str">
        <f>IF(子基金及业绩基准周净值!A284="","",子基金及业绩基准周净值!A284)</f>
        <v/>
      </c>
      <c r="B244" s="1" t="str">
        <f>IF(A244="","",VLOOKUP($A244,子基金及业绩基准周净值!$A:$AV,19))</f>
        <v/>
      </c>
      <c r="C244" s="8" t="str">
        <f t="shared" si="12"/>
        <v/>
      </c>
      <c r="D244" s="9" t="str">
        <f>IF(A244="","",C244-(子基金及业绩基准周净值!AH284/子基金及业绩基准周净值!AH283-1))</f>
        <v/>
      </c>
      <c r="E244" s="12" t="str">
        <f>IF(A244="","",(MAX(B$3:B244)-B244)/MAX(B$3:B244))</f>
        <v/>
      </c>
      <c r="F244" s="12" t="str">
        <f>IF(A244="","",MAX(E$4:E244))</f>
        <v/>
      </c>
      <c r="H244" s="14" t="str">
        <f t="shared" si="13"/>
        <v/>
      </c>
      <c r="I244" s="14" t="str">
        <f t="shared" si="14"/>
        <v/>
      </c>
      <c r="J244" s="15" t="str">
        <f t="shared" si="15"/>
        <v/>
      </c>
    </row>
    <row r="245" spans="1:10">
      <c r="A245" s="7" t="str">
        <f>IF(子基金及业绩基准周净值!A285="","",子基金及业绩基准周净值!A285)</f>
        <v/>
      </c>
      <c r="B245" s="1" t="str">
        <f>IF(A245="","",VLOOKUP($A245,子基金及业绩基准周净值!$A:$AV,19))</f>
        <v/>
      </c>
      <c r="C245" s="8" t="str">
        <f t="shared" si="12"/>
        <v/>
      </c>
      <c r="D245" s="9" t="str">
        <f>IF(A245="","",C245-(子基金及业绩基准周净值!AH285/子基金及业绩基准周净值!AH284-1))</f>
        <v/>
      </c>
      <c r="E245" s="12" t="str">
        <f>IF(A245="","",(MAX(B$3:B245)-B245)/MAX(B$3:B245))</f>
        <v/>
      </c>
      <c r="F245" s="12" t="str">
        <f>IF(A245="","",MAX(E$4:E245))</f>
        <v/>
      </c>
      <c r="H245" s="14" t="str">
        <f t="shared" si="13"/>
        <v/>
      </c>
      <c r="I245" s="14" t="str">
        <f t="shared" si="14"/>
        <v/>
      </c>
      <c r="J245" s="15" t="str">
        <f t="shared" si="15"/>
        <v/>
      </c>
    </row>
    <row r="246" spans="1:10">
      <c r="A246" s="7" t="str">
        <f>IF(子基金及业绩基准周净值!A286="","",子基金及业绩基准周净值!A286)</f>
        <v/>
      </c>
      <c r="B246" s="1" t="str">
        <f>IF(A246="","",VLOOKUP($A246,子基金及业绩基准周净值!$A:$AV,19))</f>
        <v/>
      </c>
      <c r="C246" s="8" t="str">
        <f t="shared" si="12"/>
        <v/>
      </c>
      <c r="D246" s="9" t="str">
        <f>IF(A246="","",C246-(子基金及业绩基准周净值!AH286/子基金及业绩基准周净值!AH285-1))</f>
        <v/>
      </c>
      <c r="E246" s="12" t="str">
        <f>IF(A246="","",(MAX(B$3:B246)-B246)/MAX(B$3:B246))</f>
        <v/>
      </c>
      <c r="F246" s="12" t="str">
        <f>IF(A246="","",MAX(E$4:E246))</f>
        <v/>
      </c>
      <c r="H246" s="14" t="str">
        <f t="shared" si="13"/>
        <v/>
      </c>
      <c r="I246" s="14" t="str">
        <f t="shared" si="14"/>
        <v/>
      </c>
      <c r="J246" s="15" t="str">
        <f t="shared" si="15"/>
        <v/>
      </c>
    </row>
    <row r="247" spans="1:10">
      <c r="A247" s="7" t="str">
        <f>IF(子基金及业绩基准周净值!A287="","",子基金及业绩基准周净值!A287)</f>
        <v/>
      </c>
      <c r="B247" s="1" t="str">
        <f>IF(A247="","",VLOOKUP($A247,子基金及业绩基准周净值!$A:$AV,19))</f>
        <v/>
      </c>
      <c r="C247" s="8" t="str">
        <f t="shared" si="12"/>
        <v/>
      </c>
      <c r="D247" s="9" t="str">
        <f>IF(A247="","",C247-(子基金及业绩基准周净值!AH287/子基金及业绩基准周净值!AH286-1))</f>
        <v/>
      </c>
      <c r="E247" s="12" t="str">
        <f>IF(A247="","",(MAX(B$3:B247)-B247)/MAX(B$3:B247))</f>
        <v/>
      </c>
      <c r="F247" s="12" t="str">
        <f>IF(A247="","",MAX(E$4:E247))</f>
        <v/>
      </c>
      <c r="H247" s="14" t="str">
        <f t="shared" si="13"/>
        <v/>
      </c>
      <c r="I247" s="14" t="str">
        <f t="shared" si="14"/>
        <v/>
      </c>
      <c r="J247" s="15" t="str">
        <f t="shared" si="15"/>
        <v/>
      </c>
    </row>
    <row r="248" spans="1:10">
      <c r="A248" s="7" t="str">
        <f>IF(子基金及业绩基准周净值!A288="","",子基金及业绩基准周净值!A288)</f>
        <v/>
      </c>
      <c r="B248" s="1" t="str">
        <f>IF(A248="","",VLOOKUP($A248,子基金及业绩基准周净值!$A:$AV,19))</f>
        <v/>
      </c>
      <c r="C248" s="8" t="str">
        <f t="shared" si="12"/>
        <v/>
      </c>
      <c r="D248" s="9" t="str">
        <f>IF(A248="","",C248-(子基金及业绩基准周净值!AH288/子基金及业绩基准周净值!AH287-1))</f>
        <v/>
      </c>
      <c r="E248" s="12" t="str">
        <f>IF(A248="","",(MAX(B$3:B248)-B248)/MAX(B$3:B248))</f>
        <v/>
      </c>
      <c r="F248" s="12" t="str">
        <f>IF(A248="","",MAX(E$4:E248))</f>
        <v/>
      </c>
      <c r="H248" s="14" t="str">
        <f t="shared" si="13"/>
        <v/>
      </c>
      <c r="I248" s="14" t="str">
        <f t="shared" si="14"/>
        <v/>
      </c>
      <c r="J248" s="15" t="str">
        <f t="shared" si="15"/>
        <v/>
      </c>
    </row>
    <row r="249" spans="1:10">
      <c r="A249" s="7" t="str">
        <f>IF(子基金及业绩基准周净值!A289="","",子基金及业绩基准周净值!A289)</f>
        <v/>
      </c>
      <c r="B249" s="1" t="str">
        <f>IF(A249="","",VLOOKUP($A249,子基金及业绩基准周净值!$A:$AV,19))</f>
        <v/>
      </c>
      <c r="C249" s="8" t="str">
        <f t="shared" si="12"/>
        <v/>
      </c>
      <c r="D249" s="9" t="str">
        <f>IF(A249="","",C249-(子基金及业绩基准周净值!AH289/子基金及业绩基准周净值!AH288-1))</f>
        <v/>
      </c>
      <c r="E249" s="12" t="str">
        <f>IF(A249="","",(MAX(B$3:B249)-B249)/MAX(B$3:B249))</f>
        <v/>
      </c>
      <c r="F249" s="12" t="str">
        <f>IF(A249="","",MAX(E$4:E249))</f>
        <v/>
      </c>
      <c r="H249" s="14" t="str">
        <f t="shared" si="13"/>
        <v/>
      </c>
      <c r="I249" s="14" t="str">
        <f t="shared" si="14"/>
        <v/>
      </c>
      <c r="J249" s="15" t="str">
        <f t="shared" si="15"/>
        <v/>
      </c>
    </row>
    <row r="250" spans="1:10">
      <c r="A250" s="7" t="str">
        <f>IF(子基金及业绩基准周净值!A290="","",子基金及业绩基准周净值!A290)</f>
        <v/>
      </c>
      <c r="B250" s="1" t="str">
        <f>IF(A250="","",VLOOKUP($A250,子基金及业绩基准周净值!$A:$AV,19))</f>
        <v/>
      </c>
      <c r="C250" s="8" t="str">
        <f t="shared" si="12"/>
        <v/>
      </c>
      <c r="D250" s="9" t="str">
        <f>IF(A250="","",C250-(子基金及业绩基准周净值!AH290/子基金及业绩基准周净值!AH289-1))</f>
        <v/>
      </c>
      <c r="E250" s="12" t="str">
        <f>IF(A250="","",(MAX(B$3:B250)-B250)/MAX(B$3:B250))</f>
        <v/>
      </c>
      <c r="F250" s="12" t="str">
        <f>IF(A250="","",MAX(E$4:E250))</f>
        <v/>
      </c>
      <c r="H250" s="14" t="str">
        <f t="shared" si="13"/>
        <v/>
      </c>
      <c r="I250" s="14" t="str">
        <f t="shared" si="14"/>
        <v/>
      </c>
      <c r="J250" s="15" t="str">
        <f t="shared" si="15"/>
        <v/>
      </c>
    </row>
    <row r="251" spans="1:10">
      <c r="A251" s="7" t="str">
        <f>IF(子基金及业绩基准周净值!A291="","",子基金及业绩基准周净值!A291)</f>
        <v/>
      </c>
      <c r="B251" s="1" t="str">
        <f>IF(A251="","",VLOOKUP($A251,子基金及业绩基准周净值!$A:$AV,19))</f>
        <v/>
      </c>
      <c r="C251" s="8" t="str">
        <f t="shared" si="12"/>
        <v/>
      </c>
      <c r="D251" s="9" t="str">
        <f>IF(A251="","",C251-(子基金及业绩基准周净值!AH291/子基金及业绩基准周净值!AH290-1))</f>
        <v/>
      </c>
      <c r="E251" s="12" t="str">
        <f>IF(A251="","",(MAX(B$3:B251)-B251)/MAX(B$3:B251))</f>
        <v/>
      </c>
      <c r="F251" s="12" t="str">
        <f>IF(A251="","",MAX(E$4:E251))</f>
        <v/>
      </c>
      <c r="H251" s="14" t="str">
        <f t="shared" si="13"/>
        <v/>
      </c>
      <c r="I251" s="14" t="str">
        <f t="shared" si="14"/>
        <v/>
      </c>
      <c r="J251" s="15" t="str">
        <f t="shared" si="15"/>
        <v/>
      </c>
    </row>
    <row r="252" spans="1:10">
      <c r="A252" s="7" t="str">
        <f>IF(子基金及业绩基准周净值!A292="","",子基金及业绩基准周净值!A292)</f>
        <v/>
      </c>
      <c r="B252" s="1" t="str">
        <f>IF(A252="","",VLOOKUP($A252,子基金及业绩基准周净值!$A:$AV,19))</f>
        <v/>
      </c>
      <c r="C252" s="8" t="str">
        <f t="shared" si="12"/>
        <v/>
      </c>
      <c r="D252" s="9" t="str">
        <f>IF(A252="","",C252-(子基金及业绩基准周净值!AH292/子基金及业绩基准周净值!AH291-1))</f>
        <v/>
      </c>
      <c r="E252" s="12" t="str">
        <f>IF(A252="","",(MAX(B$3:B252)-B252)/MAX(B$3:B252))</f>
        <v/>
      </c>
      <c r="F252" s="12" t="str">
        <f>IF(A252="","",MAX(E$4:E252))</f>
        <v/>
      </c>
      <c r="H252" s="14" t="str">
        <f t="shared" si="13"/>
        <v/>
      </c>
      <c r="I252" s="14" t="str">
        <f t="shared" si="14"/>
        <v/>
      </c>
      <c r="J252" s="15" t="str">
        <f t="shared" si="15"/>
        <v/>
      </c>
    </row>
    <row r="253" spans="1:10">
      <c r="A253" s="7" t="str">
        <f>IF(子基金及业绩基准周净值!A293="","",子基金及业绩基准周净值!A293)</f>
        <v/>
      </c>
      <c r="B253" s="1" t="str">
        <f>IF(A253="","",VLOOKUP($A253,子基金及业绩基准周净值!$A:$AV,19))</f>
        <v/>
      </c>
      <c r="C253" s="8" t="str">
        <f t="shared" si="12"/>
        <v/>
      </c>
      <c r="D253" s="9" t="str">
        <f>IF(A253="","",C253-(子基金及业绩基准周净值!AH293/子基金及业绩基准周净值!AH292-1))</f>
        <v/>
      </c>
      <c r="E253" s="12" t="str">
        <f>IF(A253="","",(MAX(B$3:B253)-B253)/MAX(B$3:B253))</f>
        <v/>
      </c>
      <c r="F253" s="12" t="str">
        <f>IF(A253="","",MAX(E$4:E253))</f>
        <v/>
      </c>
      <c r="H253" s="14" t="str">
        <f t="shared" si="13"/>
        <v/>
      </c>
      <c r="I253" s="14" t="str">
        <f t="shared" si="14"/>
        <v/>
      </c>
      <c r="J253" s="15" t="str">
        <f t="shared" si="15"/>
        <v/>
      </c>
    </row>
    <row r="254" spans="1:10">
      <c r="A254" s="7" t="str">
        <f>IF(子基金及业绩基准周净值!A294="","",子基金及业绩基准周净值!A294)</f>
        <v/>
      </c>
      <c r="B254" s="1" t="str">
        <f>IF(A254="","",VLOOKUP($A254,子基金及业绩基准周净值!$A:$AV,19))</f>
        <v/>
      </c>
      <c r="C254" s="8" t="str">
        <f t="shared" si="12"/>
        <v/>
      </c>
      <c r="D254" s="9" t="str">
        <f>IF(A254="","",C254-(子基金及业绩基准周净值!AH294/子基金及业绩基准周净值!AH293-1))</f>
        <v/>
      </c>
      <c r="E254" s="12" t="str">
        <f>IF(A254="","",(MAX(B$3:B254)-B254)/MAX(B$3:B254))</f>
        <v/>
      </c>
      <c r="F254" s="12" t="str">
        <f>IF(A254="","",MAX(E$4:E254))</f>
        <v/>
      </c>
      <c r="H254" s="14" t="str">
        <f t="shared" si="13"/>
        <v/>
      </c>
      <c r="I254" s="14" t="str">
        <f t="shared" si="14"/>
        <v/>
      </c>
      <c r="J254" s="15" t="str">
        <f t="shared" si="15"/>
        <v/>
      </c>
    </row>
    <row r="255" spans="1:10">
      <c r="A255" s="7" t="str">
        <f>IF(子基金及业绩基准周净值!A295="","",子基金及业绩基准周净值!A295)</f>
        <v/>
      </c>
      <c r="B255" s="1" t="str">
        <f>IF(A255="","",VLOOKUP($A255,子基金及业绩基准周净值!$A:$AV,19))</f>
        <v/>
      </c>
      <c r="C255" s="8" t="str">
        <f t="shared" si="12"/>
        <v/>
      </c>
      <c r="D255" s="9" t="str">
        <f>IF(A255="","",C255-(子基金及业绩基准周净值!AH295/子基金及业绩基准周净值!AH294-1))</f>
        <v/>
      </c>
      <c r="E255" s="12" t="str">
        <f>IF(A255="","",(MAX(B$3:B255)-B255)/MAX(B$3:B255))</f>
        <v/>
      </c>
      <c r="F255" s="12" t="str">
        <f>IF(A255="","",MAX(E$4:E255))</f>
        <v/>
      </c>
      <c r="H255" s="14" t="str">
        <f t="shared" si="13"/>
        <v/>
      </c>
      <c r="I255" s="14" t="str">
        <f t="shared" si="14"/>
        <v/>
      </c>
      <c r="J255" s="15" t="str">
        <f t="shared" si="15"/>
        <v/>
      </c>
    </row>
    <row r="256" spans="1:10">
      <c r="A256" s="7" t="str">
        <f>IF(子基金及业绩基准周净值!A296="","",子基金及业绩基准周净值!A296)</f>
        <v/>
      </c>
      <c r="B256" s="1" t="str">
        <f>IF(A256="","",VLOOKUP($A256,子基金及业绩基准周净值!$A:$AV,19))</f>
        <v/>
      </c>
      <c r="C256" s="8" t="str">
        <f t="shared" si="12"/>
        <v/>
      </c>
      <c r="D256" s="9" t="str">
        <f>IF(A256="","",C256-(子基金及业绩基准周净值!AH296/子基金及业绩基准周净值!AH295-1))</f>
        <v/>
      </c>
      <c r="E256" s="12" t="str">
        <f>IF(A256="","",(MAX(B$3:B256)-B256)/MAX(B$3:B256))</f>
        <v/>
      </c>
      <c r="F256" s="12" t="str">
        <f>IF(A256="","",MAX(E$4:E256))</f>
        <v/>
      </c>
      <c r="H256" s="14" t="str">
        <f t="shared" si="13"/>
        <v/>
      </c>
      <c r="I256" s="14" t="str">
        <f t="shared" si="14"/>
        <v/>
      </c>
      <c r="J256" s="15" t="str">
        <f t="shared" si="15"/>
        <v/>
      </c>
    </row>
    <row r="257" spans="1:10">
      <c r="A257" s="7" t="str">
        <f>IF(子基金及业绩基准周净值!A297="","",子基金及业绩基准周净值!A297)</f>
        <v/>
      </c>
      <c r="B257" s="1" t="str">
        <f>IF(A257="","",VLOOKUP($A257,子基金及业绩基准周净值!$A:$AV,19))</f>
        <v/>
      </c>
      <c r="C257" s="8" t="str">
        <f t="shared" si="12"/>
        <v/>
      </c>
      <c r="D257" s="9" t="str">
        <f>IF(A257="","",C257-(子基金及业绩基准周净值!AH297/子基金及业绩基准周净值!AH296-1))</f>
        <v/>
      </c>
      <c r="E257" s="12" t="str">
        <f>IF(A257="","",(MAX(B$3:B257)-B257)/MAX(B$3:B257))</f>
        <v/>
      </c>
      <c r="F257" s="12" t="str">
        <f>IF(A257="","",MAX(E$4:E257))</f>
        <v/>
      </c>
      <c r="H257" s="14" t="str">
        <f t="shared" si="13"/>
        <v/>
      </c>
      <c r="I257" s="14" t="str">
        <f t="shared" si="14"/>
        <v/>
      </c>
      <c r="J257" s="15" t="str">
        <f t="shared" si="15"/>
        <v/>
      </c>
    </row>
    <row r="258" spans="1:10">
      <c r="A258" s="7" t="str">
        <f>IF(子基金及业绩基准周净值!A298="","",子基金及业绩基准周净值!A298)</f>
        <v/>
      </c>
      <c r="B258" s="1" t="str">
        <f>IF(A258="","",VLOOKUP($A258,子基金及业绩基准周净值!$A:$AV,19))</f>
        <v/>
      </c>
      <c r="C258" s="8" t="str">
        <f t="shared" si="12"/>
        <v/>
      </c>
      <c r="D258" s="9" t="str">
        <f>IF(A258="","",C258-(子基金及业绩基准周净值!AH298/子基金及业绩基准周净值!AH297-1))</f>
        <v/>
      </c>
      <c r="E258" s="12" t="str">
        <f>IF(A258="","",(MAX(B$3:B258)-B258)/MAX(B$3:B258))</f>
        <v/>
      </c>
      <c r="F258" s="12" t="str">
        <f>IF(A258="","",MAX(E$4:E258))</f>
        <v/>
      </c>
      <c r="H258" s="14" t="str">
        <f t="shared" si="13"/>
        <v/>
      </c>
      <c r="I258" s="14" t="str">
        <f t="shared" si="14"/>
        <v/>
      </c>
      <c r="J258" s="15" t="str">
        <f t="shared" si="15"/>
        <v/>
      </c>
    </row>
    <row r="259" spans="1:10">
      <c r="A259" s="7" t="str">
        <f>IF(子基金及业绩基准周净值!A299="","",子基金及业绩基准周净值!A299)</f>
        <v/>
      </c>
      <c r="B259" s="1" t="str">
        <f>IF(A259="","",VLOOKUP($A259,子基金及业绩基准周净值!$A:$AV,19))</f>
        <v/>
      </c>
      <c r="C259" s="8" t="str">
        <f t="shared" si="12"/>
        <v/>
      </c>
      <c r="D259" s="9" t="str">
        <f>IF(A259="","",C259-(子基金及业绩基准周净值!AH299/子基金及业绩基准周净值!AH298-1))</f>
        <v/>
      </c>
      <c r="E259" s="12" t="str">
        <f>IF(A259="","",(MAX(B$3:B259)-B259)/MAX(B$3:B259))</f>
        <v/>
      </c>
      <c r="F259" s="12" t="str">
        <f>IF(A259="","",MAX(E$4:E259))</f>
        <v/>
      </c>
      <c r="H259" s="14" t="str">
        <f t="shared" si="13"/>
        <v/>
      </c>
      <c r="I259" s="14" t="str">
        <f t="shared" si="14"/>
        <v/>
      </c>
      <c r="J259" s="15" t="str">
        <f t="shared" si="15"/>
        <v/>
      </c>
    </row>
    <row r="260" spans="1:10">
      <c r="A260" s="7" t="str">
        <f>IF(子基金及业绩基准周净值!A300="","",子基金及业绩基准周净值!A300)</f>
        <v/>
      </c>
      <c r="B260" s="1" t="str">
        <f>IF(A260="","",VLOOKUP($A260,子基金及业绩基准周净值!$A:$AV,19))</f>
        <v/>
      </c>
      <c r="C260" s="8" t="str">
        <f t="shared" si="12"/>
        <v/>
      </c>
      <c r="D260" s="9" t="str">
        <f>IF(A260="","",C260-(子基金及业绩基准周净值!AH300/子基金及业绩基准周净值!AH299-1))</f>
        <v/>
      </c>
      <c r="E260" s="12" t="str">
        <f>IF(A260="","",(MAX(B$3:B260)-B260)/MAX(B$3:B260))</f>
        <v/>
      </c>
      <c r="F260" s="12" t="str">
        <f>IF(A260="","",MAX(E$4:E260))</f>
        <v/>
      </c>
      <c r="H260" s="14" t="str">
        <f t="shared" si="13"/>
        <v/>
      </c>
      <c r="I260" s="14" t="str">
        <f t="shared" si="14"/>
        <v/>
      </c>
      <c r="J260" s="15" t="str">
        <f t="shared" si="15"/>
        <v/>
      </c>
    </row>
    <row r="261" spans="1:10">
      <c r="A261" s="7" t="str">
        <f>IF(子基金及业绩基准周净值!A301="","",子基金及业绩基准周净值!A301)</f>
        <v/>
      </c>
      <c r="B261" s="1" t="str">
        <f>IF(A261="","",VLOOKUP($A261,子基金及业绩基准周净值!$A:$AV,19))</f>
        <v/>
      </c>
      <c r="C261" s="8" t="str">
        <f t="shared" ref="C261:C308" si="16">IF(A261="","",(B261-B260)/B260)</f>
        <v/>
      </c>
      <c r="D261" s="9" t="str">
        <f>IF(A261="","",C261-(子基金及业绩基准周净值!AH301/子基金及业绩基准周净值!AH300-1))</f>
        <v/>
      </c>
      <c r="E261" s="12" t="str">
        <f>IF(A261="","",(MAX(B$3:B261)-B261)/MAX(B$3:B261))</f>
        <v/>
      </c>
      <c r="F261" s="12" t="str">
        <f>IF(A261="","",MAX(E$4:E261))</f>
        <v/>
      </c>
      <c r="H261" s="14" t="str">
        <f t="shared" ref="H261:H308" si="17">IF(B261="","",IF(C261&lt;-3%,"是","否"))</f>
        <v/>
      </c>
      <c r="I261" s="14" t="str">
        <f t="shared" ref="I261:I308" si="18">IF(A261="","",IF(F261&gt;5%,"是","否"))</f>
        <v/>
      </c>
      <c r="J261" s="15" t="str">
        <f t="shared" ref="J261:J308" si="19">IF(A261="","",IF(G261&gt;=4,"是","否"))</f>
        <v/>
      </c>
    </row>
    <row r="262" spans="1:10">
      <c r="A262" s="7" t="str">
        <f>IF(子基金及业绩基准周净值!A302="","",子基金及业绩基准周净值!A302)</f>
        <v/>
      </c>
      <c r="B262" s="1" t="str">
        <f>IF(A262="","",VLOOKUP($A262,子基金及业绩基准周净值!$A:$AV,19))</f>
        <v/>
      </c>
      <c r="C262" s="8" t="str">
        <f t="shared" si="16"/>
        <v/>
      </c>
      <c r="D262" s="9" t="str">
        <f>IF(A262="","",C262-(子基金及业绩基准周净值!AH302/子基金及业绩基准周净值!AH301-1))</f>
        <v/>
      </c>
      <c r="E262" s="12" t="str">
        <f>IF(A262="","",(MAX(B$3:B262)-B262)/MAX(B$3:B262))</f>
        <v/>
      </c>
      <c r="F262" s="12" t="str">
        <f>IF(A262="","",MAX(E$4:E262))</f>
        <v/>
      </c>
      <c r="H262" s="14" t="str">
        <f t="shared" si="17"/>
        <v/>
      </c>
      <c r="I262" s="14" t="str">
        <f t="shared" si="18"/>
        <v/>
      </c>
      <c r="J262" s="15" t="str">
        <f t="shared" si="19"/>
        <v/>
      </c>
    </row>
    <row r="263" spans="1:10">
      <c r="A263" s="7" t="str">
        <f>IF(子基金及业绩基准周净值!A303="","",子基金及业绩基准周净值!A303)</f>
        <v/>
      </c>
      <c r="B263" s="1" t="str">
        <f>IF(A263="","",VLOOKUP($A263,子基金及业绩基准周净值!$A:$AV,19))</f>
        <v/>
      </c>
      <c r="C263" s="8" t="str">
        <f t="shared" si="16"/>
        <v/>
      </c>
      <c r="D263" s="9" t="str">
        <f>IF(A263="","",C263-(子基金及业绩基准周净值!AH303/子基金及业绩基准周净值!AH302-1))</f>
        <v/>
      </c>
      <c r="E263" s="12" t="str">
        <f>IF(A263="","",(MAX(B$3:B263)-B263)/MAX(B$3:B263))</f>
        <v/>
      </c>
      <c r="F263" s="12" t="str">
        <f>IF(A263="","",MAX(E$4:E263))</f>
        <v/>
      </c>
      <c r="H263" s="14" t="str">
        <f t="shared" si="17"/>
        <v/>
      </c>
      <c r="I263" s="14" t="str">
        <f t="shared" si="18"/>
        <v/>
      </c>
      <c r="J263" s="15" t="str">
        <f t="shared" si="19"/>
        <v/>
      </c>
    </row>
    <row r="264" spans="1:10">
      <c r="A264" s="7" t="str">
        <f>IF(子基金及业绩基准周净值!A304="","",子基金及业绩基准周净值!A304)</f>
        <v/>
      </c>
      <c r="B264" s="1" t="str">
        <f>IF(A264="","",VLOOKUP($A264,子基金及业绩基准周净值!$A:$AV,19))</f>
        <v/>
      </c>
      <c r="C264" s="8" t="str">
        <f t="shared" si="16"/>
        <v/>
      </c>
      <c r="D264" s="9" t="str">
        <f>IF(A264="","",C264-(子基金及业绩基准周净值!AH304/子基金及业绩基准周净值!AH303-1))</f>
        <v/>
      </c>
      <c r="E264" s="12" t="str">
        <f>IF(A264="","",(MAX(B$3:B264)-B264)/MAX(B$3:B264))</f>
        <v/>
      </c>
      <c r="F264" s="12" t="str">
        <f>IF(A264="","",MAX(E$4:E264))</f>
        <v/>
      </c>
      <c r="H264" s="14" t="str">
        <f t="shared" si="17"/>
        <v/>
      </c>
      <c r="I264" s="14" t="str">
        <f t="shared" si="18"/>
        <v/>
      </c>
      <c r="J264" s="15" t="str">
        <f t="shared" si="19"/>
        <v/>
      </c>
    </row>
    <row r="265" spans="1:10">
      <c r="A265" s="7" t="str">
        <f>IF(子基金及业绩基准周净值!A305="","",子基金及业绩基准周净值!A305)</f>
        <v/>
      </c>
      <c r="B265" s="1" t="str">
        <f>IF(A265="","",VLOOKUP($A265,子基金及业绩基准周净值!$A:$AV,19))</f>
        <v/>
      </c>
      <c r="C265" s="8" t="str">
        <f t="shared" si="16"/>
        <v/>
      </c>
      <c r="D265" s="9" t="str">
        <f>IF(A265="","",C265-(子基金及业绩基准周净值!AH305/子基金及业绩基准周净值!AH304-1))</f>
        <v/>
      </c>
      <c r="E265" s="12" t="str">
        <f>IF(A265="","",(MAX(B$3:B265)-B265)/MAX(B$3:B265))</f>
        <v/>
      </c>
      <c r="F265" s="12" t="str">
        <f>IF(A265="","",MAX(E$4:E265))</f>
        <v/>
      </c>
      <c r="H265" s="14" t="str">
        <f t="shared" si="17"/>
        <v/>
      </c>
      <c r="I265" s="14" t="str">
        <f t="shared" si="18"/>
        <v/>
      </c>
      <c r="J265" s="15" t="str">
        <f t="shared" si="19"/>
        <v/>
      </c>
    </row>
    <row r="266" spans="1:10">
      <c r="A266" s="7" t="str">
        <f>IF(子基金及业绩基准周净值!A306="","",子基金及业绩基准周净值!A306)</f>
        <v/>
      </c>
      <c r="B266" s="1" t="str">
        <f>IF(A266="","",VLOOKUP($A266,子基金及业绩基准周净值!$A:$AV,19))</f>
        <v/>
      </c>
      <c r="C266" s="8" t="str">
        <f t="shared" si="16"/>
        <v/>
      </c>
      <c r="D266" s="9" t="str">
        <f>IF(A266="","",C266-(子基金及业绩基准周净值!AH306/子基金及业绩基准周净值!AH305-1))</f>
        <v/>
      </c>
      <c r="E266" s="12" t="str">
        <f>IF(A266="","",(MAX(B$3:B266)-B266)/MAX(B$3:B266))</f>
        <v/>
      </c>
      <c r="F266" s="12" t="str">
        <f>IF(A266="","",MAX(E$4:E266))</f>
        <v/>
      </c>
      <c r="H266" s="14" t="str">
        <f t="shared" si="17"/>
        <v/>
      </c>
      <c r="I266" s="14" t="str">
        <f t="shared" si="18"/>
        <v/>
      </c>
      <c r="J266" s="15" t="str">
        <f t="shared" si="19"/>
        <v/>
      </c>
    </row>
    <row r="267" spans="1:10">
      <c r="A267" s="7" t="str">
        <f>IF(子基金及业绩基准周净值!A307="","",子基金及业绩基准周净值!A307)</f>
        <v/>
      </c>
      <c r="B267" s="1" t="str">
        <f>IF(A267="","",VLOOKUP($A267,子基金及业绩基准周净值!$A:$AV,19))</f>
        <v/>
      </c>
      <c r="C267" s="8" t="str">
        <f t="shared" si="16"/>
        <v/>
      </c>
      <c r="D267" s="9" t="str">
        <f>IF(A267="","",C267-(子基金及业绩基准周净值!AH307/子基金及业绩基准周净值!AH306-1))</f>
        <v/>
      </c>
      <c r="E267" s="12" t="str">
        <f>IF(A267="","",(MAX(B$3:B267)-B267)/MAX(B$3:B267))</f>
        <v/>
      </c>
      <c r="F267" s="12" t="str">
        <f>IF(A267="","",MAX(E$4:E267))</f>
        <v/>
      </c>
      <c r="H267" s="14" t="str">
        <f t="shared" si="17"/>
        <v/>
      </c>
      <c r="I267" s="14" t="str">
        <f t="shared" si="18"/>
        <v/>
      </c>
      <c r="J267" s="15" t="str">
        <f t="shared" si="19"/>
        <v/>
      </c>
    </row>
    <row r="268" spans="1:10">
      <c r="A268" s="7" t="str">
        <f>IF(子基金及业绩基准周净值!A308="","",子基金及业绩基准周净值!A308)</f>
        <v/>
      </c>
      <c r="B268" s="1" t="str">
        <f>IF(A268="","",VLOOKUP($A268,子基金及业绩基准周净值!$A:$AV,19))</f>
        <v/>
      </c>
      <c r="C268" s="8" t="str">
        <f t="shared" si="16"/>
        <v/>
      </c>
      <c r="D268" s="9" t="str">
        <f>IF(A268="","",C268-(子基金及业绩基准周净值!AH308/子基金及业绩基准周净值!AH307-1))</f>
        <v/>
      </c>
      <c r="E268" s="12" t="str">
        <f>IF(A268="","",(MAX(B$3:B268)-B268)/MAX(B$3:B268))</f>
        <v/>
      </c>
      <c r="F268" s="12" t="str">
        <f>IF(A268="","",MAX(E$4:E268))</f>
        <v/>
      </c>
      <c r="H268" s="14" t="str">
        <f t="shared" si="17"/>
        <v/>
      </c>
      <c r="I268" s="14" t="str">
        <f t="shared" si="18"/>
        <v/>
      </c>
      <c r="J268" s="15" t="str">
        <f t="shared" si="19"/>
        <v/>
      </c>
    </row>
    <row r="269" spans="1:10">
      <c r="A269" s="7" t="str">
        <f>IF(子基金及业绩基准周净值!A309="","",子基金及业绩基准周净值!A309)</f>
        <v/>
      </c>
      <c r="B269" s="1" t="str">
        <f>IF(A269="","",VLOOKUP($A269,子基金及业绩基准周净值!$A:$AV,19))</f>
        <v/>
      </c>
      <c r="C269" s="8" t="str">
        <f t="shared" si="16"/>
        <v/>
      </c>
      <c r="D269" s="9" t="str">
        <f>IF(A269="","",C269-(子基金及业绩基准周净值!AH309/子基金及业绩基准周净值!AH308-1))</f>
        <v/>
      </c>
      <c r="E269" s="12" t="str">
        <f>IF(A269="","",(MAX(B$3:B269)-B269)/MAX(B$3:B269))</f>
        <v/>
      </c>
      <c r="F269" s="12" t="str">
        <f>IF(A269="","",MAX(E$4:E269))</f>
        <v/>
      </c>
      <c r="H269" s="14" t="str">
        <f t="shared" si="17"/>
        <v/>
      </c>
      <c r="I269" s="14" t="str">
        <f t="shared" si="18"/>
        <v/>
      </c>
      <c r="J269" s="15" t="str">
        <f t="shared" si="19"/>
        <v/>
      </c>
    </row>
    <row r="270" spans="1:10">
      <c r="A270" s="7" t="str">
        <f>IF(子基金及业绩基准周净值!A310="","",子基金及业绩基准周净值!A310)</f>
        <v/>
      </c>
      <c r="B270" s="1" t="str">
        <f>IF(A270="","",VLOOKUP($A270,子基金及业绩基准周净值!$A:$AV,19))</f>
        <v/>
      </c>
      <c r="C270" s="8" t="str">
        <f t="shared" si="16"/>
        <v/>
      </c>
      <c r="D270" s="9" t="str">
        <f>IF(A270="","",C270-(子基金及业绩基准周净值!AH310/子基金及业绩基准周净值!AH309-1))</f>
        <v/>
      </c>
      <c r="E270" s="12" t="str">
        <f>IF(A270="","",(MAX(B$3:B270)-B270)/MAX(B$3:B270))</f>
        <v/>
      </c>
      <c r="F270" s="12" t="str">
        <f>IF(A270="","",MAX(E$4:E270))</f>
        <v/>
      </c>
      <c r="H270" s="14" t="str">
        <f t="shared" si="17"/>
        <v/>
      </c>
      <c r="I270" s="14" t="str">
        <f t="shared" si="18"/>
        <v/>
      </c>
      <c r="J270" s="15" t="str">
        <f t="shared" si="19"/>
        <v/>
      </c>
    </row>
    <row r="271" spans="1:10">
      <c r="A271" s="7" t="str">
        <f>IF(子基金及业绩基准周净值!A311="","",子基金及业绩基准周净值!A311)</f>
        <v/>
      </c>
      <c r="B271" s="1" t="str">
        <f>IF(A271="","",VLOOKUP($A271,子基金及业绩基准周净值!$A:$AV,19))</f>
        <v/>
      </c>
      <c r="C271" s="8" t="str">
        <f t="shared" si="16"/>
        <v/>
      </c>
      <c r="D271" s="9" t="str">
        <f>IF(A271="","",C271-(子基金及业绩基准周净值!AH311/子基金及业绩基准周净值!AH310-1))</f>
        <v/>
      </c>
      <c r="E271" s="12" t="str">
        <f>IF(A271="","",(MAX(B$3:B271)-B271)/MAX(B$3:B271))</f>
        <v/>
      </c>
      <c r="F271" s="12" t="str">
        <f>IF(A271="","",MAX(E$4:E271))</f>
        <v/>
      </c>
      <c r="H271" s="14" t="str">
        <f t="shared" si="17"/>
        <v/>
      </c>
      <c r="I271" s="14" t="str">
        <f t="shared" si="18"/>
        <v/>
      </c>
      <c r="J271" s="15" t="str">
        <f t="shared" si="19"/>
        <v/>
      </c>
    </row>
    <row r="272" spans="1:10">
      <c r="A272" s="7" t="str">
        <f>IF(子基金及业绩基准周净值!A312="","",子基金及业绩基准周净值!A312)</f>
        <v/>
      </c>
      <c r="B272" s="1" t="str">
        <f>IF(A272="","",VLOOKUP($A272,子基金及业绩基准周净值!$A:$AV,19))</f>
        <v/>
      </c>
      <c r="C272" s="8" t="str">
        <f t="shared" si="16"/>
        <v/>
      </c>
      <c r="D272" s="9" t="str">
        <f>IF(A272="","",C272-(子基金及业绩基准周净值!AH312/子基金及业绩基准周净值!AH311-1))</f>
        <v/>
      </c>
      <c r="E272" s="12" t="str">
        <f>IF(A272="","",(MAX(B$3:B272)-B272)/MAX(B$3:B272))</f>
        <v/>
      </c>
      <c r="F272" s="12" t="str">
        <f>IF(A272="","",MAX(E$4:E272))</f>
        <v/>
      </c>
      <c r="H272" s="14" t="str">
        <f t="shared" si="17"/>
        <v/>
      </c>
      <c r="I272" s="14" t="str">
        <f t="shared" si="18"/>
        <v/>
      </c>
      <c r="J272" s="15" t="str">
        <f t="shared" si="19"/>
        <v/>
      </c>
    </row>
    <row r="273" spans="1:10">
      <c r="A273" s="7" t="str">
        <f>IF(子基金及业绩基准周净值!A313="","",子基金及业绩基准周净值!A313)</f>
        <v/>
      </c>
      <c r="B273" s="1" t="str">
        <f>IF(A273="","",VLOOKUP($A273,子基金及业绩基准周净值!$A:$AV,19))</f>
        <v/>
      </c>
      <c r="C273" s="8" t="str">
        <f t="shared" si="16"/>
        <v/>
      </c>
      <c r="D273" s="9" t="str">
        <f>IF(A273="","",C273-(子基金及业绩基准周净值!AH313/子基金及业绩基准周净值!AH312-1))</f>
        <v/>
      </c>
      <c r="E273" s="12" t="str">
        <f>IF(A273="","",(MAX(B$3:B273)-B273)/MAX(B$3:B273))</f>
        <v/>
      </c>
      <c r="F273" s="12" t="str">
        <f>IF(A273="","",MAX(E$4:E273))</f>
        <v/>
      </c>
      <c r="H273" s="14" t="str">
        <f t="shared" si="17"/>
        <v/>
      </c>
      <c r="I273" s="14" t="str">
        <f t="shared" si="18"/>
        <v/>
      </c>
      <c r="J273" s="15" t="str">
        <f t="shared" si="19"/>
        <v/>
      </c>
    </row>
    <row r="274" spans="1:10">
      <c r="A274" s="7" t="str">
        <f>IF(子基金及业绩基准周净值!A314="","",子基金及业绩基准周净值!A314)</f>
        <v/>
      </c>
      <c r="B274" s="1" t="str">
        <f>IF(A274="","",VLOOKUP($A274,子基金及业绩基准周净值!$A:$AV,19))</f>
        <v/>
      </c>
      <c r="C274" s="8" t="str">
        <f t="shared" si="16"/>
        <v/>
      </c>
      <c r="D274" s="9" t="str">
        <f>IF(A274="","",C274-(子基金及业绩基准周净值!AH314/子基金及业绩基准周净值!AH313-1))</f>
        <v/>
      </c>
      <c r="E274" s="12" t="str">
        <f>IF(A274="","",(MAX(B$3:B274)-B274)/MAX(B$3:B274))</f>
        <v/>
      </c>
      <c r="F274" s="12" t="str">
        <f>IF(A274="","",MAX(E$4:E274))</f>
        <v/>
      </c>
      <c r="H274" s="14" t="str">
        <f t="shared" si="17"/>
        <v/>
      </c>
      <c r="I274" s="14" t="str">
        <f t="shared" si="18"/>
        <v/>
      </c>
      <c r="J274" s="15" t="str">
        <f t="shared" si="19"/>
        <v/>
      </c>
    </row>
    <row r="275" spans="1:10">
      <c r="A275" s="7" t="str">
        <f>IF(子基金及业绩基准周净值!A315="","",子基金及业绩基准周净值!A315)</f>
        <v/>
      </c>
      <c r="B275" s="1" t="str">
        <f>IF(A275="","",VLOOKUP($A275,子基金及业绩基准周净值!$A:$AV,19))</f>
        <v/>
      </c>
      <c r="C275" s="8" t="str">
        <f t="shared" si="16"/>
        <v/>
      </c>
      <c r="D275" s="9" t="str">
        <f>IF(A275="","",C275-(子基金及业绩基准周净值!AH315/子基金及业绩基准周净值!AH314-1))</f>
        <v/>
      </c>
      <c r="E275" s="12" t="str">
        <f>IF(A275="","",(MAX(B$3:B275)-B275)/MAX(B$3:B275))</f>
        <v/>
      </c>
      <c r="F275" s="12" t="str">
        <f>IF(A275="","",MAX(E$4:E275))</f>
        <v/>
      </c>
      <c r="H275" s="14" t="str">
        <f t="shared" si="17"/>
        <v/>
      </c>
      <c r="I275" s="14" t="str">
        <f t="shared" si="18"/>
        <v/>
      </c>
      <c r="J275" s="15" t="str">
        <f t="shared" si="19"/>
        <v/>
      </c>
    </row>
    <row r="276" spans="1:10">
      <c r="A276" s="7" t="str">
        <f>IF(子基金及业绩基准周净值!A316="","",子基金及业绩基准周净值!A316)</f>
        <v/>
      </c>
      <c r="B276" s="1" t="str">
        <f>IF(A276="","",VLOOKUP($A276,子基金及业绩基准周净值!$A:$AV,19))</f>
        <v/>
      </c>
      <c r="C276" s="8" t="str">
        <f t="shared" si="16"/>
        <v/>
      </c>
      <c r="D276" s="9" t="str">
        <f>IF(A276="","",C276-(子基金及业绩基准周净值!AH316/子基金及业绩基准周净值!AH315-1))</f>
        <v/>
      </c>
      <c r="E276" s="12" t="str">
        <f>IF(A276="","",(MAX(B$3:B276)-B276)/MAX(B$3:B276))</f>
        <v/>
      </c>
      <c r="F276" s="12" t="str">
        <f>IF(A276="","",MAX(E$4:E276))</f>
        <v/>
      </c>
      <c r="H276" s="14" t="str">
        <f t="shared" si="17"/>
        <v/>
      </c>
      <c r="I276" s="14" t="str">
        <f t="shared" si="18"/>
        <v/>
      </c>
      <c r="J276" s="15" t="str">
        <f t="shared" si="19"/>
        <v/>
      </c>
    </row>
    <row r="277" spans="1:10">
      <c r="A277" s="7" t="str">
        <f>IF(子基金及业绩基准周净值!A317="","",子基金及业绩基准周净值!A317)</f>
        <v/>
      </c>
      <c r="B277" s="1" t="str">
        <f>IF(A277="","",VLOOKUP($A277,子基金及业绩基准周净值!$A:$AV,19))</f>
        <v/>
      </c>
      <c r="C277" s="8" t="str">
        <f t="shared" si="16"/>
        <v/>
      </c>
      <c r="D277" s="9" t="str">
        <f>IF(A277="","",C277-(子基金及业绩基准周净值!AH317/子基金及业绩基准周净值!AH316-1))</f>
        <v/>
      </c>
      <c r="E277" s="12" t="str">
        <f>IF(A277="","",(MAX(B$3:B277)-B277)/MAX(B$3:B277))</f>
        <v/>
      </c>
      <c r="F277" s="12" t="str">
        <f>IF(A277="","",MAX(E$4:E277))</f>
        <v/>
      </c>
      <c r="H277" s="14" t="str">
        <f t="shared" si="17"/>
        <v/>
      </c>
      <c r="I277" s="14" t="str">
        <f t="shared" si="18"/>
        <v/>
      </c>
      <c r="J277" s="15" t="str">
        <f t="shared" si="19"/>
        <v/>
      </c>
    </row>
    <row r="278" spans="1:10">
      <c r="A278" s="7" t="str">
        <f>IF(子基金及业绩基准周净值!A318="","",子基金及业绩基准周净值!A318)</f>
        <v/>
      </c>
      <c r="B278" s="1" t="str">
        <f>IF(A278="","",VLOOKUP($A278,子基金及业绩基准周净值!$A:$AV,19))</f>
        <v/>
      </c>
      <c r="C278" s="8" t="str">
        <f t="shared" si="16"/>
        <v/>
      </c>
      <c r="D278" s="9" t="str">
        <f>IF(A278="","",C278-(子基金及业绩基准周净值!AH318/子基金及业绩基准周净值!AH317-1))</f>
        <v/>
      </c>
      <c r="E278" s="12" t="str">
        <f>IF(A278="","",(MAX(B$3:B278)-B278)/MAX(B$3:B278))</f>
        <v/>
      </c>
      <c r="F278" s="12" t="str">
        <f>IF(A278="","",MAX(E$4:E278))</f>
        <v/>
      </c>
      <c r="H278" s="14" t="str">
        <f t="shared" si="17"/>
        <v/>
      </c>
      <c r="I278" s="14" t="str">
        <f t="shared" si="18"/>
        <v/>
      </c>
      <c r="J278" s="15" t="str">
        <f t="shared" si="19"/>
        <v/>
      </c>
    </row>
    <row r="279" spans="1:10">
      <c r="A279" s="7" t="str">
        <f>IF(子基金及业绩基准周净值!A319="","",子基金及业绩基准周净值!A319)</f>
        <v/>
      </c>
      <c r="B279" s="1" t="str">
        <f>IF(A279="","",VLOOKUP($A279,子基金及业绩基准周净值!$A:$AV,19))</f>
        <v/>
      </c>
      <c r="C279" s="8" t="str">
        <f t="shared" si="16"/>
        <v/>
      </c>
      <c r="D279" s="9" t="str">
        <f>IF(A279="","",C279-(子基金及业绩基准周净值!AH319/子基金及业绩基准周净值!AH318-1))</f>
        <v/>
      </c>
      <c r="E279" s="12" t="str">
        <f>IF(A279="","",(MAX(B$3:B279)-B279)/MAX(B$3:B279))</f>
        <v/>
      </c>
      <c r="F279" s="12" t="str">
        <f>IF(A279="","",MAX(E$4:E279))</f>
        <v/>
      </c>
      <c r="H279" s="14" t="str">
        <f t="shared" si="17"/>
        <v/>
      </c>
      <c r="I279" s="14" t="str">
        <f t="shared" si="18"/>
        <v/>
      </c>
      <c r="J279" s="15" t="str">
        <f t="shared" si="19"/>
        <v/>
      </c>
    </row>
    <row r="280" spans="1:10">
      <c r="A280" s="7" t="str">
        <f>IF(子基金及业绩基准周净值!A320="","",子基金及业绩基准周净值!A320)</f>
        <v/>
      </c>
      <c r="B280" s="1" t="str">
        <f>IF(A280="","",VLOOKUP($A280,子基金及业绩基准周净值!$A:$AV,19))</f>
        <v/>
      </c>
      <c r="C280" s="8" t="str">
        <f t="shared" si="16"/>
        <v/>
      </c>
      <c r="D280" s="9" t="str">
        <f>IF(A280="","",C280-(子基金及业绩基准周净值!AH320/子基金及业绩基准周净值!AH319-1))</f>
        <v/>
      </c>
      <c r="E280" s="12" t="str">
        <f>IF(A280="","",(MAX(B$3:B280)-B280)/MAX(B$3:B280))</f>
        <v/>
      </c>
      <c r="F280" s="12" t="str">
        <f>IF(A280="","",MAX(E$4:E280))</f>
        <v/>
      </c>
      <c r="H280" s="14" t="str">
        <f t="shared" si="17"/>
        <v/>
      </c>
      <c r="I280" s="14" t="str">
        <f t="shared" si="18"/>
        <v/>
      </c>
      <c r="J280" s="15" t="str">
        <f t="shared" si="19"/>
        <v/>
      </c>
    </row>
    <row r="281" spans="1:10">
      <c r="A281" s="7" t="str">
        <f>IF(子基金及业绩基准周净值!A321="","",子基金及业绩基准周净值!A321)</f>
        <v/>
      </c>
      <c r="B281" s="1" t="str">
        <f>IF(A281="","",VLOOKUP($A281,子基金及业绩基准周净值!$A:$AV,19))</f>
        <v/>
      </c>
      <c r="C281" s="8" t="str">
        <f t="shared" si="16"/>
        <v/>
      </c>
      <c r="D281" s="9" t="str">
        <f>IF(A281="","",C281-(子基金及业绩基准周净值!AH321/子基金及业绩基准周净值!AH320-1))</f>
        <v/>
      </c>
      <c r="E281" s="12" t="str">
        <f>IF(A281="","",(MAX(B$3:B281)-B281)/MAX(B$3:B281))</f>
        <v/>
      </c>
      <c r="F281" s="12" t="str">
        <f>IF(A281="","",MAX(E$4:E281))</f>
        <v/>
      </c>
      <c r="H281" s="14" t="str">
        <f t="shared" si="17"/>
        <v/>
      </c>
      <c r="I281" s="14" t="str">
        <f t="shared" si="18"/>
        <v/>
      </c>
      <c r="J281" s="15" t="str">
        <f t="shared" si="19"/>
        <v/>
      </c>
    </row>
    <row r="282" spans="1:10">
      <c r="A282" s="7" t="str">
        <f>IF(子基金及业绩基准周净值!A322="","",子基金及业绩基准周净值!A322)</f>
        <v/>
      </c>
      <c r="B282" s="1" t="str">
        <f>IF(A282="","",VLOOKUP($A282,子基金及业绩基准周净值!$A:$AV,19))</f>
        <v/>
      </c>
      <c r="C282" s="8" t="str">
        <f t="shared" si="16"/>
        <v/>
      </c>
      <c r="D282" s="9" t="str">
        <f>IF(A282="","",C282-(子基金及业绩基准周净值!AH322/子基金及业绩基准周净值!AH321-1))</f>
        <v/>
      </c>
      <c r="E282" s="12" t="str">
        <f>IF(A282="","",(MAX(B$3:B282)-B282)/MAX(B$3:B282))</f>
        <v/>
      </c>
      <c r="F282" s="12" t="str">
        <f>IF(A282="","",MAX(E$4:E282))</f>
        <v/>
      </c>
      <c r="H282" s="14" t="str">
        <f t="shared" si="17"/>
        <v/>
      </c>
      <c r="I282" s="14" t="str">
        <f t="shared" si="18"/>
        <v/>
      </c>
      <c r="J282" s="15" t="str">
        <f t="shared" si="19"/>
        <v/>
      </c>
    </row>
    <row r="283" spans="1:10">
      <c r="A283" s="7" t="str">
        <f>IF(子基金及业绩基准周净值!A323="","",子基金及业绩基准周净值!A323)</f>
        <v/>
      </c>
      <c r="B283" s="1" t="str">
        <f>IF(A283="","",VLOOKUP($A283,子基金及业绩基准周净值!$A:$AV,19))</f>
        <v/>
      </c>
      <c r="C283" s="8" t="str">
        <f t="shared" si="16"/>
        <v/>
      </c>
      <c r="D283" s="9" t="str">
        <f>IF(A283="","",C283-(子基金及业绩基准周净值!AH323/子基金及业绩基准周净值!AH322-1))</f>
        <v/>
      </c>
      <c r="E283" s="12" t="str">
        <f>IF(A283="","",(MAX(B$3:B283)-B283)/MAX(B$3:B283))</f>
        <v/>
      </c>
      <c r="F283" s="12" t="str">
        <f>IF(A283="","",MAX(E$4:E283))</f>
        <v/>
      </c>
      <c r="H283" s="14" t="str">
        <f t="shared" si="17"/>
        <v/>
      </c>
      <c r="I283" s="14" t="str">
        <f t="shared" si="18"/>
        <v/>
      </c>
      <c r="J283" s="15" t="str">
        <f t="shared" si="19"/>
        <v/>
      </c>
    </row>
    <row r="284" spans="1:10">
      <c r="A284" s="7" t="str">
        <f>IF(子基金及业绩基准周净值!A324="","",子基金及业绩基准周净值!A324)</f>
        <v/>
      </c>
      <c r="B284" s="1" t="str">
        <f>IF(A284="","",VLOOKUP($A284,子基金及业绩基准周净值!$A:$AV,19))</f>
        <v/>
      </c>
      <c r="C284" s="8" t="str">
        <f t="shared" si="16"/>
        <v/>
      </c>
      <c r="D284" s="9" t="str">
        <f>IF(A284="","",C284-(子基金及业绩基准周净值!AH324/子基金及业绩基准周净值!AH323-1))</f>
        <v/>
      </c>
      <c r="E284" s="12" t="str">
        <f>IF(A284="","",(MAX(B$3:B284)-B284)/MAX(B$3:B284))</f>
        <v/>
      </c>
      <c r="F284" s="12" t="str">
        <f>IF(A284="","",MAX(E$4:E284))</f>
        <v/>
      </c>
      <c r="H284" s="14" t="str">
        <f t="shared" si="17"/>
        <v/>
      </c>
      <c r="I284" s="14" t="str">
        <f t="shared" si="18"/>
        <v/>
      </c>
      <c r="J284" s="15" t="str">
        <f t="shared" si="19"/>
        <v/>
      </c>
    </row>
    <row r="285" spans="1:10">
      <c r="A285" s="7" t="str">
        <f>IF(子基金及业绩基准周净值!A325="","",子基金及业绩基准周净值!A325)</f>
        <v/>
      </c>
      <c r="B285" s="1" t="str">
        <f>IF(A285="","",VLOOKUP($A285,子基金及业绩基准周净值!$A:$AV,19))</f>
        <v/>
      </c>
      <c r="C285" s="8" t="str">
        <f t="shared" si="16"/>
        <v/>
      </c>
      <c r="D285" s="9" t="str">
        <f>IF(A285="","",C285-(子基金及业绩基准周净值!AH325/子基金及业绩基准周净值!AH324-1))</f>
        <v/>
      </c>
      <c r="E285" s="12" t="str">
        <f>IF(A285="","",(MAX(B$3:B285)-B285)/MAX(B$3:B285))</f>
        <v/>
      </c>
      <c r="F285" s="12" t="str">
        <f>IF(A285="","",MAX(E$4:E285))</f>
        <v/>
      </c>
      <c r="H285" s="14" t="str">
        <f t="shared" si="17"/>
        <v/>
      </c>
      <c r="I285" s="14" t="str">
        <f t="shared" si="18"/>
        <v/>
      </c>
      <c r="J285" s="15" t="str">
        <f t="shared" si="19"/>
        <v/>
      </c>
    </row>
    <row r="286" spans="1:10">
      <c r="A286" s="7" t="str">
        <f>IF(子基金及业绩基准周净值!A326="","",子基金及业绩基准周净值!A326)</f>
        <v/>
      </c>
      <c r="B286" s="1" t="str">
        <f>IF(A286="","",VLOOKUP($A286,子基金及业绩基准周净值!$A:$AV,19))</f>
        <v/>
      </c>
      <c r="C286" s="8" t="str">
        <f t="shared" si="16"/>
        <v/>
      </c>
      <c r="D286" s="9" t="str">
        <f>IF(A286="","",C286-(子基金及业绩基准周净值!AH326/子基金及业绩基准周净值!AH325-1))</f>
        <v/>
      </c>
      <c r="E286" s="12" t="str">
        <f>IF(A286="","",(MAX(B$3:B286)-B286)/MAX(B$3:B286))</f>
        <v/>
      </c>
      <c r="F286" s="12" t="str">
        <f>IF(A286="","",MAX(E$4:E286))</f>
        <v/>
      </c>
      <c r="H286" s="14" t="str">
        <f t="shared" si="17"/>
        <v/>
      </c>
      <c r="I286" s="14" t="str">
        <f t="shared" si="18"/>
        <v/>
      </c>
      <c r="J286" s="15" t="str">
        <f t="shared" si="19"/>
        <v/>
      </c>
    </row>
    <row r="287" spans="1:10">
      <c r="A287" s="7" t="str">
        <f>IF(子基金及业绩基准周净值!A327="","",子基金及业绩基准周净值!A327)</f>
        <v/>
      </c>
      <c r="B287" s="1" t="str">
        <f>IF(A287="","",VLOOKUP($A287,子基金及业绩基准周净值!$A:$AV,19))</f>
        <v/>
      </c>
      <c r="C287" s="8" t="str">
        <f t="shared" si="16"/>
        <v/>
      </c>
      <c r="D287" s="9" t="str">
        <f>IF(A287="","",C287-(子基金及业绩基准周净值!AH327/子基金及业绩基准周净值!AH326-1))</f>
        <v/>
      </c>
      <c r="E287" s="12" t="str">
        <f>IF(A287="","",(MAX(B$3:B287)-B287)/MAX(B$3:B287))</f>
        <v/>
      </c>
      <c r="F287" s="12" t="str">
        <f>IF(A287="","",MAX(E$4:E287))</f>
        <v/>
      </c>
      <c r="H287" s="14" t="str">
        <f t="shared" si="17"/>
        <v/>
      </c>
      <c r="I287" s="14" t="str">
        <f t="shared" si="18"/>
        <v/>
      </c>
      <c r="J287" s="15" t="str">
        <f t="shared" si="19"/>
        <v/>
      </c>
    </row>
    <row r="288" spans="1:10">
      <c r="A288" s="7" t="str">
        <f>IF(子基金及业绩基准周净值!A328="","",子基金及业绩基准周净值!A328)</f>
        <v/>
      </c>
      <c r="B288" s="1" t="str">
        <f>IF(A288="","",VLOOKUP($A288,子基金及业绩基准周净值!$A:$AV,19))</f>
        <v/>
      </c>
      <c r="C288" s="8" t="str">
        <f t="shared" si="16"/>
        <v/>
      </c>
      <c r="D288" s="9" t="str">
        <f>IF(A288="","",C288-(子基金及业绩基准周净值!AH328/子基金及业绩基准周净值!AH327-1))</f>
        <v/>
      </c>
      <c r="E288" s="12" t="str">
        <f>IF(A288="","",(MAX(B$3:B288)-B288)/MAX(B$3:B288))</f>
        <v/>
      </c>
      <c r="F288" s="12" t="str">
        <f>IF(A288="","",MAX(E$4:E288))</f>
        <v/>
      </c>
      <c r="H288" s="14" t="str">
        <f t="shared" si="17"/>
        <v/>
      </c>
      <c r="I288" s="14" t="str">
        <f t="shared" si="18"/>
        <v/>
      </c>
      <c r="J288" s="15" t="str">
        <f t="shared" si="19"/>
        <v/>
      </c>
    </row>
    <row r="289" spans="1:10">
      <c r="A289" s="7" t="str">
        <f>IF(子基金及业绩基准周净值!A329="","",子基金及业绩基准周净值!A329)</f>
        <v/>
      </c>
      <c r="B289" s="1" t="str">
        <f>IF(A289="","",VLOOKUP($A289,子基金及业绩基准周净值!$A:$AV,19))</f>
        <v/>
      </c>
      <c r="C289" s="8" t="str">
        <f t="shared" si="16"/>
        <v/>
      </c>
      <c r="D289" s="9" t="str">
        <f>IF(A289="","",C289-(子基金及业绩基准周净值!AH329/子基金及业绩基准周净值!AH328-1))</f>
        <v/>
      </c>
      <c r="E289" s="12" t="str">
        <f>IF(A289="","",(MAX(B$3:B289)-B289)/MAX(B$3:B289))</f>
        <v/>
      </c>
      <c r="F289" s="12" t="str">
        <f>IF(A289="","",MAX(E$4:E289))</f>
        <v/>
      </c>
      <c r="H289" s="14" t="str">
        <f t="shared" si="17"/>
        <v/>
      </c>
      <c r="I289" s="14" t="str">
        <f t="shared" si="18"/>
        <v/>
      </c>
      <c r="J289" s="15" t="str">
        <f t="shared" si="19"/>
        <v/>
      </c>
    </row>
    <row r="290" spans="1:10">
      <c r="A290" s="7" t="str">
        <f>IF(子基金及业绩基准周净值!A330="","",子基金及业绩基准周净值!A330)</f>
        <v/>
      </c>
      <c r="B290" s="1" t="str">
        <f>IF(A290="","",VLOOKUP($A290,子基金及业绩基准周净值!$A:$AV,19))</f>
        <v/>
      </c>
      <c r="C290" s="8" t="str">
        <f t="shared" si="16"/>
        <v/>
      </c>
      <c r="D290" s="9" t="str">
        <f>IF(A290="","",C290-(子基金及业绩基准周净值!AH330/子基金及业绩基准周净值!AH329-1))</f>
        <v/>
      </c>
      <c r="E290" s="12" t="str">
        <f>IF(A290="","",(MAX(B$3:B290)-B290)/MAX(B$3:B290))</f>
        <v/>
      </c>
      <c r="F290" s="12" t="str">
        <f>IF(A290="","",MAX(E$4:E290))</f>
        <v/>
      </c>
      <c r="H290" s="14" t="str">
        <f t="shared" si="17"/>
        <v/>
      </c>
      <c r="I290" s="14" t="str">
        <f t="shared" si="18"/>
        <v/>
      </c>
      <c r="J290" s="15" t="str">
        <f t="shared" si="19"/>
        <v/>
      </c>
    </row>
    <row r="291" spans="1:10">
      <c r="A291" s="7" t="str">
        <f>IF(子基金及业绩基准周净值!A331="","",子基金及业绩基准周净值!A331)</f>
        <v/>
      </c>
      <c r="B291" s="1" t="str">
        <f>IF(A291="","",VLOOKUP($A291,子基金及业绩基准周净值!$A:$AV,19))</f>
        <v/>
      </c>
      <c r="C291" s="8" t="str">
        <f t="shared" si="16"/>
        <v/>
      </c>
      <c r="D291" s="9" t="str">
        <f>IF(A291="","",C291-(子基金及业绩基准周净值!AH331/子基金及业绩基准周净值!AH330-1))</f>
        <v/>
      </c>
      <c r="E291" s="12" t="str">
        <f>IF(A291="","",(MAX(B$3:B291)-B291)/MAX(B$3:B291))</f>
        <v/>
      </c>
      <c r="F291" s="12" t="str">
        <f>IF(A291="","",MAX(E$4:E291))</f>
        <v/>
      </c>
      <c r="H291" s="14" t="str">
        <f t="shared" si="17"/>
        <v/>
      </c>
      <c r="I291" s="14" t="str">
        <f t="shared" si="18"/>
        <v/>
      </c>
      <c r="J291" s="15" t="str">
        <f t="shared" si="19"/>
        <v/>
      </c>
    </row>
    <row r="292" spans="1:10">
      <c r="A292" s="7" t="str">
        <f>IF(子基金及业绩基准周净值!A332="","",子基金及业绩基准周净值!A332)</f>
        <v/>
      </c>
      <c r="B292" s="1" t="str">
        <f>IF(A292="","",VLOOKUP($A292,子基金及业绩基准周净值!$A:$AV,19))</f>
        <v/>
      </c>
      <c r="C292" s="8" t="str">
        <f t="shared" si="16"/>
        <v/>
      </c>
      <c r="D292" s="9" t="str">
        <f>IF(A292="","",C292-(子基金及业绩基准周净值!AH332/子基金及业绩基准周净值!AH331-1))</f>
        <v/>
      </c>
      <c r="E292" s="12" t="str">
        <f>IF(A292="","",(MAX(B$3:B292)-B292)/MAX(B$3:B292))</f>
        <v/>
      </c>
      <c r="F292" s="12" t="str">
        <f>IF(A292="","",MAX(E$4:E292))</f>
        <v/>
      </c>
      <c r="H292" s="14" t="str">
        <f t="shared" si="17"/>
        <v/>
      </c>
      <c r="I292" s="14" t="str">
        <f t="shared" si="18"/>
        <v/>
      </c>
      <c r="J292" s="15" t="str">
        <f t="shared" si="19"/>
        <v/>
      </c>
    </row>
    <row r="293" spans="1:10">
      <c r="A293" s="7" t="str">
        <f>IF(子基金及业绩基准周净值!A333="","",子基金及业绩基准周净值!A333)</f>
        <v/>
      </c>
      <c r="B293" s="1" t="str">
        <f>IF(A293="","",VLOOKUP($A293,子基金及业绩基准周净值!$A:$AV,19))</f>
        <v/>
      </c>
      <c r="C293" s="8" t="str">
        <f t="shared" si="16"/>
        <v/>
      </c>
      <c r="D293" s="9" t="str">
        <f>IF(A293="","",C293-(子基金及业绩基准周净值!AH333/子基金及业绩基准周净值!AH332-1))</f>
        <v/>
      </c>
      <c r="E293" s="12" t="str">
        <f>IF(A293="","",(MAX(B$3:B293)-B293)/MAX(B$3:B293))</f>
        <v/>
      </c>
      <c r="F293" s="12" t="str">
        <f>IF(A293="","",MAX(E$4:E293))</f>
        <v/>
      </c>
      <c r="H293" s="14" t="str">
        <f t="shared" si="17"/>
        <v/>
      </c>
      <c r="I293" s="14" t="str">
        <f t="shared" si="18"/>
        <v/>
      </c>
      <c r="J293" s="15" t="str">
        <f t="shared" si="19"/>
        <v/>
      </c>
    </row>
    <row r="294" spans="1:10">
      <c r="A294" s="7" t="str">
        <f>IF(子基金及业绩基准周净值!A334="","",子基金及业绩基准周净值!A334)</f>
        <v/>
      </c>
      <c r="B294" s="1" t="str">
        <f>IF(A294="","",VLOOKUP($A294,子基金及业绩基准周净值!$A:$AV,19))</f>
        <v/>
      </c>
      <c r="C294" s="8" t="str">
        <f t="shared" si="16"/>
        <v/>
      </c>
      <c r="D294" s="9" t="str">
        <f>IF(A294="","",C294-(子基金及业绩基准周净值!AH334/子基金及业绩基准周净值!AH333-1))</f>
        <v/>
      </c>
      <c r="E294" s="12" t="str">
        <f>IF(A294="","",(MAX(B$3:B294)-B294)/MAX(B$3:B294))</f>
        <v/>
      </c>
      <c r="F294" s="12" t="str">
        <f>IF(A294="","",MAX(E$4:E294))</f>
        <v/>
      </c>
      <c r="H294" s="14" t="str">
        <f t="shared" si="17"/>
        <v/>
      </c>
      <c r="I294" s="14" t="str">
        <f t="shared" si="18"/>
        <v/>
      </c>
      <c r="J294" s="15" t="str">
        <f t="shared" si="19"/>
        <v/>
      </c>
    </row>
    <row r="295" spans="1:10">
      <c r="A295" s="7" t="str">
        <f>IF(子基金及业绩基准周净值!A335="","",子基金及业绩基准周净值!A335)</f>
        <v/>
      </c>
      <c r="B295" s="1" t="str">
        <f>IF(A295="","",VLOOKUP($A295,子基金及业绩基准周净值!$A:$AV,19))</f>
        <v/>
      </c>
      <c r="C295" s="8" t="str">
        <f t="shared" si="16"/>
        <v/>
      </c>
      <c r="D295" s="9" t="str">
        <f>IF(A295="","",C295-(子基金及业绩基准周净值!AH335/子基金及业绩基准周净值!AH334-1))</f>
        <v/>
      </c>
      <c r="E295" s="12" t="str">
        <f>IF(A295="","",(MAX(B$3:B295)-B295)/MAX(B$3:B295))</f>
        <v/>
      </c>
      <c r="F295" s="12" t="str">
        <f>IF(A295="","",MAX(E$4:E295))</f>
        <v/>
      </c>
      <c r="H295" s="14" t="str">
        <f t="shared" si="17"/>
        <v/>
      </c>
      <c r="I295" s="14" t="str">
        <f t="shared" si="18"/>
        <v/>
      </c>
      <c r="J295" s="15" t="str">
        <f t="shared" si="19"/>
        <v/>
      </c>
    </row>
    <row r="296" spans="1:10">
      <c r="A296" s="7" t="str">
        <f>IF(子基金及业绩基准周净值!A336="","",子基金及业绩基准周净值!A336)</f>
        <v/>
      </c>
      <c r="B296" s="1" t="str">
        <f>IF(A296="","",VLOOKUP($A296,子基金及业绩基准周净值!$A:$AV,19))</f>
        <v/>
      </c>
      <c r="C296" s="8" t="str">
        <f t="shared" si="16"/>
        <v/>
      </c>
      <c r="D296" s="9" t="str">
        <f>IF(A296="","",C296-(子基金及业绩基准周净值!AH336/子基金及业绩基准周净值!AH335-1))</f>
        <v/>
      </c>
      <c r="E296" s="12" t="str">
        <f>IF(A296="","",(MAX(B$3:B296)-B296)/MAX(B$3:B296))</f>
        <v/>
      </c>
      <c r="F296" s="12" t="str">
        <f>IF(A296="","",MAX(E$4:E296))</f>
        <v/>
      </c>
      <c r="H296" s="14" t="str">
        <f t="shared" si="17"/>
        <v/>
      </c>
      <c r="I296" s="14" t="str">
        <f t="shared" si="18"/>
        <v/>
      </c>
      <c r="J296" s="15" t="str">
        <f t="shared" si="19"/>
        <v/>
      </c>
    </row>
    <row r="297" spans="1:10">
      <c r="A297" s="7" t="str">
        <f>IF(子基金及业绩基准周净值!A337="","",子基金及业绩基准周净值!A337)</f>
        <v/>
      </c>
      <c r="B297" s="1" t="str">
        <f>IF(A297="","",VLOOKUP($A297,子基金及业绩基准周净值!$A:$AV,19))</f>
        <v/>
      </c>
      <c r="C297" s="8" t="str">
        <f t="shared" si="16"/>
        <v/>
      </c>
      <c r="D297" s="9" t="str">
        <f>IF(A297="","",C297-(子基金及业绩基准周净值!AH337/子基金及业绩基准周净值!AH336-1))</f>
        <v/>
      </c>
      <c r="E297" s="12" t="str">
        <f>IF(A297="","",(MAX(B$3:B297)-B297)/MAX(B$3:B297))</f>
        <v/>
      </c>
      <c r="F297" s="12" t="str">
        <f>IF(A297="","",MAX(E$4:E297))</f>
        <v/>
      </c>
      <c r="H297" s="14" t="str">
        <f t="shared" si="17"/>
        <v/>
      </c>
      <c r="I297" s="14" t="str">
        <f t="shared" si="18"/>
        <v/>
      </c>
      <c r="J297" s="15" t="str">
        <f t="shared" si="19"/>
        <v/>
      </c>
    </row>
    <row r="298" spans="1:10">
      <c r="A298" s="7" t="str">
        <f>IF(子基金及业绩基准周净值!A338="","",子基金及业绩基准周净值!A338)</f>
        <v/>
      </c>
      <c r="B298" s="1" t="str">
        <f>IF(A298="","",VLOOKUP($A298,子基金及业绩基准周净值!$A:$AV,19))</f>
        <v/>
      </c>
      <c r="C298" s="8" t="str">
        <f t="shared" si="16"/>
        <v/>
      </c>
      <c r="D298" s="9" t="str">
        <f>IF(A298="","",C298-(子基金及业绩基准周净值!AH338/子基金及业绩基准周净值!AH337-1))</f>
        <v/>
      </c>
      <c r="E298" s="12" t="str">
        <f>IF(A298="","",(MAX(B$3:B298)-B298)/MAX(B$3:B298))</f>
        <v/>
      </c>
      <c r="F298" s="12" t="str">
        <f>IF(A298="","",MAX(E$4:E298))</f>
        <v/>
      </c>
      <c r="H298" s="14" t="str">
        <f t="shared" si="17"/>
        <v/>
      </c>
      <c r="I298" s="14" t="str">
        <f t="shared" si="18"/>
        <v/>
      </c>
      <c r="J298" s="15" t="str">
        <f t="shared" si="19"/>
        <v/>
      </c>
    </row>
    <row r="299" spans="1:10">
      <c r="A299" s="7" t="str">
        <f>IF(子基金及业绩基准周净值!A339="","",子基金及业绩基准周净值!A339)</f>
        <v/>
      </c>
      <c r="B299" s="1" t="str">
        <f>IF(A299="","",VLOOKUP($A299,子基金及业绩基准周净值!$A:$AV,19))</f>
        <v/>
      </c>
      <c r="C299" s="8" t="str">
        <f t="shared" si="16"/>
        <v/>
      </c>
      <c r="D299" s="9" t="str">
        <f>IF(A299="","",C299-(子基金及业绩基准周净值!AH339/子基金及业绩基准周净值!AH338-1))</f>
        <v/>
      </c>
      <c r="E299" s="12" t="str">
        <f>IF(A299="","",(MAX(B$3:B299)-B299)/MAX(B$3:B299))</f>
        <v/>
      </c>
      <c r="F299" s="12" t="str">
        <f>IF(A299="","",MAX(E$4:E299))</f>
        <v/>
      </c>
      <c r="H299" s="14" t="str">
        <f t="shared" si="17"/>
        <v/>
      </c>
      <c r="I299" s="14" t="str">
        <f t="shared" si="18"/>
        <v/>
      </c>
      <c r="J299" s="15" t="str">
        <f t="shared" si="19"/>
        <v/>
      </c>
    </row>
    <row r="300" spans="1:10">
      <c r="A300" s="7" t="str">
        <f>IF(子基金及业绩基准周净值!A340="","",子基金及业绩基准周净值!A340)</f>
        <v/>
      </c>
      <c r="B300" s="1" t="str">
        <f>IF(A300="","",VLOOKUP($A300,子基金及业绩基准周净值!$A:$AV,19))</f>
        <v/>
      </c>
      <c r="C300" s="8" t="str">
        <f t="shared" si="16"/>
        <v/>
      </c>
      <c r="D300" s="9" t="str">
        <f>IF(A300="","",C300-(子基金及业绩基准周净值!AH340/子基金及业绩基准周净值!AH339-1))</f>
        <v/>
      </c>
      <c r="E300" s="12" t="str">
        <f>IF(A300="","",(MAX(B$3:B300)-B300)/MAX(B$3:B300))</f>
        <v/>
      </c>
      <c r="F300" s="12" t="str">
        <f>IF(A300="","",MAX(E$4:E300))</f>
        <v/>
      </c>
      <c r="H300" s="14" t="str">
        <f t="shared" si="17"/>
        <v/>
      </c>
      <c r="I300" s="14" t="str">
        <f t="shared" si="18"/>
        <v/>
      </c>
      <c r="J300" s="15" t="str">
        <f t="shared" si="19"/>
        <v/>
      </c>
    </row>
    <row r="301" spans="1:10">
      <c r="A301" s="7" t="str">
        <f>IF(子基金及业绩基准周净值!A341="","",子基金及业绩基准周净值!A341)</f>
        <v/>
      </c>
      <c r="B301" s="1" t="str">
        <f>IF(A301="","",VLOOKUP($A301,子基金及业绩基准周净值!$A:$AV,19))</f>
        <v/>
      </c>
      <c r="C301" s="8" t="str">
        <f t="shared" si="16"/>
        <v/>
      </c>
      <c r="D301" s="9" t="str">
        <f>IF(A301="","",C301-(子基金及业绩基准周净值!AH341/子基金及业绩基准周净值!AH340-1))</f>
        <v/>
      </c>
      <c r="E301" s="12" t="str">
        <f>IF(A301="","",(MAX(B$3:B301)-B301)/MAX(B$3:B301))</f>
        <v/>
      </c>
      <c r="F301" s="12" t="str">
        <f>IF(A301="","",MAX(E$4:E301))</f>
        <v/>
      </c>
      <c r="H301" s="14" t="str">
        <f t="shared" si="17"/>
        <v/>
      </c>
      <c r="I301" s="14" t="str">
        <f t="shared" si="18"/>
        <v/>
      </c>
      <c r="J301" s="15" t="str">
        <f t="shared" si="19"/>
        <v/>
      </c>
    </row>
    <row r="302" spans="1:10">
      <c r="A302" s="7" t="str">
        <f>IF(子基金及业绩基准周净值!A342="","",子基金及业绩基准周净值!A342)</f>
        <v/>
      </c>
      <c r="B302" s="1" t="str">
        <f>IF(A302="","",VLOOKUP($A302,子基金及业绩基准周净值!$A:$AV,19))</f>
        <v/>
      </c>
      <c r="C302" s="8" t="str">
        <f t="shared" si="16"/>
        <v/>
      </c>
      <c r="D302" s="9" t="str">
        <f>IF(A302="","",C302-(子基金及业绩基准周净值!AH342/子基金及业绩基准周净值!AH341-1))</f>
        <v/>
      </c>
      <c r="E302" s="12" t="str">
        <f>IF(A302="","",(MAX(B$3:B302)-B302)/MAX(B$3:B302))</f>
        <v/>
      </c>
      <c r="F302" s="12" t="str">
        <f>IF(A302="","",MAX(E$4:E302))</f>
        <v/>
      </c>
      <c r="H302" s="14" t="str">
        <f t="shared" si="17"/>
        <v/>
      </c>
      <c r="I302" s="14" t="str">
        <f t="shared" si="18"/>
        <v/>
      </c>
      <c r="J302" s="15" t="str">
        <f t="shared" si="19"/>
        <v/>
      </c>
    </row>
    <row r="303" spans="1:10">
      <c r="A303" s="7" t="str">
        <f>IF(子基金及业绩基准周净值!A343="","",子基金及业绩基准周净值!A343)</f>
        <v/>
      </c>
      <c r="B303" s="1" t="str">
        <f>IF(A303="","",VLOOKUP($A303,子基金及业绩基准周净值!$A:$AV,19))</f>
        <v/>
      </c>
      <c r="C303" s="8" t="str">
        <f t="shared" si="16"/>
        <v/>
      </c>
      <c r="D303" s="9" t="str">
        <f>IF(A303="","",C303-(子基金及业绩基准周净值!AH343/子基金及业绩基准周净值!AH342-1))</f>
        <v/>
      </c>
      <c r="E303" s="12" t="str">
        <f>IF(A303="","",(MAX(B$3:B303)-B303)/MAX(B$3:B303))</f>
        <v/>
      </c>
      <c r="F303" s="12" t="str">
        <f>IF(A303="","",MAX(E$4:E303))</f>
        <v/>
      </c>
      <c r="H303" s="14" t="str">
        <f t="shared" si="17"/>
        <v/>
      </c>
      <c r="I303" s="14" t="str">
        <f t="shared" si="18"/>
        <v/>
      </c>
      <c r="J303" s="15" t="str">
        <f t="shared" si="19"/>
        <v/>
      </c>
    </row>
    <row r="304" spans="1:10">
      <c r="A304" s="7" t="str">
        <f>IF(子基金及业绩基准周净值!A344="","",子基金及业绩基准周净值!A344)</f>
        <v/>
      </c>
      <c r="B304" s="1" t="str">
        <f>IF(A304="","",VLOOKUP($A304,子基金及业绩基准周净值!$A:$AV,19))</f>
        <v/>
      </c>
      <c r="C304" s="8" t="str">
        <f t="shared" si="16"/>
        <v/>
      </c>
      <c r="D304" s="9" t="str">
        <f>IF(A304="","",C304-(子基金及业绩基准周净值!AH344/子基金及业绩基准周净值!AH343-1))</f>
        <v/>
      </c>
      <c r="E304" s="12" t="str">
        <f>IF(A304="","",(MAX(B$3:B304)-B304)/MAX(B$3:B304))</f>
        <v/>
      </c>
      <c r="F304" s="12" t="str">
        <f>IF(A304="","",MAX(E$4:E304))</f>
        <v/>
      </c>
      <c r="H304" s="14" t="str">
        <f t="shared" si="17"/>
        <v/>
      </c>
      <c r="I304" s="14" t="str">
        <f t="shared" si="18"/>
        <v/>
      </c>
      <c r="J304" s="15" t="str">
        <f t="shared" si="19"/>
        <v/>
      </c>
    </row>
    <row r="305" spans="1:10">
      <c r="A305" s="7" t="str">
        <f>IF(子基金及业绩基准周净值!A345="","",子基金及业绩基准周净值!A345)</f>
        <v/>
      </c>
      <c r="B305" s="1" t="str">
        <f>IF(A305="","",VLOOKUP($A305,子基金及业绩基准周净值!$A:$AV,19))</f>
        <v/>
      </c>
      <c r="C305" s="8" t="str">
        <f t="shared" si="16"/>
        <v/>
      </c>
      <c r="D305" s="9" t="str">
        <f>IF(A305="","",C305-(子基金及业绩基准周净值!AH345/子基金及业绩基准周净值!AH344-1))</f>
        <v/>
      </c>
      <c r="E305" s="12" t="str">
        <f>IF(A305="","",(MAX(B$3:B305)-B305)/MAX(B$3:B305))</f>
        <v/>
      </c>
      <c r="F305" s="12" t="str">
        <f>IF(A305="","",MAX(E$4:E305))</f>
        <v/>
      </c>
      <c r="H305" s="14" t="str">
        <f t="shared" si="17"/>
        <v/>
      </c>
      <c r="I305" s="14" t="str">
        <f t="shared" si="18"/>
        <v/>
      </c>
      <c r="J305" s="15" t="str">
        <f t="shared" si="19"/>
        <v/>
      </c>
    </row>
    <row r="306" spans="1:10">
      <c r="A306" s="7" t="str">
        <f>IF(子基金及业绩基准周净值!A346="","",子基金及业绩基准周净值!A346)</f>
        <v/>
      </c>
      <c r="B306" s="1" t="str">
        <f>IF(A306="","",VLOOKUP($A306,子基金及业绩基准周净值!$A:$AV,19))</f>
        <v/>
      </c>
      <c r="C306" s="8" t="str">
        <f t="shared" si="16"/>
        <v/>
      </c>
      <c r="D306" s="9" t="str">
        <f>IF(A306="","",C306-(子基金及业绩基准周净值!AH346/子基金及业绩基准周净值!AH345-1))</f>
        <v/>
      </c>
      <c r="E306" s="12" t="str">
        <f>IF(A306="","",(MAX(B$3:B306)-B306)/MAX(B$3:B306))</f>
        <v/>
      </c>
      <c r="F306" s="12" t="str">
        <f>IF(A306="","",MAX(E$4:E306))</f>
        <v/>
      </c>
      <c r="H306" s="14" t="str">
        <f t="shared" si="17"/>
        <v/>
      </c>
      <c r="I306" s="14" t="str">
        <f t="shared" si="18"/>
        <v/>
      </c>
      <c r="J306" s="15" t="str">
        <f t="shared" si="19"/>
        <v/>
      </c>
    </row>
    <row r="307" spans="1:10">
      <c r="A307" s="7" t="str">
        <f>IF(子基金及业绩基准周净值!A347="","",子基金及业绩基准周净值!A347)</f>
        <v/>
      </c>
      <c r="B307" s="1" t="str">
        <f>IF(A307="","",VLOOKUP($A307,子基金及业绩基准周净值!$A:$AV,19))</f>
        <v/>
      </c>
      <c r="C307" s="8" t="str">
        <f t="shared" si="16"/>
        <v/>
      </c>
      <c r="D307" s="9" t="str">
        <f>IF(A307="","",C307-(子基金及业绩基准周净值!AH347/子基金及业绩基准周净值!AH346-1))</f>
        <v/>
      </c>
      <c r="E307" s="12" t="str">
        <f>IF(A307="","",(MAX(B$3:B307)-B307)/MAX(B$3:B307))</f>
        <v/>
      </c>
      <c r="F307" s="12" t="str">
        <f>IF(A307="","",MAX(E$4:E307))</f>
        <v/>
      </c>
      <c r="H307" s="14" t="str">
        <f t="shared" si="17"/>
        <v/>
      </c>
      <c r="I307" s="14" t="str">
        <f t="shared" si="18"/>
        <v/>
      </c>
      <c r="J307" s="15" t="str">
        <f t="shared" si="19"/>
        <v/>
      </c>
    </row>
    <row r="308" spans="1:10">
      <c r="A308" s="7" t="str">
        <f>IF(子基金及业绩基准周净值!A348="","",子基金及业绩基准周净值!A348)</f>
        <v/>
      </c>
      <c r="B308" s="1" t="str">
        <f>IF(A308="","",VLOOKUP($A308,子基金及业绩基准周净值!$A:$AV,19))</f>
        <v/>
      </c>
      <c r="C308" s="8" t="str">
        <f t="shared" si="16"/>
        <v/>
      </c>
      <c r="D308" s="9" t="str">
        <f>IF(A308="","",C308-(子基金及业绩基准周净值!AH348/子基金及业绩基准周净值!AH347-1))</f>
        <v/>
      </c>
      <c r="E308" s="12" t="str">
        <f>IF(A308="","",(MAX(B$3:B308)-B308)/MAX(B$3:B308))</f>
        <v/>
      </c>
      <c r="F308" s="12" t="str">
        <f>IF(A308="","",MAX(E$4:E308))</f>
        <v/>
      </c>
      <c r="H308" s="14" t="str">
        <f t="shared" si="17"/>
        <v/>
      </c>
      <c r="I308" s="14" t="str">
        <f t="shared" si="18"/>
        <v/>
      </c>
      <c r="J308" s="15" t="str">
        <f t="shared" si="19"/>
        <v/>
      </c>
    </row>
  </sheetData>
  <conditionalFormatting sqref="H4:H308">
    <cfRule type="containsText" dxfId="0" priority="1" operator="between" text="是">
      <formula>NOT(ISERROR(SEARCH("是",H4)))</formula>
    </cfRule>
  </conditionalFormatting>
  <conditionalFormatting sqref="J3:J1048576">
    <cfRule type="containsText" dxfId="0" priority="2" operator="between" text="是">
      <formula>NOT(ISERROR(SEARCH("是",J3)))</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38</vt:i4>
      </vt:variant>
    </vt:vector>
  </HeadingPairs>
  <TitlesOfParts>
    <vt:vector size="38" baseType="lpstr">
      <vt:lpstr>周报</vt:lpstr>
      <vt:lpstr>启后私享1号FOF周净值</vt:lpstr>
      <vt:lpstr>子基金及业绩基准周净值</vt:lpstr>
      <vt:lpstr>业绩归因</vt:lpstr>
      <vt:lpstr>draft</vt:lpstr>
      <vt:lpstr>监控指标</vt:lpstr>
      <vt:lpstr>调仓指令</vt:lpstr>
      <vt:lpstr>【套利】鸣石量化24号</vt:lpstr>
      <vt:lpstr>【套利】因诺期权1号</vt:lpstr>
      <vt:lpstr>【中性】致远量化对冲6号</vt:lpstr>
      <vt:lpstr>【中性】磐松市场中性2号</vt:lpstr>
      <vt:lpstr>【中性】世纪前沿松柏量化对冲6号</vt:lpstr>
      <vt:lpstr>【打板】瀛岳核心</vt:lpstr>
      <vt:lpstr>【转债】艮岳康柏1号</vt:lpstr>
      <vt:lpstr>【套利】哲萌龙泉进取2号</vt:lpstr>
      <vt:lpstr>【打板】锡和骐骥1号</vt:lpstr>
      <vt:lpstr>【打板】特夫郁金香弦理1号</vt:lpstr>
      <vt:lpstr>【套利】交叉智能量化套利2号</vt:lpstr>
      <vt:lpstr>【打板】创世纪顾锝屠龙1号</vt:lpstr>
      <vt:lpstr>【宏观】远澜藤枫6号</vt:lpstr>
      <vt:lpstr>【多空】悦海盈和18号</vt:lpstr>
      <vt:lpstr>【多空】玄元元中10号</vt:lpstr>
      <vt:lpstr>【多空】玄元元中12号</vt:lpstr>
      <vt:lpstr>【多空】磐松多空对冲5号</vt:lpstr>
      <vt:lpstr>【中性】垒昂金鹿13号</vt:lpstr>
      <vt:lpstr>【择时多头】悦海盈和12号</vt:lpstr>
      <vt:lpstr>【指增保护】因诺天跃19</vt:lpstr>
      <vt:lpstr>【指增保护】念觉500指增稳健Plus27号</vt:lpstr>
      <vt:lpstr>【指增保护】天算指增保护6号</vt:lpstr>
      <vt:lpstr>【已赎回】【中性】量子智盈6号</vt:lpstr>
      <vt:lpstr>【已赎回】【打板】顾锝群英8号</vt:lpstr>
      <vt:lpstr>【已赎回】【套利】鸣石量化CTA套利1号</vt:lpstr>
      <vt:lpstr>【已赎回】【套利】盛冠达量化套利6号</vt:lpstr>
      <vt:lpstr>【已赎回】【中性】量游鸿雁8号</vt:lpstr>
      <vt:lpstr>【已赎回】【套利】德贝尊享CTA8号</vt:lpstr>
      <vt:lpstr>【已赎回】【底仓T】正瀛骐骥21号</vt:lpstr>
      <vt:lpstr>【已赎回】【中性】子午中性16号</vt:lpstr>
      <vt:lpstr>【已赎回】【套利】交叉智能启航1号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xiaofeng wu</dc:creator>
  <cp:lastModifiedBy>ningxinwang</cp:lastModifiedBy>
  <dcterms:created xsi:type="dcterms:W3CDTF">2015-06-08T10:19:00Z</dcterms:created>
  <dcterms:modified xsi:type="dcterms:W3CDTF">2025-11-06T11:47:37Z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835421345BE04144591A0C69C2F10B38_43</vt:lpwstr>
  </property>
  <property fmtid="{D5CDD505-2E9C-101B-9397-08002B2CF9AE}" pid="3" name="KSOProductBuildVer">
    <vt:lpwstr>2052-6.12.2.8699</vt:lpwstr>
  </property>
  <property fmtid="{D5CDD505-2E9C-101B-9397-08002B2CF9AE}" pid="4" name="EM_Doc_Temp_ID">
    <vt:lpwstr>1D46C471-BFE4-4148-98DB-AF9AE3F2ED54</vt:lpwstr>
  </property>
  <property fmtid="{D5CDD505-2E9C-101B-9397-08002B2CF9AE}" pid="5" name="KSOReadingLayout">
    <vt:bool>true</vt:bool>
  </property>
</Properties>
</file>